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dmin\Documents\Projects\380-25_Ivanovo_TEC\Для сайта\Здание теплообменников\"/>
    </mc:Choice>
  </mc:AlternateContent>
  <xr:revisionPtr revIDLastSave="0" documentId="8_{B031F80D-BF22-4CD4-86BF-68468EF2DC31}" xr6:coauthVersionLast="47" xr6:coauthVersionMax="47" xr10:uidLastSave="{00000000-0000-0000-0000-000000000000}"/>
  <bookViews>
    <workbookView xWindow="-120" yWindow="-120" windowWidth="29040" windowHeight="15840" tabRatio="688" xr2:uid="{00000000-000D-0000-FFFF-FFFF00000000}"/>
  </bookViews>
  <sheets>
    <sheet name="Лист1" sheetId="1" r:id="rId1"/>
    <sheet name="Кабеля между шкафами" sheetId="2" r:id="rId2"/>
  </sheets>
  <definedNames>
    <definedName name="_xlnm._FilterDatabase" localSheetId="0" hidden="1">Лист1!$P$1:$P$1</definedName>
    <definedName name="Z_2AA7760F_427D_46EA_9E7F_EB5415B3542C_.wvu.Cols" localSheetId="0" hidden="1">Лист1!$D:$O,Лист1!$Q:$S,Лист1!$W:$W,Лист1!$AC:$AO,Лист1!$AQ:$AR,Лист1!$AT:$AU,Лист1!$AY:$JY</definedName>
    <definedName name="Z_2AA7760F_427D_46EA_9E7F_EB5415B3542C_.wvu.FilterData" localSheetId="0" hidden="1">Лист1!$P$1:$P$1</definedName>
    <definedName name="Z_6000112E_A5E6_4231_BD98_47DC722AA734_.wvu.Cols" localSheetId="0" hidden="1">Лист1!$D:$O,Лист1!$Q:$S,Лист1!$W:$AB,Лист1!$AH:$AO,Лист1!$AQ:$AS,Лист1!$AU:$AU,Лист1!$AY:$KS</definedName>
    <definedName name="Z_6000112E_A5E6_4231_BD98_47DC722AA734_.wvu.FilterData" localSheetId="0" hidden="1">Лист1!$P$1:$P$1</definedName>
    <definedName name="Z_7FEA431A_A608_4A51_A317_26884A517696_.wvu.Cols" localSheetId="0" hidden="1">Лист1!$D:$O,Лист1!$Q:$S,Лист1!$W:$W,Лист1!$AC:$AO,Лист1!$AR:$AR,Лист1!$AT:$AU,Лист1!$AY:$LM</definedName>
    <definedName name="Z_7FEA431A_A608_4A51_A317_26884A517696_.wvu.FilterData" localSheetId="0" hidden="1">Лист1!$P$1:$P$1</definedName>
    <definedName name="Z_9CAC7FA4_7183_4976_BDEB_B1D0832FBE64_.wvu.Cols" localSheetId="0" hidden="1">Лист1!$D:$O,Лист1!$Q:$S</definedName>
    <definedName name="Z_9CAC7FA4_7183_4976_BDEB_B1D0832FBE64_.wvu.FilterData" localSheetId="0" hidden="1">Лист1!$P$1:$P$1</definedName>
    <definedName name="Z_A7A1A132_6B40_4748_B234_5C4C7FE3C00A_.wvu.Cols" localSheetId="0" hidden="1">Лист1!$C:$O,Лист1!$Q:$S,Лист1!$AV:$AX,Лист1!$BE:$EQ</definedName>
    <definedName name="Z_A7A1A132_6B40_4748_B234_5C4C7FE3C00A_.wvu.FilterData" localSheetId="0" hidden="1">Лист1!$P$1:$P$1</definedName>
    <definedName name="Z_C835B057_266C_4AD9_BD8A_E692A165D221_.wvu.Cols" localSheetId="0" hidden="1">Лист1!$C:$O,Лист1!$Q:$S,Лист1!$AN:$AO,Лист1!$AR:$AR,Лист1!$AY:$BD</definedName>
    <definedName name="Z_C835B057_266C_4AD9_BD8A_E692A165D221_.wvu.FilterData" localSheetId="0" hidden="1">Лист1!$P$1:$P$1</definedName>
    <definedName name="Z_FF0A9AC6_3E8C_4AE0_B1AB_88458BDDC2AD_.wvu.Cols" localSheetId="0" hidden="1">Лист1!$C:$O,Лист1!$Q:$S,Лист1!$AN:$AO,Лист1!$AR:$AR,Лист1!$AV:$AX,Лист1!$BE:$GS</definedName>
    <definedName name="Z_FF0A9AC6_3E8C_4AE0_B1AB_88458BDDC2AD_.wvu.FilterData" localSheetId="0" hidden="1">Лист1!$P$1:$P$1</definedName>
  </definedNames>
  <calcPr calcId="191029"/>
  <customWorkbookViews>
    <customWorkbookView name="se0004" guid="{FF0A9AC6-3E8C-4AE0-B1AB-88458BDDC2AD}" maximized="1" xWindow="-8" yWindow="-8" windowWidth="1936" windowHeight="1056" activeSheetId="1"/>
    <customWorkbookView name="se0001, se0002" guid="{C835B057-266C-4AD9-BD8A-E692A165D221}" maximized="1" xWindow="-8" yWindow="-8" windowWidth="1936" windowHeight="1056" activeSheetId="1"/>
    <customWorkbookView name="se0003" guid="{A7A1A132-6B40-4748-B234-5C4C7FE3C00A}" maximized="1" xWindow="-8" yWindow="-8" windowWidth="1936" windowHeight="1056" activeSheetId="1"/>
    <customWorkbookView name="se0005,6,7" guid="{2AA7760F-427D-46EA-9E7F-EB5415B3542C}" maximized="1" xWindow="-8" yWindow="-8" windowWidth="1936" windowHeight="1056" activeSheetId="1"/>
    <customWorkbookView name="se0008" guid="{6000112E-A5E6-4231-BD98-47DC722AA734}" maximized="1" xWindow="-8" yWindow="-8" windowWidth="1936" windowHeight="1056" activeSheetId="1"/>
    <customWorkbookView name="se0009" guid="{7FEA431A-A608-4A51-A317-26884A517696}" maximized="1" xWindow="-8" yWindow="-8" windowWidth="1936" windowHeight="1056" activeSheetId="1"/>
    <customWorkbookView name="Общий" guid="{9CAC7FA4-7183-4976-BDEB-B1D0832FBE64}" maximized="1" xWindow="-8" yWindow="-8" windowWidth="1936" windowHeight="105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73" i="1" l="1"/>
  <c r="CF73" i="1" s="1"/>
  <c r="AL73" i="1"/>
  <c r="BQ73" i="1" s="1"/>
  <c r="MR127" i="1"/>
  <c r="MR128" i="1" s="1"/>
  <c r="MR129" i="1" s="1"/>
  <c r="MR130" i="1" s="1"/>
  <c r="MR131" i="1" s="1"/>
  <c r="MR132" i="1" s="1"/>
  <c r="MQ127" i="1"/>
  <c r="MQ128" i="1" s="1"/>
  <c r="MQ129" i="1" s="1"/>
  <c r="MQ130" i="1" s="1"/>
  <c r="MQ131" i="1" s="1"/>
  <c r="MQ132" i="1" s="1"/>
  <c r="MD127" i="1"/>
  <c r="MD128" i="1" s="1"/>
  <c r="MD129" i="1" s="1"/>
  <c r="MD130" i="1" s="1"/>
  <c r="MD131" i="1" s="1"/>
  <c r="MD132" i="1" s="1"/>
  <c r="ME127" i="1"/>
  <c r="ME128" i="1" s="1"/>
  <c r="ME129" i="1" s="1"/>
  <c r="ME130" i="1" s="1"/>
  <c r="ME131" i="1" s="1"/>
  <c r="ME132" i="1" s="1"/>
  <c r="MF127" i="1"/>
  <c r="MF128" i="1" s="1"/>
  <c r="MF129" i="1" s="1"/>
  <c r="MF130" i="1" s="1"/>
  <c r="MF131" i="1" s="1"/>
  <c r="MF132" i="1" s="1"/>
  <c r="MG127" i="1"/>
  <c r="MG128" i="1" s="1"/>
  <c r="MG129" i="1" s="1"/>
  <c r="MG130" i="1" s="1"/>
  <c r="MG131" i="1" s="1"/>
  <c r="MG132" i="1" s="1"/>
  <c r="MH127" i="1"/>
  <c r="MH128" i="1" s="1"/>
  <c r="MH129" i="1" s="1"/>
  <c r="MH130" i="1" s="1"/>
  <c r="MH131" i="1" s="1"/>
  <c r="MH132" i="1" s="1"/>
  <c r="MI127" i="1"/>
  <c r="MI128" i="1" s="1"/>
  <c r="MI129" i="1" s="1"/>
  <c r="MI130" i="1" s="1"/>
  <c r="MI131" i="1" s="1"/>
  <c r="MI132" i="1" s="1"/>
  <c r="MJ127" i="1"/>
  <c r="MJ128" i="1" s="1"/>
  <c r="MJ129" i="1" s="1"/>
  <c r="MJ130" i="1" s="1"/>
  <c r="MJ131" i="1" s="1"/>
  <c r="MJ132" i="1" s="1"/>
  <c r="MC127" i="1"/>
  <c r="MC128" i="1" s="1"/>
  <c r="MC129" i="1" s="1"/>
  <c r="MC130" i="1" s="1"/>
  <c r="MC131" i="1" s="1"/>
  <c r="MC132" i="1" s="1"/>
  <c r="UC72" i="1"/>
  <c r="UD72" i="1" s="1"/>
  <c r="UA72" i="1"/>
  <c r="AE125" i="1" a="1"/>
  <c r="AE125" i="1" s="1"/>
  <c r="U116" i="1"/>
  <c r="IO116" i="1" s="1"/>
  <c r="DH115" i="1"/>
  <c r="DG115" i="1"/>
  <c r="DF115" i="1"/>
  <c r="DE115" i="1"/>
  <c r="DD115" i="1"/>
  <c r="DC115" i="1"/>
  <c r="DB115" i="1"/>
  <c r="DA115" i="1"/>
  <c r="CZ115" i="1"/>
  <c r="CY115" i="1"/>
  <c r="CX115" i="1"/>
  <c r="CW115" i="1"/>
  <c r="CV115" i="1"/>
  <c r="CU115" i="1"/>
  <c r="CT115" i="1"/>
  <c r="CS115" i="1"/>
  <c r="CR115" i="1"/>
  <c r="CQ115" i="1"/>
  <c r="CP115" i="1"/>
  <c r="CO115" i="1"/>
  <c r="CN115" i="1"/>
  <c r="CM115" i="1"/>
  <c r="CL115" i="1"/>
  <c r="BE115" i="1"/>
  <c r="DH114" i="1"/>
  <c r="DG114" i="1"/>
  <c r="DF114" i="1"/>
  <c r="DE114" i="1"/>
  <c r="DD114" i="1"/>
  <c r="DC114" i="1"/>
  <c r="DB114" i="1"/>
  <c r="DA114" i="1"/>
  <c r="CZ114" i="1"/>
  <c r="CY114" i="1"/>
  <c r="CX114" i="1"/>
  <c r="CW114" i="1"/>
  <c r="CV114" i="1"/>
  <c r="CU114" i="1"/>
  <c r="CT114" i="1"/>
  <c r="CS114" i="1"/>
  <c r="CR114" i="1"/>
  <c r="CQ114" i="1"/>
  <c r="CP114" i="1"/>
  <c r="CO114" i="1"/>
  <c r="CN114" i="1"/>
  <c r="CM114" i="1"/>
  <c r="CL114" i="1"/>
  <c r="BE114" i="1"/>
  <c r="DH113" i="1"/>
  <c r="DG113" i="1"/>
  <c r="DF113" i="1"/>
  <c r="DE113" i="1"/>
  <c r="DD113" i="1"/>
  <c r="DC113" i="1"/>
  <c r="DB113" i="1"/>
  <c r="DA113" i="1"/>
  <c r="CZ113" i="1"/>
  <c r="CY113" i="1"/>
  <c r="CX113" i="1"/>
  <c r="CW113" i="1"/>
  <c r="CV113" i="1"/>
  <c r="CU113" i="1"/>
  <c r="CT113" i="1"/>
  <c r="CS113" i="1"/>
  <c r="CR113" i="1"/>
  <c r="CQ113" i="1"/>
  <c r="CP113" i="1"/>
  <c r="CO113" i="1"/>
  <c r="CN113" i="1"/>
  <c r="CM113" i="1"/>
  <c r="CL113" i="1"/>
  <c r="BE113" i="1"/>
  <c r="DH112" i="1"/>
  <c r="DG112" i="1"/>
  <c r="DF112" i="1"/>
  <c r="DE112" i="1"/>
  <c r="DD112" i="1"/>
  <c r="DC112" i="1"/>
  <c r="DB112" i="1"/>
  <c r="DA112" i="1"/>
  <c r="CZ112" i="1"/>
  <c r="CY112" i="1"/>
  <c r="CX112" i="1"/>
  <c r="CW112" i="1"/>
  <c r="CV112" i="1"/>
  <c r="CU112" i="1"/>
  <c r="CT112" i="1"/>
  <c r="CS112" i="1"/>
  <c r="CR112" i="1"/>
  <c r="CQ112" i="1"/>
  <c r="CP112" i="1"/>
  <c r="CO112" i="1"/>
  <c r="CN112" i="1"/>
  <c r="CM112" i="1"/>
  <c r="CL112" i="1"/>
  <c r="BE112" i="1"/>
  <c r="DH111" i="1"/>
  <c r="DG111" i="1"/>
  <c r="DF111" i="1"/>
  <c r="DE111" i="1"/>
  <c r="DD111" i="1"/>
  <c r="DC111" i="1"/>
  <c r="DB111" i="1"/>
  <c r="DA111" i="1"/>
  <c r="CZ111" i="1"/>
  <c r="CY111" i="1"/>
  <c r="CX111" i="1"/>
  <c r="CW111" i="1"/>
  <c r="CV111" i="1"/>
  <c r="CU111" i="1"/>
  <c r="CT111" i="1"/>
  <c r="CS111" i="1"/>
  <c r="CR111" i="1"/>
  <c r="CQ111" i="1"/>
  <c r="CP111" i="1"/>
  <c r="CO111" i="1"/>
  <c r="CN111" i="1"/>
  <c r="CM111" i="1"/>
  <c r="CL111" i="1"/>
  <c r="BE111" i="1"/>
  <c r="DH110" i="1"/>
  <c r="DG110" i="1"/>
  <c r="DF110" i="1"/>
  <c r="DE110" i="1"/>
  <c r="DD110" i="1"/>
  <c r="DC110" i="1"/>
  <c r="DB110" i="1"/>
  <c r="DA110" i="1"/>
  <c r="CZ110" i="1"/>
  <c r="CY110" i="1"/>
  <c r="CX110" i="1"/>
  <c r="CW110" i="1"/>
  <c r="CV110" i="1"/>
  <c r="CU110" i="1"/>
  <c r="CT110" i="1"/>
  <c r="CS110" i="1"/>
  <c r="CR110" i="1"/>
  <c r="CQ110" i="1"/>
  <c r="CP110" i="1"/>
  <c r="CO110" i="1"/>
  <c r="CN110" i="1"/>
  <c r="CM110" i="1"/>
  <c r="CL110" i="1"/>
  <c r="BE110" i="1"/>
  <c r="DH109" i="1"/>
  <c r="DG109" i="1"/>
  <c r="DF109" i="1"/>
  <c r="DE109" i="1"/>
  <c r="DD109" i="1"/>
  <c r="DC109" i="1"/>
  <c r="DB109" i="1"/>
  <c r="DA109" i="1"/>
  <c r="CZ109" i="1"/>
  <c r="CY109" i="1"/>
  <c r="CX109" i="1"/>
  <c r="CW109" i="1"/>
  <c r="CV109" i="1"/>
  <c r="CU109" i="1"/>
  <c r="CT109" i="1"/>
  <c r="CS109" i="1"/>
  <c r="CR109" i="1"/>
  <c r="CQ109" i="1"/>
  <c r="CP109" i="1"/>
  <c r="CO109" i="1"/>
  <c r="CN109" i="1"/>
  <c r="CM109" i="1"/>
  <c r="CL109" i="1"/>
  <c r="BE109" i="1"/>
  <c r="DH108" i="1"/>
  <c r="DG108" i="1"/>
  <c r="DF108" i="1"/>
  <c r="DE108" i="1"/>
  <c r="DD108" i="1"/>
  <c r="DC108" i="1"/>
  <c r="DB108" i="1"/>
  <c r="DA108" i="1"/>
  <c r="CZ108" i="1"/>
  <c r="CY108" i="1"/>
  <c r="CX108" i="1"/>
  <c r="CW108" i="1"/>
  <c r="CV108" i="1"/>
  <c r="CU108" i="1"/>
  <c r="CT108" i="1"/>
  <c r="CS108" i="1"/>
  <c r="CR108" i="1"/>
  <c r="CQ108" i="1"/>
  <c r="CP108" i="1"/>
  <c r="CO108" i="1"/>
  <c r="CN108" i="1"/>
  <c r="CM108" i="1"/>
  <c r="CL108" i="1"/>
  <c r="BE108" i="1"/>
  <c r="DH107" i="1"/>
  <c r="DG107" i="1"/>
  <c r="DF107" i="1"/>
  <c r="DE107" i="1"/>
  <c r="DD107" i="1"/>
  <c r="DC107" i="1"/>
  <c r="DB107" i="1"/>
  <c r="DA107" i="1"/>
  <c r="CZ107" i="1"/>
  <c r="CY107" i="1"/>
  <c r="CX107" i="1"/>
  <c r="CW107" i="1"/>
  <c r="CV107" i="1"/>
  <c r="CU107" i="1"/>
  <c r="CT107" i="1"/>
  <c r="CS107" i="1"/>
  <c r="CR107" i="1"/>
  <c r="CQ107" i="1"/>
  <c r="CP107" i="1"/>
  <c r="CO107" i="1"/>
  <c r="CN107" i="1"/>
  <c r="CM107" i="1"/>
  <c r="CL107" i="1"/>
  <c r="BE107" i="1"/>
  <c r="DH106" i="1"/>
  <c r="DG106" i="1"/>
  <c r="DF106" i="1"/>
  <c r="DE106" i="1"/>
  <c r="DD106" i="1"/>
  <c r="DC106" i="1"/>
  <c r="DB106" i="1"/>
  <c r="DA106" i="1"/>
  <c r="CZ106" i="1"/>
  <c r="CY106" i="1"/>
  <c r="CX106" i="1"/>
  <c r="CW106" i="1"/>
  <c r="CV106" i="1"/>
  <c r="CU106" i="1"/>
  <c r="CT106" i="1"/>
  <c r="CS106" i="1"/>
  <c r="CR106" i="1"/>
  <c r="CQ106" i="1"/>
  <c r="CP106" i="1"/>
  <c r="CO106" i="1"/>
  <c r="CN106" i="1"/>
  <c r="CM106" i="1"/>
  <c r="CL106" i="1"/>
  <c r="BE106" i="1"/>
  <c r="DH105" i="1"/>
  <c r="DG105" i="1"/>
  <c r="DF105" i="1"/>
  <c r="DE105" i="1"/>
  <c r="DD105" i="1"/>
  <c r="DC105" i="1"/>
  <c r="DB105" i="1"/>
  <c r="DA105" i="1"/>
  <c r="CZ105" i="1"/>
  <c r="CY105" i="1"/>
  <c r="CX105" i="1"/>
  <c r="CW105" i="1"/>
  <c r="CV105" i="1"/>
  <c r="CU105" i="1"/>
  <c r="CT105" i="1"/>
  <c r="CS105" i="1"/>
  <c r="CR105" i="1"/>
  <c r="CQ105" i="1"/>
  <c r="CP105" i="1"/>
  <c r="CO105" i="1"/>
  <c r="CN105" i="1"/>
  <c r="CM105" i="1"/>
  <c r="CL105" i="1"/>
  <c r="BE105" i="1"/>
  <c r="DH104" i="1"/>
  <c r="DG104" i="1"/>
  <c r="DF104" i="1"/>
  <c r="DE104" i="1"/>
  <c r="DD104" i="1"/>
  <c r="DC104" i="1"/>
  <c r="DB104" i="1"/>
  <c r="DA104" i="1"/>
  <c r="CZ104" i="1"/>
  <c r="CY104" i="1"/>
  <c r="CX104" i="1"/>
  <c r="CW104" i="1"/>
  <c r="CV104" i="1"/>
  <c r="CU104" i="1"/>
  <c r="CT104" i="1"/>
  <c r="CS104" i="1"/>
  <c r="CR104" i="1"/>
  <c r="CQ104" i="1"/>
  <c r="CP104" i="1"/>
  <c r="CO104" i="1"/>
  <c r="CN104" i="1"/>
  <c r="CM104" i="1"/>
  <c r="CL104" i="1"/>
  <c r="BE104" i="1"/>
  <c r="DH103" i="1"/>
  <c r="DG103" i="1"/>
  <c r="DF103" i="1"/>
  <c r="DE103" i="1"/>
  <c r="DD103" i="1"/>
  <c r="DC103" i="1"/>
  <c r="DB103" i="1"/>
  <c r="DA103" i="1"/>
  <c r="CZ103" i="1"/>
  <c r="CY103" i="1"/>
  <c r="CX103" i="1"/>
  <c r="CW103" i="1"/>
  <c r="CV103" i="1"/>
  <c r="CU103" i="1"/>
  <c r="CT103" i="1"/>
  <c r="CS103" i="1"/>
  <c r="CR103" i="1"/>
  <c r="CQ103" i="1"/>
  <c r="CP103" i="1"/>
  <c r="CO103" i="1"/>
  <c r="CN103" i="1"/>
  <c r="CM103" i="1"/>
  <c r="CL103" i="1"/>
  <c r="BE103" i="1"/>
  <c r="DH102" i="1"/>
  <c r="DG102" i="1"/>
  <c r="DF102" i="1"/>
  <c r="DE102" i="1"/>
  <c r="DD102" i="1"/>
  <c r="DC102" i="1"/>
  <c r="DB102" i="1"/>
  <c r="DA102" i="1"/>
  <c r="CZ102" i="1"/>
  <c r="CY102" i="1"/>
  <c r="CX102" i="1"/>
  <c r="CW102" i="1"/>
  <c r="CV102" i="1"/>
  <c r="CU102" i="1"/>
  <c r="CT102" i="1"/>
  <c r="CS102" i="1"/>
  <c r="CR102" i="1"/>
  <c r="CQ102" i="1"/>
  <c r="CP102" i="1"/>
  <c r="CO102" i="1"/>
  <c r="CN102" i="1"/>
  <c r="CM102" i="1"/>
  <c r="CL102" i="1"/>
  <c r="BE102" i="1"/>
  <c r="DH101" i="1"/>
  <c r="DG101" i="1"/>
  <c r="DF101" i="1"/>
  <c r="DE101" i="1"/>
  <c r="DD101" i="1"/>
  <c r="DC101" i="1"/>
  <c r="DB101" i="1"/>
  <c r="DA101" i="1"/>
  <c r="CZ101" i="1"/>
  <c r="CY101" i="1"/>
  <c r="CX101" i="1"/>
  <c r="CW101" i="1"/>
  <c r="CV101" i="1"/>
  <c r="CU101" i="1"/>
  <c r="CT101" i="1"/>
  <c r="CS101" i="1"/>
  <c r="CR101" i="1"/>
  <c r="CQ101" i="1"/>
  <c r="CP101" i="1"/>
  <c r="CO101" i="1"/>
  <c r="CN101" i="1"/>
  <c r="CM101" i="1"/>
  <c r="CL101" i="1"/>
  <c r="BE101" i="1"/>
  <c r="DH100" i="1"/>
  <c r="DG100" i="1"/>
  <c r="DF100" i="1"/>
  <c r="DE100" i="1"/>
  <c r="DD100" i="1"/>
  <c r="DC100" i="1"/>
  <c r="DB100" i="1"/>
  <c r="DA100" i="1"/>
  <c r="CZ100" i="1"/>
  <c r="CY100" i="1"/>
  <c r="CX100" i="1"/>
  <c r="CW100" i="1"/>
  <c r="CV100" i="1"/>
  <c r="CU100" i="1"/>
  <c r="CT100" i="1"/>
  <c r="CS100" i="1"/>
  <c r="CR100" i="1"/>
  <c r="CQ100" i="1"/>
  <c r="CP100" i="1"/>
  <c r="CO100" i="1"/>
  <c r="CN100" i="1"/>
  <c r="CM100" i="1"/>
  <c r="CL100" i="1"/>
  <c r="BE100" i="1"/>
  <c r="DH99" i="1"/>
  <c r="DG99" i="1"/>
  <c r="DF99" i="1"/>
  <c r="DE99" i="1"/>
  <c r="DD99" i="1"/>
  <c r="DC99" i="1"/>
  <c r="DB99" i="1"/>
  <c r="DA99" i="1"/>
  <c r="CZ99" i="1"/>
  <c r="CY99" i="1"/>
  <c r="CX99" i="1"/>
  <c r="CW99" i="1"/>
  <c r="CV99" i="1"/>
  <c r="CU99" i="1"/>
  <c r="CT99" i="1"/>
  <c r="CS99" i="1"/>
  <c r="CR99" i="1"/>
  <c r="CQ99" i="1"/>
  <c r="CP99" i="1"/>
  <c r="CO99" i="1"/>
  <c r="CN99" i="1"/>
  <c r="CM99" i="1"/>
  <c r="CL99" i="1"/>
  <c r="BE99" i="1"/>
  <c r="DH98" i="1"/>
  <c r="DG98" i="1"/>
  <c r="DF98" i="1"/>
  <c r="DE98" i="1"/>
  <c r="DD98" i="1"/>
  <c r="DC98" i="1"/>
  <c r="DB98" i="1"/>
  <c r="DA98" i="1"/>
  <c r="CZ98" i="1"/>
  <c r="CY98" i="1"/>
  <c r="CX98" i="1"/>
  <c r="CW98" i="1"/>
  <c r="CV98" i="1"/>
  <c r="CU98" i="1"/>
  <c r="CT98" i="1"/>
  <c r="CS98" i="1"/>
  <c r="CR98" i="1"/>
  <c r="CQ98" i="1"/>
  <c r="CP98" i="1"/>
  <c r="CO98" i="1"/>
  <c r="CN98" i="1"/>
  <c r="CM98" i="1"/>
  <c r="CL98" i="1"/>
  <c r="BE98" i="1"/>
  <c r="DH97" i="1"/>
  <c r="DG97" i="1"/>
  <c r="DF97" i="1"/>
  <c r="DE97" i="1"/>
  <c r="DD97" i="1"/>
  <c r="DC97" i="1"/>
  <c r="DB97" i="1"/>
  <c r="DA97" i="1"/>
  <c r="CZ97" i="1"/>
  <c r="CY97" i="1"/>
  <c r="CX97" i="1"/>
  <c r="CW97" i="1"/>
  <c r="CV97" i="1"/>
  <c r="CU97" i="1"/>
  <c r="CT97" i="1"/>
  <c r="CS97" i="1"/>
  <c r="CR97" i="1"/>
  <c r="CQ97" i="1"/>
  <c r="CP97" i="1"/>
  <c r="CO97" i="1"/>
  <c r="CN97" i="1"/>
  <c r="CM97" i="1"/>
  <c r="CL97" i="1"/>
  <c r="BE97" i="1"/>
  <c r="DH96" i="1"/>
  <c r="DG96" i="1"/>
  <c r="DF96" i="1"/>
  <c r="DE96" i="1"/>
  <c r="DD96" i="1"/>
  <c r="DC96" i="1"/>
  <c r="DB96" i="1"/>
  <c r="DA96" i="1"/>
  <c r="CZ96" i="1"/>
  <c r="CY96" i="1"/>
  <c r="CX96" i="1"/>
  <c r="CW96" i="1"/>
  <c r="CV96" i="1"/>
  <c r="CU96" i="1"/>
  <c r="CT96" i="1"/>
  <c r="CS96" i="1"/>
  <c r="CR96" i="1"/>
  <c r="CQ96" i="1"/>
  <c r="CP96" i="1"/>
  <c r="CO96" i="1"/>
  <c r="CN96" i="1"/>
  <c r="CM96" i="1"/>
  <c r="CL96" i="1"/>
  <c r="BE96" i="1"/>
  <c r="DH95" i="1"/>
  <c r="DG95" i="1"/>
  <c r="DF95" i="1"/>
  <c r="DE95" i="1"/>
  <c r="DD95" i="1"/>
  <c r="DC95" i="1"/>
  <c r="DB95" i="1"/>
  <c r="DA95" i="1"/>
  <c r="CZ95" i="1"/>
  <c r="CY95" i="1"/>
  <c r="CX95" i="1"/>
  <c r="CW95" i="1"/>
  <c r="CV95" i="1"/>
  <c r="CU95" i="1"/>
  <c r="CT95" i="1"/>
  <c r="CS95" i="1"/>
  <c r="CR95" i="1"/>
  <c r="CQ95" i="1"/>
  <c r="CP95" i="1"/>
  <c r="CO95" i="1"/>
  <c r="CN95" i="1"/>
  <c r="CM95" i="1"/>
  <c r="CL95" i="1"/>
  <c r="BE95" i="1"/>
  <c r="DH94" i="1"/>
  <c r="DG94" i="1"/>
  <c r="DF94" i="1"/>
  <c r="DE94" i="1"/>
  <c r="DD94" i="1"/>
  <c r="DC94" i="1"/>
  <c r="DB94" i="1"/>
  <c r="DA94" i="1"/>
  <c r="CZ94" i="1"/>
  <c r="CY94" i="1"/>
  <c r="CX94" i="1"/>
  <c r="CW94" i="1"/>
  <c r="CV94" i="1"/>
  <c r="CU94" i="1"/>
  <c r="CT94" i="1"/>
  <c r="CS94" i="1"/>
  <c r="CR94" i="1"/>
  <c r="CQ94" i="1"/>
  <c r="CP94" i="1"/>
  <c r="CO94" i="1"/>
  <c r="CN94" i="1"/>
  <c r="CM94" i="1"/>
  <c r="CL94" i="1"/>
  <c r="BE94" i="1"/>
  <c r="DH93" i="1"/>
  <c r="DG93" i="1"/>
  <c r="DF93" i="1"/>
  <c r="DE93" i="1"/>
  <c r="DD93" i="1"/>
  <c r="DC93" i="1"/>
  <c r="DB93" i="1"/>
  <c r="DA93" i="1"/>
  <c r="CZ93" i="1"/>
  <c r="CY93" i="1"/>
  <c r="CX93" i="1"/>
  <c r="CW93" i="1"/>
  <c r="CV93" i="1"/>
  <c r="CU93" i="1"/>
  <c r="CT93" i="1"/>
  <c r="CS93" i="1"/>
  <c r="CR93" i="1"/>
  <c r="CQ93" i="1"/>
  <c r="CP93" i="1"/>
  <c r="CO93" i="1"/>
  <c r="CN93" i="1"/>
  <c r="CM93" i="1"/>
  <c r="CL93" i="1"/>
  <c r="BE93" i="1"/>
  <c r="DH92" i="1"/>
  <c r="DG92" i="1"/>
  <c r="DF92" i="1"/>
  <c r="DE92" i="1"/>
  <c r="DD92" i="1"/>
  <c r="DC92" i="1"/>
  <c r="DB92" i="1"/>
  <c r="DA92" i="1"/>
  <c r="CZ92" i="1"/>
  <c r="CY92" i="1"/>
  <c r="CX92" i="1"/>
  <c r="CW92" i="1"/>
  <c r="CV92" i="1"/>
  <c r="CU92" i="1"/>
  <c r="CT92" i="1"/>
  <c r="CS92" i="1"/>
  <c r="CR92" i="1"/>
  <c r="CQ92" i="1"/>
  <c r="CP92" i="1"/>
  <c r="CO92" i="1"/>
  <c r="CN92" i="1"/>
  <c r="CM92" i="1"/>
  <c r="CL92" i="1"/>
  <c r="BE92" i="1"/>
  <c r="BE80" i="1"/>
  <c r="CL80" i="1"/>
  <c r="CM80" i="1"/>
  <c r="CN80" i="1"/>
  <c r="CO80" i="1"/>
  <c r="CP80" i="1"/>
  <c r="CQ80" i="1"/>
  <c r="CR80" i="1"/>
  <c r="CS80" i="1"/>
  <c r="CT80" i="1"/>
  <c r="CU80" i="1"/>
  <c r="CV80" i="1"/>
  <c r="CW80" i="1"/>
  <c r="CX80" i="1"/>
  <c r="CY80" i="1"/>
  <c r="CZ80" i="1"/>
  <c r="DA80" i="1"/>
  <c r="DB80" i="1"/>
  <c r="DC80" i="1"/>
  <c r="DD80" i="1"/>
  <c r="DE80" i="1"/>
  <c r="DF80" i="1"/>
  <c r="DG80" i="1"/>
  <c r="DH80" i="1"/>
  <c r="BE81" i="1"/>
  <c r="CL81" i="1"/>
  <c r="CM81" i="1"/>
  <c r="CN81" i="1"/>
  <c r="CO81" i="1"/>
  <c r="CP81" i="1"/>
  <c r="CQ81" i="1"/>
  <c r="CR81" i="1"/>
  <c r="CS81" i="1"/>
  <c r="CT81" i="1"/>
  <c r="CU81" i="1"/>
  <c r="CV81" i="1"/>
  <c r="CW81" i="1"/>
  <c r="CX81" i="1"/>
  <c r="CY81" i="1"/>
  <c r="CZ81" i="1"/>
  <c r="DA81" i="1"/>
  <c r="DB81" i="1"/>
  <c r="DC81" i="1"/>
  <c r="DD81" i="1"/>
  <c r="DE81" i="1"/>
  <c r="DF81" i="1"/>
  <c r="DG81" i="1"/>
  <c r="DH81" i="1"/>
  <c r="BE82" i="1"/>
  <c r="CL82" i="1"/>
  <c r="CM82" i="1"/>
  <c r="CN82" i="1"/>
  <c r="CO82" i="1"/>
  <c r="CP82" i="1"/>
  <c r="CQ82" i="1"/>
  <c r="CR82" i="1"/>
  <c r="CS82" i="1"/>
  <c r="CT82" i="1"/>
  <c r="CU82" i="1"/>
  <c r="CV82" i="1"/>
  <c r="CW82" i="1"/>
  <c r="CX82" i="1"/>
  <c r="CY82" i="1"/>
  <c r="CZ82" i="1"/>
  <c r="DA82" i="1"/>
  <c r="DB82" i="1"/>
  <c r="DC82" i="1"/>
  <c r="DD82" i="1"/>
  <c r="DE82" i="1"/>
  <c r="DF82" i="1"/>
  <c r="DG82" i="1"/>
  <c r="DH82" i="1"/>
  <c r="BE83" i="1"/>
  <c r="CL83" i="1"/>
  <c r="CM83" i="1"/>
  <c r="CN83" i="1"/>
  <c r="CO83" i="1"/>
  <c r="CP83" i="1"/>
  <c r="CQ83" i="1"/>
  <c r="CR83" i="1"/>
  <c r="CS83" i="1"/>
  <c r="CT83" i="1"/>
  <c r="CU83" i="1"/>
  <c r="CV83" i="1"/>
  <c r="CW83" i="1"/>
  <c r="CX83" i="1"/>
  <c r="CY83" i="1"/>
  <c r="CZ83" i="1"/>
  <c r="DA83" i="1"/>
  <c r="DB83" i="1"/>
  <c r="DC83" i="1"/>
  <c r="DD83" i="1"/>
  <c r="DE83" i="1"/>
  <c r="DF83" i="1"/>
  <c r="DG83" i="1"/>
  <c r="DH83" i="1"/>
  <c r="BE84" i="1"/>
  <c r="CL84" i="1"/>
  <c r="CM84" i="1"/>
  <c r="CN84" i="1"/>
  <c r="CO84" i="1"/>
  <c r="CP84" i="1"/>
  <c r="CQ84" i="1"/>
  <c r="CR84" i="1"/>
  <c r="CS84" i="1"/>
  <c r="CT84" i="1"/>
  <c r="CU84" i="1"/>
  <c r="CV84" i="1"/>
  <c r="CW84" i="1"/>
  <c r="CX84" i="1"/>
  <c r="CY84" i="1"/>
  <c r="CZ84" i="1"/>
  <c r="DA84" i="1"/>
  <c r="DB84" i="1"/>
  <c r="DC84" i="1"/>
  <c r="DD84" i="1"/>
  <c r="DE84" i="1"/>
  <c r="DF84" i="1"/>
  <c r="DG84" i="1"/>
  <c r="DH84" i="1"/>
  <c r="BE85" i="1"/>
  <c r="CL85" i="1"/>
  <c r="CM85" i="1"/>
  <c r="CN85" i="1"/>
  <c r="CO85" i="1"/>
  <c r="CP85" i="1"/>
  <c r="CQ85" i="1"/>
  <c r="CR85" i="1"/>
  <c r="CS85" i="1"/>
  <c r="CT85" i="1"/>
  <c r="CU85" i="1"/>
  <c r="CV85" i="1"/>
  <c r="CW85" i="1"/>
  <c r="CX85" i="1"/>
  <c r="CY85" i="1"/>
  <c r="CZ85" i="1"/>
  <c r="DA85" i="1"/>
  <c r="DB85" i="1"/>
  <c r="DC85" i="1"/>
  <c r="DD85" i="1"/>
  <c r="DE85" i="1"/>
  <c r="DF85" i="1"/>
  <c r="DG85" i="1"/>
  <c r="DH85" i="1"/>
  <c r="BE86" i="1"/>
  <c r="CL86" i="1"/>
  <c r="CM86" i="1"/>
  <c r="CN86" i="1"/>
  <c r="CO86" i="1"/>
  <c r="CP86" i="1"/>
  <c r="CQ86" i="1"/>
  <c r="CR86" i="1"/>
  <c r="CS86" i="1"/>
  <c r="CT86" i="1"/>
  <c r="CU86" i="1"/>
  <c r="CV86" i="1"/>
  <c r="CW86" i="1"/>
  <c r="CX86" i="1"/>
  <c r="CY86" i="1"/>
  <c r="CZ86" i="1"/>
  <c r="DA86" i="1"/>
  <c r="DB86" i="1"/>
  <c r="DC86" i="1"/>
  <c r="DD86" i="1"/>
  <c r="DE86" i="1"/>
  <c r="DF86" i="1"/>
  <c r="DG86" i="1"/>
  <c r="DH86" i="1"/>
  <c r="BE87" i="1"/>
  <c r="CL87" i="1"/>
  <c r="CM87" i="1"/>
  <c r="CN87" i="1"/>
  <c r="CO87" i="1"/>
  <c r="CP87" i="1"/>
  <c r="CQ87" i="1"/>
  <c r="CR87" i="1"/>
  <c r="CS87" i="1"/>
  <c r="CT87" i="1"/>
  <c r="CU87" i="1"/>
  <c r="CV87" i="1"/>
  <c r="CW87" i="1"/>
  <c r="CX87" i="1"/>
  <c r="CY87" i="1"/>
  <c r="CZ87" i="1"/>
  <c r="DA87" i="1"/>
  <c r="DB87" i="1"/>
  <c r="DC87" i="1"/>
  <c r="DD87" i="1"/>
  <c r="DE87" i="1"/>
  <c r="DF87" i="1"/>
  <c r="DG87" i="1"/>
  <c r="DH87" i="1"/>
  <c r="BE88" i="1"/>
  <c r="CL88" i="1"/>
  <c r="CM88" i="1"/>
  <c r="CN88" i="1"/>
  <c r="CO88" i="1"/>
  <c r="CP88" i="1"/>
  <c r="CQ88" i="1"/>
  <c r="CR88" i="1"/>
  <c r="CS88" i="1"/>
  <c r="CT88" i="1"/>
  <c r="CU88" i="1"/>
  <c r="CV88" i="1"/>
  <c r="CW88" i="1"/>
  <c r="CX88" i="1"/>
  <c r="CY88" i="1"/>
  <c r="CZ88" i="1"/>
  <c r="DA88" i="1"/>
  <c r="DB88" i="1"/>
  <c r="DC88" i="1"/>
  <c r="DD88" i="1"/>
  <c r="DE88" i="1"/>
  <c r="DF88" i="1"/>
  <c r="DG88" i="1"/>
  <c r="DH88" i="1"/>
  <c r="BE89" i="1"/>
  <c r="CL89" i="1"/>
  <c r="CM89" i="1"/>
  <c r="CN89" i="1"/>
  <c r="CO89" i="1"/>
  <c r="CP89" i="1"/>
  <c r="CQ89" i="1"/>
  <c r="CR89" i="1"/>
  <c r="CS89" i="1"/>
  <c r="CT89" i="1"/>
  <c r="CU89" i="1"/>
  <c r="CV89" i="1"/>
  <c r="CW89" i="1"/>
  <c r="CX89" i="1"/>
  <c r="CY89" i="1"/>
  <c r="CZ89" i="1"/>
  <c r="DA89" i="1"/>
  <c r="DB89" i="1"/>
  <c r="DC89" i="1"/>
  <c r="DD89" i="1"/>
  <c r="DE89" i="1"/>
  <c r="DF89" i="1"/>
  <c r="DG89" i="1"/>
  <c r="DH89" i="1"/>
  <c r="BE90" i="1"/>
  <c r="CL90" i="1"/>
  <c r="CM90" i="1"/>
  <c r="CN90" i="1"/>
  <c r="CO90" i="1"/>
  <c r="CP90" i="1"/>
  <c r="CQ90" i="1"/>
  <c r="CR90" i="1"/>
  <c r="CS90" i="1"/>
  <c r="CT90" i="1"/>
  <c r="CU90" i="1"/>
  <c r="CV90" i="1"/>
  <c r="CW90" i="1"/>
  <c r="CX90" i="1"/>
  <c r="CY90" i="1"/>
  <c r="CZ90" i="1"/>
  <c r="DA90" i="1"/>
  <c r="DB90" i="1"/>
  <c r="DC90" i="1"/>
  <c r="DD90" i="1"/>
  <c r="DE90" i="1"/>
  <c r="DF90" i="1"/>
  <c r="DG90" i="1"/>
  <c r="DH90" i="1"/>
  <c r="BE91" i="1"/>
  <c r="CL91" i="1"/>
  <c r="CM91" i="1"/>
  <c r="CN91" i="1"/>
  <c r="CO91" i="1"/>
  <c r="CP91" i="1"/>
  <c r="CQ91" i="1"/>
  <c r="CR91" i="1"/>
  <c r="CS91" i="1"/>
  <c r="CT91" i="1"/>
  <c r="CU91" i="1"/>
  <c r="CV91" i="1"/>
  <c r="CW91" i="1"/>
  <c r="CX91" i="1"/>
  <c r="CY91" i="1"/>
  <c r="CZ91" i="1"/>
  <c r="DA91" i="1"/>
  <c r="DB91" i="1"/>
  <c r="DC91" i="1"/>
  <c r="DD91" i="1"/>
  <c r="DE91" i="1"/>
  <c r="DF91" i="1"/>
  <c r="DG91" i="1"/>
  <c r="DH91" i="1"/>
  <c r="DH79" i="1"/>
  <c r="DG79" i="1"/>
  <c r="DF79" i="1"/>
  <c r="DE79" i="1"/>
  <c r="DD79" i="1"/>
  <c r="DC79" i="1"/>
  <c r="DB79" i="1"/>
  <c r="DA79" i="1"/>
  <c r="CZ79" i="1"/>
  <c r="CY79" i="1"/>
  <c r="CX79" i="1"/>
  <c r="CW79" i="1"/>
  <c r="CV79" i="1"/>
  <c r="CU79" i="1"/>
  <c r="CT79" i="1"/>
  <c r="CS79" i="1"/>
  <c r="CR79" i="1"/>
  <c r="CQ79" i="1"/>
  <c r="CP79" i="1"/>
  <c r="CO79" i="1"/>
  <c r="CN79" i="1"/>
  <c r="CM79" i="1"/>
  <c r="CL79" i="1"/>
  <c r="BE79" i="1"/>
  <c r="DH78" i="1"/>
  <c r="DG78" i="1"/>
  <c r="DF78" i="1"/>
  <c r="DE78" i="1"/>
  <c r="DD78" i="1"/>
  <c r="DC78" i="1"/>
  <c r="DB78" i="1"/>
  <c r="DA78" i="1"/>
  <c r="CZ78" i="1"/>
  <c r="CY78" i="1"/>
  <c r="CX78" i="1"/>
  <c r="CW78" i="1"/>
  <c r="CV78" i="1"/>
  <c r="CU78" i="1"/>
  <c r="CT78" i="1"/>
  <c r="CS78" i="1"/>
  <c r="CR78" i="1"/>
  <c r="CQ78" i="1"/>
  <c r="CP78" i="1"/>
  <c r="CO78" i="1"/>
  <c r="CN78" i="1"/>
  <c r="CM78" i="1"/>
  <c r="CL78" i="1"/>
  <c r="BE78" i="1"/>
  <c r="DH77" i="1"/>
  <c r="DG77" i="1"/>
  <c r="DF77" i="1"/>
  <c r="DE77" i="1"/>
  <c r="DD77" i="1"/>
  <c r="DC77" i="1"/>
  <c r="DB77" i="1"/>
  <c r="DA77" i="1"/>
  <c r="CZ77" i="1"/>
  <c r="CY77" i="1"/>
  <c r="CX77" i="1"/>
  <c r="CW77" i="1"/>
  <c r="CV77" i="1"/>
  <c r="CU77" i="1"/>
  <c r="CT77" i="1"/>
  <c r="CS77" i="1"/>
  <c r="CR77" i="1"/>
  <c r="CQ77" i="1"/>
  <c r="CP77" i="1"/>
  <c r="CO77" i="1"/>
  <c r="CN77" i="1"/>
  <c r="CM77" i="1"/>
  <c r="CL77" i="1"/>
  <c r="BE77" i="1"/>
  <c r="DH76" i="1"/>
  <c r="DG76" i="1"/>
  <c r="DF76" i="1"/>
  <c r="DE76" i="1"/>
  <c r="DD76" i="1"/>
  <c r="DC76" i="1"/>
  <c r="DB76" i="1"/>
  <c r="DA76" i="1"/>
  <c r="CZ76" i="1"/>
  <c r="CY76" i="1"/>
  <c r="CX76" i="1"/>
  <c r="CW76" i="1"/>
  <c r="CV76" i="1"/>
  <c r="CU76" i="1"/>
  <c r="CT76" i="1"/>
  <c r="CS76" i="1"/>
  <c r="CR76" i="1"/>
  <c r="CQ76" i="1"/>
  <c r="CP76" i="1"/>
  <c r="CO76" i="1"/>
  <c r="CN76" i="1"/>
  <c r="CM76" i="1"/>
  <c r="CL76" i="1"/>
  <c r="BE76" i="1"/>
  <c r="DH75" i="1"/>
  <c r="DG75" i="1"/>
  <c r="DF75" i="1"/>
  <c r="DE75" i="1"/>
  <c r="DD75" i="1"/>
  <c r="DC75" i="1"/>
  <c r="DB75" i="1"/>
  <c r="DA75" i="1"/>
  <c r="CZ75" i="1"/>
  <c r="CY75" i="1"/>
  <c r="CX75" i="1"/>
  <c r="CW75" i="1"/>
  <c r="CV75" i="1"/>
  <c r="CU75" i="1"/>
  <c r="CT75" i="1"/>
  <c r="CS75" i="1"/>
  <c r="CR75" i="1"/>
  <c r="CQ75" i="1"/>
  <c r="CP75" i="1"/>
  <c r="CO75" i="1"/>
  <c r="CN75" i="1"/>
  <c r="CM75" i="1"/>
  <c r="CL75" i="1"/>
  <c r="BE75" i="1"/>
  <c r="BE74" i="1"/>
  <c r="CL74" i="1"/>
  <c r="CM74" i="1"/>
  <c r="CN74" i="1"/>
  <c r="CO74" i="1"/>
  <c r="CP74" i="1"/>
  <c r="CQ74" i="1"/>
  <c r="CR74" i="1"/>
  <c r="CS74" i="1"/>
  <c r="CT74" i="1"/>
  <c r="CU74" i="1"/>
  <c r="CV74" i="1"/>
  <c r="CW74" i="1"/>
  <c r="CX74" i="1"/>
  <c r="CY74" i="1"/>
  <c r="CZ74" i="1"/>
  <c r="DA74" i="1"/>
  <c r="DB74" i="1"/>
  <c r="DC74" i="1"/>
  <c r="DD74" i="1"/>
  <c r="DE74" i="1"/>
  <c r="DF74" i="1"/>
  <c r="DG74" i="1"/>
  <c r="DH74" i="1"/>
  <c r="DH73" i="1"/>
  <c r="DG73" i="1"/>
  <c r="DF73" i="1"/>
  <c r="DE73" i="1"/>
  <c r="DD73" i="1"/>
  <c r="DC73" i="1"/>
  <c r="DB73" i="1"/>
  <c r="DA73" i="1"/>
  <c r="CZ73" i="1"/>
  <c r="CY73" i="1"/>
  <c r="CX73" i="1"/>
  <c r="CW73" i="1"/>
  <c r="CV73" i="1"/>
  <c r="CU73" i="1"/>
  <c r="CT73" i="1"/>
  <c r="CS73" i="1"/>
  <c r="CR73" i="1"/>
  <c r="CQ73" i="1"/>
  <c r="CP73" i="1"/>
  <c r="CO73" i="1"/>
  <c r="CN73" i="1"/>
  <c r="CM73" i="1"/>
  <c r="CL73" i="1"/>
  <c r="BE73" i="1"/>
  <c r="JZ71" i="1"/>
  <c r="JZ70" i="1"/>
  <c r="UC69" i="1"/>
  <c r="UD69" i="1" s="1"/>
  <c r="UA69" i="1"/>
  <c r="RW68" i="1"/>
  <c r="RX68" i="1" s="1"/>
  <c r="RY68" i="1" s="1"/>
  <c r="RZ68" i="1" s="1"/>
  <c r="SA68" i="1" s="1"/>
  <c r="SB68" i="1" s="1"/>
  <c r="SC68" i="1" s="1"/>
  <c r="SD68" i="1" s="1"/>
  <c r="SE68" i="1" s="1"/>
  <c r="SF68" i="1" s="1"/>
  <c r="SG68" i="1" s="1"/>
  <c r="SH68" i="1" s="1"/>
  <c r="SI68" i="1" s="1"/>
  <c r="SJ68" i="1" s="1"/>
  <c r="SK68" i="1" s="1"/>
  <c r="SL68" i="1" s="1"/>
  <c r="SM68" i="1" s="1"/>
  <c r="SN68" i="1" s="1"/>
  <c r="SO68" i="1" s="1"/>
  <c r="SP68" i="1" s="1"/>
  <c r="SQ68" i="1" s="1"/>
  <c r="SR68" i="1" s="1"/>
  <c r="SS68" i="1" s="1"/>
  <c r="ST68" i="1" s="1"/>
  <c r="RU68" i="1"/>
  <c r="QN68" i="1"/>
  <c r="QP68" i="1" s="1"/>
  <c r="QR68" i="1" s="1"/>
  <c r="QT68" i="1" s="1"/>
  <c r="QV68" i="1" s="1"/>
  <c r="QM68" i="1"/>
  <c r="QO68" i="1" s="1"/>
  <c r="QQ68" i="1" s="1"/>
  <c r="QS68" i="1" s="1"/>
  <c r="QU68" i="1" s="1"/>
  <c r="KJ67" i="1"/>
  <c r="KK67" i="1" s="1"/>
  <c r="JZ67" i="1"/>
  <c r="OG66" i="1"/>
  <c r="OG65" i="1"/>
  <c r="PH64" i="1" a="1"/>
  <c r="PH64" i="1" s="1"/>
  <c r="OG64" i="1"/>
  <c r="RW63" i="1"/>
  <c r="RX63" i="1" s="1"/>
  <c r="RY63" i="1" s="1"/>
  <c r="RZ63" i="1" s="1"/>
  <c r="SA63" i="1" s="1"/>
  <c r="SB63" i="1" s="1"/>
  <c r="SC63" i="1" s="1"/>
  <c r="SD63" i="1" s="1"/>
  <c r="SE63" i="1" s="1"/>
  <c r="SF63" i="1" s="1"/>
  <c r="SG63" i="1" s="1"/>
  <c r="SH63" i="1" s="1"/>
  <c r="SI63" i="1" s="1"/>
  <c r="SJ63" i="1" s="1"/>
  <c r="SK63" i="1" s="1"/>
  <c r="SL63" i="1" s="1"/>
  <c r="SM63" i="1" s="1"/>
  <c r="SN63" i="1" s="1"/>
  <c r="SO63" i="1" s="1"/>
  <c r="SP63" i="1" s="1"/>
  <c r="SQ63" i="1" s="1"/>
  <c r="SR63" i="1" s="1"/>
  <c r="SS63" i="1" s="1"/>
  <c r="ST63" i="1" s="1"/>
  <c r="RU63" i="1"/>
  <c r="QN63" i="1"/>
  <c r="QP63" i="1" s="1"/>
  <c r="QR63" i="1" s="1"/>
  <c r="QT63" i="1" s="1"/>
  <c r="QV63" i="1" s="1"/>
  <c r="QM63" i="1"/>
  <c r="QO63" i="1" s="1"/>
  <c r="QQ63" i="1" s="1"/>
  <c r="QS63" i="1" s="1"/>
  <c r="QU63" i="1" s="1"/>
  <c r="KJ62" i="1"/>
  <c r="KK62" i="1" s="1"/>
  <c r="JZ62" i="1"/>
  <c r="OG61" i="1"/>
  <c r="OG60" i="1"/>
  <c r="PH59" i="1" a="1"/>
  <c r="PH59" i="1" s="1"/>
  <c r="OG59" i="1"/>
  <c r="RW58" i="1"/>
  <c r="RX58" i="1" s="1"/>
  <c r="RY58" i="1" s="1"/>
  <c r="RZ58" i="1" s="1"/>
  <c r="SA58" i="1" s="1"/>
  <c r="SB58" i="1" s="1"/>
  <c r="SC58" i="1" s="1"/>
  <c r="SD58" i="1" s="1"/>
  <c r="SE58" i="1" s="1"/>
  <c r="SF58" i="1" s="1"/>
  <c r="SG58" i="1" s="1"/>
  <c r="SH58" i="1" s="1"/>
  <c r="SI58" i="1" s="1"/>
  <c r="SJ58" i="1" s="1"/>
  <c r="SK58" i="1" s="1"/>
  <c r="SL58" i="1" s="1"/>
  <c r="SM58" i="1" s="1"/>
  <c r="SN58" i="1" s="1"/>
  <c r="SO58" i="1" s="1"/>
  <c r="SP58" i="1" s="1"/>
  <c r="SQ58" i="1" s="1"/>
  <c r="SR58" i="1" s="1"/>
  <c r="SS58" i="1" s="1"/>
  <c r="ST58" i="1" s="1"/>
  <c r="RU58" i="1"/>
  <c r="QN58" i="1"/>
  <c r="QP58" i="1" s="1"/>
  <c r="QR58" i="1" s="1"/>
  <c r="QT58" i="1" s="1"/>
  <c r="QV58" i="1" s="1"/>
  <c r="QM58" i="1"/>
  <c r="QO58" i="1" s="1"/>
  <c r="QQ58" i="1" s="1"/>
  <c r="QS58" i="1" s="1"/>
  <c r="QU58" i="1" s="1"/>
  <c r="KJ57" i="1"/>
  <c r="KK57" i="1" s="1"/>
  <c r="JZ57" i="1"/>
  <c r="OG56" i="1"/>
  <c r="OG55" i="1"/>
  <c r="PH54" i="1" a="1"/>
  <c r="PH54" i="1" s="1"/>
  <c r="OG54" i="1"/>
  <c r="RW53" i="1"/>
  <c r="RX53" i="1" s="1"/>
  <c r="RY53" i="1" s="1"/>
  <c r="RZ53" i="1" s="1"/>
  <c r="SA53" i="1" s="1"/>
  <c r="SB53" i="1" s="1"/>
  <c r="SC53" i="1" s="1"/>
  <c r="SD53" i="1" s="1"/>
  <c r="SE53" i="1" s="1"/>
  <c r="SF53" i="1" s="1"/>
  <c r="SG53" i="1" s="1"/>
  <c r="SH53" i="1" s="1"/>
  <c r="SI53" i="1" s="1"/>
  <c r="SJ53" i="1" s="1"/>
  <c r="SK53" i="1" s="1"/>
  <c r="SL53" i="1" s="1"/>
  <c r="SM53" i="1" s="1"/>
  <c r="SN53" i="1" s="1"/>
  <c r="SO53" i="1" s="1"/>
  <c r="SP53" i="1" s="1"/>
  <c r="SQ53" i="1" s="1"/>
  <c r="SR53" i="1" s="1"/>
  <c r="SS53" i="1" s="1"/>
  <c r="ST53" i="1" s="1"/>
  <c r="PH49" i="1" a="1"/>
  <c r="PH49" i="1" s="1"/>
  <c r="RU53" i="1"/>
  <c r="QN53" i="1"/>
  <c r="QP53" i="1" s="1"/>
  <c r="QR53" i="1" s="1"/>
  <c r="QT53" i="1" s="1"/>
  <c r="QV53" i="1" s="1"/>
  <c r="QM53" i="1"/>
  <c r="QO53" i="1" s="1"/>
  <c r="QQ53" i="1" s="1"/>
  <c r="QS53" i="1" s="1"/>
  <c r="QU53" i="1" s="1"/>
  <c r="KJ52" i="1"/>
  <c r="KK52" i="1" s="1"/>
  <c r="JZ52" i="1"/>
  <c r="OG51" i="1"/>
  <c r="OG50" i="1"/>
  <c r="OG49" i="1"/>
  <c r="X3" i="1"/>
  <c r="X5" i="1" s="1"/>
  <c r="X6" i="1" s="1"/>
  <c r="X8" i="1" s="1"/>
  <c r="X9" i="1" s="1"/>
  <c r="JZ48" i="1"/>
  <c r="JZ47" i="1"/>
  <c r="JZ46" i="1"/>
  <c r="JZ45" i="1"/>
  <c r="JZ44" i="1"/>
  <c r="JZ43" i="1"/>
  <c r="JZ42" i="1"/>
  <c r="JZ41" i="1"/>
  <c r="JZ40" i="1"/>
  <c r="JZ39" i="1"/>
  <c r="JZ38" i="1"/>
  <c r="JZ37" i="1"/>
  <c r="JZ36" i="1"/>
  <c r="JZ35" i="1"/>
  <c r="JZ34" i="1"/>
  <c r="JZ33" i="1"/>
  <c r="JZ32" i="1"/>
  <c r="JZ31" i="1"/>
  <c r="JZ30" i="1"/>
  <c r="JZ29" i="1"/>
  <c r="JZ28" i="1"/>
  <c r="JZ27" i="1"/>
  <c r="JZ26" i="1"/>
  <c r="JZ25" i="1"/>
  <c r="JZ24" i="1"/>
  <c r="JZ23" i="1"/>
  <c r="JZ22" i="1"/>
  <c r="JZ21" i="1"/>
  <c r="JZ20" i="1"/>
  <c r="JZ19" i="1"/>
  <c r="JZ18" i="1"/>
  <c r="JZ17" i="1"/>
  <c r="JZ16" i="1"/>
  <c r="JZ15" i="1"/>
  <c r="JZ14" i="1"/>
  <c r="JZ13" i="1"/>
  <c r="JZ12" i="1"/>
  <c r="JZ11" i="1"/>
  <c r="JZ10" i="1"/>
  <c r="JZ9" i="1"/>
  <c r="JZ8" i="1"/>
  <c r="JZ7" i="1"/>
  <c r="JZ6" i="1"/>
  <c r="JZ5" i="1"/>
  <c r="JZ4" i="1"/>
  <c r="JZ3" i="1"/>
  <c r="JZ2" i="1"/>
  <c r="BS73" i="1" l="1"/>
  <c r="CI73" i="1"/>
  <c r="BP73" i="1"/>
  <c r="BR73" i="1" s="1"/>
  <c r="CG73" i="1"/>
  <c r="U117" i="1"/>
  <c r="IF117" i="1" s="1"/>
  <c r="GT116" i="1"/>
  <c r="ID116" i="1"/>
  <c r="IP116" i="1"/>
  <c r="IE116" i="1"/>
  <c r="IQ116" i="1"/>
  <c r="IF116" i="1"/>
  <c r="IG116" i="1"/>
  <c r="IH116" i="1"/>
  <c r="II116" i="1"/>
  <c r="HZ116" i="1"/>
  <c r="IL116" i="1"/>
  <c r="IJ116" i="1"/>
  <c r="HY116" i="1"/>
  <c r="IK116" i="1"/>
  <c r="IA116" i="1"/>
  <c r="IM116" i="1"/>
  <c r="IB116" i="1"/>
  <c r="IN116" i="1"/>
  <c r="IC116" i="1"/>
  <c r="CK73" i="1"/>
  <c r="PI64" i="1"/>
  <c r="PJ64" i="1" s="1"/>
  <c r="PK64" i="1" s="1"/>
  <c r="PL64" i="1" s="1"/>
  <c r="PM64" i="1" s="1"/>
  <c r="PI59" i="1"/>
  <c r="PJ59" i="1" s="1"/>
  <c r="PK59" i="1" s="1"/>
  <c r="PL59" i="1" s="1"/>
  <c r="PM59" i="1" s="1"/>
  <c r="PI54" i="1"/>
  <c r="PJ54" i="1" s="1"/>
  <c r="PK54" i="1" s="1"/>
  <c r="PL54" i="1" s="1"/>
  <c r="PM54" i="1" s="1"/>
  <c r="PI49" i="1"/>
  <c r="X11" i="1"/>
  <c r="CH73" i="1" l="1"/>
  <c r="ID117" i="1"/>
  <c r="HZ117" i="1"/>
  <c r="IJ117" i="1"/>
  <c r="IH117" i="1"/>
  <c r="IP117" i="1"/>
  <c r="GT117" i="1"/>
  <c r="IO117" i="1"/>
  <c r="IC117" i="1"/>
  <c r="II117" i="1"/>
  <c r="IN117" i="1"/>
  <c r="IB117" i="1"/>
  <c r="IK117" i="1"/>
  <c r="HY117" i="1"/>
  <c r="IM117" i="1"/>
  <c r="IA117" i="1"/>
  <c r="IG117" i="1"/>
  <c r="IE117" i="1"/>
  <c r="IL117" i="1"/>
  <c r="IQ117" i="1"/>
  <c r="U118" i="1"/>
  <c r="X12" i="1"/>
  <c r="CJ73" i="1"/>
  <c r="PJ49" i="1"/>
  <c r="PK49" i="1" s="1"/>
  <c r="PL49" i="1" s="1"/>
  <c r="PM49" i="1" s="1"/>
  <c r="X15" i="1" l="1"/>
  <c r="IQ118" i="1"/>
  <c r="U119" i="1"/>
  <c r="II118" i="1"/>
  <c r="IG118" i="1"/>
  <c r="IM118" i="1"/>
  <c r="IB118" i="1"/>
  <c r="IN118" i="1"/>
  <c r="IC118" i="1"/>
  <c r="IF118" i="1"/>
  <c r="IO118" i="1"/>
  <c r="IA118" i="1"/>
  <c r="IH118" i="1"/>
  <c r="GT118" i="1"/>
  <c r="IL118" i="1"/>
  <c r="IJ118" i="1"/>
  <c r="ID118" i="1"/>
  <c r="HY118" i="1"/>
  <c r="IP118" i="1"/>
  <c r="IK118" i="1"/>
  <c r="IE118" i="1"/>
  <c r="HZ118" i="1"/>
  <c r="IP119" i="1" l="1"/>
  <c r="II119" i="1"/>
  <c r="U120" i="1"/>
  <c r="IH119" i="1"/>
  <c r="IG119" i="1"/>
  <c r="IE119" i="1"/>
  <c r="IA119" i="1"/>
  <c r="IQ119" i="1"/>
  <c r="IM119" i="1"/>
  <c r="IJ119" i="1"/>
  <c r="IC119" i="1"/>
  <c r="IO119" i="1"/>
  <c r="GT119" i="1"/>
  <c r="ID119" i="1"/>
  <c r="IN119" i="1"/>
  <c r="IF119" i="1"/>
  <c r="IB119" i="1"/>
  <c r="HY119" i="1"/>
  <c r="IK119" i="1"/>
  <c r="HZ119" i="1"/>
  <c r="IL119" i="1"/>
  <c r="X16" i="1"/>
  <c r="X18" i="1" l="1"/>
  <c r="X19" i="1" s="1"/>
  <c r="X21" i="1" s="1"/>
  <c r="X22" i="1" s="1"/>
  <c r="X24" i="1" s="1"/>
  <c r="X25" i="1" s="1"/>
  <c r="DH120" i="1"/>
  <c r="U121" i="1"/>
  <c r="CS120" i="1"/>
  <c r="CR120" i="1"/>
  <c r="DE120" i="1"/>
  <c r="CQ120" i="1"/>
  <c r="DD120" i="1"/>
  <c r="CP120" i="1"/>
  <c r="DA120" i="1"/>
  <c r="CO120" i="1"/>
  <c r="CZ120" i="1"/>
  <c r="CN120" i="1"/>
  <c r="CY120" i="1"/>
  <c r="CM120" i="1"/>
  <c r="CX120" i="1"/>
  <c r="CL120" i="1"/>
  <c r="CW120" i="1"/>
  <c r="BE120" i="1"/>
  <c r="CV120" i="1"/>
  <c r="CU120" i="1"/>
  <c r="CT120" i="1"/>
  <c r="DB120" i="1"/>
  <c r="DC120" i="1"/>
  <c r="DF120" i="1"/>
  <c r="DG120" i="1"/>
  <c r="DH121" i="1" l="1"/>
  <c r="U122" i="1"/>
  <c r="DB121" i="1"/>
  <c r="CW121" i="1"/>
  <c r="CP121" i="1"/>
  <c r="CO121" i="1"/>
  <c r="CV121" i="1"/>
  <c r="DA121" i="1"/>
  <c r="CQ121" i="1"/>
  <c r="DC121" i="1"/>
  <c r="CR121" i="1"/>
  <c r="BE121" i="1"/>
  <c r="DG121" i="1"/>
  <c r="CX121" i="1"/>
  <c r="CS121" i="1"/>
  <c r="CL121" i="1"/>
  <c r="CU121" i="1"/>
  <c r="CM121" i="1"/>
  <c r="DE121" i="1"/>
  <c r="CY121" i="1"/>
  <c r="DD121" i="1"/>
  <c r="CN121" i="1"/>
  <c r="CT121" i="1"/>
  <c r="CZ121" i="1"/>
  <c r="DF121" i="1"/>
  <c r="X27" i="1"/>
  <c r="X28" i="1" s="1"/>
  <c r="X29" i="1" s="1"/>
  <c r="X30" i="1" s="1"/>
  <c r="X31" i="1" s="1"/>
  <c r="X32" i="1" s="1"/>
  <c r="X33" i="1" s="1"/>
  <c r="X34" i="1" s="1"/>
  <c r="X35" i="1" s="1"/>
  <c r="X36" i="1" s="1"/>
  <c r="X37" i="1" s="1"/>
  <c r="X38" i="1" s="1"/>
  <c r="X40" i="1" s="1"/>
  <c r="X41" i="1" s="1"/>
  <c r="X42" i="1" s="1"/>
  <c r="X43" i="1" s="1"/>
  <c r="X44" i="1" s="1"/>
  <c r="X46" i="1" s="1"/>
  <c r="X47" i="1" s="1"/>
  <c r="X48" i="1" s="1"/>
  <c r="X50" i="1" s="1"/>
  <c r="X51" i="1" s="1"/>
  <c r="X53" i="1" s="1"/>
  <c r="PZ53" i="1" s="1"/>
  <c r="RO53" i="1" l="1"/>
  <c r="RM53" i="1"/>
  <c r="RL53" i="1"/>
  <c r="RK53" i="1"/>
  <c r="RJ53" i="1"/>
  <c r="RI53" i="1"/>
  <c r="RT53" i="1"/>
  <c r="RS53" i="1"/>
  <c r="RR53" i="1"/>
  <c r="RQ53" i="1"/>
  <c r="RN53" i="1"/>
  <c r="RP53" i="1"/>
  <c r="X55" i="1"/>
  <c r="X56" i="1" s="1"/>
  <c r="X58" i="1" s="1"/>
  <c r="IQ122" i="1"/>
  <c r="U123" i="1"/>
  <c r="II122" i="1"/>
  <c r="IG122" i="1"/>
  <c r="IE122" i="1"/>
  <c r="IC122" i="1"/>
  <c r="IF122" i="1"/>
  <c r="IO122" i="1"/>
  <c r="IH122" i="1"/>
  <c r="GT122" i="1"/>
  <c r="IJ122" i="1"/>
  <c r="ID122" i="1"/>
  <c r="HY122" i="1"/>
  <c r="IP122" i="1"/>
  <c r="IN122" i="1"/>
  <c r="IK122" i="1"/>
  <c r="IB122" i="1"/>
  <c r="HZ122" i="1"/>
  <c r="IL122" i="1"/>
  <c r="IA122" i="1"/>
  <c r="IM122" i="1"/>
  <c r="Y49" i="1" a="1"/>
  <c r="Y49" i="1" s="1"/>
  <c r="DH123" i="1" l="1"/>
  <c r="U124" i="1"/>
  <c r="DF123" i="1"/>
  <c r="DA123" i="1"/>
  <c r="CV123" i="1"/>
  <c r="CP123" i="1"/>
  <c r="DB123" i="1"/>
  <c r="CW123" i="1"/>
  <c r="CQ123" i="1"/>
  <c r="CX123" i="1"/>
  <c r="DC123" i="1"/>
  <c r="CO123" i="1"/>
  <c r="DG123" i="1"/>
  <c r="CM123" i="1"/>
  <c r="CR123" i="1"/>
  <c r="BE123" i="1"/>
  <c r="CU123" i="1"/>
  <c r="CY123" i="1"/>
  <c r="DD123" i="1"/>
  <c r="CL123" i="1"/>
  <c r="CS123" i="1"/>
  <c r="CN123" i="1"/>
  <c r="DE123" i="1"/>
  <c r="CZ123" i="1"/>
  <c r="CT123" i="1"/>
  <c r="PZ58" i="1"/>
  <c r="X60" i="1"/>
  <c r="X61" i="1" s="1"/>
  <c r="X63" i="1" s="1"/>
  <c r="PZ63" i="1" l="1"/>
  <c r="X65" i="1"/>
  <c r="X66" i="1" s="1"/>
  <c r="X68" i="1" s="1"/>
  <c r="RS58" i="1"/>
  <c r="RN58" i="1"/>
  <c r="RM58" i="1"/>
  <c r="RO58" i="1"/>
  <c r="RL58" i="1"/>
  <c r="RT58" i="1"/>
  <c r="RK58" i="1"/>
  <c r="RI58" i="1"/>
  <c r="RP58" i="1"/>
  <c r="RJ58" i="1"/>
  <c r="RR58" i="1"/>
  <c r="RQ58" i="1"/>
  <c r="DH124" i="1"/>
  <c r="CW124" i="1"/>
  <c r="CO124" i="1"/>
  <c r="CU124" i="1"/>
  <c r="DA124" i="1"/>
  <c r="DG124" i="1"/>
  <c r="CP124" i="1"/>
  <c r="CV124" i="1"/>
  <c r="DB124" i="1"/>
  <c r="CQ124" i="1"/>
  <c r="BE124" i="1"/>
  <c r="DF124" i="1"/>
  <c r="CX124" i="1"/>
  <c r="DC124" i="1"/>
  <c r="CL124" i="1"/>
  <c r="CT124" i="1"/>
  <c r="CM124" i="1"/>
  <c r="CR124" i="1"/>
  <c r="CY124" i="1"/>
  <c r="DD124" i="1"/>
  <c r="CN124" i="1"/>
  <c r="CS124" i="1"/>
  <c r="CZ124" i="1"/>
  <c r="DE124" i="1"/>
  <c r="PZ68" i="1" l="1"/>
  <c r="Y70" i="1" a="1"/>
  <c r="Y70" i="1" s="1"/>
  <c r="X71" i="1"/>
  <c r="X117" i="1" s="1"/>
  <c r="X118" i="1" s="1"/>
  <c r="X119" i="1" s="1"/>
  <c r="RQ63" i="1"/>
  <c r="RP63" i="1"/>
  <c r="RK63" i="1"/>
  <c r="RJ63" i="1"/>
  <c r="RO63" i="1"/>
  <c r="RI63" i="1"/>
  <c r="RN63" i="1"/>
  <c r="RM63" i="1"/>
  <c r="RL63" i="1"/>
  <c r="RT63" i="1"/>
  <c r="RS63" i="1"/>
  <c r="RR63" i="1"/>
  <c r="AA70" i="1" l="1"/>
  <c r="KC70" i="1" s="1"/>
  <c r="AB70" i="1"/>
  <c r="KD70" i="1" s="1"/>
  <c r="RQ68" i="1"/>
  <c r="RP68" i="1"/>
  <c r="RO68" i="1"/>
  <c r="RN68" i="1"/>
  <c r="RM68" i="1"/>
  <c r="RL68" i="1"/>
  <c r="RK68" i="1"/>
  <c r="RJ68" i="1"/>
  <c r="RI68" i="1"/>
  <c r="RT68" i="1"/>
  <c r="RR68" i="1"/>
  <c r="RS68" i="1"/>
  <c r="PH50" i="1" l="1" a="1"/>
  <c r="PH50" i="1" s="1"/>
  <c r="PI50" i="1" s="1"/>
  <c r="PJ50" i="1" s="1"/>
  <c r="PK50" i="1" s="1"/>
  <c r="PL50" i="1" s="1"/>
  <c r="PM50" i="1" s="1"/>
  <c r="PH60" i="1" a="1"/>
  <c r="PH60" i="1" s="1"/>
  <c r="PI60" i="1" s="1"/>
  <c r="PJ60" i="1" s="1"/>
  <c r="PK60" i="1" s="1"/>
  <c r="PL60" i="1" s="1"/>
  <c r="PM60" i="1" s="1"/>
  <c r="PH65" i="1" a="1"/>
  <c r="PH65" i="1" s="1"/>
  <c r="PI65" i="1" s="1"/>
  <c r="PJ65" i="1" s="1"/>
  <c r="PK65" i="1" s="1"/>
  <c r="PL65" i="1" s="1"/>
  <c r="PM65" i="1" s="1"/>
  <c r="PH55" i="1" a="1"/>
  <c r="PH55" i="1" s="1"/>
  <c r="PI55" i="1" s="1"/>
  <c r="PJ55" i="1" s="1"/>
  <c r="PK55" i="1" s="1"/>
  <c r="PL55" i="1" s="1"/>
  <c r="PM55" i="1" s="1"/>
  <c r="PH51" i="1" l="1" a="1"/>
  <c r="PH51" i="1" s="1"/>
  <c r="PI51" i="1" s="1"/>
  <c r="PJ51" i="1" s="1"/>
  <c r="PK51" i="1" s="1"/>
  <c r="PL51" i="1" s="1"/>
  <c r="PM51" i="1" s="1"/>
  <c r="PN51" i="1" s="1"/>
  <c r="PO51" i="1" s="1"/>
  <c r="PP51" i="1" s="1"/>
  <c r="PH66" i="1" a="1"/>
  <c r="PH66" i="1" s="1"/>
  <c r="PI66" i="1" s="1"/>
  <c r="PJ66" i="1" s="1"/>
  <c r="PK66" i="1" s="1"/>
  <c r="PL66" i="1" s="1"/>
  <c r="PM66" i="1" s="1"/>
  <c r="PN66" i="1" s="1"/>
  <c r="PO66" i="1" s="1"/>
  <c r="PP66" i="1" s="1"/>
  <c r="PH61" i="1" a="1"/>
  <c r="PH61" i="1" s="1"/>
  <c r="PI61" i="1" s="1"/>
  <c r="PJ61" i="1" s="1"/>
  <c r="PK61" i="1" s="1"/>
  <c r="PL61" i="1" s="1"/>
  <c r="PM61" i="1" s="1"/>
  <c r="PN61" i="1" s="1"/>
  <c r="PO61" i="1" s="1"/>
  <c r="PP61" i="1" s="1"/>
  <c r="PH56" i="1" a="1"/>
  <c r="PH56" i="1" s="1"/>
  <c r="PI56" i="1" s="1"/>
  <c r="PJ56" i="1" s="1"/>
  <c r="PK56" i="1" s="1"/>
  <c r="PL56" i="1" s="1"/>
  <c r="PM56" i="1" s="1"/>
  <c r="PN56" i="1" s="1"/>
  <c r="PO56" i="1" s="1"/>
  <c r="PP56" i="1" s="1"/>
  <c r="KJ2" i="1" l="1"/>
  <c r="KI3" i="1" l="1" a="1"/>
  <c r="KI3" i="1" s="1"/>
  <c r="KK2" i="1"/>
  <c r="KJ3" i="1" l="1"/>
  <c r="KK3" i="1" s="1"/>
  <c r="KI4" i="1" l="1" a="1"/>
  <c r="KI4" i="1" s="1"/>
  <c r="KJ4" i="1" s="1"/>
  <c r="KK4" i="1" l="1"/>
  <c r="KI5" i="1" s="1" a="1"/>
  <c r="KI5" i="1" s="1"/>
  <c r="KJ5" i="1" s="1"/>
  <c r="KK5" i="1" s="1"/>
  <c r="KI6" i="1" l="1" a="1"/>
  <c r="KI6" i="1" s="1"/>
  <c r="KJ6" i="1" s="1"/>
  <c r="KK6" i="1" l="1"/>
  <c r="KI7" i="1" a="1"/>
  <c r="KI7" i="1" s="1"/>
  <c r="KJ7" i="1" s="1"/>
  <c r="KK7" i="1" l="1"/>
  <c r="KI8" i="1" s="1" a="1"/>
  <c r="KI8" i="1" s="1"/>
  <c r="KJ8" i="1" l="1"/>
  <c r="KK8" i="1" s="1"/>
  <c r="KI9" i="1" l="1" a="1"/>
  <c r="KI9" i="1" s="1"/>
  <c r="KJ9" i="1" s="1"/>
  <c r="KK9" i="1" l="1"/>
  <c r="KI10" i="1" s="1" a="1"/>
  <c r="KI10" i="1" s="1"/>
  <c r="KJ10" i="1" s="1"/>
  <c r="KK10" i="1" s="1"/>
  <c r="KI11" i="1" s="1" a="1"/>
  <c r="KI11" i="1" s="1"/>
  <c r="KJ11" i="1" l="1"/>
  <c r="KK11" i="1" s="1"/>
  <c r="KI12" i="1" s="1" a="1"/>
  <c r="KI12" i="1" s="1"/>
  <c r="KJ12" i="1" s="1"/>
  <c r="KK12" i="1" l="1"/>
  <c r="KI13" i="1" a="1"/>
  <c r="KI13" i="1" s="1"/>
  <c r="KJ13" i="1" l="1"/>
  <c r="KK13" i="1" s="1"/>
  <c r="KI14" i="1" l="1" a="1"/>
  <c r="KI14" i="1" s="1"/>
  <c r="KJ14" i="1" s="1"/>
  <c r="KK14" i="1" s="1"/>
  <c r="KI15" i="1" s="1" a="1"/>
  <c r="KI15" i="1" s="1"/>
  <c r="KJ15" i="1" l="1"/>
  <c r="KK15" i="1" s="1"/>
  <c r="KI16" i="1" l="1" a="1"/>
  <c r="KI16" i="1" s="1"/>
  <c r="KJ16" i="1" s="1"/>
  <c r="KK16" i="1" s="1"/>
  <c r="KI17" i="1" s="1" a="1"/>
  <c r="KI17" i="1" s="1"/>
  <c r="KJ17" i="1" l="1"/>
  <c r="KK17" i="1" s="1"/>
  <c r="KI18" i="1" l="1" a="1"/>
  <c r="KI18" i="1" s="1"/>
  <c r="KJ18" i="1" s="1"/>
  <c r="KK18" i="1" s="1"/>
  <c r="KI19" i="1" l="1" a="1"/>
  <c r="KI19" i="1" s="1"/>
  <c r="KJ19" i="1" s="1"/>
  <c r="KK19" i="1" s="1"/>
  <c r="KI20" i="1" s="1" a="1"/>
  <c r="KI20" i="1" s="1"/>
  <c r="KJ20" i="1" l="1"/>
  <c r="KK20" i="1" s="1"/>
  <c r="KI21" i="1" l="1" a="1"/>
  <c r="KI21" i="1" s="1"/>
  <c r="KJ21" i="1" s="1"/>
  <c r="KK21" i="1" s="1"/>
  <c r="KI22" i="1" l="1" a="1"/>
  <c r="KI22" i="1" s="1"/>
  <c r="KJ22" i="1" s="1"/>
  <c r="KK22" i="1" s="1"/>
  <c r="KI23" i="1" s="1" a="1"/>
  <c r="KI23" i="1" s="1"/>
  <c r="KJ23" i="1" l="1"/>
  <c r="KK23" i="1" s="1"/>
  <c r="KI24" i="1" l="1" a="1"/>
  <c r="KI24" i="1" s="1"/>
  <c r="KJ24" i="1" s="1"/>
  <c r="KK24" i="1" s="1"/>
  <c r="KI25" i="1" s="1" a="1"/>
  <c r="KI25" i="1" s="1"/>
  <c r="KJ25" i="1" s="1"/>
  <c r="KK25" i="1" s="1"/>
  <c r="KI26" i="1" l="1" a="1"/>
  <c r="KI26" i="1" s="1"/>
  <c r="KI27" i="1" l="1" a="1"/>
  <c r="KI27" i="1" s="1"/>
  <c r="KJ27" i="1" s="1"/>
  <c r="KJ26" i="1"/>
  <c r="KK26" i="1" s="1"/>
  <c r="KK27" i="1" l="1"/>
  <c r="KI28" i="1" a="1"/>
  <c r="KI28" i="1" s="1"/>
  <c r="KJ28" i="1" s="1"/>
  <c r="KK28" i="1" l="1"/>
  <c r="KI29" i="1" a="1"/>
  <c r="KI29" i="1" s="1"/>
  <c r="KJ29" i="1" s="1"/>
  <c r="KK29" i="1" l="1"/>
  <c r="KI30" i="1" a="1"/>
  <c r="KI30" i="1" s="1"/>
  <c r="KJ30" i="1" s="1"/>
  <c r="KK30" i="1" l="1"/>
  <c r="KI31" i="1" a="1"/>
  <c r="KI31" i="1" s="1"/>
  <c r="KJ31" i="1" s="1"/>
  <c r="KK31" i="1" l="1"/>
  <c r="KI32" i="1" a="1"/>
  <c r="KI32" i="1" s="1"/>
  <c r="KI33" i="1" l="1" a="1"/>
  <c r="KI33" i="1" s="1"/>
  <c r="KJ32" i="1"/>
  <c r="KK32" i="1" s="1"/>
  <c r="KJ33" i="1" l="1"/>
  <c r="KK33" i="1" s="1"/>
  <c r="KI34" i="1" l="1" a="1"/>
  <c r="KI34" i="1" s="1"/>
  <c r="KJ34" i="1" s="1"/>
  <c r="KK34" i="1" s="1"/>
  <c r="KI35" i="1" s="1" a="1"/>
  <c r="KI35" i="1" s="1"/>
  <c r="KJ35" i="1" l="1"/>
  <c r="KK35" i="1" s="1"/>
  <c r="KI36" i="1" l="1" a="1"/>
  <c r="KI36" i="1" s="1"/>
  <c r="KJ36" i="1" s="1"/>
  <c r="KK36" i="1" l="1"/>
  <c r="KI37" i="1" a="1"/>
  <c r="KI37" i="1" s="1"/>
  <c r="KJ37" i="1" s="1"/>
  <c r="KK37" i="1" s="1"/>
  <c r="KI38" i="1" l="1" a="1"/>
  <c r="KI38" i="1" s="1"/>
  <c r="KJ38" i="1" s="1"/>
  <c r="KK38" i="1" l="1"/>
  <c r="KI39" i="1" a="1"/>
  <c r="KI39" i="1" s="1"/>
  <c r="KJ39" i="1" s="1"/>
  <c r="KK39" i="1" s="1"/>
  <c r="KI40" i="1" s="1" a="1"/>
  <c r="KI40" i="1" s="1"/>
  <c r="KI41" i="1" l="1" a="1"/>
  <c r="KI41" i="1" s="1"/>
  <c r="KJ41" i="1" s="1"/>
  <c r="KJ40" i="1"/>
  <c r="KK40" i="1" s="1"/>
  <c r="KK41" i="1" l="1"/>
  <c r="KI42" i="1" a="1"/>
  <c r="KI42" i="1" s="1"/>
  <c r="KI43" i="1" l="1" a="1"/>
  <c r="KI43" i="1" s="1"/>
  <c r="KJ42" i="1"/>
  <c r="KK42" i="1" s="1"/>
  <c r="KI44" i="1" l="1" a="1"/>
  <c r="KI44" i="1" s="1"/>
  <c r="KJ44" i="1" s="1"/>
  <c r="KK44" i="1" s="1"/>
  <c r="KJ43" i="1"/>
  <c r="KK43" i="1" s="1"/>
  <c r="KI45" i="1" l="1" a="1"/>
  <c r="KI45" i="1" s="1"/>
  <c r="KJ45" i="1" s="1"/>
  <c r="KK45" i="1" l="1"/>
  <c r="KI46" i="1" s="1" a="1"/>
  <c r="KI46" i="1" s="1"/>
  <c r="KJ46" i="1" l="1"/>
  <c r="KK46" i="1" s="1"/>
  <c r="KI47" i="1" l="1" a="1"/>
  <c r="KI47" i="1" s="1"/>
  <c r="KJ47" i="1" s="1"/>
  <c r="KK47" i="1" l="1"/>
  <c r="KI48" i="1" a="1"/>
  <c r="KI48" i="1" s="1"/>
  <c r="KJ48" i="1" s="1"/>
  <c r="KK48" i="1" l="1"/>
  <c r="KI70" i="1" a="1"/>
  <c r="KI70" i="1" s="1"/>
  <c r="KJ70" i="1" l="1"/>
  <c r="KK70" i="1" l="1"/>
  <c r="KI71" i="1" s="1" a="1"/>
  <c r="KI71" i="1" s="1"/>
  <c r="KJ71" i="1" s="1"/>
  <c r="KK71" i="1" s="1"/>
  <c r="Z70" i="1" a="1"/>
  <c r="Z70" i="1" s="1"/>
  <c r="Y71" i="1" s="1" a="1"/>
  <c r="Y71" i="1" s="1"/>
  <c r="AA71" i="1" l="1"/>
  <c r="KC71" i="1" s="1"/>
  <c r="Z71" i="1" s="1" a="1"/>
  <c r="Z71" i="1" s="1"/>
  <c r="Y116" i="1" s="1" a="1"/>
  <c r="Y116" i="1" s="1"/>
  <c r="AB71" i="1"/>
  <c r="KD71" i="1" s="1"/>
  <c r="AB116" i="1" l="1"/>
  <c r="HH116" i="1" s="1"/>
  <c r="AA116" i="1"/>
  <c r="HG116" i="1" s="1"/>
  <c r="AB2" i="1" l="1"/>
  <c r="KD2" i="1" s="1"/>
  <c r="AA2" i="1"/>
  <c r="KC2" i="1" s="1"/>
  <c r="Z2" i="1" s="1" a="1"/>
  <c r="Z2" i="1" s="1"/>
  <c r="Y3" i="1" s="1" a="1"/>
  <c r="Y3" i="1" s="1"/>
  <c r="AB3" i="1" l="1"/>
  <c r="KD3" i="1" s="1"/>
  <c r="AA3" i="1"/>
  <c r="KC3" i="1" s="1"/>
  <c r="Z3" i="1" l="1" a="1"/>
  <c r="Z3" i="1" s="1"/>
  <c r="Y4" i="1" s="1" a="1"/>
  <c r="Y4" i="1" s="1"/>
  <c r="AA4" i="1" s="1"/>
  <c r="KC4" i="1" s="1"/>
  <c r="Z4" i="1" l="1" a="1"/>
  <c r="Z4" i="1" s="1"/>
  <c r="Y5" i="1" s="1" a="1"/>
  <c r="Y5" i="1" s="1"/>
  <c r="AA5" i="1" s="1"/>
  <c r="KC5" i="1" s="1"/>
  <c r="AB4" i="1"/>
  <c r="KD4" i="1" s="1"/>
  <c r="Z5" i="1" l="1" a="1"/>
  <c r="Z5" i="1" s="1"/>
  <c r="Y6" i="1" s="1" a="1"/>
  <c r="Y6" i="1" s="1"/>
  <c r="AA6" i="1" s="1"/>
  <c r="KC6" i="1" s="1"/>
  <c r="AB5" i="1"/>
  <c r="KD5" i="1" s="1"/>
  <c r="Z6" i="1" l="1" a="1"/>
  <c r="Z6" i="1" s="1"/>
  <c r="Y7" i="1" s="1" a="1"/>
  <c r="Y7" i="1" s="1"/>
  <c r="AA7" i="1" s="1"/>
  <c r="KC7" i="1" s="1"/>
  <c r="AB6" i="1"/>
  <c r="KD6" i="1" s="1"/>
  <c r="Z7" i="1" l="1" a="1"/>
  <c r="Z7" i="1" s="1"/>
  <c r="Y8" i="1" s="1" a="1"/>
  <c r="Y8" i="1" s="1"/>
  <c r="AB8" i="1" s="1"/>
  <c r="KD8" i="1" s="1"/>
  <c r="AB7" i="1"/>
  <c r="KD7" i="1" s="1"/>
  <c r="AA8" i="1" l="1"/>
  <c r="KC8" i="1" s="1"/>
  <c r="Z8" i="1" s="1" a="1"/>
  <c r="Z8" i="1" s="1"/>
  <c r="Y9" i="1" s="1" a="1"/>
  <c r="Y9" i="1" s="1"/>
  <c r="AB9" i="1" s="1"/>
  <c r="KD9" i="1" s="1"/>
  <c r="AA9" i="1" l="1"/>
  <c r="KC9" i="1" s="1"/>
  <c r="Z9" i="1" s="1" a="1"/>
  <c r="Z9" i="1" s="1"/>
  <c r="Y10" i="1" s="1" a="1"/>
  <c r="Y10" i="1" s="1"/>
  <c r="AB10" i="1" l="1"/>
  <c r="KD10" i="1" s="1"/>
  <c r="AA10" i="1"/>
  <c r="KC10" i="1" s="1"/>
  <c r="Z10" i="1" s="1" a="1"/>
  <c r="Z10" i="1" s="1"/>
  <c r="Y11" i="1" s="1" a="1"/>
  <c r="Y11" i="1" s="1"/>
  <c r="AB11" i="1" l="1"/>
  <c r="KD11" i="1" s="1"/>
  <c r="AA11" i="1"/>
  <c r="KC11" i="1" s="1"/>
  <c r="Z11" i="1" s="1" a="1"/>
  <c r="Z11" i="1" s="1"/>
  <c r="Y12" i="1" s="1" a="1"/>
  <c r="Y12" i="1" s="1"/>
  <c r="AA12" i="1" l="1"/>
  <c r="KC12" i="1" s="1"/>
  <c r="Z12" i="1" s="1" a="1"/>
  <c r="Z12" i="1" s="1"/>
  <c r="Y13" i="1" s="1" a="1"/>
  <c r="Y13" i="1" s="1"/>
  <c r="AB12" i="1"/>
  <c r="KD12" i="1" s="1"/>
  <c r="AA13" i="1" l="1"/>
  <c r="KC13" i="1" s="1"/>
  <c r="Z13" i="1" s="1" a="1"/>
  <c r="Z13" i="1" s="1"/>
  <c r="AB13" i="1"/>
  <c r="KD13" i="1" s="1"/>
  <c r="AA14" i="1" l="1"/>
  <c r="KC14" i="1" s="1"/>
  <c r="Z14" i="1" s="1" a="1"/>
  <c r="Z14" i="1" s="1"/>
  <c r="Y15" i="1" s="1" a="1"/>
  <c r="Y15" i="1" s="1"/>
  <c r="AB14" i="1"/>
  <c r="KD14" i="1" s="1"/>
  <c r="AB15" i="1" l="1"/>
  <c r="KD15" i="1" s="1"/>
  <c r="AA15" i="1"/>
  <c r="KC15" i="1" s="1"/>
  <c r="Z15" i="1" s="1" a="1"/>
  <c r="Z15" i="1" s="1"/>
  <c r="Y16" i="1" s="1" a="1"/>
  <c r="Y16" i="1" s="1"/>
  <c r="AB16" i="1" l="1"/>
  <c r="KD16" i="1" s="1"/>
  <c r="AA16" i="1"/>
  <c r="KC16" i="1" s="1"/>
  <c r="Z16" i="1" s="1" a="1"/>
  <c r="Z16" i="1" s="1"/>
  <c r="AA17" i="1" l="1"/>
  <c r="KC17" i="1" s="1"/>
  <c r="Z17" i="1" s="1" a="1"/>
  <c r="Z17" i="1" s="1"/>
  <c r="Y18" i="1" s="1" a="1"/>
  <c r="Y18" i="1" s="1"/>
  <c r="AB17" i="1"/>
  <c r="KD17" i="1" s="1"/>
  <c r="AA18" i="1" l="1"/>
  <c r="KC18" i="1" s="1"/>
  <c r="Z18" i="1" s="1" a="1"/>
  <c r="Z18" i="1" s="1"/>
  <c r="Y19" i="1" s="1" a="1"/>
  <c r="Y19" i="1" s="1"/>
  <c r="AB18" i="1"/>
  <c r="KD18" i="1" s="1"/>
  <c r="AB19" i="1" l="1"/>
  <c r="KD19" i="1" s="1"/>
  <c r="AA19" i="1"/>
  <c r="KC19" i="1" s="1"/>
  <c r="Z19" i="1" s="1" a="1"/>
  <c r="Z19" i="1" s="1"/>
  <c r="AB20" i="1" l="1"/>
  <c r="KD20" i="1" s="1"/>
  <c r="AA20" i="1"/>
  <c r="KC20" i="1" s="1"/>
  <c r="Z20" i="1" s="1" a="1"/>
  <c r="Z20" i="1" s="1"/>
  <c r="Y21" i="1" s="1" a="1"/>
  <c r="Y21" i="1" s="1"/>
  <c r="AB21" i="1" l="1"/>
  <c r="KD21" i="1" s="1"/>
  <c r="AA21" i="1"/>
  <c r="KC21" i="1" s="1"/>
  <c r="Z21" i="1" s="1" a="1"/>
  <c r="Z21" i="1" s="1"/>
  <c r="Y22" i="1" s="1" a="1"/>
  <c r="Y22" i="1" s="1"/>
  <c r="AB22" i="1" l="1"/>
  <c r="KD22" i="1" s="1"/>
  <c r="AA22" i="1"/>
  <c r="KC22" i="1" s="1"/>
  <c r="Z22" i="1" s="1" a="1"/>
  <c r="Z22" i="1" s="1"/>
  <c r="Y23" i="1" s="1" a="1"/>
  <c r="Y23" i="1" s="1"/>
  <c r="AB23" i="1" l="1"/>
  <c r="KD23" i="1" s="1"/>
  <c r="AA23" i="1"/>
  <c r="KC23" i="1" s="1"/>
  <c r="Z23" i="1" s="1" a="1"/>
  <c r="Z23" i="1" s="1"/>
  <c r="Y24" i="1" s="1" a="1"/>
  <c r="Y24" i="1" s="1"/>
  <c r="AA24" i="1" l="1"/>
  <c r="KC24" i="1" s="1"/>
  <c r="Z24" i="1" s="1" a="1"/>
  <c r="Z24" i="1" s="1"/>
  <c r="Y25" i="1" s="1" a="1"/>
  <c r="Y25" i="1" s="1"/>
  <c r="AB24" i="1"/>
  <c r="KD24" i="1" s="1"/>
  <c r="AB25" i="1" l="1"/>
  <c r="KD25" i="1" s="1"/>
  <c r="AA25" i="1"/>
  <c r="KC25" i="1" s="1"/>
  <c r="Z25" i="1" s="1" a="1"/>
  <c r="Z25" i="1" s="1"/>
  <c r="Y26" i="1" s="1" a="1"/>
  <c r="Y26" i="1" s="1"/>
  <c r="AB26" i="1" l="1"/>
  <c r="KD26" i="1" s="1"/>
  <c r="AA26" i="1"/>
  <c r="KC26" i="1" s="1"/>
  <c r="Z26" i="1" s="1" a="1"/>
  <c r="Z26" i="1" s="1"/>
  <c r="Y27" i="1" s="1" a="1"/>
  <c r="Y27" i="1" s="1"/>
  <c r="AB27" i="1" l="1"/>
  <c r="KD27" i="1" s="1"/>
  <c r="AA27" i="1"/>
  <c r="KC27" i="1" s="1"/>
  <c r="Z27" i="1" s="1" a="1"/>
  <c r="Z27" i="1" s="1"/>
  <c r="Y28" i="1" s="1" a="1"/>
  <c r="Y28" i="1" s="1"/>
  <c r="AB28" i="1" l="1"/>
  <c r="KD28" i="1" s="1"/>
  <c r="AA28" i="1"/>
  <c r="KC28" i="1" s="1"/>
  <c r="Z28" i="1" s="1" a="1"/>
  <c r="Z28" i="1" s="1"/>
  <c r="Y29" i="1" s="1" a="1"/>
  <c r="Y29" i="1" s="1"/>
  <c r="AA29" i="1" l="1"/>
  <c r="KC29" i="1" s="1"/>
  <c r="Z29" i="1" s="1" a="1"/>
  <c r="Z29" i="1" s="1"/>
  <c r="Y30" i="1" s="1" a="1"/>
  <c r="Y30" i="1" s="1"/>
  <c r="AB29" i="1"/>
  <c r="KD29" i="1" s="1"/>
  <c r="AA30" i="1" l="1"/>
  <c r="KC30" i="1" s="1"/>
  <c r="Z30" i="1" s="1" a="1"/>
  <c r="Z30" i="1" s="1"/>
  <c r="Y31" i="1" s="1" a="1"/>
  <c r="Y31" i="1" s="1"/>
  <c r="AB30" i="1"/>
  <c r="KD30" i="1" s="1"/>
  <c r="AG73" i="1" l="1"/>
  <c r="AF73" i="1"/>
  <c r="AB31" i="1"/>
  <c r="KD31" i="1" s="1"/>
  <c r="AA31" i="1"/>
  <c r="KC31" i="1" s="1"/>
  <c r="Z31" i="1" s="1" a="1"/>
  <c r="Z31" i="1" s="1"/>
  <c r="Y32" i="1" s="1" a="1"/>
  <c r="Y32" i="1" s="1"/>
  <c r="BF73" i="1" l="1"/>
  <c r="BT73" i="1"/>
  <c r="BU73" i="1"/>
  <c r="BG73" i="1"/>
  <c r="AB32" i="1"/>
  <c r="KD32" i="1" s="1"/>
  <c r="AA32" i="1"/>
  <c r="KC32" i="1" s="1"/>
  <c r="Z32" i="1" s="1" a="1"/>
  <c r="Z32" i="1" s="1"/>
  <c r="Y33" i="1" s="1" a="1"/>
  <c r="Y33" i="1" s="1"/>
  <c r="BW73" i="1" l="1"/>
  <c r="BI73" i="1"/>
  <c r="BH73" i="1"/>
  <c r="BV73" i="1"/>
  <c r="AB33" i="1"/>
  <c r="KD33" i="1" s="1"/>
  <c r="AA33" i="1"/>
  <c r="KC33" i="1" s="1"/>
  <c r="Z33" i="1" s="1" a="1"/>
  <c r="Z33" i="1" s="1"/>
  <c r="Y34" i="1" s="1" a="1"/>
  <c r="Y34" i="1" s="1"/>
  <c r="BK73" i="1" l="1"/>
  <c r="BY73" i="1"/>
  <c r="BX73" i="1"/>
  <c r="BJ73" i="1"/>
  <c r="AB34" i="1"/>
  <c r="KD34" i="1" s="1"/>
  <c r="AA34" i="1"/>
  <c r="KC34" i="1" s="1"/>
  <c r="Z34" i="1" s="1" a="1"/>
  <c r="Z34" i="1" s="1"/>
  <c r="Y35" i="1" s="1" a="1"/>
  <c r="Y35" i="1" s="1"/>
  <c r="BL73" i="1" l="1"/>
  <c r="BZ73" i="1"/>
  <c r="CA73" i="1"/>
  <c r="BM73" i="1"/>
  <c r="AB35" i="1"/>
  <c r="KD35" i="1" s="1"/>
  <c r="AA35" i="1"/>
  <c r="KC35" i="1" s="1"/>
  <c r="Z35" i="1" s="1" a="1"/>
  <c r="Z35" i="1" s="1"/>
  <c r="Y36" i="1" s="1" a="1"/>
  <c r="Y36" i="1" s="1"/>
  <c r="CC73" i="1" l="1"/>
  <c r="BO73" i="1"/>
  <c r="CE73" i="1" s="1"/>
  <c r="CB73" i="1"/>
  <c r="BN73" i="1"/>
  <c r="AA36" i="1"/>
  <c r="KC36" i="1" s="1"/>
  <c r="Z36" i="1" s="1" a="1"/>
  <c r="Z36" i="1" s="1"/>
  <c r="Y37" i="1" s="1" a="1"/>
  <c r="Y37" i="1" s="1"/>
  <c r="AB36" i="1"/>
  <c r="KD36" i="1" s="1"/>
  <c r="AJ73" i="1" l="1" a="1"/>
  <c r="AJ73" i="1" s="1"/>
  <c r="AH74" i="1" s="1"/>
  <c r="AE73" i="1" a="1"/>
  <c r="AE73" i="1" s="1"/>
  <c r="AC74" i="1" s="1"/>
  <c r="CD73" i="1"/>
  <c r="AB37" i="1"/>
  <c r="KD37" i="1" s="1"/>
  <c r="AA37" i="1"/>
  <c r="KC37" i="1" s="1"/>
  <c r="Z37" i="1" s="1" a="1"/>
  <c r="Z37" i="1" s="1"/>
  <c r="Y38" i="1" s="1" a="1"/>
  <c r="Y38" i="1" s="1"/>
  <c r="AI74" i="1" l="1" a="1"/>
  <c r="AI74" i="1" s="1"/>
  <c r="AD74" i="1" a="1"/>
  <c r="AD74" i="1" s="1"/>
  <c r="AB38" i="1"/>
  <c r="KD38" i="1" s="1"/>
  <c r="AA38" i="1"/>
  <c r="KC38" i="1" s="1"/>
  <c r="Z38" i="1" s="1" a="1"/>
  <c r="Z38" i="1" s="1"/>
  <c r="Y39" i="1" s="1" a="1"/>
  <c r="Y39" i="1" s="1"/>
  <c r="AL74" i="1" l="1"/>
  <c r="BQ74" i="1" s="1"/>
  <c r="BS74" i="1" s="1"/>
  <c r="AK74" i="1"/>
  <c r="BP74" i="1" s="1"/>
  <c r="BR74" i="1" s="1"/>
  <c r="AF74" i="1"/>
  <c r="AG74" i="1"/>
  <c r="AB39" i="1"/>
  <c r="KD39" i="1" s="1"/>
  <c r="AA39" i="1"/>
  <c r="KC39" i="1" s="1"/>
  <c r="Z39" i="1" s="1" a="1"/>
  <c r="Z39" i="1" s="1"/>
  <c r="Y40" i="1" s="1" a="1"/>
  <c r="Y40" i="1" s="1"/>
  <c r="CF74" i="1" l="1"/>
  <c r="BG74" i="1"/>
  <c r="BU74" i="1"/>
  <c r="BF74" i="1"/>
  <c r="BT74" i="1"/>
  <c r="AB40" i="1"/>
  <c r="KD40" i="1" s="1"/>
  <c r="AA40" i="1"/>
  <c r="KC40" i="1" s="1"/>
  <c r="Z40" i="1" s="1" a="1"/>
  <c r="Z40" i="1" s="1"/>
  <c r="Y41" i="1" s="1" a="1"/>
  <c r="Y41" i="1" s="1"/>
  <c r="CJ74" i="1" l="1"/>
  <c r="CH74" i="1"/>
  <c r="BH74" i="1"/>
  <c r="BV74" i="1"/>
  <c r="BI74" i="1"/>
  <c r="BW74" i="1"/>
  <c r="AA41" i="1"/>
  <c r="KC41" i="1" s="1"/>
  <c r="Z41" i="1" s="1" a="1"/>
  <c r="Z41" i="1" s="1"/>
  <c r="Y42" i="1" s="1" a="1"/>
  <c r="Y42" i="1" s="1"/>
  <c r="AB41" i="1"/>
  <c r="KD41" i="1" s="1"/>
  <c r="CG74" i="1" l="1"/>
  <c r="BK74" i="1"/>
  <c r="BY74" i="1"/>
  <c r="BJ74" i="1"/>
  <c r="BX74" i="1"/>
  <c r="AA42" i="1"/>
  <c r="KC42" i="1" s="1"/>
  <c r="Z42" i="1" s="1" a="1"/>
  <c r="Z42" i="1" s="1"/>
  <c r="Y43" i="1" s="1" a="1"/>
  <c r="Y43" i="1" s="1"/>
  <c r="AB42" i="1"/>
  <c r="KD42" i="1" s="1"/>
  <c r="CK74" i="1" l="1"/>
  <c r="CI74" i="1"/>
  <c r="BL74" i="1"/>
  <c r="BZ74" i="1"/>
  <c r="BM74" i="1"/>
  <c r="CA74" i="1"/>
  <c r="AB43" i="1"/>
  <c r="KD43" i="1" s="1"/>
  <c r="AA43" i="1"/>
  <c r="KC43" i="1" s="1"/>
  <c r="Z43" i="1" s="1" a="1"/>
  <c r="Z43" i="1" s="1"/>
  <c r="Y44" i="1" s="1" a="1"/>
  <c r="Y44" i="1" s="1"/>
  <c r="BO74" i="1" l="1"/>
  <c r="CE74" i="1" s="1"/>
  <c r="CC74" i="1"/>
  <c r="BN74" i="1"/>
  <c r="CB74" i="1"/>
  <c r="AA44" i="1"/>
  <c r="KC44" i="1" s="1"/>
  <c r="Z44" i="1" s="1" a="1"/>
  <c r="Z44" i="1" s="1"/>
  <c r="Y45" i="1" s="1" a="1"/>
  <c r="Y45" i="1" s="1"/>
  <c r="AB44" i="1"/>
  <c r="KD44" i="1" s="1"/>
  <c r="CD74" i="1" l="1"/>
  <c r="AJ74" i="1" a="1"/>
  <c r="AJ74" i="1" s="1"/>
  <c r="AH75" i="1" s="1"/>
  <c r="AE74" i="1" a="1"/>
  <c r="AE74" i="1" s="1"/>
  <c r="AC75" i="1" s="1"/>
  <c r="AB45" i="1"/>
  <c r="KD45" i="1" s="1"/>
  <c r="AA45" i="1"/>
  <c r="KC45" i="1" s="1"/>
  <c r="Z45" i="1" s="1" a="1"/>
  <c r="Z45" i="1" s="1"/>
  <c r="Y46" i="1" s="1" a="1"/>
  <c r="Y46" i="1" s="1"/>
  <c r="AD75" i="1" l="1" a="1"/>
  <c r="AD75" i="1" s="1"/>
  <c r="AI75" i="1" a="1"/>
  <c r="AI75" i="1" s="1"/>
  <c r="AB46" i="1"/>
  <c r="KD46" i="1" s="1"/>
  <c r="AA46" i="1"/>
  <c r="KC46" i="1" s="1"/>
  <c r="Z46" i="1" s="1" a="1"/>
  <c r="Z46" i="1" s="1"/>
  <c r="Y47" i="1" s="1" a="1"/>
  <c r="Y47" i="1" s="1"/>
  <c r="AL75" i="1" l="1"/>
  <c r="BQ75" i="1" s="1"/>
  <c r="BS75" i="1" s="1"/>
  <c r="AK75" i="1"/>
  <c r="BP75" i="1" s="1"/>
  <c r="BR75" i="1" s="1"/>
  <c r="AF75" i="1"/>
  <c r="AG75" i="1"/>
  <c r="AB47" i="1"/>
  <c r="KD47" i="1" s="1"/>
  <c r="AA47" i="1"/>
  <c r="KC47" i="1" s="1"/>
  <c r="Z47" i="1" s="1" a="1"/>
  <c r="Z47" i="1" s="1"/>
  <c r="Y48" i="1" s="1" a="1"/>
  <c r="Y48" i="1" s="1"/>
  <c r="BG75" i="1" l="1"/>
  <c r="BU75" i="1"/>
  <c r="BF75" i="1"/>
  <c r="BT75" i="1"/>
  <c r="CF75" i="1"/>
  <c r="AA48" i="1"/>
  <c r="KC48" i="1" s="1"/>
  <c r="Z48" i="1" s="1" a="1"/>
  <c r="Z48" i="1" s="1"/>
  <c r="AB48" i="1"/>
  <c r="KD48" i="1" s="1"/>
  <c r="CJ75" i="1" l="1"/>
  <c r="CH75" i="1"/>
  <c r="BH75" i="1"/>
  <c r="BV75" i="1"/>
  <c r="BI75" i="1"/>
  <c r="BW75" i="1"/>
  <c r="AB49" i="1"/>
  <c r="AA49" i="1"/>
  <c r="CG75" i="1" l="1"/>
  <c r="BJ75" i="1"/>
  <c r="BX75" i="1"/>
  <c r="BK75" i="1"/>
  <c r="BY75" i="1"/>
  <c r="OV49" i="1"/>
  <c r="OL49" i="1"/>
  <c r="OW49" i="1"/>
  <c r="OM49" i="1"/>
  <c r="CK75" i="1" l="1"/>
  <c r="CI75" i="1"/>
  <c r="BM75" i="1"/>
  <c r="CA75" i="1"/>
  <c r="BL75" i="1"/>
  <c r="BZ75" i="1"/>
  <c r="ON49" i="1"/>
  <c r="OX49" i="1"/>
  <c r="OY49" i="1"/>
  <c r="OO49" i="1"/>
  <c r="BN75" i="1" l="1"/>
  <c r="CB75" i="1"/>
  <c r="BO75" i="1"/>
  <c r="CE75" i="1" s="1"/>
  <c r="CC75" i="1"/>
  <c r="PA49" i="1"/>
  <c r="OQ49" i="1"/>
  <c r="PC49" i="1" s="1"/>
  <c r="OZ49" i="1"/>
  <c r="OP49" i="1"/>
  <c r="CD75" i="1" l="1"/>
  <c r="AJ75" i="1" a="1"/>
  <c r="AJ75" i="1" s="1"/>
  <c r="AH76" i="1" s="1"/>
  <c r="AE75" i="1" a="1"/>
  <c r="AE75" i="1" s="1"/>
  <c r="AC76" i="1" s="1"/>
  <c r="Z49" i="1" a="1"/>
  <c r="Z49" i="1" s="1"/>
  <c r="Y50" i="1" s="1" a="1"/>
  <c r="Y50" i="1" s="1"/>
  <c r="PB49" i="1"/>
  <c r="AD76" i="1" l="1" a="1"/>
  <c r="AD76" i="1" s="1"/>
  <c r="AI76" i="1" a="1"/>
  <c r="AI76" i="1" s="1"/>
  <c r="AB50" i="1"/>
  <c r="AA50" i="1"/>
  <c r="AL76" i="1" l="1"/>
  <c r="BQ76" i="1" s="1"/>
  <c r="BS76" i="1" s="1"/>
  <c r="AK76" i="1"/>
  <c r="BP76" i="1" s="1"/>
  <c r="BR76" i="1" s="1"/>
  <c r="AF76" i="1"/>
  <c r="AG76" i="1"/>
  <c r="OL50" i="1"/>
  <c r="OV50" i="1"/>
  <c r="OM50" i="1"/>
  <c r="OW50" i="1"/>
  <c r="BG76" i="1" l="1"/>
  <c r="BU76" i="1"/>
  <c r="CF76" i="1"/>
  <c r="BF76" i="1"/>
  <c r="BT76" i="1"/>
  <c r="OO50" i="1"/>
  <c r="OY50" i="1"/>
  <c r="ON50" i="1"/>
  <c r="OX50" i="1"/>
  <c r="BH76" i="1" l="1"/>
  <c r="BV76" i="1"/>
  <c r="CJ76" i="1"/>
  <c r="CH76" i="1"/>
  <c r="BI76" i="1"/>
  <c r="BW76" i="1"/>
  <c r="OP50" i="1"/>
  <c r="OZ50" i="1"/>
  <c r="OQ50" i="1"/>
  <c r="PC50" i="1" s="1"/>
  <c r="PA50" i="1"/>
  <c r="CG76" i="1" l="1"/>
  <c r="BK76" i="1"/>
  <c r="BY76" i="1"/>
  <c r="BJ76" i="1"/>
  <c r="BX76" i="1"/>
  <c r="Z50" i="1" a="1"/>
  <c r="Z50" i="1" s="1"/>
  <c r="Y51" i="1" s="1" a="1"/>
  <c r="Y51" i="1" s="1"/>
  <c r="PB50" i="1"/>
  <c r="CK76" i="1" l="1"/>
  <c r="CI76" i="1"/>
  <c r="BL76" i="1"/>
  <c r="BZ76" i="1"/>
  <c r="BM76" i="1"/>
  <c r="CA76" i="1"/>
  <c r="AA51" i="1"/>
  <c r="AB51" i="1"/>
  <c r="BO76" i="1" l="1"/>
  <c r="CE76" i="1" s="1"/>
  <c r="CC76" i="1"/>
  <c r="BN76" i="1"/>
  <c r="CB76" i="1"/>
  <c r="OM51" i="1"/>
  <c r="OW51" i="1"/>
  <c r="OL51" i="1"/>
  <c r="OV51" i="1"/>
  <c r="CD76" i="1" l="1"/>
  <c r="AE76" i="1" a="1"/>
  <c r="AE76" i="1" s="1"/>
  <c r="AC77" i="1" s="1"/>
  <c r="AJ76" i="1" a="1"/>
  <c r="AJ76" i="1" s="1"/>
  <c r="AH77" i="1" s="1"/>
  <c r="ON51" i="1"/>
  <c r="OX51" i="1"/>
  <c r="OO51" i="1"/>
  <c r="OY51" i="1"/>
  <c r="AI77" i="1" l="1" a="1"/>
  <c r="AI77" i="1" s="1"/>
  <c r="AD77" i="1" a="1"/>
  <c r="AD77" i="1" s="1"/>
  <c r="OQ51" i="1"/>
  <c r="PA51" i="1"/>
  <c r="OP51" i="1"/>
  <c r="OZ51" i="1"/>
  <c r="AL77" i="1" l="1"/>
  <c r="BQ77" i="1" s="1"/>
  <c r="BS77" i="1" s="1"/>
  <c r="AK77" i="1"/>
  <c r="BP77" i="1" s="1"/>
  <c r="BR77" i="1" s="1"/>
  <c r="AF77" i="1"/>
  <c r="AG77" i="1"/>
  <c r="OR51" i="1"/>
  <c r="PB51" i="1"/>
  <c r="OS51" i="1"/>
  <c r="PC51" i="1"/>
  <c r="CF77" i="1" l="1"/>
  <c r="BG77" i="1"/>
  <c r="BU77" i="1"/>
  <c r="BF77" i="1"/>
  <c r="BT77" i="1"/>
  <c r="OU51" i="1"/>
  <c r="PG51" i="1" s="1"/>
  <c r="PE51" i="1"/>
  <c r="OT51" i="1"/>
  <c r="PD51" i="1"/>
  <c r="BI77" i="1" l="1"/>
  <c r="BW77" i="1"/>
  <c r="BH77" i="1"/>
  <c r="BV77" i="1"/>
  <c r="CJ77" i="1"/>
  <c r="CH77" i="1"/>
  <c r="Z51" i="1" a="1"/>
  <c r="Z51" i="1" s="1"/>
  <c r="Y122" i="1" s="1" a="1"/>
  <c r="Y122" i="1" s="1"/>
  <c r="PF51" i="1"/>
  <c r="AA122" i="1" l="1"/>
  <c r="HG122" i="1" s="1"/>
  <c r="AB122" i="1"/>
  <c r="HH122" i="1" s="1"/>
  <c r="CG77" i="1"/>
  <c r="BJ77" i="1"/>
  <c r="BX77" i="1"/>
  <c r="BK77" i="1"/>
  <c r="BY77" i="1"/>
  <c r="Y52" i="1" a="1"/>
  <c r="Y52" i="1" s="1"/>
  <c r="AB52" i="1" s="1"/>
  <c r="KD52" i="1" s="1"/>
  <c r="Y54" i="1" a="1"/>
  <c r="Y54" i="1" s="1"/>
  <c r="CK77" i="1" l="1"/>
  <c r="CI77" i="1"/>
  <c r="BM77" i="1"/>
  <c r="CA77" i="1"/>
  <c r="BL77" i="1"/>
  <c r="BZ77" i="1"/>
  <c r="AA52" i="1"/>
  <c r="KC52" i="1" s="1"/>
  <c r="AB54" i="1"/>
  <c r="AA54" i="1"/>
  <c r="Z52" i="1" a="1"/>
  <c r="Z52" i="1" s="1"/>
  <c r="Y53" i="1" s="1" a="1"/>
  <c r="Y53" i="1" s="1"/>
  <c r="BO77" i="1" l="1"/>
  <c r="CE77" i="1" s="1"/>
  <c r="CC77" i="1"/>
  <c r="BN77" i="1"/>
  <c r="CB77" i="1"/>
  <c r="OV54" i="1"/>
  <c r="OL54" i="1"/>
  <c r="OW54" i="1"/>
  <c r="OM54" i="1"/>
  <c r="AB53" i="1"/>
  <c r="QA53" i="1" s="1"/>
  <c r="AA53" i="1"/>
  <c r="QB53" i="1" s="1"/>
  <c r="CD77" i="1" l="1"/>
  <c r="AJ77" i="1" a="1"/>
  <c r="AJ77" i="1" s="1"/>
  <c r="AH78" i="1" s="1"/>
  <c r="AE77" i="1" a="1"/>
  <c r="AE77" i="1" s="1"/>
  <c r="AC78" i="1" s="1"/>
  <c r="OO54" i="1"/>
  <c r="OY54" i="1"/>
  <c r="OX54" i="1"/>
  <c r="ON54" i="1"/>
  <c r="QW53" i="1"/>
  <c r="QX53" i="1"/>
  <c r="QC53" i="1"/>
  <c r="QY53" i="1"/>
  <c r="QD53" i="1"/>
  <c r="QZ53" i="1"/>
  <c r="AD78" i="1" l="1" a="1"/>
  <c r="AD78" i="1" s="1"/>
  <c r="AI78" i="1" a="1"/>
  <c r="AI78" i="1" s="1"/>
  <c r="OP54" i="1"/>
  <c r="OZ54" i="1"/>
  <c r="PA54" i="1"/>
  <c r="OQ54" i="1"/>
  <c r="PC54" i="1" s="1"/>
  <c r="QF53" i="1"/>
  <c r="RB53" i="1"/>
  <c r="QE53" i="1"/>
  <c r="RA53" i="1"/>
  <c r="AL78" i="1" l="1"/>
  <c r="BQ78" i="1" s="1"/>
  <c r="BS78" i="1" s="1"/>
  <c r="AK78" i="1"/>
  <c r="BP78" i="1" s="1"/>
  <c r="BR78" i="1" s="1"/>
  <c r="AF78" i="1"/>
  <c r="AG78" i="1"/>
  <c r="PB54" i="1"/>
  <c r="Z54" i="1" a="1"/>
  <c r="Z54" i="1" s="1"/>
  <c r="Y55" i="1" s="1" a="1"/>
  <c r="Y55" i="1" s="1"/>
  <c r="QG53" i="1"/>
  <c r="RC53" i="1"/>
  <c r="QH53" i="1"/>
  <c r="RD53" i="1"/>
  <c r="BF78" i="1" l="1"/>
  <c r="BT78" i="1"/>
  <c r="BG78" i="1"/>
  <c r="BU78" i="1"/>
  <c r="CF78" i="1"/>
  <c r="AB55" i="1"/>
  <c r="AA55" i="1"/>
  <c r="QJ53" i="1"/>
  <c r="RH53" i="1" s="1"/>
  <c r="RF53" i="1"/>
  <c r="QI53" i="1"/>
  <c r="RE53" i="1"/>
  <c r="BI78" i="1" l="1"/>
  <c r="BW78" i="1"/>
  <c r="BH78" i="1"/>
  <c r="BV78" i="1"/>
  <c r="CJ78" i="1"/>
  <c r="CH78" i="1"/>
  <c r="OV55" i="1"/>
  <c r="OL55" i="1"/>
  <c r="OM55" i="1"/>
  <c r="OW55" i="1"/>
  <c r="Z53" i="1" a="1"/>
  <c r="Z53" i="1" s="1"/>
  <c r="Y57" i="1" s="1" a="1"/>
  <c r="Y57" i="1" s="1"/>
  <c r="RG53" i="1"/>
  <c r="CG78" i="1" l="1"/>
  <c r="BJ78" i="1"/>
  <c r="BX78" i="1"/>
  <c r="BK78" i="1"/>
  <c r="BY78" i="1"/>
  <c r="AB57" i="1"/>
  <c r="KD57" i="1" s="1"/>
  <c r="AA57" i="1"/>
  <c r="KC57" i="1" s="1"/>
  <c r="Z57" i="1" s="1" a="1"/>
  <c r="Z57" i="1" s="1"/>
  <c r="Y58" i="1" s="1" a="1"/>
  <c r="Y58" i="1" s="1"/>
  <c r="OO55" i="1"/>
  <c r="OY55" i="1"/>
  <c r="ON55" i="1"/>
  <c r="OX55" i="1"/>
  <c r="CI78" i="1" l="1"/>
  <c r="CK78" i="1"/>
  <c r="BM78" i="1"/>
  <c r="CA78" i="1"/>
  <c r="BL78" i="1"/>
  <c r="BZ78" i="1"/>
  <c r="AB58" i="1"/>
  <c r="AA58" i="1"/>
  <c r="OP55" i="1"/>
  <c r="OZ55" i="1"/>
  <c r="PA55" i="1"/>
  <c r="OQ55" i="1"/>
  <c r="PC55" i="1" s="1"/>
  <c r="BN78" i="1" l="1"/>
  <c r="CB78" i="1"/>
  <c r="BO78" i="1"/>
  <c r="CE78" i="1" s="1"/>
  <c r="CC78" i="1"/>
  <c r="PB55" i="1"/>
  <c r="Z55" i="1" a="1"/>
  <c r="Z55" i="1" s="1"/>
  <c r="Y56" i="1" s="1" a="1"/>
  <c r="Y56" i="1" s="1"/>
  <c r="QB58" i="1"/>
  <c r="QX58" i="1"/>
  <c r="QA58" i="1"/>
  <c r="QW58" i="1"/>
  <c r="CD78" i="1" l="1"/>
  <c r="AE78" i="1" a="1"/>
  <c r="AE78" i="1" s="1"/>
  <c r="AC79" i="1" s="1"/>
  <c r="AJ78" i="1" a="1"/>
  <c r="AJ78" i="1" s="1"/>
  <c r="AH79" i="1" s="1"/>
  <c r="QC58" i="1"/>
  <c r="QY58" i="1"/>
  <c r="QD58" i="1"/>
  <c r="QZ58" i="1"/>
  <c r="AB56" i="1"/>
  <c r="AA56" i="1"/>
  <c r="AI79" i="1" l="1" a="1"/>
  <c r="AI79" i="1" s="1"/>
  <c r="AD79" i="1" a="1"/>
  <c r="AD79" i="1" s="1"/>
  <c r="OM56" i="1"/>
  <c r="OW56" i="1"/>
  <c r="QF58" i="1"/>
  <c r="RB58" i="1"/>
  <c r="OL56" i="1"/>
  <c r="OV56" i="1"/>
  <c r="QE58" i="1"/>
  <c r="RA58" i="1"/>
  <c r="AL79" i="1" l="1"/>
  <c r="BQ79" i="1" s="1"/>
  <c r="BS79" i="1" s="1"/>
  <c r="AK79" i="1"/>
  <c r="BP79" i="1" s="1"/>
  <c r="BR79" i="1" s="1"/>
  <c r="AF79" i="1"/>
  <c r="AG79" i="1"/>
  <c r="QG58" i="1"/>
  <c r="RC58" i="1"/>
  <c r="QH58" i="1"/>
  <c r="RD58" i="1"/>
  <c r="ON56" i="1"/>
  <c r="OX56" i="1"/>
  <c r="OO56" i="1"/>
  <c r="OY56" i="1"/>
  <c r="CF79" i="1" l="1"/>
  <c r="BG79" i="1"/>
  <c r="BU79" i="1"/>
  <c r="BF79" i="1"/>
  <c r="BT79" i="1"/>
  <c r="OQ56" i="1"/>
  <c r="PA56" i="1"/>
  <c r="QJ58" i="1"/>
  <c r="RH58" i="1" s="1"/>
  <c r="RF58" i="1"/>
  <c r="OP56" i="1"/>
  <c r="OZ56" i="1"/>
  <c r="QI58" i="1"/>
  <c r="RE58" i="1"/>
  <c r="BH79" i="1" l="1"/>
  <c r="BV79" i="1"/>
  <c r="BI79" i="1"/>
  <c r="BW79" i="1"/>
  <c r="CJ79" i="1"/>
  <c r="CH79" i="1"/>
  <c r="OR56" i="1"/>
  <c r="PB56" i="1"/>
  <c r="RG58" i="1"/>
  <c r="Z58" i="1" a="1"/>
  <c r="Z58" i="1" s="1"/>
  <c r="OS56" i="1"/>
  <c r="PC56" i="1"/>
  <c r="CG79" i="1" l="1"/>
  <c r="BK79" i="1"/>
  <c r="BY79" i="1"/>
  <c r="BJ79" i="1"/>
  <c r="BX79" i="1"/>
  <c r="OU56" i="1"/>
  <c r="PG56" i="1" s="1"/>
  <c r="PE56" i="1"/>
  <c r="OT56" i="1"/>
  <c r="PD56" i="1"/>
  <c r="CI79" i="1" l="1"/>
  <c r="CK79" i="1"/>
  <c r="BL79" i="1"/>
  <c r="BZ79" i="1"/>
  <c r="BM79" i="1"/>
  <c r="CA79" i="1"/>
  <c r="PF56" i="1"/>
  <c r="Z56" i="1" a="1"/>
  <c r="Z56" i="1" s="1"/>
  <c r="Y59" i="1" s="1" a="1"/>
  <c r="Y59" i="1" s="1"/>
  <c r="CC79" i="1" l="1"/>
  <c r="BO79" i="1"/>
  <c r="CE79" i="1" s="1"/>
  <c r="BN79" i="1"/>
  <c r="CB79" i="1"/>
  <c r="AA59" i="1"/>
  <c r="AB59" i="1"/>
  <c r="CD79" i="1" l="1"/>
  <c r="AJ79" i="1" a="1"/>
  <c r="AJ79" i="1" s="1"/>
  <c r="AH80" i="1" s="1"/>
  <c r="AE79" i="1" a="1"/>
  <c r="AE79" i="1" s="1"/>
  <c r="AC80" i="1" s="1"/>
  <c r="OW59" i="1"/>
  <c r="OM59" i="1"/>
  <c r="OV59" i="1"/>
  <c r="OL59" i="1"/>
  <c r="AD80" i="1" l="1" a="1"/>
  <c r="AD80" i="1" s="1"/>
  <c r="AI80" i="1" a="1"/>
  <c r="AI80" i="1" s="1"/>
  <c r="OY59" i="1"/>
  <c r="OO59" i="1"/>
  <c r="ON59" i="1"/>
  <c r="OX59" i="1"/>
  <c r="AL80" i="1" l="1"/>
  <c r="BQ80" i="1" s="1"/>
  <c r="BS80" i="1" s="1"/>
  <c r="AK80" i="1"/>
  <c r="BP80" i="1" s="1"/>
  <c r="BR80" i="1" s="1"/>
  <c r="AF80" i="1"/>
  <c r="AG80" i="1"/>
  <c r="OP59" i="1"/>
  <c r="OZ59" i="1"/>
  <c r="OQ59" i="1"/>
  <c r="PC59" i="1" s="1"/>
  <c r="PA59" i="1"/>
  <c r="BG80" i="1" l="1"/>
  <c r="BU80" i="1"/>
  <c r="BF80" i="1"/>
  <c r="BT80" i="1"/>
  <c r="CF80" i="1"/>
  <c r="PB59" i="1"/>
  <c r="Z59" i="1" a="1"/>
  <c r="Z59" i="1" s="1"/>
  <c r="Y60" i="1" s="1" a="1"/>
  <c r="Y60" i="1" s="1"/>
  <c r="CJ80" i="1" l="1"/>
  <c r="CH80" i="1"/>
  <c r="BH80" i="1"/>
  <c r="BV80" i="1"/>
  <c r="BI80" i="1"/>
  <c r="BW80" i="1"/>
  <c r="AB60" i="1"/>
  <c r="AA60" i="1"/>
  <c r="CG80" i="1" l="1"/>
  <c r="BK80" i="1"/>
  <c r="BY80" i="1"/>
  <c r="BX80" i="1"/>
  <c r="BJ80" i="1"/>
  <c r="OL60" i="1"/>
  <c r="OV60" i="1"/>
  <c r="OM60" i="1"/>
  <c r="OW60" i="1"/>
  <c r="CK80" i="1" l="1"/>
  <c r="CI80" i="1"/>
  <c r="BL80" i="1"/>
  <c r="BZ80" i="1"/>
  <c r="CA80" i="1"/>
  <c r="BM80" i="1"/>
  <c r="OO60" i="1"/>
  <c r="OY60" i="1"/>
  <c r="ON60" i="1"/>
  <c r="OX60" i="1"/>
  <c r="BO80" i="1" l="1"/>
  <c r="CE80" i="1" s="1"/>
  <c r="CC80" i="1"/>
  <c r="CB80" i="1"/>
  <c r="BN80" i="1"/>
  <c r="OP60" i="1"/>
  <c r="OZ60" i="1"/>
  <c r="OQ60" i="1"/>
  <c r="PC60" i="1" s="1"/>
  <c r="PA60" i="1"/>
  <c r="CD80" i="1" l="1"/>
  <c r="AE80" i="1" a="1"/>
  <c r="AE80" i="1" s="1"/>
  <c r="AC81" i="1" s="1"/>
  <c r="AJ80" i="1" a="1"/>
  <c r="AJ80" i="1" s="1"/>
  <c r="AH81" i="1" s="1"/>
  <c r="PB60" i="1"/>
  <c r="Z60" i="1" a="1"/>
  <c r="Z60" i="1" s="1"/>
  <c r="Y61" i="1" s="1" a="1"/>
  <c r="Y61" i="1" s="1"/>
  <c r="AI81" i="1" l="1" a="1"/>
  <c r="AI81" i="1" s="1"/>
  <c r="AD81" i="1" a="1"/>
  <c r="AD81" i="1" s="1"/>
  <c r="AA61" i="1"/>
  <c r="AB61" i="1"/>
  <c r="AL81" i="1" l="1"/>
  <c r="BQ81" i="1" s="1"/>
  <c r="BS81" i="1" s="1"/>
  <c r="AK81" i="1"/>
  <c r="BP81" i="1" s="1"/>
  <c r="BR81" i="1" s="1"/>
  <c r="AF81" i="1"/>
  <c r="AG81" i="1"/>
  <c r="OL61" i="1"/>
  <c r="OV61" i="1"/>
  <c r="OM61" i="1"/>
  <c r="OW61" i="1"/>
  <c r="BF81" i="1" l="1"/>
  <c r="BT81" i="1"/>
  <c r="BG81" i="1"/>
  <c r="BU81" i="1"/>
  <c r="CF81" i="1"/>
  <c r="OO61" i="1"/>
  <c r="OY61" i="1"/>
  <c r="ON61" i="1"/>
  <c r="OX61" i="1"/>
  <c r="CJ81" i="1" l="1"/>
  <c r="CH81" i="1"/>
  <c r="BI81" i="1"/>
  <c r="BW81" i="1"/>
  <c r="BH81" i="1"/>
  <c r="BV81" i="1"/>
  <c r="OP61" i="1"/>
  <c r="OZ61" i="1"/>
  <c r="OQ61" i="1"/>
  <c r="PA61" i="1"/>
  <c r="CG81" i="1" l="1"/>
  <c r="BX81" i="1"/>
  <c r="BJ81" i="1"/>
  <c r="BK81" i="1"/>
  <c r="BY81" i="1"/>
  <c r="OS61" i="1"/>
  <c r="PC61" i="1"/>
  <c r="OR61" i="1"/>
  <c r="PB61" i="1"/>
  <c r="CK81" i="1" l="1"/>
  <c r="CI81" i="1"/>
  <c r="CA81" i="1"/>
  <c r="BM81" i="1"/>
  <c r="BL81" i="1"/>
  <c r="BZ81" i="1"/>
  <c r="OT61" i="1"/>
  <c r="PD61" i="1"/>
  <c r="OU61" i="1"/>
  <c r="PG61" i="1" s="1"/>
  <c r="PE61" i="1"/>
  <c r="BN81" i="1" l="1"/>
  <c r="CB81" i="1"/>
  <c r="BO81" i="1"/>
  <c r="CE81" i="1" s="1"/>
  <c r="CC81" i="1"/>
  <c r="PF61" i="1"/>
  <c r="Z61" i="1" a="1"/>
  <c r="Z61" i="1" s="1"/>
  <c r="CD81" i="1" l="1"/>
  <c r="AJ81" i="1" a="1"/>
  <c r="AJ81" i="1" s="1"/>
  <c r="AH82" i="1" s="1"/>
  <c r="AE81" i="1" a="1"/>
  <c r="AE81" i="1" s="1"/>
  <c r="AC82" i="1" s="1"/>
  <c r="Y62" i="1" a="1"/>
  <c r="Y62" i="1" s="1"/>
  <c r="AB62" i="1" s="1"/>
  <c r="KD62" i="1" s="1"/>
  <c r="Y64" i="1" a="1"/>
  <c r="Y64" i="1" s="1"/>
  <c r="AD82" i="1" l="1" a="1"/>
  <c r="AD82" i="1" s="1"/>
  <c r="AI82" i="1" a="1"/>
  <c r="AI82" i="1" s="1"/>
  <c r="AA62" i="1"/>
  <c r="KC62" i="1" s="1"/>
  <c r="Z62" i="1" s="1" a="1"/>
  <c r="Z62" i="1" s="1"/>
  <c r="Y63" i="1" s="1" a="1"/>
  <c r="Y63" i="1" s="1"/>
  <c r="AA63" i="1" s="1"/>
  <c r="AA64" i="1"/>
  <c r="AB64" i="1"/>
  <c r="AL82" i="1" l="1"/>
  <c r="BQ82" i="1" s="1"/>
  <c r="BS82" i="1" s="1"/>
  <c r="AK82" i="1"/>
  <c r="BP82" i="1" s="1"/>
  <c r="BR82" i="1" s="1"/>
  <c r="AG82" i="1"/>
  <c r="AF82" i="1"/>
  <c r="AB63" i="1"/>
  <c r="QA63" i="1" s="1"/>
  <c r="OW64" i="1"/>
  <c r="OM64" i="1"/>
  <c r="OV64" i="1"/>
  <c r="OL64" i="1"/>
  <c r="QB63" i="1"/>
  <c r="QX63" i="1"/>
  <c r="CF82" i="1" l="1"/>
  <c r="BF82" i="1"/>
  <c r="BT82" i="1"/>
  <c r="BG82" i="1"/>
  <c r="BU82" i="1"/>
  <c r="QW63" i="1"/>
  <c r="OO64" i="1"/>
  <c r="OY64" i="1"/>
  <c r="ON64" i="1"/>
  <c r="OX64" i="1"/>
  <c r="QC63" i="1"/>
  <c r="QY63" i="1"/>
  <c r="QD63" i="1"/>
  <c r="QZ63" i="1"/>
  <c r="BI82" i="1" l="1"/>
  <c r="BW82" i="1"/>
  <c r="BH82" i="1"/>
  <c r="BV82" i="1"/>
  <c r="CJ82" i="1"/>
  <c r="CH82" i="1"/>
  <c r="OP64" i="1"/>
  <c r="OZ64" i="1"/>
  <c r="OQ64" i="1"/>
  <c r="PC64" i="1" s="1"/>
  <c r="PA64" i="1"/>
  <c r="QF63" i="1"/>
  <c r="RB63" i="1"/>
  <c r="QE63" i="1"/>
  <c r="RA63" i="1"/>
  <c r="CG82" i="1" l="1"/>
  <c r="BJ82" i="1"/>
  <c r="BX82" i="1"/>
  <c r="BK82" i="1"/>
  <c r="BY82" i="1"/>
  <c r="PB64" i="1"/>
  <c r="Z64" i="1" a="1"/>
  <c r="Z64" i="1" s="1"/>
  <c r="Y65" i="1" s="1" a="1"/>
  <c r="Y65" i="1" s="1"/>
  <c r="QG63" i="1"/>
  <c r="RC63" i="1"/>
  <c r="QH63" i="1"/>
  <c r="RD63" i="1"/>
  <c r="CI82" i="1" l="1"/>
  <c r="CK82" i="1"/>
  <c r="BM82" i="1"/>
  <c r="CA82" i="1"/>
  <c r="BL82" i="1"/>
  <c r="BZ82" i="1"/>
  <c r="AB65" i="1"/>
  <c r="AA65" i="1"/>
  <c r="QJ63" i="1"/>
  <c r="RH63" i="1" s="1"/>
  <c r="RF63" i="1"/>
  <c r="QI63" i="1"/>
  <c r="RE63" i="1"/>
  <c r="CB82" i="1" l="1"/>
  <c r="BN82" i="1"/>
  <c r="CC82" i="1"/>
  <c r="BO82" i="1"/>
  <c r="CE82" i="1" s="1"/>
  <c r="OL65" i="1"/>
  <c r="OV65" i="1"/>
  <c r="OM65" i="1"/>
  <c r="OW65" i="1"/>
  <c r="RG63" i="1"/>
  <c r="Z63" i="1" a="1"/>
  <c r="Z63" i="1" s="1"/>
  <c r="CD82" i="1" l="1"/>
  <c r="AE82" i="1" a="1"/>
  <c r="AE82" i="1" s="1"/>
  <c r="AJ82" i="1" a="1"/>
  <c r="AJ82" i="1" s="1"/>
  <c r="AH83" i="1" s="1"/>
  <c r="OO65" i="1"/>
  <c r="OY65" i="1"/>
  <c r="ON65" i="1"/>
  <c r="OX65" i="1"/>
  <c r="AI83" i="1" l="1" a="1"/>
  <c r="AI83" i="1" s="1"/>
  <c r="AC83" i="1"/>
  <c r="OP65" i="1"/>
  <c r="OZ65" i="1"/>
  <c r="OQ65" i="1"/>
  <c r="PC65" i="1" s="1"/>
  <c r="PA65" i="1"/>
  <c r="AL83" i="1" l="1"/>
  <c r="BQ83" i="1" s="1"/>
  <c r="BS83" i="1" s="1"/>
  <c r="AK83" i="1"/>
  <c r="BP83" i="1" s="1"/>
  <c r="BR83" i="1" s="1"/>
  <c r="AD83" i="1" a="1"/>
  <c r="AD83" i="1" s="1"/>
  <c r="PB65" i="1"/>
  <c r="Z65" i="1" a="1"/>
  <c r="Z65" i="1" s="1"/>
  <c r="Y66" i="1" s="1" a="1"/>
  <c r="Y66" i="1" s="1"/>
  <c r="CF83" i="1" l="1"/>
  <c r="AG83" i="1"/>
  <c r="AF83" i="1"/>
  <c r="AA66" i="1"/>
  <c r="AB66" i="1"/>
  <c r="BF83" i="1" l="1"/>
  <c r="BT83" i="1"/>
  <c r="BG83" i="1"/>
  <c r="BU83" i="1"/>
  <c r="CJ83" i="1"/>
  <c r="CH83" i="1"/>
  <c r="OL66" i="1"/>
  <c r="OV66" i="1"/>
  <c r="OM66" i="1"/>
  <c r="OW66" i="1"/>
  <c r="BI83" i="1" l="1"/>
  <c r="BW83" i="1"/>
  <c r="BH83" i="1"/>
  <c r="BV83" i="1"/>
  <c r="OO66" i="1"/>
  <c r="OY66" i="1"/>
  <c r="ON66" i="1"/>
  <c r="OX66" i="1"/>
  <c r="CG83" i="1" l="1"/>
  <c r="BJ83" i="1"/>
  <c r="BX83" i="1"/>
  <c r="BK83" i="1"/>
  <c r="BY83" i="1"/>
  <c r="OP66" i="1"/>
  <c r="OZ66" i="1"/>
  <c r="OQ66" i="1"/>
  <c r="PA66" i="1"/>
  <c r="CK83" i="1" l="1"/>
  <c r="CI83" i="1"/>
  <c r="BM83" i="1"/>
  <c r="CA83" i="1"/>
  <c r="BL83" i="1"/>
  <c r="BZ83" i="1"/>
  <c r="OS66" i="1"/>
  <c r="PC66" i="1"/>
  <c r="OR66" i="1"/>
  <c r="PB66" i="1"/>
  <c r="BN83" i="1" l="1"/>
  <c r="CB83" i="1"/>
  <c r="BO83" i="1"/>
  <c r="CE83" i="1" s="1"/>
  <c r="CC83" i="1"/>
  <c r="OT66" i="1"/>
  <c r="PD66" i="1"/>
  <c r="OU66" i="1"/>
  <c r="PG66" i="1" s="1"/>
  <c r="PE66" i="1"/>
  <c r="CD83" i="1" l="1"/>
  <c r="AJ83" i="1" a="1"/>
  <c r="AJ83" i="1" s="1"/>
  <c r="AH84" i="1" s="1"/>
  <c r="AE83" i="1" a="1"/>
  <c r="AE83" i="1" s="1"/>
  <c r="AC84" i="1" s="1"/>
  <c r="PF66" i="1"/>
  <c r="Z66" i="1" a="1"/>
  <c r="Z66" i="1" s="1"/>
  <c r="Y67" i="1" s="1" a="1"/>
  <c r="Y67" i="1" s="1"/>
  <c r="AD84" i="1" l="1" a="1"/>
  <c r="AD84" i="1" s="1"/>
  <c r="AI84" i="1" a="1"/>
  <c r="AI84" i="1" s="1"/>
  <c r="AB67" i="1"/>
  <c r="KD67" i="1" s="1"/>
  <c r="AA67" i="1"/>
  <c r="KC67" i="1" s="1"/>
  <c r="Z67" i="1" s="1" a="1"/>
  <c r="Z67" i="1" s="1"/>
  <c r="Y68" i="1" s="1" a="1"/>
  <c r="Y68" i="1" s="1"/>
  <c r="AL84" i="1" l="1"/>
  <c r="BQ84" i="1" s="1"/>
  <c r="BS84" i="1" s="1"/>
  <c r="AK84" i="1"/>
  <c r="BP84" i="1" s="1"/>
  <c r="BR84" i="1" s="1"/>
  <c r="AF84" i="1"/>
  <c r="AG84" i="1"/>
  <c r="AA68" i="1"/>
  <c r="AB68" i="1"/>
  <c r="CF84" i="1" l="1"/>
  <c r="BF84" i="1"/>
  <c r="BT84" i="1"/>
  <c r="BG84" i="1"/>
  <c r="BU84" i="1"/>
  <c r="QA68" i="1"/>
  <c r="QW68" i="1"/>
  <c r="QB68" i="1"/>
  <c r="QX68" i="1"/>
  <c r="BI84" i="1" l="1"/>
  <c r="BW84" i="1"/>
  <c r="BH84" i="1"/>
  <c r="BV84" i="1"/>
  <c r="CJ84" i="1"/>
  <c r="CH84" i="1"/>
  <c r="QD68" i="1"/>
  <c r="QZ68" i="1"/>
  <c r="QC68" i="1"/>
  <c r="QY68" i="1"/>
  <c r="CG84" i="1" l="1"/>
  <c r="BJ84" i="1"/>
  <c r="BX84" i="1"/>
  <c r="BK84" i="1"/>
  <c r="BY84" i="1"/>
  <c r="QE68" i="1"/>
  <c r="RA68" i="1"/>
  <c r="QF68" i="1"/>
  <c r="RB68" i="1"/>
  <c r="CI84" i="1" l="1"/>
  <c r="CK84" i="1"/>
  <c r="BM84" i="1"/>
  <c r="CA84" i="1"/>
  <c r="BL84" i="1"/>
  <c r="BZ84" i="1"/>
  <c r="QH68" i="1"/>
  <c r="RD68" i="1"/>
  <c r="QG68" i="1"/>
  <c r="RC68" i="1"/>
  <c r="BN84" i="1" l="1"/>
  <c r="CB84" i="1"/>
  <c r="BO84" i="1"/>
  <c r="CE84" i="1" s="1"/>
  <c r="CC84" i="1"/>
  <c r="QI68" i="1"/>
  <c r="RE68" i="1"/>
  <c r="QJ68" i="1"/>
  <c r="RH68" i="1" s="1"/>
  <c r="RF68" i="1"/>
  <c r="CD84" i="1" l="1"/>
  <c r="AJ84" i="1" a="1"/>
  <c r="AJ84" i="1" s="1"/>
  <c r="AH85" i="1" s="1"/>
  <c r="AE84" i="1" a="1"/>
  <c r="AE84" i="1" s="1"/>
  <c r="AC85" i="1" s="1"/>
  <c r="RG68" i="1"/>
  <c r="Z68" i="1" a="1"/>
  <c r="Z68" i="1" s="1"/>
  <c r="AD85" i="1" l="1" a="1"/>
  <c r="AD85" i="1" s="1"/>
  <c r="AI85" i="1" a="1"/>
  <c r="AI85" i="1" s="1"/>
  <c r="AL85" i="1" l="1"/>
  <c r="BQ85" i="1" s="1"/>
  <c r="BS85" i="1" s="1"/>
  <c r="AK85" i="1"/>
  <c r="BP85" i="1" s="1"/>
  <c r="BR85" i="1" s="1"/>
  <c r="AF85" i="1"/>
  <c r="AG85" i="1"/>
  <c r="CF85" i="1" l="1"/>
  <c r="BG85" i="1"/>
  <c r="BU85" i="1"/>
  <c r="BF85" i="1"/>
  <c r="BT85" i="1"/>
  <c r="BH85" i="1" l="1"/>
  <c r="BV85" i="1"/>
  <c r="BI85" i="1"/>
  <c r="BW85" i="1"/>
  <c r="CJ85" i="1"/>
  <c r="CH85" i="1"/>
  <c r="CG85" i="1" l="1"/>
  <c r="BK85" i="1"/>
  <c r="BY85" i="1"/>
  <c r="BJ85" i="1"/>
  <c r="BX85" i="1"/>
  <c r="CK85" i="1" l="1"/>
  <c r="CI85" i="1"/>
  <c r="BL85" i="1"/>
  <c r="BZ85" i="1"/>
  <c r="BM85" i="1"/>
  <c r="CA85" i="1"/>
  <c r="BO85" i="1" l="1"/>
  <c r="CE85" i="1" s="1"/>
  <c r="CC85" i="1"/>
  <c r="BN85" i="1"/>
  <c r="CB85" i="1"/>
  <c r="CD85" i="1" l="1"/>
  <c r="AJ85" i="1" a="1"/>
  <c r="AJ85" i="1" s="1"/>
  <c r="AH86" i="1" s="1"/>
  <c r="AE85" i="1" a="1"/>
  <c r="AE85" i="1" s="1"/>
  <c r="AC86" i="1" s="1"/>
  <c r="AD86" i="1" l="1" a="1"/>
  <c r="AD86" i="1" s="1"/>
  <c r="AI86" i="1" a="1"/>
  <c r="AI86" i="1" s="1"/>
  <c r="AL86" i="1" l="1"/>
  <c r="BQ86" i="1" s="1"/>
  <c r="BS86" i="1" s="1"/>
  <c r="AK86" i="1"/>
  <c r="BP86" i="1" s="1"/>
  <c r="BR86" i="1" s="1"/>
  <c r="AF86" i="1"/>
  <c r="AG86" i="1"/>
  <c r="BG86" i="1" l="1"/>
  <c r="BU86" i="1"/>
  <c r="BF86" i="1"/>
  <c r="BT86" i="1"/>
  <c r="CF86" i="1"/>
  <c r="BH86" i="1" l="1"/>
  <c r="BV86" i="1"/>
  <c r="CJ86" i="1"/>
  <c r="CH86" i="1"/>
  <c r="BI86" i="1"/>
  <c r="BW86" i="1"/>
  <c r="CG86" i="1" l="1"/>
  <c r="BK86" i="1"/>
  <c r="BY86" i="1"/>
  <c r="BJ86" i="1"/>
  <c r="BX86" i="1"/>
  <c r="CK86" i="1" l="1"/>
  <c r="CI86" i="1"/>
  <c r="BL86" i="1"/>
  <c r="BZ86" i="1"/>
  <c r="BM86" i="1"/>
  <c r="CA86" i="1"/>
  <c r="BO86" i="1" l="1"/>
  <c r="CE86" i="1" s="1"/>
  <c r="CC86" i="1"/>
  <c r="BN86" i="1"/>
  <c r="CB86" i="1"/>
  <c r="CD86" i="1" l="1"/>
  <c r="AE86" i="1" a="1"/>
  <c r="AE86" i="1" s="1"/>
  <c r="AC87" i="1" s="1"/>
  <c r="AJ86" i="1" a="1"/>
  <c r="AJ86" i="1" s="1"/>
  <c r="AH87" i="1" s="1"/>
  <c r="AI87" i="1" l="1" a="1"/>
  <c r="AI87" i="1" s="1"/>
  <c r="AD87" i="1" a="1"/>
  <c r="AD87" i="1" s="1"/>
  <c r="AL87" i="1" l="1"/>
  <c r="BQ87" i="1" s="1"/>
  <c r="BS87" i="1" s="1"/>
  <c r="AK87" i="1"/>
  <c r="BP87" i="1" s="1"/>
  <c r="BR87" i="1" s="1"/>
  <c r="AF87" i="1"/>
  <c r="AG87" i="1"/>
  <c r="CF87" i="1" l="1"/>
  <c r="BF87" i="1"/>
  <c r="BT87" i="1"/>
  <c r="BG87" i="1"/>
  <c r="BU87" i="1"/>
  <c r="BH87" i="1" l="1"/>
  <c r="BV87" i="1"/>
  <c r="BI87" i="1"/>
  <c r="BW87" i="1"/>
  <c r="CJ87" i="1"/>
  <c r="CH87" i="1"/>
  <c r="CG87" i="1" l="1"/>
  <c r="BK87" i="1"/>
  <c r="BY87" i="1"/>
  <c r="BJ87" i="1"/>
  <c r="BX87" i="1"/>
  <c r="CK87" i="1" l="1"/>
  <c r="CI87" i="1"/>
  <c r="BL87" i="1"/>
  <c r="BZ87" i="1"/>
  <c r="BM87" i="1"/>
  <c r="CA87" i="1"/>
  <c r="CC87" i="1" l="1"/>
  <c r="BO87" i="1"/>
  <c r="CE87" i="1" s="1"/>
  <c r="BN87" i="1"/>
  <c r="CB87" i="1"/>
  <c r="CD87" i="1" l="1"/>
  <c r="AJ87" i="1" a="1"/>
  <c r="AJ87" i="1" s="1"/>
  <c r="AH88" i="1" s="1"/>
  <c r="AE87" i="1" a="1"/>
  <c r="AE87" i="1" s="1"/>
  <c r="AC88" i="1" l="1"/>
  <c r="AI88" i="1" a="1"/>
  <c r="AI88" i="1" s="1"/>
  <c r="AL88" i="1" l="1"/>
  <c r="BQ88" i="1" s="1"/>
  <c r="BS88" i="1" s="1"/>
  <c r="AK88" i="1"/>
  <c r="BP88" i="1" s="1"/>
  <c r="BR88" i="1" s="1"/>
  <c r="AD88" i="1" a="1"/>
  <c r="AD88" i="1" s="1"/>
  <c r="CF88" i="1" l="1"/>
  <c r="AG88" i="1"/>
  <c r="AF88" i="1"/>
  <c r="BF88" i="1" l="1"/>
  <c r="BT88" i="1"/>
  <c r="BG88" i="1"/>
  <c r="BU88" i="1"/>
  <c r="CJ88" i="1"/>
  <c r="CH88" i="1"/>
  <c r="BI88" i="1" l="1"/>
  <c r="BW88" i="1"/>
  <c r="BH88" i="1"/>
  <c r="BV88" i="1"/>
  <c r="CG88" i="1" l="1"/>
  <c r="BJ88" i="1"/>
  <c r="BX88" i="1"/>
  <c r="BK88" i="1"/>
  <c r="BY88" i="1"/>
  <c r="CK88" i="1" l="1"/>
  <c r="CI88" i="1"/>
  <c r="BM88" i="1"/>
  <c r="CA88" i="1"/>
  <c r="BL88" i="1"/>
  <c r="BZ88" i="1"/>
  <c r="BN88" i="1" l="1"/>
  <c r="CB88" i="1"/>
  <c r="BO88" i="1"/>
  <c r="CE88" i="1" s="1"/>
  <c r="CC88" i="1"/>
  <c r="CD88" i="1" l="1"/>
  <c r="AJ88" i="1" a="1"/>
  <c r="AJ88" i="1" s="1"/>
  <c r="AH89" i="1" s="1"/>
  <c r="AE88" i="1" a="1"/>
  <c r="AE88" i="1" s="1"/>
  <c r="AC89" i="1" s="1"/>
  <c r="AD89" i="1" l="1" a="1"/>
  <c r="AD89" i="1" s="1"/>
  <c r="AI89" i="1" a="1"/>
  <c r="AI89" i="1" s="1"/>
  <c r="AL89" i="1" l="1"/>
  <c r="BQ89" i="1" s="1"/>
  <c r="BS89" i="1" s="1"/>
  <c r="AK89" i="1"/>
  <c r="BP89" i="1" s="1"/>
  <c r="BR89" i="1" s="1"/>
  <c r="AG89" i="1"/>
  <c r="AF89" i="1"/>
  <c r="BF89" i="1" l="1"/>
  <c r="BT89" i="1"/>
  <c r="BG89" i="1"/>
  <c r="BU89" i="1"/>
  <c r="CF89" i="1"/>
  <c r="BI89" i="1" l="1"/>
  <c r="BW89" i="1"/>
  <c r="CJ89" i="1"/>
  <c r="CH89" i="1"/>
  <c r="BH89" i="1"/>
  <c r="BV89" i="1"/>
  <c r="CG89" i="1" l="1"/>
  <c r="BJ89" i="1"/>
  <c r="BX89" i="1"/>
  <c r="BK89" i="1"/>
  <c r="BY89" i="1"/>
  <c r="CK89" i="1" l="1"/>
  <c r="CI89" i="1"/>
  <c r="BM89" i="1"/>
  <c r="CA89" i="1"/>
  <c r="BL89" i="1"/>
  <c r="BZ89" i="1"/>
  <c r="BN89" i="1" l="1"/>
  <c r="CB89" i="1"/>
  <c r="BO89" i="1"/>
  <c r="CE89" i="1" s="1"/>
  <c r="CC89" i="1"/>
  <c r="CD89" i="1" l="1"/>
  <c r="AE89" i="1" a="1"/>
  <c r="AE89" i="1" s="1"/>
  <c r="AC90" i="1" s="1"/>
  <c r="AJ89" i="1" a="1"/>
  <c r="AJ89" i="1" s="1"/>
  <c r="AH90" i="1" s="1"/>
  <c r="AD90" i="1" l="1" a="1"/>
  <c r="AD90" i="1" s="1"/>
  <c r="AI90" i="1" a="1"/>
  <c r="AI90" i="1" s="1"/>
  <c r="AL90" i="1" l="1"/>
  <c r="BQ90" i="1" s="1"/>
  <c r="BS90" i="1" s="1"/>
  <c r="AK90" i="1"/>
  <c r="BP90" i="1" s="1"/>
  <c r="BR90" i="1" s="1"/>
  <c r="AF90" i="1"/>
  <c r="AG90" i="1"/>
  <c r="CF90" i="1" l="1"/>
  <c r="BF90" i="1"/>
  <c r="BT90" i="1"/>
  <c r="BG90" i="1"/>
  <c r="BU90" i="1"/>
  <c r="BH90" i="1" l="1"/>
  <c r="BV90" i="1"/>
  <c r="CJ90" i="1"/>
  <c r="CH90" i="1"/>
  <c r="BI90" i="1"/>
  <c r="BW90" i="1"/>
  <c r="CG90" i="1" l="1"/>
  <c r="BK90" i="1"/>
  <c r="BY90" i="1"/>
  <c r="BJ90" i="1"/>
  <c r="BX90" i="1"/>
  <c r="CK90" i="1" l="1"/>
  <c r="CI90" i="1"/>
  <c r="BL90" i="1"/>
  <c r="BZ90" i="1"/>
  <c r="BM90" i="1"/>
  <c r="CA90" i="1"/>
  <c r="BO90" i="1" l="1"/>
  <c r="CE90" i="1" s="1"/>
  <c r="CC90" i="1"/>
  <c r="BN90" i="1"/>
  <c r="CB90" i="1"/>
  <c r="CD90" i="1" l="1"/>
  <c r="AJ90" i="1" a="1"/>
  <c r="AJ90" i="1" s="1"/>
  <c r="AH91" i="1" s="1"/>
  <c r="AE90" i="1" a="1"/>
  <c r="AE90" i="1" s="1"/>
  <c r="AC91" i="1" s="1"/>
  <c r="AD91" i="1" l="1" a="1"/>
  <c r="AD91" i="1" s="1"/>
  <c r="AI91" i="1" a="1"/>
  <c r="AI91" i="1" s="1"/>
  <c r="AL91" i="1" l="1"/>
  <c r="BQ91" i="1" s="1"/>
  <c r="BS91" i="1" s="1"/>
  <c r="AK91" i="1"/>
  <c r="BP91" i="1" s="1"/>
  <c r="BR91" i="1" s="1"/>
  <c r="AG91" i="1"/>
  <c r="AF91" i="1"/>
  <c r="CF91" i="1" l="1"/>
  <c r="BG91" i="1"/>
  <c r="BU91" i="1"/>
  <c r="BF91" i="1"/>
  <c r="BT91" i="1"/>
  <c r="BH91" i="1" l="1"/>
  <c r="BV91" i="1"/>
  <c r="BI91" i="1"/>
  <c r="BW91" i="1"/>
  <c r="CJ91" i="1"/>
  <c r="CH91" i="1"/>
  <c r="CG91" i="1" l="1"/>
  <c r="BK91" i="1"/>
  <c r="BY91" i="1"/>
  <c r="BJ91" i="1"/>
  <c r="BX91" i="1"/>
  <c r="CI91" i="1" l="1"/>
  <c r="CK91" i="1"/>
  <c r="BL91" i="1"/>
  <c r="BZ91" i="1"/>
  <c r="BM91" i="1"/>
  <c r="CA91" i="1"/>
  <c r="BO91" i="1" l="1"/>
  <c r="CE91" i="1" s="1"/>
  <c r="CC91" i="1"/>
  <c r="BN91" i="1"/>
  <c r="CB91" i="1"/>
  <c r="CD91" i="1" l="1"/>
  <c r="AJ91" i="1" a="1"/>
  <c r="AJ91" i="1" s="1"/>
  <c r="AH92" i="1" s="1"/>
  <c r="AE91" i="1" a="1"/>
  <c r="AE91" i="1" s="1"/>
  <c r="AC92" i="1" s="1"/>
  <c r="AD92" i="1" l="1" a="1"/>
  <c r="AD92" i="1" s="1"/>
  <c r="AI92" i="1" a="1"/>
  <c r="AI92" i="1" s="1"/>
  <c r="AL92" i="1" l="1"/>
  <c r="BQ92" i="1" s="1"/>
  <c r="BS92" i="1" s="1"/>
  <c r="AK92" i="1"/>
  <c r="BP92" i="1" s="1"/>
  <c r="BR92" i="1" s="1"/>
  <c r="AG92" i="1"/>
  <c r="AF92" i="1"/>
  <c r="BG92" i="1" l="1"/>
  <c r="BU92" i="1"/>
  <c r="BF92" i="1"/>
  <c r="BT92" i="1"/>
  <c r="CF92" i="1"/>
  <c r="CJ92" i="1" l="1"/>
  <c r="CH92" i="1"/>
  <c r="BH92" i="1"/>
  <c r="BV92" i="1"/>
  <c r="BI92" i="1"/>
  <c r="BW92" i="1"/>
  <c r="CG92" i="1" l="1"/>
  <c r="BJ92" i="1"/>
  <c r="BX92" i="1"/>
  <c r="BK92" i="1"/>
  <c r="BY92" i="1"/>
  <c r="CK92" i="1" l="1"/>
  <c r="CI92" i="1"/>
  <c r="BM92" i="1"/>
  <c r="CA92" i="1"/>
  <c r="BL92" i="1"/>
  <c r="BZ92" i="1"/>
  <c r="BN92" i="1" l="1"/>
  <c r="CB92" i="1"/>
  <c r="BO92" i="1"/>
  <c r="CE92" i="1" s="1"/>
  <c r="CC92" i="1"/>
  <c r="CD92" i="1" l="1"/>
  <c r="AJ92" i="1" a="1"/>
  <c r="AJ92" i="1" s="1"/>
  <c r="AH93" i="1" s="1"/>
  <c r="AE92" i="1" a="1"/>
  <c r="AE92" i="1" s="1"/>
  <c r="AC93" i="1" s="1"/>
  <c r="AD93" i="1" l="1" a="1"/>
  <c r="AD93" i="1" s="1"/>
  <c r="AI93" i="1" a="1"/>
  <c r="AI93" i="1" s="1"/>
  <c r="AL93" i="1" l="1"/>
  <c r="BQ93" i="1" s="1"/>
  <c r="BS93" i="1" s="1"/>
  <c r="AK93" i="1"/>
  <c r="BP93" i="1" s="1"/>
  <c r="BR93" i="1" s="1"/>
  <c r="AG93" i="1"/>
  <c r="AF93" i="1"/>
  <c r="BF93" i="1" l="1"/>
  <c r="BT93" i="1"/>
  <c r="BG93" i="1"/>
  <c r="BU93" i="1"/>
  <c r="CF93" i="1"/>
  <c r="CJ93" i="1" l="1"/>
  <c r="CH93" i="1"/>
  <c r="BI93" i="1"/>
  <c r="BW93" i="1"/>
  <c r="BH93" i="1"/>
  <c r="BV93" i="1"/>
  <c r="CG93" i="1" l="1"/>
  <c r="BJ93" i="1"/>
  <c r="BX93" i="1"/>
  <c r="BK93" i="1"/>
  <c r="BY93" i="1"/>
  <c r="CK93" i="1" l="1"/>
  <c r="CI93" i="1"/>
  <c r="BM93" i="1"/>
  <c r="CA93" i="1"/>
  <c r="BL93" i="1"/>
  <c r="BZ93" i="1"/>
  <c r="BN93" i="1" l="1"/>
  <c r="CB93" i="1"/>
  <c r="BO93" i="1"/>
  <c r="CE93" i="1" s="1"/>
  <c r="CC93" i="1"/>
  <c r="CD93" i="1" l="1"/>
  <c r="AJ93" i="1" a="1"/>
  <c r="AJ93" i="1" s="1"/>
  <c r="AH94" i="1" s="1"/>
  <c r="AE93" i="1" a="1"/>
  <c r="AE93" i="1" s="1"/>
  <c r="AC94" i="1" s="1"/>
  <c r="AD94" i="1" l="1" a="1"/>
  <c r="AD94" i="1" s="1"/>
  <c r="AI94" i="1" a="1"/>
  <c r="AI94" i="1" s="1"/>
  <c r="AL94" i="1" l="1"/>
  <c r="BQ94" i="1" s="1"/>
  <c r="BS94" i="1" s="1"/>
  <c r="AK94" i="1"/>
  <c r="BP94" i="1" s="1"/>
  <c r="BR94" i="1" s="1"/>
  <c r="AF94" i="1"/>
  <c r="AG94" i="1"/>
  <c r="BF94" i="1" l="1"/>
  <c r="BT94" i="1"/>
  <c r="BG94" i="1"/>
  <c r="BU94" i="1"/>
  <c r="CF94" i="1"/>
  <c r="CJ94" i="1" l="1"/>
  <c r="CH94" i="1"/>
  <c r="BI94" i="1"/>
  <c r="BW94" i="1"/>
  <c r="BH94" i="1"/>
  <c r="BV94" i="1"/>
  <c r="CG94" i="1" l="1"/>
  <c r="BK94" i="1"/>
  <c r="BY94" i="1"/>
  <c r="BJ94" i="1"/>
  <c r="BX94" i="1"/>
  <c r="CK94" i="1" l="1"/>
  <c r="CI94" i="1"/>
  <c r="BL94" i="1"/>
  <c r="BZ94" i="1"/>
  <c r="BM94" i="1"/>
  <c r="CA94" i="1"/>
  <c r="BO94" i="1" l="1"/>
  <c r="CE94" i="1" s="1"/>
  <c r="CC94" i="1"/>
  <c r="BN94" i="1"/>
  <c r="CB94" i="1"/>
  <c r="CD94" i="1" l="1"/>
  <c r="AJ94" i="1" a="1"/>
  <c r="AJ94" i="1" s="1"/>
  <c r="AH95" i="1" s="1"/>
  <c r="AE94" i="1" a="1"/>
  <c r="AE94" i="1" s="1"/>
  <c r="AC95" i="1" s="1"/>
  <c r="AD95" i="1" l="1" a="1"/>
  <c r="AD95" i="1" s="1"/>
  <c r="AI95" i="1" a="1"/>
  <c r="AI95" i="1" s="1"/>
  <c r="AL95" i="1" l="1"/>
  <c r="BQ95" i="1" s="1"/>
  <c r="BS95" i="1" s="1"/>
  <c r="AK95" i="1"/>
  <c r="BP95" i="1" s="1"/>
  <c r="BR95" i="1" s="1"/>
  <c r="AG95" i="1"/>
  <c r="AF95" i="1"/>
  <c r="BF95" i="1" l="1"/>
  <c r="BT95" i="1"/>
  <c r="CF95" i="1"/>
  <c r="BG95" i="1"/>
  <c r="BU95" i="1"/>
  <c r="BI95" i="1" l="1"/>
  <c r="BW95" i="1"/>
  <c r="CJ95" i="1"/>
  <c r="CH95" i="1"/>
  <c r="BH95" i="1"/>
  <c r="BV95" i="1"/>
  <c r="CG95" i="1" l="1"/>
  <c r="BJ95" i="1"/>
  <c r="BX95" i="1"/>
  <c r="BK95" i="1"/>
  <c r="BY95" i="1"/>
  <c r="CK95" i="1" l="1"/>
  <c r="CI95" i="1"/>
  <c r="BM95" i="1"/>
  <c r="CA95" i="1"/>
  <c r="BL95" i="1"/>
  <c r="BZ95" i="1"/>
  <c r="BN95" i="1" l="1"/>
  <c r="CB95" i="1"/>
  <c r="BO95" i="1"/>
  <c r="CE95" i="1" s="1"/>
  <c r="CC95" i="1"/>
  <c r="CD95" i="1" l="1"/>
  <c r="AJ95" i="1" a="1"/>
  <c r="AJ95" i="1" s="1"/>
  <c r="AH96" i="1" s="1"/>
  <c r="AE95" i="1" a="1"/>
  <c r="AE95" i="1" s="1"/>
  <c r="AC96" i="1" s="1"/>
  <c r="AD96" i="1" l="1" a="1"/>
  <c r="AD96" i="1" s="1"/>
  <c r="AI96" i="1" a="1"/>
  <c r="AI96" i="1" s="1"/>
  <c r="AL96" i="1" l="1"/>
  <c r="BQ96" i="1" s="1"/>
  <c r="BS96" i="1" s="1"/>
  <c r="AK96" i="1"/>
  <c r="BP96" i="1" s="1"/>
  <c r="BR96" i="1" s="1"/>
  <c r="AG96" i="1"/>
  <c r="AF96" i="1"/>
  <c r="BF96" i="1" l="1"/>
  <c r="BT96" i="1"/>
  <c r="BG96" i="1"/>
  <c r="BU96" i="1"/>
  <c r="CF96" i="1"/>
  <c r="CJ96" i="1" l="1"/>
  <c r="CH96" i="1"/>
  <c r="BI96" i="1"/>
  <c r="BW96" i="1"/>
  <c r="BH96" i="1"/>
  <c r="BV96" i="1"/>
  <c r="CG96" i="1" l="1"/>
  <c r="BJ96" i="1"/>
  <c r="BX96" i="1"/>
  <c r="BK96" i="1"/>
  <c r="BY96" i="1"/>
  <c r="CK96" i="1" l="1"/>
  <c r="CI96" i="1"/>
  <c r="BM96" i="1"/>
  <c r="CA96" i="1"/>
  <c r="BL96" i="1"/>
  <c r="BZ96" i="1"/>
  <c r="BN96" i="1" l="1"/>
  <c r="CB96" i="1"/>
  <c r="BO96" i="1"/>
  <c r="CE96" i="1" s="1"/>
  <c r="CC96" i="1"/>
  <c r="CD96" i="1" l="1"/>
  <c r="AE96" i="1" a="1"/>
  <c r="AE96" i="1" s="1"/>
  <c r="AJ96" i="1" a="1"/>
  <c r="AJ96" i="1" s="1"/>
  <c r="AH97" i="1" s="1"/>
  <c r="AI97" i="1" l="1" a="1"/>
  <c r="AI97" i="1" s="1"/>
  <c r="AC97" i="1"/>
  <c r="AL97" i="1" l="1"/>
  <c r="BQ97" i="1" s="1"/>
  <c r="BS97" i="1" s="1"/>
  <c r="AK97" i="1"/>
  <c r="BP97" i="1" s="1"/>
  <c r="BR97" i="1" s="1"/>
  <c r="AD97" i="1" a="1"/>
  <c r="AD97" i="1" s="1"/>
  <c r="CF97" i="1" l="1"/>
  <c r="AG97" i="1"/>
  <c r="AF97" i="1"/>
  <c r="BG97" i="1" l="1"/>
  <c r="BU97" i="1"/>
  <c r="BF97" i="1"/>
  <c r="BT97" i="1"/>
  <c r="CJ97" i="1"/>
  <c r="CH97" i="1"/>
  <c r="BH97" i="1" l="1"/>
  <c r="BV97" i="1"/>
  <c r="BI97" i="1"/>
  <c r="BW97" i="1"/>
  <c r="CG97" i="1" l="1"/>
  <c r="BK97" i="1"/>
  <c r="BY97" i="1"/>
  <c r="BJ97" i="1"/>
  <c r="BX97" i="1"/>
  <c r="CK97" i="1" l="1"/>
  <c r="CI97" i="1"/>
  <c r="BL97" i="1"/>
  <c r="BZ97" i="1"/>
  <c r="BM97" i="1"/>
  <c r="CA97" i="1"/>
  <c r="BO97" i="1" l="1"/>
  <c r="CE97" i="1" s="1"/>
  <c r="CC97" i="1"/>
  <c r="BN97" i="1"/>
  <c r="CB97" i="1"/>
  <c r="CD97" i="1" l="1"/>
  <c r="AE97" i="1" a="1"/>
  <c r="AE97" i="1" s="1"/>
  <c r="AC98" i="1" s="1"/>
  <c r="AJ97" i="1" a="1"/>
  <c r="AJ97" i="1" s="1"/>
  <c r="AH98" i="1" s="1"/>
  <c r="AI98" i="1" l="1" a="1"/>
  <c r="AI98" i="1" s="1"/>
  <c r="AD98" i="1" a="1"/>
  <c r="AD98" i="1" s="1"/>
  <c r="AL98" i="1" l="1"/>
  <c r="BQ98" i="1" s="1"/>
  <c r="BS98" i="1" s="1"/>
  <c r="AK98" i="1"/>
  <c r="BP98" i="1" s="1"/>
  <c r="BR98" i="1" s="1"/>
  <c r="AG98" i="1"/>
  <c r="AF98" i="1"/>
  <c r="BF98" i="1" l="1"/>
  <c r="BT98" i="1"/>
  <c r="BG98" i="1"/>
  <c r="BU98" i="1"/>
  <c r="CF98" i="1"/>
  <c r="BH98" i="1" l="1"/>
  <c r="BV98" i="1"/>
  <c r="BI98" i="1"/>
  <c r="BW98" i="1"/>
  <c r="CJ98" i="1"/>
  <c r="CH98" i="1"/>
  <c r="CG98" i="1" l="1"/>
  <c r="BK98" i="1"/>
  <c r="BY98" i="1"/>
  <c r="BJ98" i="1"/>
  <c r="BX98" i="1"/>
  <c r="CK98" i="1" l="1"/>
  <c r="CI98" i="1"/>
  <c r="BL98" i="1"/>
  <c r="BZ98" i="1"/>
  <c r="BM98" i="1"/>
  <c r="CA98" i="1"/>
  <c r="BO98" i="1" l="1"/>
  <c r="CE98" i="1" s="1"/>
  <c r="CC98" i="1"/>
  <c r="BN98" i="1"/>
  <c r="CB98" i="1"/>
  <c r="CD98" i="1" l="1"/>
  <c r="AJ98" i="1" a="1"/>
  <c r="AJ98" i="1" s="1"/>
  <c r="AH99" i="1" s="1"/>
  <c r="AE98" i="1" a="1"/>
  <c r="AE98" i="1" s="1"/>
  <c r="AC99" i="1" s="1"/>
  <c r="AD99" i="1" l="1" a="1"/>
  <c r="AD99" i="1" s="1"/>
  <c r="AI99" i="1" a="1"/>
  <c r="AI99" i="1" s="1"/>
  <c r="AL99" i="1" l="1"/>
  <c r="BQ99" i="1" s="1"/>
  <c r="BS99" i="1" s="1"/>
  <c r="AK99" i="1"/>
  <c r="BP99" i="1" s="1"/>
  <c r="BR99" i="1" s="1"/>
  <c r="AF99" i="1"/>
  <c r="AG99" i="1"/>
  <c r="BF99" i="1" l="1"/>
  <c r="BT99" i="1"/>
  <c r="BG99" i="1"/>
  <c r="BU99" i="1"/>
  <c r="CF99" i="1"/>
  <c r="BI99" i="1" l="1"/>
  <c r="BW99" i="1"/>
  <c r="CJ99" i="1"/>
  <c r="CH99" i="1"/>
  <c r="BH99" i="1"/>
  <c r="BV99" i="1"/>
  <c r="CG99" i="1" l="1"/>
  <c r="BJ99" i="1"/>
  <c r="BX99" i="1"/>
  <c r="BK99" i="1"/>
  <c r="BY99" i="1"/>
  <c r="CK99" i="1" l="1"/>
  <c r="CI99" i="1"/>
  <c r="BM99" i="1"/>
  <c r="CA99" i="1"/>
  <c r="BL99" i="1"/>
  <c r="BZ99" i="1"/>
  <c r="BN99" i="1" l="1"/>
  <c r="CB99" i="1"/>
  <c r="BO99" i="1"/>
  <c r="CE99" i="1" s="1"/>
  <c r="CC99" i="1"/>
  <c r="CD99" i="1" l="1"/>
  <c r="AE99" i="1" a="1"/>
  <c r="AE99" i="1" s="1"/>
  <c r="AC100" i="1" s="1"/>
  <c r="AJ99" i="1" a="1"/>
  <c r="AJ99" i="1" s="1"/>
  <c r="AH100" i="1" s="1"/>
  <c r="AI100" i="1" l="1" a="1"/>
  <c r="AI100" i="1" s="1"/>
  <c r="AD100" i="1" a="1"/>
  <c r="AD100" i="1" s="1"/>
  <c r="AL100" i="1" l="1"/>
  <c r="BQ100" i="1" s="1"/>
  <c r="BS100" i="1" s="1"/>
  <c r="AK100" i="1"/>
  <c r="BP100" i="1" s="1"/>
  <c r="BR100" i="1" s="1"/>
  <c r="AG100" i="1"/>
  <c r="AF100" i="1"/>
  <c r="CF100" i="1" l="1"/>
  <c r="BF100" i="1"/>
  <c r="BT100" i="1"/>
  <c r="BG100" i="1"/>
  <c r="BU100" i="1"/>
  <c r="BI100" i="1" l="1"/>
  <c r="BW100" i="1"/>
  <c r="BH100" i="1"/>
  <c r="BV100" i="1"/>
  <c r="CJ100" i="1"/>
  <c r="CH100" i="1"/>
  <c r="CG100" i="1" l="1"/>
  <c r="BJ100" i="1"/>
  <c r="BX100" i="1"/>
  <c r="BK100" i="1"/>
  <c r="BY100" i="1"/>
  <c r="CK100" i="1" l="1"/>
  <c r="CI100" i="1"/>
  <c r="BM100" i="1"/>
  <c r="CA100" i="1"/>
  <c r="BL100" i="1"/>
  <c r="BZ100" i="1"/>
  <c r="BN100" i="1" l="1"/>
  <c r="CB100" i="1"/>
  <c r="BO100" i="1"/>
  <c r="CE100" i="1" s="1"/>
  <c r="CC100" i="1"/>
  <c r="CD100" i="1" l="1"/>
  <c r="AJ100" i="1" a="1"/>
  <c r="AJ100" i="1" s="1"/>
  <c r="AH101" i="1" s="1"/>
  <c r="AE100" i="1" a="1"/>
  <c r="AE100" i="1" s="1"/>
  <c r="AC101" i="1" s="1"/>
  <c r="AI101" i="1" l="1" a="1"/>
  <c r="AI101" i="1" s="1"/>
  <c r="AD101" i="1" a="1"/>
  <c r="AD101" i="1" s="1"/>
  <c r="AL101" i="1" l="1"/>
  <c r="BQ101" i="1" s="1"/>
  <c r="BS101" i="1" s="1"/>
  <c r="AK101" i="1"/>
  <c r="BP101" i="1" s="1"/>
  <c r="BR101" i="1" s="1"/>
  <c r="AG101" i="1"/>
  <c r="AF101" i="1"/>
  <c r="CF101" i="1" l="1"/>
  <c r="BF101" i="1"/>
  <c r="BT101" i="1"/>
  <c r="BG101" i="1"/>
  <c r="BU101" i="1"/>
  <c r="BH101" i="1" l="1"/>
  <c r="BV101" i="1"/>
  <c r="BI101" i="1"/>
  <c r="BW101" i="1"/>
  <c r="CJ101" i="1"/>
  <c r="CH101" i="1"/>
  <c r="CG101" i="1" l="1"/>
  <c r="BJ101" i="1"/>
  <c r="BX101" i="1"/>
  <c r="BK101" i="1"/>
  <c r="BY101" i="1"/>
  <c r="CK101" i="1" l="1"/>
  <c r="CI101" i="1"/>
  <c r="BM101" i="1"/>
  <c r="CA101" i="1"/>
  <c r="BL101" i="1"/>
  <c r="BZ101" i="1"/>
  <c r="BN101" i="1" l="1"/>
  <c r="CB101" i="1"/>
  <c r="BO101" i="1"/>
  <c r="CE101" i="1" s="1"/>
  <c r="CC101" i="1"/>
  <c r="CD101" i="1" l="1"/>
  <c r="AE101" i="1" a="1"/>
  <c r="AE101" i="1" s="1"/>
  <c r="AC102" i="1" s="1"/>
  <c r="AJ101" i="1" a="1"/>
  <c r="AJ101" i="1" s="1"/>
  <c r="AH102" i="1" s="1"/>
  <c r="AI102" i="1" l="1" a="1"/>
  <c r="AI102" i="1" s="1"/>
  <c r="AD102" i="1" a="1"/>
  <c r="AD102" i="1" s="1"/>
  <c r="AL102" i="1" l="1"/>
  <c r="BQ102" i="1" s="1"/>
  <c r="BS102" i="1" s="1"/>
  <c r="AK102" i="1"/>
  <c r="BP102" i="1" s="1"/>
  <c r="BR102" i="1" s="1"/>
  <c r="AG102" i="1"/>
  <c r="AF102" i="1"/>
  <c r="BF102" i="1" l="1"/>
  <c r="BT102" i="1"/>
  <c r="BG102" i="1"/>
  <c r="BU102" i="1"/>
  <c r="CF102" i="1"/>
  <c r="CJ102" i="1" l="1"/>
  <c r="CH102" i="1"/>
  <c r="BI102" i="1"/>
  <c r="BW102" i="1"/>
  <c r="BH102" i="1"/>
  <c r="BV102" i="1"/>
  <c r="CG102" i="1" l="1"/>
  <c r="BJ102" i="1"/>
  <c r="BX102" i="1"/>
  <c r="BK102" i="1"/>
  <c r="BY102" i="1"/>
  <c r="CK102" i="1" l="1"/>
  <c r="CI102" i="1"/>
  <c r="BM102" i="1"/>
  <c r="CA102" i="1"/>
  <c r="BL102" i="1"/>
  <c r="BZ102" i="1"/>
  <c r="BN102" i="1" l="1"/>
  <c r="CB102" i="1"/>
  <c r="BO102" i="1"/>
  <c r="CE102" i="1" s="1"/>
  <c r="CC102" i="1"/>
  <c r="CD102" i="1" l="1"/>
  <c r="AE102" i="1" a="1"/>
  <c r="AE102" i="1" s="1"/>
  <c r="AC103" i="1" s="1"/>
  <c r="AJ102" i="1" a="1"/>
  <c r="AJ102" i="1" s="1"/>
  <c r="AH103" i="1" s="1"/>
  <c r="AD103" i="1" l="1" a="1"/>
  <c r="AD103" i="1" s="1"/>
  <c r="AI103" i="1" a="1"/>
  <c r="AI103" i="1" s="1"/>
  <c r="AL103" i="1" l="1"/>
  <c r="BQ103" i="1" s="1"/>
  <c r="BS103" i="1" s="1"/>
  <c r="AK103" i="1"/>
  <c r="BP103" i="1" s="1"/>
  <c r="BR103" i="1" s="1"/>
  <c r="AG103" i="1"/>
  <c r="AF103" i="1"/>
  <c r="BF103" i="1" l="1"/>
  <c r="BT103" i="1"/>
  <c r="BG103" i="1"/>
  <c r="BU103" i="1"/>
  <c r="CF103" i="1"/>
  <c r="CJ103" i="1" l="1"/>
  <c r="CH103" i="1"/>
  <c r="BI103" i="1"/>
  <c r="BW103" i="1"/>
  <c r="BH103" i="1"/>
  <c r="BV103" i="1"/>
  <c r="CG103" i="1" l="1"/>
  <c r="BK103" i="1"/>
  <c r="BY103" i="1"/>
  <c r="BJ103" i="1"/>
  <c r="BX103" i="1"/>
  <c r="CK103" i="1" l="1"/>
  <c r="CI103" i="1"/>
  <c r="BL103" i="1"/>
  <c r="BZ103" i="1"/>
  <c r="BM103" i="1"/>
  <c r="CA103" i="1"/>
  <c r="BO103" i="1" l="1"/>
  <c r="CE103" i="1" s="1"/>
  <c r="CC103" i="1"/>
  <c r="BN103" i="1"/>
  <c r="CB103" i="1"/>
  <c r="CD103" i="1" l="1"/>
  <c r="AE103" i="1" a="1"/>
  <c r="AE103" i="1" s="1"/>
  <c r="AC104" i="1" s="1"/>
  <c r="AJ103" i="1" a="1"/>
  <c r="AJ103" i="1" s="1"/>
  <c r="AH104" i="1" s="1"/>
  <c r="AI104" i="1" l="1" a="1"/>
  <c r="AI104" i="1" s="1"/>
  <c r="AD104" i="1" a="1"/>
  <c r="AD104" i="1" s="1"/>
  <c r="AL104" i="1" l="1"/>
  <c r="BQ104" i="1" s="1"/>
  <c r="BS104" i="1" s="1"/>
  <c r="AK104" i="1"/>
  <c r="BP104" i="1" s="1"/>
  <c r="BR104" i="1" s="1"/>
  <c r="AF104" i="1"/>
  <c r="AG104" i="1"/>
  <c r="CF104" i="1" l="1"/>
  <c r="BG104" i="1"/>
  <c r="BU104" i="1"/>
  <c r="BF104" i="1"/>
  <c r="BT104" i="1"/>
  <c r="BH104" i="1" l="1"/>
  <c r="BV104" i="1"/>
  <c r="BI104" i="1"/>
  <c r="BW104" i="1"/>
  <c r="CJ104" i="1"/>
  <c r="CH104" i="1"/>
  <c r="CG104" i="1" l="1"/>
  <c r="BK104" i="1"/>
  <c r="BY104" i="1"/>
  <c r="BJ104" i="1"/>
  <c r="BX104" i="1"/>
  <c r="CI104" i="1" l="1"/>
  <c r="CK104" i="1"/>
  <c r="BL104" i="1"/>
  <c r="BZ104" i="1"/>
  <c r="BM104" i="1"/>
  <c r="CA104" i="1"/>
  <c r="BO104" i="1" l="1"/>
  <c r="CE104" i="1" s="1"/>
  <c r="CC104" i="1"/>
  <c r="BN104" i="1"/>
  <c r="CB104" i="1"/>
  <c r="CD104" i="1" l="1"/>
  <c r="AE104" i="1" a="1"/>
  <c r="AE104" i="1" s="1"/>
  <c r="AC105" i="1" s="1"/>
  <c r="AJ104" i="1" a="1"/>
  <c r="AJ104" i="1" s="1"/>
  <c r="AH105" i="1" s="1"/>
  <c r="AI105" i="1" l="1" a="1"/>
  <c r="AI105" i="1" s="1"/>
  <c r="AD105" i="1" a="1"/>
  <c r="AD105" i="1" s="1"/>
  <c r="AL105" i="1" l="1"/>
  <c r="BQ105" i="1" s="1"/>
  <c r="BS105" i="1" s="1"/>
  <c r="AK105" i="1"/>
  <c r="BP105" i="1" s="1"/>
  <c r="BR105" i="1" s="1"/>
  <c r="AG105" i="1"/>
  <c r="AF105" i="1"/>
  <c r="BF105" i="1" l="1"/>
  <c r="BT105" i="1"/>
  <c r="BG105" i="1"/>
  <c r="BU105" i="1"/>
  <c r="CF105" i="1"/>
  <c r="BI105" i="1" l="1"/>
  <c r="BW105" i="1"/>
  <c r="BH105" i="1"/>
  <c r="BV105" i="1"/>
  <c r="CJ105" i="1"/>
  <c r="CH105" i="1"/>
  <c r="CG105" i="1" l="1"/>
  <c r="BJ105" i="1"/>
  <c r="BX105" i="1"/>
  <c r="BK105" i="1"/>
  <c r="BY105" i="1"/>
  <c r="CK105" i="1" l="1"/>
  <c r="CI105" i="1"/>
  <c r="BM105" i="1"/>
  <c r="CA105" i="1"/>
  <c r="BL105" i="1"/>
  <c r="BZ105" i="1"/>
  <c r="BN105" i="1" l="1"/>
  <c r="CB105" i="1"/>
  <c r="BO105" i="1"/>
  <c r="CE105" i="1" s="1"/>
  <c r="CC105" i="1"/>
  <c r="CD105" i="1" l="1"/>
  <c r="AJ105" i="1" a="1"/>
  <c r="AJ105" i="1" s="1"/>
  <c r="AH106" i="1" s="1"/>
  <c r="AE105" i="1" a="1"/>
  <c r="AE105" i="1" s="1"/>
  <c r="AC106" i="1" s="1"/>
  <c r="AD106" i="1" l="1" a="1"/>
  <c r="AD106" i="1" s="1"/>
  <c r="AI106" i="1" a="1"/>
  <c r="AI106" i="1" s="1"/>
  <c r="AL106" i="1" l="1"/>
  <c r="BQ106" i="1" s="1"/>
  <c r="BS106" i="1" s="1"/>
  <c r="AK106" i="1"/>
  <c r="BP106" i="1" s="1"/>
  <c r="BR106" i="1" s="1"/>
  <c r="AF106" i="1"/>
  <c r="AG106" i="1"/>
  <c r="BG106" i="1" l="1"/>
  <c r="BU106" i="1"/>
  <c r="BF106" i="1"/>
  <c r="BT106" i="1"/>
  <c r="CF106" i="1"/>
  <c r="CJ106" i="1" l="1"/>
  <c r="CH106" i="1"/>
  <c r="BH106" i="1"/>
  <c r="BV106" i="1"/>
  <c r="BI106" i="1"/>
  <c r="BW106" i="1"/>
  <c r="CG106" i="1" l="1"/>
  <c r="BK106" i="1"/>
  <c r="BY106" i="1"/>
  <c r="BJ106" i="1"/>
  <c r="BX106" i="1"/>
  <c r="CK106" i="1" l="1"/>
  <c r="CI106" i="1"/>
  <c r="BL106" i="1"/>
  <c r="BZ106" i="1"/>
  <c r="BM106" i="1"/>
  <c r="CA106" i="1"/>
  <c r="BO106" i="1" l="1"/>
  <c r="CE106" i="1" s="1"/>
  <c r="CC106" i="1"/>
  <c r="BN106" i="1"/>
  <c r="CB106" i="1"/>
  <c r="CD106" i="1" l="1"/>
  <c r="AE106" i="1" a="1"/>
  <c r="AE106" i="1" s="1"/>
  <c r="AC107" i="1" s="1"/>
  <c r="AJ106" i="1" a="1"/>
  <c r="AJ106" i="1" s="1"/>
  <c r="AH107" i="1" s="1"/>
  <c r="AI107" i="1" l="1" a="1"/>
  <c r="AI107" i="1" s="1"/>
  <c r="AD107" i="1" a="1"/>
  <c r="AD107" i="1" s="1"/>
  <c r="AL107" i="1" l="1"/>
  <c r="BQ107" i="1" s="1"/>
  <c r="BS107" i="1" s="1"/>
  <c r="AK107" i="1"/>
  <c r="BP107" i="1" s="1"/>
  <c r="BR107" i="1" s="1"/>
  <c r="AG107" i="1"/>
  <c r="AF107" i="1"/>
  <c r="CF107" i="1" l="1"/>
  <c r="BG107" i="1"/>
  <c r="BU107" i="1"/>
  <c r="BF107" i="1"/>
  <c r="BT107" i="1"/>
  <c r="BI107" i="1" l="1"/>
  <c r="BW107" i="1"/>
  <c r="BH107" i="1"/>
  <c r="BV107" i="1"/>
  <c r="CJ107" i="1"/>
  <c r="CH107" i="1"/>
  <c r="CG107" i="1" l="1"/>
  <c r="BJ107" i="1"/>
  <c r="BX107" i="1"/>
  <c r="BK107" i="1"/>
  <c r="BY107" i="1"/>
  <c r="CK107" i="1" l="1"/>
  <c r="CI107" i="1"/>
  <c r="BM107" i="1"/>
  <c r="CA107" i="1"/>
  <c r="BL107" i="1"/>
  <c r="BZ107" i="1"/>
  <c r="BN107" i="1" l="1"/>
  <c r="CB107" i="1"/>
  <c r="BO107" i="1"/>
  <c r="CE107" i="1" s="1"/>
  <c r="CC107" i="1"/>
  <c r="CD107" i="1" l="1"/>
  <c r="AJ107" i="1" a="1"/>
  <c r="AJ107" i="1" s="1"/>
  <c r="AH108" i="1" s="1"/>
  <c r="AE107" i="1" a="1"/>
  <c r="AE107" i="1" s="1"/>
  <c r="AC108" i="1" s="1"/>
  <c r="AD108" i="1" l="1" a="1"/>
  <c r="AD108" i="1" s="1"/>
  <c r="AI108" i="1" a="1"/>
  <c r="AI108" i="1" s="1"/>
  <c r="AL108" i="1" l="1"/>
  <c r="BQ108" i="1" s="1"/>
  <c r="BS108" i="1" s="1"/>
  <c r="AK108" i="1"/>
  <c r="BP108" i="1" s="1"/>
  <c r="BR108" i="1" s="1"/>
  <c r="AG108" i="1"/>
  <c r="AF108" i="1"/>
  <c r="BF108" i="1" l="1"/>
  <c r="BT108" i="1"/>
  <c r="BG108" i="1"/>
  <c r="BU108" i="1"/>
  <c r="CF108" i="1"/>
  <c r="BI108" i="1" l="1"/>
  <c r="BW108" i="1"/>
  <c r="CJ108" i="1"/>
  <c r="CH108" i="1"/>
  <c r="BH108" i="1"/>
  <c r="BV108" i="1"/>
  <c r="CG108" i="1" l="1"/>
  <c r="BJ108" i="1"/>
  <c r="BX108" i="1"/>
  <c r="BK108" i="1"/>
  <c r="BY108" i="1"/>
  <c r="CK108" i="1" l="1"/>
  <c r="CI108" i="1"/>
  <c r="BM108" i="1"/>
  <c r="CA108" i="1"/>
  <c r="BL108" i="1"/>
  <c r="BZ108" i="1"/>
  <c r="BN108" i="1" l="1"/>
  <c r="CB108" i="1"/>
  <c r="BO108" i="1"/>
  <c r="CE108" i="1" s="1"/>
  <c r="CC108" i="1"/>
  <c r="CD108" i="1" l="1"/>
  <c r="AJ108" i="1" a="1"/>
  <c r="AJ108" i="1" s="1"/>
  <c r="AH109" i="1" s="1"/>
  <c r="AE108" i="1" a="1"/>
  <c r="AE108" i="1" s="1"/>
  <c r="AC109" i="1" s="1"/>
  <c r="AD109" i="1" l="1" a="1"/>
  <c r="AD109" i="1" s="1"/>
  <c r="AI109" i="1" a="1"/>
  <c r="AI109" i="1" s="1"/>
  <c r="AL109" i="1" l="1"/>
  <c r="BQ109" i="1" s="1"/>
  <c r="BS109" i="1" s="1"/>
  <c r="AK109" i="1"/>
  <c r="BP109" i="1" s="1"/>
  <c r="BR109" i="1" s="1"/>
  <c r="AF109" i="1"/>
  <c r="AG109" i="1"/>
  <c r="BG109" i="1" l="1"/>
  <c r="BU109" i="1"/>
  <c r="BF109" i="1"/>
  <c r="BT109" i="1"/>
  <c r="CF109" i="1"/>
  <c r="CJ109" i="1" l="1"/>
  <c r="CH109" i="1"/>
  <c r="BH109" i="1"/>
  <c r="BV109" i="1"/>
  <c r="BI109" i="1"/>
  <c r="BW109" i="1"/>
  <c r="CG109" i="1" l="1"/>
  <c r="BJ109" i="1"/>
  <c r="BX109" i="1"/>
  <c r="BK109" i="1"/>
  <c r="BY109" i="1"/>
  <c r="CK109" i="1" l="1"/>
  <c r="CI109" i="1"/>
  <c r="BM109" i="1"/>
  <c r="CA109" i="1"/>
  <c r="BL109" i="1"/>
  <c r="BZ109" i="1"/>
  <c r="BN109" i="1" l="1"/>
  <c r="CB109" i="1"/>
  <c r="BO109" i="1"/>
  <c r="CE109" i="1" s="1"/>
  <c r="CC109" i="1"/>
  <c r="CD109" i="1" l="1"/>
  <c r="AE109" i="1" a="1"/>
  <c r="AE109" i="1" s="1"/>
  <c r="AC110" i="1" s="1"/>
  <c r="AJ109" i="1" a="1"/>
  <c r="AJ109" i="1" s="1"/>
  <c r="AH110" i="1" s="1"/>
  <c r="AI110" i="1" l="1" a="1"/>
  <c r="AI110" i="1" s="1"/>
  <c r="AD110" i="1" a="1"/>
  <c r="AD110" i="1" s="1"/>
  <c r="AL110" i="1" l="1"/>
  <c r="BQ110" i="1" s="1"/>
  <c r="BS110" i="1" s="1"/>
  <c r="AK110" i="1"/>
  <c r="BP110" i="1" s="1"/>
  <c r="BR110" i="1" s="1"/>
  <c r="AG110" i="1"/>
  <c r="AF110" i="1"/>
  <c r="CF110" i="1" l="1"/>
  <c r="BG110" i="1"/>
  <c r="BU110" i="1"/>
  <c r="BF110" i="1"/>
  <c r="BT110" i="1"/>
  <c r="BH110" i="1" l="1"/>
  <c r="BV110" i="1"/>
  <c r="CJ110" i="1"/>
  <c r="CH110" i="1"/>
  <c r="BI110" i="1"/>
  <c r="BW110" i="1"/>
  <c r="CG110" i="1" l="1"/>
  <c r="BK110" i="1"/>
  <c r="BY110" i="1"/>
  <c r="BJ110" i="1"/>
  <c r="BX110" i="1"/>
  <c r="CI110" i="1" l="1"/>
  <c r="CK110" i="1"/>
  <c r="BL110" i="1"/>
  <c r="BZ110" i="1"/>
  <c r="BM110" i="1"/>
  <c r="CA110" i="1"/>
  <c r="BO110" i="1" l="1"/>
  <c r="CE110" i="1" s="1"/>
  <c r="CC110" i="1"/>
  <c r="BN110" i="1"/>
  <c r="CB110" i="1"/>
  <c r="CD110" i="1" l="1"/>
  <c r="AJ110" i="1" a="1"/>
  <c r="AJ110" i="1" s="1"/>
  <c r="AH111" i="1" s="1"/>
  <c r="AE110" i="1" a="1"/>
  <c r="AE110" i="1" s="1"/>
  <c r="AC111" i="1" s="1"/>
  <c r="AD111" i="1" l="1" a="1"/>
  <c r="AD111" i="1" s="1"/>
  <c r="AI111" i="1" a="1"/>
  <c r="AI111" i="1" s="1"/>
  <c r="AL111" i="1" l="1"/>
  <c r="BQ111" i="1" s="1"/>
  <c r="BS111" i="1" s="1"/>
  <c r="AK111" i="1"/>
  <c r="BP111" i="1" s="1"/>
  <c r="BR111" i="1" s="1"/>
  <c r="AF111" i="1"/>
  <c r="AG111" i="1"/>
  <c r="BF111" i="1" l="1"/>
  <c r="BT111" i="1"/>
  <c r="BG111" i="1"/>
  <c r="BU111" i="1"/>
  <c r="CF111" i="1"/>
  <c r="CJ111" i="1" l="1"/>
  <c r="CH111" i="1"/>
  <c r="BI111" i="1"/>
  <c r="BW111" i="1"/>
  <c r="BH111" i="1"/>
  <c r="BV111" i="1"/>
  <c r="CG111" i="1" l="1"/>
  <c r="BJ111" i="1"/>
  <c r="BX111" i="1"/>
  <c r="BK111" i="1"/>
  <c r="BY111" i="1"/>
  <c r="CI111" i="1" l="1"/>
  <c r="CK111" i="1"/>
  <c r="BM111" i="1"/>
  <c r="CA111" i="1"/>
  <c r="BL111" i="1"/>
  <c r="BZ111" i="1"/>
  <c r="BN111" i="1" l="1"/>
  <c r="CB111" i="1"/>
  <c r="BO111" i="1"/>
  <c r="CE111" i="1" s="1"/>
  <c r="CC111" i="1"/>
  <c r="CD111" i="1" l="1"/>
  <c r="AJ111" i="1" a="1"/>
  <c r="AJ111" i="1" s="1"/>
  <c r="AH112" i="1" s="1"/>
  <c r="AE111" i="1" a="1"/>
  <c r="AE111" i="1" s="1"/>
  <c r="AC112" i="1" s="1"/>
  <c r="AD112" i="1" l="1" a="1"/>
  <c r="AD112" i="1" s="1"/>
  <c r="AI112" i="1" a="1"/>
  <c r="AI112" i="1" s="1"/>
  <c r="AL112" i="1" l="1"/>
  <c r="BQ112" i="1" s="1"/>
  <c r="BS112" i="1" s="1"/>
  <c r="AK112" i="1"/>
  <c r="BP112" i="1" s="1"/>
  <c r="BR112" i="1" s="1"/>
  <c r="AG112" i="1"/>
  <c r="AF112" i="1"/>
  <c r="BG112" i="1" l="1"/>
  <c r="BU112" i="1"/>
  <c r="CF112" i="1"/>
  <c r="BF112" i="1"/>
  <c r="BT112" i="1"/>
  <c r="CJ112" i="1" l="1"/>
  <c r="CH112" i="1"/>
  <c r="BH112" i="1"/>
  <c r="BV112" i="1"/>
  <c r="BI112" i="1"/>
  <c r="BW112" i="1"/>
  <c r="CG112" i="1" l="1"/>
  <c r="BK112" i="1"/>
  <c r="BY112" i="1"/>
  <c r="BJ112" i="1"/>
  <c r="BX112" i="1"/>
  <c r="CK112" i="1" l="1"/>
  <c r="CI112" i="1"/>
  <c r="BL112" i="1"/>
  <c r="BZ112" i="1"/>
  <c r="BM112" i="1"/>
  <c r="CA112" i="1"/>
  <c r="BO112" i="1" l="1"/>
  <c r="CE112" i="1" s="1"/>
  <c r="CC112" i="1"/>
  <c r="BN112" i="1"/>
  <c r="CB112" i="1"/>
  <c r="CD112" i="1" l="1"/>
  <c r="AE112" i="1" a="1"/>
  <c r="AE112" i="1" s="1"/>
  <c r="AC113" i="1" s="1"/>
  <c r="AJ112" i="1" a="1"/>
  <c r="AJ112" i="1" s="1"/>
  <c r="AH113" i="1" s="1"/>
  <c r="AD113" i="1" l="1" a="1"/>
  <c r="AD113" i="1" s="1"/>
  <c r="AI113" i="1" a="1"/>
  <c r="AI113" i="1" s="1"/>
  <c r="AL113" i="1" l="1"/>
  <c r="BQ113" i="1" s="1"/>
  <c r="BS113" i="1" s="1"/>
  <c r="AK113" i="1"/>
  <c r="BP113" i="1" s="1"/>
  <c r="BR113" i="1" s="1"/>
  <c r="AF113" i="1"/>
  <c r="AG113" i="1"/>
  <c r="BG113" i="1" l="1"/>
  <c r="BU113" i="1"/>
  <c r="BF113" i="1"/>
  <c r="BT113" i="1"/>
  <c r="CF113" i="1"/>
  <c r="CJ113" i="1" l="1"/>
  <c r="CH113" i="1"/>
  <c r="BH113" i="1"/>
  <c r="BV113" i="1"/>
  <c r="BI113" i="1"/>
  <c r="BW113" i="1"/>
  <c r="CG113" i="1" l="1"/>
  <c r="BK113" i="1"/>
  <c r="BY113" i="1"/>
  <c r="BJ113" i="1"/>
  <c r="BX113" i="1"/>
  <c r="CK113" i="1" l="1"/>
  <c r="CI113" i="1"/>
  <c r="BL113" i="1"/>
  <c r="BZ113" i="1"/>
  <c r="BM113" i="1"/>
  <c r="CA113" i="1"/>
  <c r="BO113" i="1" l="1"/>
  <c r="CE113" i="1" s="1"/>
  <c r="CC113" i="1"/>
  <c r="BN113" i="1"/>
  <c r="CB113" i="1"/>
  <c r="CD113" i="1" l="1"/>
  <c r="AE113" i="1" a="1"/>
  <c r="AE113" i="1" s="1"/>
  <c r="AC114" i="1" s="1"/>
  <c r="AJ113" i="1" a="1"/>
  <c r="AJ113" i="1" s="1"/>
  <c r="AH114" i="1" s="1"/>
  <c r="AD114" i="1" l="1" a="1"/>
  <c r="AD114" i="1" s="1"/>
  <c r="AI114" i="1" a="1"/>
  <c r="AI114" i="1" s="1"/>
  <c r="AL114" i="1" l="1"/>
  <c r="BQ114" i="1" s="1"/>
  <c r="BS114" i="1" s="1"/>
  <c r="AK114" i="1"/>
  <c r="BP114" i="1" s="1"/>
  <c r="BR114" i="1" s="1"/>
  <c r="AG114" i="1"/>
  <c r="AF114" i="1"/>
  <c r="CF114" i="1" l="1"/>
  <c r="BF114" i="1"/>
  <c r="BT114" i="1"/>
  <c r="BG114" i="1"/>
  <c r="BU114" i="1"/>
  <c r="BI114" i="1" l="1"/>
  <c r="BW114" i="1"/>
  <c r="BH114" i="1"/>
  <c r="BV114" i="1"/>
  <c r="CJ114" i="1"/>
  <c r="CH114" i="1"/>
  <c r="CG114" i="1" l="1"/>
  <c r="BJ114" i="1"/>
  <c r="BX114" i="1"/>
  <c r="BK114" i="1"/>
  <c r="BY114" i="1"/>
  <c r="CK114" i="1" l="1"/>
  <c r="CI114" i="1"/>
  <c r="BM114" i="1"/>
  <c r="CA114" i="1"/>
  <c r="BL114" i="1"/>
  <c r="BZ114" i="1"/>
  <c r="BN114" i="1" l="1"/>
  <c r="CB114" i="1"/>
  <c r="BO114" i="1"/>
  <c r="CE114" i="1" s="1"/>
  <c r="CC114" i="1"/>
  <c r="CD114" i="1" l="1"/>
  <c r="AJ114" i="1" a="1"/>
  <c r="AJ114" i="1" s="1"/>
  <c r="AH115" i="1" s="1"/>
  <c r="AE114" i="1" a="1"/>
  <c r="AE114" i="1" s="1"/>
  <c r="AC115" i="1" s="1"/>
  <c r="AI115" i="1" l="1" a="1"/>
  <c r="AI115" i="1" s="1"/>
  <c r="AD115" i="1" a="1"/>
  <c r="AD115" i="1" s="1"/>
  <c r="AL115" i="1" l="1"/>
  <c r="BQ115" i="1" s="1"/>
  <c r="BS115" i="1" s="1"/>
  <c r="AK115" i="1"/>
  <c r="BP115" i="1" s="1"/>
  <c r="BR115" i="1" s="1"/>
  <c r="AG115" i="1"/>
  <c r="AF115" i="1"/>
  <c r="CF115" i="1" l="1"/>
  <c r="BF115" i="1"/>
  <c r="BT115" i="1"/>
  <c r="BG115" i="1"/>
  <c r="BU115" i="1"/>
  <c r="BI115" i="1" l="1"/>
  <c r="BW115" i="1"/>
  <c r="BH115" i="1"/>
  <c r="BV115" i="1"/>
  <c r="CJ115" i="1"/>
  <c r="CH115" i="1"/>
  <c r="CG115" i="1" l="1"/>
  <c r="BJ115" i="1"/>
  <c r="BX115" i="1"/>
  <c r="BK115" i="1"/>
  <c r="BY115" i="1"/>
  <c r="CK115" i="1" l="1"/>
  <c r="CI115" i="1"/>
  <c r="BM115" i="1"/>
  <c r="CA115" i="1"/>
  <c r="BL115" i="1"/>
  <c r="BZ115" i="1"/>
  <c r="BN115" i="1" l="1"/>
  <c r="CB115" i="1"/>
  <c r="BO115" i="1"/>
  <c r="CE115" i="1" s="1"/>
  <c r="CC115" i="1"/>
  <c r="CD115" i="1" l="1"/>
  <c r="AJ115" i="1" a="1"/>
  <c r="AJ115" i="1" s="1"/>
  <c r="AH116" i="1" s="1"/>
  <c r="AE115" i="1" a="1"/>
  <c r="AE115" i="1" s="1"/>
  <c r="AC116" i="1" s="1"/>
  <c r="AI116" i="1" l="1" a="1"/>
  <c r="AI116" i="1" s="1"/>
  <c r="AD116" i="1" a="1"/>
  <c r="AD116" i="1" s="1"/>
  <c r="AL116" i="1" l="1"/>
  <c r="HF116" i="1" s="1"/>
  <c r="AK116" i="1"/>
  <c r="HE116" i="1" s="1"/>
  <c r="AF116" i="1"/>
  <c r="AG116" i="1"/>
  <c r="HX116" i="1" l="1"/>
  <c r="HV116" i="1"/>
  <c r="HW116" i="1"/>
  <c r="HU116" i="1"/>
  <c r="GV116" i="1"/>
  <c r="HJ116" i="1"/>
  <c r="GU116" i="1"/>
  <c r="HI116" i="1"/>
  <c r="GW116" i="1" l="1"/>
  <c r="HK116" i="1"/>
  <c r="GX116" i="1"/>
  <c r="HL116" i="1"/>
  <c r="GZ116" i="1" l="1"/>
  <c r="HN116" i="1"/>
  <c r="GY116" i="1"/>
  <c r="HM116" i="1"/>
  <c r="HA116" i="1" l="1"/>
  <c r="HO116" i="1"/>
  <c r="HB116" i="1"/>
  <c r="HP116" i="1"/>
  <c r="HD116" i="1" l="1"/>
  <c r="HT116" i="1" s="1"/>
  <c r="HR116" i="1"/>
  <c r="HC116" i="1"/>
  <c r="HQ116" i="1"/>
  <c r="AJ116" i="1" l="1" a="1"/>
  <c r="AJ116" i="1" s="1"/>
  <c r="AH117" i="1" s="1"/>
  <c r="HS116" i="1"/>
  <c r="Z116" i="1" a="1"/>
  <c r="Z116" i="1" s="1"/>
  <c r="Y117" i="1" s="1" a="1"/>
  <c r="Y117" i="1" s="1"/>
  <c r="AE116" i="1" a="1"/>
  <c r="AE116" i="1" s="1"/>
  <c r="AC117" i="1" s="1"/>
  <c r="AA117" i="1" l="1"/>
  <c r="HG117" i="1" s="1"/>
  <c r="AB117" i="1"/>
  <c r="HH117" i="1" s="1"/>
  <c r="AD117" i="1" a="1"/>
  <c r="AD117" i="1" s="1"/>
  <c r="AI117" i="1" a="1"/>
  <c r="AI117" i="1" s="1"/>
  <c r="AL117" i="1" l="1"/>
  <c r="HF117" i="1" s="1"/>
  <c r="AK117" i="1"/>
  <c r="HE117" i="1" s="1"/>
  <c r="AF117" i="1"/>
  <c r="AG117" i="1"/>
  <c r="GV117" i="1" l="1"/>
  <c r="HJ117" i="1"/>
  <c r="HW117" i="1"/>
  <c r="HU117" i="1"/>
  <c r="HX117" i="1"/>
  <c r="HV117" i="1"/>
  <c r="GU117" i="1"/>
  <c r="HI117" i="1"/>
  <c r="GW117" i="1" l="1"/>
  <c r="HK117" i="1"/>
  <c r="GX117" i="1"/>
  <c r="HL117" i="1"/>
  <c r="GZ117" i="1" l="1"/>
  <c r="HN117" i="1"/>
  <c r="GY117" i="1"/>
  <c r="HM117" i="1"/>
  <c r="HA117" i="1" l="1"/>
  <c r="HO117" i="1"/>
  <c r="HB117" i="1"/>
  <c r="HP117" i="1"/>
  <c r="HD117" i="1" l="1"/>
  <c r="HT117" i="1" s="1"/>
  <c r="HR117" i="1"/>
  <c r="HC117" i="1"/>
  <c r="HQ117" i="1"/>
  <c r="HS117" i="1" l="1"/>
  <c r="Z117" i="1" a="1"/>
  <c r="Z117" i="1" s="1"/>
  <c r="Y118" i="1" s="1" a="1"/>
  <c r="Y118" i="1" s="1"/>
  <c r="AJ117" i="1" a="1"/>
  <c r="AJ117" i="1" s="1"/>
  <c r="AH118" i="1" s="1"/>
  <c r="AE117" i="1" a="1"/>
  <c r="AE117" i="1" s="1"/>
  <c r="AC118" i="1" s="1"/>
  <c r="AD118" i="1" l="1" a="1"/>
  <c r="AD118" i="1" s="1"/>
  <c r="AA118" i="1"/>
  <c r="HG118" i="1" s="1"/>
  <c r="AB118" i="1"/>
  <c r="HH118" i="1" s="1"/>
  <c r="AI118" i="1" a="1"/>
  <c r="AI118" i="1" s="1"/>
  <c r="AL118" i="1" l="1"/>
  <c r="HF118" i="1" s="1"/>
  <c r="AK118" i="1"/>
  <c r="HE118" i="1" s="1"/>
  <c r="AF118" i="1"/>
  <c r="AG118" i="1"/>
  <c r="GU118" i="1" l="1"/>
  <c r="HI118" i="1"/>
  <c r="HW118" i="1"/>
  <c r="HU118" i="1"/>
  <c r="GV118" i="1"/>
  <c r="HJ118" i="1"/>
  <c r="HX118" i="1"/>
  <c r="HV118" i="1"/>
  <c r="GX118" i="1" l="1"/>
  <c r="HL118" i="1"/>
  <c r="GW118" i="1"/>
  <c r="HK118" i="1"/>
  <c r="GY118" i="1" l="1"/>
  <c r="HM118" i="1"/>
  <c r="GZ118" i="1"/>
  <c r="HN118" i="1"/>
  <c r="HB118" i="1" l="1"/>
  <c r="HP118" i="1"/>
  <c r="HA118" i="1"/>
  <c r="HO118" i="1"/>
  <c r="HC118" i="1" l="1"/>
  <c r="HQ118" i="1"/>
  <c r="HD118" i="1"/>
  <c r="HT118" i="1" s="1"/>
  <c r="HR118" i="1"/>
  <c r="HS118" i="1" l="1"/>
  <c r="Z118" i="1" a="1"/>
  <c r="Z118" i="1" s="1"/>
  <c r="Y119" i="1" s="1" a="1"/>
  <c r="Y119" i="1" s="1"/>
  <c r="AE118" i="1" a="1"/>
  <c r="AE118" i="1" s="1"/>
  <c r="AC119" i="1" s="1"/>
  <c r="AJ118" i="1" a="1"/>
  <c r="AJ118" i="1" s="1"/>
  <c r="AH119" i="1" s="1"/>
  <c r="AI119" i="1" l="1" a="1"/>
  <c r="AI119" i="1" s="1"/>
  <c r="AA119" i="1"/>
  <c r="HG119" i="1" s="1"/>
  <c r="AB119" i="1"/>
  <c r="HH119" i="1" s="1"/>
  <c r="AD119" i="1" a="1"/>
  <c r="AD119" i="1" s="1"/>
  <c r="AL119" i="1" l="1"/>
  <c r="HF119" i="1" s="1"/>
  <c r="AK119" i="1"/>
  <c r="HE119" i="1" s="1"/>
  <c r="AF119" i="1"/>
  <c r="AG119" i="1"/>
  <c r="GV119" i="1" l="1"/>
  <c r="HJ119" i="1"/>
  <c r="HW119" i="1"/>
  <c r="HU119" i="1"/>
  <c r="GU119" i="1"/>
  <c r="HI119" i="1"/>
  <c r="HX119" i="1"/>
  <c r="HV119" i="1"/>
  <c r="GW119" i="1" l="1"/>
  <c r="HK119" i="1"/>
  <c r="GX119" i="1"/>
  <c r="HL119" i="1"/>
  <c r="GZ119" i="1" l="1"/>
  <c r="HN119" i="1"/>
  <c r="GY119" i="1"/>
  <c r="HM119" i="1"/>
  <c r="HA119" i="1" l="1"/>
  <c r="HO119" i="1"/>
  <c r="HB119" i="1"/>
  <c r="HP119" i="1"/>
  <c r="HD119" i="1" l="1"/>
  <c r="HT119" i="1" s="1"/>
  <c r="HR119" i="1"/>
  <c r="HC119" i="1"/>
  <c r="HQ119" i="1"/>
  <c r="HS119" i="1" l="1"/>
  <c r="AE119" i="1" a="1"/>
  <c r="AE119" i="1" s="1"/>
  <c r="AC120" i="1" s="1"/>
  <c r="Z119" i="1" a="1"/>
  <c r="Z119" i="1" s="1"/>
  <c r="AJ119" i="1" a="1"/>
  <c r="AJ119" i="1" s="1"/>
  <c r="AH120" i="1" s="1"/>
  <c r="AI120" i="1" l="1" a="1"/>
  <c r="AI120" i="1" s="1"/>
  <c r="AD120" i="1" a="1"/>
  <c r="AD120" i="1" s="1"/>
  <c r="AL120" i="1" l="1"/>
  <c r="BQ120" i="1" s="1"/>
  <c r="BS120" i="1" s="1"/>
  <c r="AK120" i="1"/>
  <c r="BP120" i="1" s="1"/>
  <c r="BR120" i="1" s="1"/>
  <c r="AG120" i="1"/>
  <c r="AF120" i="1"/>
  <c r="BF120" i="1" l="1"/>
  <c r="BT120" i="1"/>
  <c r="BG120" i="1"/>
  <c r="BU120" i="1"/>
  <c r="CF120" i="1"/>
  <c r="BI120" i="1" l="1"/>
  <c r="BW120" i="1"/>
  <c r="CJ120" i="1"/>
  <c r="CH120" i="1"/>
  <c r="BH120" i="1"/>
  <c r="BV120" i="1"/>
  <c r="CG120" i="1" l="1"/>
  <c r="BJ120" i="1"/>
  <c r="BX120" i="1"/>
  <c r="BK120" i="1"/>
  <c r="BY120" i="1"/>
  <c r="CK120" i="1" l="1"/>
  <c r="CI120" i="1"/>
  <c r="BM120" i="1"/>
  <c r="CA120" i="1"/>
  <c r="BL120" i="1"/>
  <c r="BZ120" i="1"/>
  <c r="BN120" i="1" l="1"/>
  <c r="CB120" i="1"/>
  <c r="BO120" i="1"/>
  <c r="CE120" i="1" s="1"/>
  <c r="CC120" i="1"/>
  <c r="CD120" i="1" l="1"/>
  <c r="AE120" i="1" a="1"/>
  <c r="AE120" i="1" s="1"/>
  <c r="AC121" i="1" s="1"/>
  <c r="AJ120" i="1" a="1"/>
  <c r="AJ120" i="1" s="1"/>
  <c r="AH121" i="1" s="1"/>
  <c r="AD121" i="1" l="1" a="1"/>
  <c r="AD121" i="1" s="1"/>
  <c r="AI121" i="1" a="1"/>
  <c r="AI121" i="1" s="1"/>
  <c r="AL121" i="1" l="1"/>
  <c r="BQ121" i="1" s="1"/>
  <c r="BS121" i="1" s="1"/>
  <c r="AK121" i="1"/>
  <c r="BP121" i="1" s="1"/>
  <c r="BR121" i="1" s="1"/>
  <c r="AG121" i="1"/>
  <c r="AF121" i="1"/>
  <c r="CF121" i="1" l="1"/>
  <c r="BF121" i="1"/>
  <c r="BT121" i="1"/>
  <c r="BG121" i="1"/>
  <c r="BU121" i="1"/>
  <c r="BH121" i="1" l="1"/>
  <c r="BV121" i="1"/>
  <c r="BI121" i="1"/>
  <c r="BW121" i="1"/>
  <c r="CJ121" i="1"/>
  <c r="CH121" i="1"/>
  <c r="CG121" i="1" l="1"/>
  <c r="BK121" i="1"/>
  <c r="BY121" i="1"/>
  <c r="BJ121" i="1"/>
  <c r="BX121" i="1"/>
  <c r="CI121" i="1" l="1"/>
  <c r="CK121" i="1"/>
  <c r="BL121" i="1"/>
  <c r="BZ121" i="1"/>
  <c r="BM121" i="1"/>
  <c r="CA121" i="1"/>
  <c r="BO121" i="1" l="1"/>
  <c r="CE121" i="1" s="1"/>
  <c r="CC121" i="1"/>
  <c r="BN121" i="1"/>
  <c r="CB121" i="1"/>
  <c r="CD121" i="1" l="1"/>
  <c r="AJ121" i="1" a="1"/>
  <c r="AJ121" i="1" s="1"/>
  <c r="AH122" i="1" s="1"/>
  <c r="AE121" i="1" a="1"/>
  <c r="AE121" i="1" s="1"/>
  <c r="AC122" i="1" s="1"/>
  <c r="AI122" i="1" l="1" a="1"/>
  <c r="AI122" i="1" s="1"/>
  <c r="AD122" i="1" a="1"/>
  <c r="AD122" i="1" s="1"/>
  <c r="AL122" i="1" l="1"/>
  <c r="HF122" i="1" s="1"/>
  <c r="AK122" i="1"/>
  <c r="HE122" i="1" s="1"/>
  <c r="AG122" i="1"/>
  <c r="AF122" i="1"/>
  <c r="GU122" i="1" l="1"/>
  <c r="HI122" i="1"/>
  <c r="HW122" i="1"/>
  <c r="HU122" i="1"/>
  <c r="HX122" i="1"/>
  <c r="HV122" i="1"/>
  <c r="GV122" i="1"/>
  <c r="HJ122" i="1"/>
  <c r="GX122" i="1" l="1"/>
  <c r="HL122" i="1"/>
  <c r="GW122" i="1"/>
  <c r="HK122" i="1"/>
  <c r="GY122" i="1" l="1"/>
  <c r="HM122" i="1"/>
  <c r="GZ122" i="1"/>
  <c r="HN122" i="1"/>
  <c r="HB122" i="1" l="1"/>
  <c r="HP122" i="1"/>
  <c r="HA122" i="1"/>
  <c r="HO122" i="1"/>
  <c r="HC122" i="1" l="1"/>
  <c r="HQ122" i="1"/>
  <c r="HD122" i="1"/>
  <c r="HT122" i="1" s="1"/>
  <c r="HR122" i="1"/>
  <c r="HS122" i="1" l="1"/>
  <c r="AE122" i="1" a="1"/>
  <c r="AE122" i="1" s="1"/>
  <c r="AC123" i="1" s="1"/>
  <c r="AJ122" i="1" a="1"/>
  <c r="AJ122" i="1" s="1"/>
  <c r="AH123" i="1" s="1"/>
  <c r="Z122" i="1" a="1"/>
  <c r="Z122" i="1" s="1"/>
  <c r="AI123" i="1" l="1" a="1"/>
  <c r="AI123" i="1" s="1"/>
  <c r="AD123" i="1" a="1"/>
  <c r="AD123" i="1" s="1"/>
  <c r="AL123" i="1" l="1"/>
  <c r="BQ123" i="1" s="1"/>
  <c r="BS123" i="1" s="1"/>
  <c r="AK123" i="1"/>
  <c r="BP123" i="1" s="1"/>
  <c r="BR123" i="1" s="1"/>
  <c r="AG123" i="1"/>
  <c r="AF123" i="1"/>
  <c r="BF123" i="1" l="1"/>
  <c r="BT123" i="1"/>
  <c r="CF123" i="1"/>
  <c r="BG123" i="1"/>
  <c r="BU123" i="1"/>
  <c r="BI123" i="1" l="1"/>
  <c r="BW123" i="1"/>
  <c r="CJ123" i="1"/>
  <c r="CH123" i="1"/>
  <c r="BH123" i="1"/>
  <c r="BV123" i="1"/>
  <c r="CG123" i="1" l="1"/>
  <c r="BJ123" i="1"/>
  <c r="BX123" i="1"/>
  <c r="BK123" i="1"/>
  <c r="BY123" i="1"/>
  <c r="CI123" i="1" l="1"/>
  <c r="CK123" i="1"/>
  <c r="BM123" i="1"/>
  <c r="CA123" i="1"/>
  <c r="BL123" i="1"/>
  <c r="BZ123" i="1"/>
  <c r="BN123" i="1" l="1"/>
  <c r="CB123" i="1"/>
  <c r="BO123" i="1"/>
  <c r="CE123" i="1" s="1"/>
  <c r="CC123" i="1"/>
  <c r="CD123" i="1" l="1"/>
  <c r="AJ123" i="1" a="1"/>
  <c r="AJ123" i="1" s="1"/>
  <c r="AH124" i="1" s="1"/>
  <c r="AE123" i="1" a="1"/>
  <c r="AE123" i="1" s="1"/>
  <c r="AC124" i="1" s="1"/>
  <c r="AI124" i="1" l="1" a="1"/>
  <c r="AI124" i="1" s="1"/>
  <c r="AD124" i="1" a="1"/>
  <c r="AD124" i="1" s="1"/>
  <c r="AL124" i="1" l="1"/>
  <c r="BQ124" i="1" s="1"/>
  <c r="BS124" i="1" s="1"/>
  <c r="AK124" i="1"/>
  <c r="BP124" i="1" s="1"/>
  <c r="BR124" i="1" s="1"/>
  <c r="AG124" i="1"/>
  <c r="AF124" i="1"/>
  <c r="BF124" i="1" l="1"/>
  <c r="BT124" i="1"/>
  <c r="BG124" i="1"/>
  <c r="BU124" i="1"/>
  <c r="CF124" i="1"/>
  <c r="CJ124" i="1" l="1"/>
  <c r="CH124" i="1"/>
  <c r="BI124" i="1"/>
  <c r="BW124" i="1"/>
  <c r="BH124" i="1"/>
  <c r="BV124" i="1"/>
  <c r="CG124" i="1" l="1"/>
  <c r="BJ124" i="1"/>
  <c r="BX124" i="1"/>
  <c r="BK124" i="1"/>
  <c r="BY124" i="1"/>
  <c r="CK124" i="1" l="1"/>
  <c r="CI124" i="1"/>
  <c r="BM124" i="1"/>
  <c r="CA124" i="1"/>
  <c r="BL124" i="1"/>
  <c r="BZ124" i="1"/>
  <c r="BN124" i="1" l="1"/>
  <c r="CB124" i="1"/>
  <c r="BO124" i="1"/>
  <c r="CE124" i="1" s="1"/>
  <c r="CC124" i="1"/>
  <c r="CD124" i="1" l="1"/>
  <c r="AJ124" i="1" a="1"/>
  <c r="AJ124" i="1" s="1"/>
  <c r="AE124" i="1" a="1"/>
  <c r="AE124" i="1" s="1"/>
  <c r="AC125" i="1" s="1"/>
  <c r="AD125" i="1" l="1" a="1"/>
  <c r="AD125" i="1" s="1"/>
  <c r="AG125" i="1" l="1"/>
  <c r="AF125" i="1"/>
  <c r="AD126" i="1" l="1" a="1"/>
  <c r="AD126" i="1" s="1"/>
  <c r="AF126" i="1" l="1"/>
  <c r="LY126" i="1" s="1"/>
  <c r="AE126" i="1" s="1" a="1"/>
  <c r="AE126" i="1" s="1"/>
  <c r="AC127" i="1" s="1"/>
  <c r="AG126" i="1"/>
  <c r="AD127" i="1" l="1" a="1"/>
  <c r="AD127" i="1" s="1"/>
  <c r="AF127" i="1" l="1"/>
  <c r="LY127" i="1" s="1"/>
  <c r="AE127" i="1" s="1" a="1"/>
  <c r="AE127" i="1" s="1"/>
  <c r="AC128" i="1" s="1"/>
  <c r="AG127" i="1"/>
  <c r="AD128" i="1" l="1" a="1"/>
  <c r="AD128" i="1" s="1"/>
  <c r="AG128" i="1" l="1"/>
  <c r="AF128" i="1"/>
  <c r="LY128" i="1" s="1"/>
  <c r="AE128" i="1" s="1" a="1"/>
  <c r="AE128" i="1" s="1"/>
  <c r="AC129" i="1" s="1"/>
  <c r="AD129" i="1" l="1" a="1"/>
  <c r="AD129" i="1" s="1"/>
  <c r="AG129" i="1" l="1"/>
  <c r="AF129" i="1"/>
  <c r="LY129" i="1" s="1"/>
  <c r="AE129" i="1" s="1" a="1"/>
  <c r="AE129" i="1" s="1"/>
  <c r="AC130" i="1" s="1"/>
  <c r="AD130" i="1" l="1" a="1"/>
  <c r="AD130" i="1" s="1"/>
  <c r="AF130" i="1" l="1"/>
  <c r="LY130" i="1" s="1"/>
  <c r="AE130" i="1" s="1" a="1"/>
  <c r="AE130" i="1" s="1"/>
  <c r="AC131" i="1" s="1"/>
  <c r="AG130" i="1"/>
  <c r="AD131" i="1" l="1" a="1"/>
  <c r="AD131" i="1" s="1"/>
  <c r="AF131" i="1" l="1"/>
  <c r="LY131" i="1" s="1"/>
  <c r="AE131" i="1" s="1" a="1"/>
  <c r="AE131" i="1" s="1"/>
  <c r="AC132" i="1" s="1"/>
  <c r="AG131" i="1"/>
  <c r="AD132" i="1" l="1" a="1"/>
  <c r="AD132" i="1" s="1"/>
  <c r="AF132" i="1" l="1"/>
  <c r="LY132" i="1" s="1"/>
  <c r="AE132" i="1" s="1" a="1"/>
  <c r="AE132" i="1" s="1"/>
  <c r="AG13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tc={D3B0118F-DD0F-48F6-9A58-CF2A997A7300}</author>
  </authors>
  <commentList>
    <comment ref="B52" authorId="0" shapeId="0" xr:uid="{F095A147-6F0D-4CCB-B9EB-44074B91D463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в схемах сигнал идёт от секции РУ-6кВ без клеммников</t>
        </r>
      </text>
    </comment>
    <comment ref="B57" authorId="0" shapeId="0" xr:uid="{B4065FFA-39DA-4F85-968D-1EBF3AA65DF7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в схемах сигнал идёт от секции РУ-6кВ без клеммников</t>
        </r>
      </text>
    </comment>
    <comment ref="B62" authorId="0" shapeId="0" xr:uid="{3EBFF31E-A14C-4046-80DF-050960498CA5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в схемах сигнал идёт от секции РУ-6кВ без клеммников</t>
        </r>
      </text>
    </comment>
    <comment ref="B67" authorId="0" shapeId="0" xr:uid="{617D2419-2E8C-4EA4-A69D-415FA809D7AB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в схемах сигнал идёт от секции РУ-6кВ без клеммников</t>
        </r>
      </text>
    </comment>
    <comment ref="B125" authorId="1" shapeId="0" xr:uid="{D3B0118F-DD0F-48F6-9A58-CF2A997A73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нужна схема шкафа ШУЗ зд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<sst xmlns="http://schemas.openxmlformats.org/spreadsheetml/2006/main" count="2612" uniqueCount="1055">
  <si>
    <t>id</t>
  </si>
  <si>
    <t>role</t>
  </si>
  <si>
    <t>name</t>
  </si>
  <si>
    <t>maker</t>
  </si>
  <si>
    <t>minparam</t>
  </si>
  <si>
    <t>maxparam</t>
  </si>
  <si>
    <t>param</t>
  </si>
  <si>
    <t>muparam</t>
  </si>
  <si>
    <t>diam</t>
  </si>
  <si>
    <t>power</t>
  </si>
  <si>
    <t>code</t>
  </si>
  <si>
    <t>addinfo</t>
  </si>
  <si>
    <t>weight</t>
  </si>
  <si>
    <t>цена без НДС</t>
  </si>
  <si>
    <t>дата цены</t>
  </si>
  <si>
    <t>se</t>
  </si>
  <si>
    <t>sm</t>
  </si>
  <si>
    <t>ST</t>
  </si>
  <si>
    <t>book</t>
  </si>
  <si>
    <t>CpNum</t>
  </si>
  <si>
    <t>MechNum</t>
  </si>
  <si>
    <t>AmDi</t>
  </si>
  <si>
    <t>AmDo</t>
  </si>
  <si>
    <t>TmDi1-</t>
  </si>
  <si>
    <t>TmDi1+</t>
  </si>
  <si>
    <t>TmDo1-</t>
  </si>
  <si>
    <t>TmDo1+</t>
  </si>
  <si>
    <t>CP</t>
  </si>
  <si>
    <t>PP</t>
  </si>
  <si>
    <t>DiModName</t>
  </si>
  <si>
    <t>DoModName</t>
  </si>
  <si>
    <t>XTpp</t>
  </si>
  <si>
    <t>LC</t>
  </si>
  <si>
    <t>LCg</t>
  </si>
  <si>
    <t>LCt</t>
  </si>
  <si>
    <t>XTcp</t>
  </si>
  <si>
    <t>TmDi2-</t>
  </si>
  <si>
    <t>TmDi2+</t>
  </si>
  <si>
    <t>TmDi3-</t>
  </si>
  <si>
    <t>TmDi3+</t>
  </si>
  <si>
    <t>TmDi4-</t>
  </si>
  <si>
    <t>TmDi4+</t>
  </si>
  <si>
    <t>TmDi5-</t>
  </si>
  <si>
    <t>TmDi5+</t>
  </si>
  <si>
    <t>TmDi6-</t>
  </si>
  <si>
    <t>TmDi6+</t>
  </si>
  <si>
    <t>TmDo2-</t>
  </si>
  <si>
    <t>TmDo2+</t>
  </si>
  <si>
    <t>TmDo3-</t>
  </si>
  <si>
    <t>TmDo3+</t>
  </si>
  <si>
    <t>WcpDi1-</t>
  </si>
  <si>
    <t>WcpDi1+</t>
  </si>
  <si>
    <t>WcpDi2-</t>
  </si>
  <si>
    <t>WcpDi2+</t>
  </si>
  <si>
    <t>WcpDi3-</t>
  </si>
  <si>
    <t>WcpDi3+</t>
  </si>
  <si>
    <t>WcpDi4-</t>
  </si>
  <si>
    <t>WcpDi4+</t>
  </si>
  <si>
    <t>WcpDi5-</t>
  </si>
  <si>
    <t>WcpDi5+</t>
  </si>
  <si>
    <t>WcpDi6-</t>
  </si>
  <si>
    <t>WcpDi6+</t>
  </si>
  <si>
    <t>WcpDo1-</t>
  </si>
  <si>
    <t>WcpDo1+</t>
  </si>
  <si>
    <t>WcpDo2-</t>
  </si>
  <si>
    <t>WcpDo2+</t>
  </si>
  <si>
    <t>WcpDo3-</t>
  </si>
  <si>
    <t>WcpDo3+</t>
  </si>
  <si>
    <t>KL</t>
  </si>
  <si>
    <t>KN</t>
  </si>
  <si>
    <t>Ks</t>
  </si>
  <si>
    <t>Ko</t>
  </si>
  <si>
    <t>Kc</t>
  </si>
  <si>
    <t>KLcp1</t>
  </si>
  <si>
    <t>KLcp2</t>
  </si>
  <si>
    <t>KLcp3</t>
  </si>
  <si>
    <t>KLcp4</t>
  </si>
  <si>
    <t>KLcp5</t>
  </si>
  <si>
    <t>KLcp6</t>
  </si>
  <si>
    <t>KLcp7</t>
  </si>
  <si>
    <t>KLcp8</t>
  </si>
  <si>
    <t>KLcp9</t>
  </si>
  <si>
    <t>WcpKl1+</t>
  </si>
  <si>
    <t>WcpKl2+</t>
  </si>
  <si>
    <t>WcpKl3+</t>
  </si>
  <si>
    <t>WcpKl4+</t>
  </si>
  <si>
    <t>WcpKl5+</t>
  </si>
  <si>
    <t>WcpKl5-</t>
  </si>
  <si>
    <t>WcpKl6+</t>
  </si>
  <si>
    <t>WcpKl6-</t>
  </si>
  <si>
    <t>WcpKl7+</t>
  </si>
  <si>
    <t>WcpKl7-</t>
  </si>
  <si>
    <t>WcpKl8+</t>
  </si>
  <si>
    <t>WcpKl8-</t>
  </si>
  <si>
    <t>WcpKl9+</t>
  </si>
  <si>
    <t>WcpKl9-</t>
  </si>
  <si>
    <t>Ncp</t>
  </si>
  <si>
    <t>Lcp</t>
  </si>
  <si>
    <t>Tcp1</t>
  </si>
  <si>
    <t>Tcp2</t>
  </si>
  <si>
    <t>Tcp3</t>
  </si>
  <si>
    <t>Tcp4</t>
  </si>
  <si>
    <t>Tcp5</t>
  </si>
  <si>
    <t>Tcp6</t>
  </si>
  <si>
    <t>Tcp7</t>
  </si>
  <si>
    <t>Tcp8</t>
  </si>
  <si>
    <t>Tcp9</t>
  </si>
  <si>
    <t>Tcp10</t>
  </si>
  <si>
    <t>Tcp11</t>
  </si>
  <si>
    <t>Tcp12</t>
  </si>
  <si>
    <t>Tcp13</t>
  </si>
  <si>
    <t>Tcp14</t>
  </si>
  <si>
    <t>Tpp1</t>
  </si>
  <si>
    <t>Tpp2</t>
  </si>
  <si>
    <t>Tpp3</t>
  </si>
  <si>
    <t>Tpp4</t>
  </si>
  <si>
    <t>Tpp5</t>
  </si>
  <si>
    <t>Tpp6</t>
  </si>
  <si>
    <t>Tpp7</t>
  </si>
  <si>
    <t>Tpp8</t>
  </si>
  <si>
    <t>Tpp9</t>
  </si>
  <si>
    <t>Tpp10</t>
  </si>
  <si>
    <t>Tpp11</t>
  </si>
  <si>
    <t>Tpp12</t>
  </si>
  <si>
    <t>Tpp13</t>
  </si>
  <si>
    <t>Tpp14</t>
  </si>
  <si>
    <t>se0001</t>
  </si>
  <si>
    <t>ГС</t>
  </si>
  <si>
    <t>A5.1</t>
  </si>
  <si>
    <t>A6.1</t>
  </si>
  <si>
    <t>1B</t>
  </si>
  <si>
    <t>1A</t>
  </si>
  <si>
    <t>Терминальная панель TP-D</t>
  </si>
  <si>
    <t>Терминальная панель TP-O</t>
  </si>
  <si>
    <t>1X</t>
  </si>
  <si>
    <t>A1</t>
  </si>
  <si>
    <t>A2</t>
  </si>
  <si>
    <t>N</t>
  </si>
  <si>
    <t>L6</t>
  </si>
  <si>
    <t>2X</t>
  </si>
  <si>
    <t>3X</t>
  </si>
  <si>
    <t>4X</t>
  </si>
  <si>
    <t>5X</t>
  </si>
  <si>
    <t>6X</t>
  </si>
  <si>
    <t>7X</t>
  </si>
  <si>
    <t>8X</t>
  </si>
  <si>
    <t>9X</t>
  </si>
  <si>
    <t>10X</t>
  </si>
  <si>
    <t>11X</t>
  </si>
  <si>
    <t>12X</t>
  </si>
  <si>
    <t>13X</t>
  </si>
  <si>
    <t>14X</t>
  </si>
  <si>
    <t>15X</t>
  </si>
  <si>
    <t>16X</t>
  </si>
  <si>
    <t>17X</t>
  </si>
  <si>
    <t>18X</t>
  </si>
  <si>
    <t>19X</t>
  </si>
  <si>
    <t>20X</t>
  </si>
  <si>
    <t>21X</t>
  </si>
  <si>
    <t>22X</t>
  </si>
  <si>
    <t>23X</t>
  </si>
  <si>
    <t>24X</t>
  </si>
  <si>
    <t>25X</t>
  </si>
  <si>
    <t>26X</t>
  </si>
  <si>
    <t>27X</t>
  </si>
  <si>
    <t>28X</t>
  </si>
  <si>
    <t>29X</t>
  </si>
  <si>
    <t>30X</t>
  </si>
  <si>
    <t>XTpp1</t>
  </si>
  <si>
    <t>XTpp2</t>
  </si>
  <si>
    <t>Ccb</t>
  </si>
  <si>
    <t>Cpp</t>
  </si>
  <si>
    <t>WcpN</t>
  </si>
  <si>
    <t>Tcb1</t>
  </si>
  <si>
    <t>Tcb2</t>
  </si>
  <si>
    <t>Tcb3</t>
  </si>
  <si>
    <t>Tcb4</t>
  </si>
  <si>
    <t>Tcb5</t>
  </si>
  <si>
    <t>Tpp21</t>
  </si>
  <si>
    <t>Tpp22</t>
  </si>
  <si>
    <t>CB</t>
  </si>
  <si>
    <t>WcpL</t>
  </si>
  <si>
    <t>LCcb</t>
  </si>
  <si>
    <t>LCcbg</t>
  </si>
  <si>
    <t>LCcbt</t>
  </si>
  <si>
    <t>LCpp</t>
  </si>
  <si>
    <t>LCppg</t>
  </si>
  <si>
    <t>LCppt</t>
  </si>
  <si>
    <t>se0004</t>
  </si>
  <si>
    <t>32X</t>
  </si>
  <si>
    <t>AiModName</t>
  </si>
  <si>
    <t>TP-U</t>
  </si>
  <si>
    <t>AmAi</t>
  </si>
  <si>
    <t>TmAi1-</t>
  </si>
  <si>
    <t>TmAi1+</t>
  </si>
  <si>
    <t>A3.1</t>
  </si>
  <si>
    <t>WcpAi1-</t>
  </si>
  <si>
    <t>WcpAi1+</t>
  </si>
  <si>
    <t>WcpKlDiH</t>
  </si>
  <si>
    <t>WcpKl1</t>
  </si>
  <si>
    <t>WcpKl2</t>
  </si>
  <si>
    <t>WcpKl3</t>
  </si>
  <si>
    <t>WcpKl4</t>
  </si>
  <si>
    <t>WcpKl5</t>
  </si>
  <si>
    <t>WcpKl6</t>
  </si>
  <si>
    <t>WcpKl7</t>
  </si>
  <si>
    <t>24Vcp</t>
  </si>
  <si>
    <t>0Vcp</t>
  </si>
  <si>
    <t>24v6</t>
  </si>
  <si>
    <t>0v6</t>
  </si>
  <si>
    <t>33X</t>
  </si>
  <si>
    <t>WcpKlDoA</t>
  </si>
  <si>
    <t>34X</t>
  </si>
  <si>
    <t>35X</t>
  </si>
  <si>
    <t>36X</t>
  </si>
  <si>
    <t>37X</t>
  </si>
  <si>
    <t>38X</t>
  </si>
  <si>
    <t>39X</t>
  </si>
  <si>
    <t>40X</t>
  </si>
  <si>
    <t>41X</t>
  </si>
  <si>
    <t>43X</t>
  </si>
  <si>
    <t>47X</t>
  </si>
  <si>
    <t>48X</t>
  </si>
  <si>
    <t>se0005</t>
  </si>
  <si>
    <t>A3.3</t>
  </si>
  <si>
    <t>24v3</t>
  </si>
  <si>
    <t>0v3</t>
  </si>
  <si>
    <t>T1+</t>
  </si>
  <si>
    <t>T2+</t>
  </si>
  <si>
    <t>T1-</t>
  </si>
  <si>
    <t>ТПУ-205</t>
  </si>
  <si>
    <t>АИР-20/М2-Н</t>
  </si>
  <si>
    <t>A3.4</t>
  </si>
  <si>
    <t>-</t>
  </si>
  <si>
    <t>Xid1</t>
  </si>
  <si>
    <t>Xid2</t>
  </si>
  <si>
    <t>T2-</t>
  </si>
  <si>
    <t>WcpAi2-</t>
  </si>
  <si>
    <t>WcpAi2+</t>
  </si>
  <si>
    <t>TmAi2-</t>
  </si>
  <si>
    <t>TmAi2+</t>
  </si>
  <si>
    <t>A5.12</t>
  </si>
  <si>
    <t>TP-D</t>
  </si>
  <si>
    <t>WcpDi1</t>
  </si>
  <si>
    <t>0VcpM</t>
  </si>
  <si>
    <t>24VcpM</t>
  </si>
  <si>
    <t>0VcpS</t>
  </si>
  <si>
    <t>24VcpS</t>
  </si>
  <si>
    <t>T24V</t>
  </si>
  <si>
    <t>T0V</t>
  </si>
  <si>
    <t>T1</t>
  </si>
  <si>
    <t>T2</t>
  </si>
  <si>
    <t>T3</t>
  </si>
  <si>
    <t>A3.17</t>
  </si>
  <si>
    <t>WcpDi2</t>
  </si>
  <si>
    <t>WcpDi3</t>
  </si>
  <si>
    <t>WcpDi4</t>
  </si>
  <si>
    <t>WcpAi1</t>
  </si>
  <si>
    <t>WcpAi2</t>
  </si>
  <si>
    <t>WcpAiCom</t>
  </si>
  <si>
    <t>id2</t>
  </si>
  <si>
    <t>role2</t>
  </si>
  <si>
    <t>Cda</t>
  </si>
  <si>
    <t>Cdb</t>
  </si>
  <si>
    <t>Caab</t>
  </si>
  <si>
    <t>NcpS</t>
  </si>
  <si>
    <t>LcpS</t>
  </si>
  <si>
    <t>ШКА1</t>
  </si>
  <si>
    <t>F0-Eth1</t>
  </si>
  <si>
    <t>UTP cat5e 4x2x0.5</t>
  </si>
  <si>
    <t>Откуда</t>
  </si>
  <si>
    <t>Куда</t>
  </si>
  <si>
    <t>Маркировка</t>
  </si>
  <si>
    <t>Тип кабеля</t>
  </si>
  <si>
    <t>F0CJU01</t>
  </si>
  <si>
    <t>ШКА2</t>
  </si>
  <si>
    <t>F0-Eth2</t>
  </si>
  <si>
    <t>ШКА3</t>
  </si>
  <si>
    <t>F0-Eth3</t>
  </si>
  <si>
    <t>ШКА4</t>
  </si>
  <si>
    <t>F0-Eth4</t>
  </si>
  <si>
    <t>ШКА5</t>
  </si>
  <si>
    <t>F0-Eth5</t>
  </si>
  <si>
    <t>ШКА6</t>
  </si>
  <si>
    <t>F0-Eth6</t>
  </si>
  <si>
    <t>ШКА7</t>
  </si>
  <si>
    <t>F0-Eth7</t>
  </si>
  <si>
    <t>ШКА8</t>
  </si>
  <si>
    <t>F0-Eth8</t>
  </si>
  <si>
    <t>F0-Eth9</t>
  </si>
  <si>
    <t>ШУГ1</t>
  </si>
  <si>
    <t>ШУГ2</t>
  </si>
  <si>
    <t>F0-Eth10</t>
  </si>
  <si>
    <t>ШУГ3</t>
  </si>
  <si>
    <t>F0-Eth11</t>
  </si>
  <si>
    <t>ШУГ4</t>
  </si>
  <si>
    <t>F0-Eth12</t>
  </si>
  <si>
    <t>ШУГ5</t>
  </si>
  <si>
    <t>F0-Eth13</t>
  </si>
  <si>
    <t>ШУГ6</t>
  </si>
  <si>
    <t>F0-Eth14</t>
  </si>
  <si>
    <t>ШУГ7</t>
  </si>
  <si>
    <t>F0-Eth15</t>
  </si>
  <si>
    <t>ШУГ8</t>
  </si>
  <si>
    <t>F0-Eth16</t>
  </si>
  <si>
    <t>Щит КИП БВД-10</t>
  </si>
  <si>
    <t>КИПвЭВнг(А)-LS 1x2x0.78</t>
  </si>
  <si>
    <t>se0013</t>
  </si>
  <si>
    <t>3-x пров R</t>
  </si>
  <si>
    <t>Tcb6</t>
  </si>
  <si>
    <t>TmAi3-</t>
  </si>
  <si>
    <t>TmAi3+</t>
  </si>
  <si>
    <t>TmAi4-</t>
  </si>
  <si>
    <t>TmAi4+</t>
  </si>
  <si>
    <t>WcpAi3-</t>
  </si>
  <si>
    <t>WcpAi3+</t>
  </si>
  <si>
    <t>WcpAi4-</t>
  </si>
  <si>
    <t>WcpAi4+</t>
  </si>
  <si>
    <t>id3</t>
  </si>
  <si>
    <t>role3</t>
  </si>
  <si>
    <t>TmAi5-</t>
  </si>
  <si>
    <t>TmAi5+</t>
  </si>
  <si>
    <t>TmAi6-</t>
  </si>
  <si>
    <t>TmAi6+</t>
  </si>
  <si>
    <t>WcpAi5-</t>
  </si>
  <si>
    <t>WcpAi5+</t>
  </si>
  <si>
    <t>WcpAi6-</t>
  </si>
  <si>
    <t>WcpAi6+</t>
  </si>
  <si>
    <t>Tcb7</t>
  </si>
  <si>
    <t>Tcb8</t>
  </si>
  <si>
    <t>Tcb9</t>
  </si>
  <si>
    <t>se0014</t>
  </si>
  <si>
    <t>A3.18</t>
  </si>
  <si>
    <t>Вибрация подшипника №1, вертикальная составляющая</t>
  </si>
  <si>
    <t>se0015</t>
  </si>
  <si>
    <t>AmAi2</t>
  </si>
  <si>
    <t>TmAi7+</t>
  </si>
  <si>
    <t>TmAi7-</t>
  </si>
  <si>
    <t>TmAi8+</t>
  </si>
  <si>
    <t>TmAi8-</t>
  </si>
  <si>
    <t>TmAi9+</t>
  </si>
  <si>
    <t>TmAi9-</t>
  </si>
  <si>
    <t>TmAi10+</t>
  </si>
  <si>
    <t>TmAi10-</t>
  </si>
  <si>
    <t>TmAi11+</t>
  </si>
  <si>
    <t>TmAi11-</t>
  </si>
  <si>
    <t>TmAi12+</t>
  </si>
  <si>
    <t>TmAi12-</t>
  </si>
  <si>
    <t>WcpAi7+</t>
  </si>
  <si>
    <t>WcpAi7-</t>
  </si>
  <si>
    <t>WcpAi8+</t>
  </si>
  <si>
    <t>WcpAi8-</t>
  </si>
  <si>
    <t>WcpAi9+</t>
  </si>
  <si>
    <t>WcpAi9-</t>
  </si>
  <si>
    <t>WcpAi10+</t>
  </si>
  <si>
    <t>WcpAi10-</t>
  </si>
  <si>
    <t>WcpAi11+</t>
  </si>
  <si>
    <t>WcpAi11-</t>
  </si>
  <si>
    <t>WcpAi12+</t>
  </si>
  <si>
    <t>WcpAi12-</t>
  </si>
  <si>
    <t>Tcp15</t>
  </si>
  <si>
    <t>Tcp16</t>
  </si>
  <si>
    <t>Tcp17</t>
  </si>
  <si>
    <t>Tcp18</t>
  </si>
  <si>
    <t>Tcp19</t>
  </si>
  <si>
    <t>Tcp20</t>
  </si>
  <si>
    <t>Tcp21</t>
  </si>
  <si>
    <t>Tcp22</t>
  </si>
  <si>
    <t>Tcp23</t>
  </si>
  <si>
    <t>Tcp24</t>
  </si>
  <si>
    <t>Tcp25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</si>
  <si>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</si>
  <si>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</si>
  <si>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</si>
  <si>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</si>
  <si>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</si>
  <si>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</si>
  <si>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</si>
  <si>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</si>
  <si>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</si>
  <si>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role4</t>
  </si>
  <si>
    <t>role5</t>
  </si>
  <si>
    <t>role6</t>
  </si>
  <si>
    <t>role7</t>
  </si>
  <si>
    <t>role8</t>
  </si>
  <si>
    <t>role9</t>
  </si>
  <si>
    <t>role10</t>
  </si>
  <si>
    <t>role11</t>
  </si>
  <si>
    <t>role12</t>
  </si>
  <si>
    <t>Вибрация подшипника №1, горизонтальная составляющая</t>
  </si>
  <si>
    <t>Вибрация подшипника №1, осевая составляющая</t>
  </si>
  <si>
    <t>Вибрация подшипника №2, вертикальная составляющая</t>
  </si>
  <si>
    <t>Вибрация подшипника №2, осевая составляющая</t>
  </si>
  <si>
    <t>Вибрация подшипника №2, горизонтальная составляющая</t>
  </si>
  <si>
    <t>Вибрация подшипника №3, вертикальная составляющая</t>
  </si>
  <si>
    <t>Вибрация подшипника №3, горизонтальная составляющая</t>
  </si>
  <si>
    <t>Вибрация подшипника №3, осевая составляющая</t>
  </si>
  <si>
    <t>Вибрация подшипника №4, вертикальная составляющая</t>
  </si>
  <si>
    <t>Вибрация подшипника №4, горизонтальная составляющая</t>
  </si>
  <si>
    <t>Вибрация подшипника №4, осевая составляющая</t>
  </si>
  <si>
    <t>id1</t>
  </si>
  <si>
    <t>role1</t>
  </si>
  <si>
    <t>A3.20</t>
  </si>
  <si>
    <t>ШУ К4.1-К4.4</t>
  </si>
  <si>
    <t>ШУ К5.1, К5.2</t>
  </si>
  <si>
    <t>ШУ К6.1-К6.3</t>
  </si>
  <si>
    <t>ШУ К10.5.1, K10.5.2</t>
  </si>
  <si>
    <t>ШУ К23.1, K23.2</t>
  </si>
  <si>
    <t>ШУ НКП-1, НКП-2</t>
  </si>
  <si>
    <t>№chanAi</t>
  </si>
  <si>
    <t>AiCount</t>
  </si>
  <si>
    <t>se0019</t>
  </si>
  <si>
    <t>TP-O</t>
  </si>
  <si>
    <t>ШУ К12</t>
  </si>
  <si>
    <t>МКЭШвнг (А)-LS 1x2x0.75</t>
  </si>
  <si>
    <t>Шкаф УУГ1</t>
  </si>
  <si>
    <t>АТМ</t>
  </si>
  <si>
    <t>АОВ</t>
  </si>
  <si>
    <t>АГСВ</t>
  </si>
  <si>
    <t>№chanDi</t>
  </si>
  <si>
    <t>DiCount</t>
  </si>
  <si>
    <t>№chanDo</t>
  </si>
  <si>
    <t>DoCount</t>
  </si>
  <si>
    <t>se0023</t>
  </si>
  <si>
    <t>Ki-01</t>
  </si>
  <si>
    <t>SD1</t>
  </si>
  <si>
    <t>SD3</t>
  </si>
  <si>
    <t>Ki-03</t>
  </si>
  <si>
    <t>SD5</t>
  </si>
  <si>
    <t>Ki-05</t>
  </si>
  <si>
    <t>SD6</t>
  </si>
  <si>
    <t>Ki-06</t>
  </si>
  <si>
    <t>SD7</t>
  </si>
  <si>
    <t>Ki-07</t>
  </si>
  <si>
    <t>SD8</t>
  </si>
  <si>
    <t>Ki-08</t>
  </si>
  <si>
    <t>SD9</t>
  </si>
  <si>
    <t>Ki-09</t>
  </si>
  <si>
    <t>E1CJU01</t>
  </si>
  <si>
    <t>E2CJU01</t>
  </si>
  <si>
    <t>N1CJU01</t>
  </si>
  <si>
    <t>N2CJU01</t>
  </si>
  <si>
    <t>АСУ ЭТО</t>
  </si>
  <si>
    <t>Шкаф Серверный №1</t>
  </si>
  <si>
    <t>Шкаф Серверный №2</t>
  </si>
  <si>
    <t>К-F0-УУГ1</t>
  </si>
  <si>
    <t>К-F0-БВД10</t>
  </si>
  <si>
    <t>К-F0-К12</t>
  </si>
  <si>
    <t>К-F0-K4.1</t>
  </si>
  <si>
    <t>К-F0-K5.1</t>
  </si>
  <si>
    <t>К-F0-K6.1</t>
  </si>
  <si>
    <t>К-F0-K10.5.1</t>
  </si>
  <si>
    <t>К-F0-К23.1</t>
  </si>
  <si>
    <t>К-F0-НКП1</t>
  </si>
  <si>
    <t>se0020</t>
  </si>
  <si>
    <t>AmCom</t>
  </si>
  <si>
    <t>TmComA</t>
  </si>
  <si>
    <t>TmComB</t>
  </si>
  <si>
    <t>ComModName</t>
  </si>
  <si>
    <t>WcpA</t>
  </si>
  <si>
    <t>WcpB</t>
  </si>
  <si>
    <t>WcpSG</t>
  </si>
  <si>
    <t>A7.1
Port3</t>
  </si>
  <si>
    <t>A</t>
  </si>
  <si>
    <t>B</t>
  </si>
  <si>
    <t>SG</t>
  </si>
  <si>
    <t>S343-0</t>
  </si>
  <si>
    <t>Com1-3-A</t>
  </si>
  <si>
    <t>Com1-3-B</t>
  </si>
  <si>
    <t>Com1-3-SG</t>
  </si>
  <si>
    <t>Com1-4-A</t>
  </si>
  <si>
    <t>Com1-4-B</t>
  </si>
  <si>
    <t>Com1-4-SG</t>
  </si>
  <si>
    <t>A7.1
Port4</t>
  </si>
  <si>
    <t>TmComSG</t>
  </si>
  <si>
    <t>WppL</t>
  </si>
  <si>
    <t>WppDi1</t>
  </si>
  <si>
    <t>WppDi2</t>
  </si>
  <si>
    <t>WppL2</t>
  </si>
  <si>
    <t>A3.2</t>
  </si>
  <si>
    <t>Desc1</t>
  </si>
  <si>
    <t>Desc2</t>
  </si>
  <si>
    <t>Неисправность шкафа сборки задвижек</t>
  </si>
  <si>
    <t>T4</t>
  </si>
  <si>
    <t>name1</t>
  </si>
  <si>
    <t>name2</t>
  </si>
  <si>
    <t>Давление сетевой воды после всех теплообменных аппаратов</t>
  </si>
  <si>
    <t>N1</t>
  </si>
  <si>
    <t>N1-1</t>
  </si>
  <si>
    <t>Шкаф АСУ Зд (N1CJU01)</t>
  </si>
  <si>
    <t>Температура сетевой воды после всех теплообменных аппаратов</t>
  </si>
  <si>
    <t>N1-2</t>
  </si>
  <si>
    <t>Температура сетевой воды на выходе из ТА-1</t>
  </si>
  <si>
    <t>N1-3</t>
  </si>
  <si>
    <t>N1-4</t>
  </si>
  <si>
    <t>N1-5</t>
  </si>
  <si>
    <t>N1-6</t>
  </si>
  <si>
    <t>N1-7</t>
  </si>
  <si>
    <t>N1-8</t>
  </si>
  <si>
    <t>N1-9</t>
  </si>
  <si>
    <t>N1-10</t>
  </si>
  <si>
    <t>N1-11</t>
  </si>
  <si>
    <t>N1-12</t>
  </si>
  <si>
    <t>N1-13</t>
  </si>
  <si>
    <t>N1-14</t>
  </si>
  <si>
    <t>N1-15</t>
  </si>
  <si>
    <t>N1-16</t>
  </si>
  <si>
    <t>N1-17</t>
  </si>
  <si>
    <t>N1-18</t>
  </si>
  <si>
    <t>N1-19</t>
  </si>
  <si>
    <t>N1-20</t>
  </si>
  <si>
    <t>N1-21</t>
  </si>
  <si>
    <t>N1-22</t>
  </si>
  <si>
    <t>N1-23</t>
  </si>
  <si>
    <t>N1-24</t>
  </si>
  <si>
    <t>N1-25</t>
  </si>
  <si>
    <t>N1-26</t>
  </si>
  <si>
    <t>N1-27</t>
  </si>
  <si>
    <t>N1-28</t>
  </si>
  <si>
    <t>N1-29</t>
  </si>
  <si>
    <t>N1-30</t>
  </si>
  <si>
    <t>N1-31</t>
  </si>
  <si>
    <t>N1-32</t>
  </si>
  <si>
    <t>N1-33</t>
  </si>
  <si>
    <t>N1-34</t>
  </si>
  <si>
    <t>N1-35</t>
  </si>
  <si>
    <t>N1-36</t>
  </si>
  <si>
    <t>N1-37</t>
  </si>
  <si>
    <t>N1-38</t>
  </si>
  <si>
    <t>N1-39</t>
  </si>
  <si>
    <t>N1-40</t>
  </si>
  <si>
    <t>N1-41</t>
  </si>
  <si>
    <t>N1-42</t>
  </si>
  <si>
    <t>N1-43</t>
  </si>
  <si>
    <t>N1-44</t>
  </si>
  <si>
    <t>N1-45</t>
  </si>
  <si>
    <t>N1-46</t>
  </si>
  <si>
    <t>N1-47</t>
  </si>
  <si>
    <t>N1-48</t>
  </si>
  <si>
    <t>Температура сетевой воды на выходе из ТА-2</t>
  </si>
  <si>
    <t>Температура сетевой воды на выходе из ТА-3</t>
  </si>
  <si>
    <t>Температура сетевой воды на выходе из ТА-4</t>
  </si>
  <si>
    <t>Температура сетевой воды на выходе из ТА-5</t>
  </si>
  <si>
    <t>Температура сетевой воды на выходе из ТА-6</t>
  </si>
  <si>
    <t>Температура сетевой воды на выходе из ТА-7</t>
  </si>
  <si>
    <t>Температура сетевой воды на выходе из ТА-8</t>
  </si>
  <si>
    <t>Температура сетевой воды на выходе из ТА-9</t>
  </si>
  <si>
    <t>Температура котловой воды перед сетевыми теплообменниками</t>
  </si>
  <si>
    <t>Температура котловой воды на выходе из ТА-1</t>
  </si>
  <si>
    <t>Температура котловой воды на выходе из ТА-2</t>
  </si>
  <si>
    <t>Температура котловой воды на выходе из ТА-3</t>
  </si>
  <si>
    <t>Температура котловой воды на выходе из ТА-4</t>
  </si>
  <si>
    <t>Температура котловой воды на выходе из ТА-5</t>
  </si>
  <si>
    <t>Температура котловой воды на выходе из ТА-6</t>
  </si>
  <si>
    <t>Температура котловой воды на выходе из ТА-7</t>
  </si>
  <si>
    <t>Температура котловой воды на выходе из ТА-8</t>
  </si>
  <si>
    <t>Температура котловой воды на выходе из ТА-9</t>
  </si>
  <si>
    <t>Температура обратной сетевой воды на входе в здание теплообменников</t>
  </si>
  <si>
    <t>Давление обратной сетевой воды на входе в здание теплообменников</t>
  </si>
  <si>
    <t>Давление обратной сетевой воды (регулирование)</t>
  </si>
  <si>
    <t>Давление на всасе насоса СН-1</t>
  </si>
  <si>
    <t>Давление на напоре насоса СН-1</t>
  </si>
  <si>
    <t>Давление на всасе насоса СН-2</t>
  </si>
  <si>
    <t>Давление на напоре насоса СН-2</t>
  </si>
  <si>
    <t>Давление на всасе насоса СН-3</t>
  </si>
  <si>
    <t>Давление на напоре насоса СН-3</t>
  </si>
  <si>
    <t>Давление на всасе насоса СН-4</t>
  </si>
  <si>
    <t>Давление на напоре насоса СН-4</t>
  </si>
  <si>
    <t>Давление обратной сетевой воды перед теплообменниками</t>
  </si>
  <si>
    <t>Температура обратной сетевой воды перед теплообменниками</t>
  </si>
  <si>
    <t>Давление воды на аварийную подпитку</t>
  </si>
  <si>
    <t>Температура воды на аварийную подпитку</t>
  </si>
  <si>
    <t>Температура подпиточной воды от деаэратора</t>
  </si>
  <si>
    <t>Давление сетевой воды после сетевых насосов (группа 1)</t>
  </si>
  <si>
    <t>Давление сетевой воды после сетевых насосов (группа 1) сигнализация</t>
  </si>
  <si>
    <t>Давление сетевой воды после сетевых насосов (группа 2)</t>
  </si>
  <si>
    <t>Давление сетевой воды после сетевых насосов (группа 2) сигнализация</t>
  </si>
  <si>
    <t>Давление обратной сетевой воды до сетевых насосов (коллектор)</t>
  </si>
  <si>
    <t>Температура обратной сетевой воды до сетевых насосов (коллектор)</t>
  </si>
  <si>
    <t>Давление сетевой воды до сетевых насосов (группа 1)</t>
  </si>
  <si>
    <t>Давление сетевой воды до сетевых насосов (группа 2)</t>
  </si>
  <si>
    <t>Давление обратной сетевой воды до фильтра ГИГ</t>
  </si>
  <si>
    <t>Давление обратной сетевой воды после фильтра ГИГ</t>
  </si>
  <si>
    <t>A3.5</t>
  </si>
  <si>
    <t>A3.7</t>
  </si>
  <si>
    <t>A3.8</t>
  </si>
  <si>
    <t>N1-49</t>
  </si>
  <si>
    <t>N1-50</t>
  </si>
  <si>
    <t>N1-51</t>
  </si>
  <si>
    <t>N1-52</t>
  </si>
  <si>
    <t>A3.9</t>
  </si>
  <si>
    <t>Температура подшипника №1 ЭД сетевого насоса СН-1</t>
  </si>
  <si>
    <t>Температура подшипника №3 ЭД сетевого насоса СН-1</t>
  </si>
  <si>
    <t>N1NDC01CT102</t>
  </si>
  <si>
    <t>N1NDC01CT104</t>
  </si>
  <si>
    <t>N1NDC01CT106</t>
  </si>
  <si>
    <t>N1NDC01CT107</t>
  </si>
  <si>
    <t>Температура подшипника №2 ЭД сетевого насоса СН-1</t>
  </si>
  <si>
    <t>Температура подшипника №4 ЭД сетевого насоса СН-1</t>
  </si>
  <si>
    <t>Температура обмоток электродвигателя фаза V сетевого насоса СН-1</t>
  </si>
  <si>
    <t>Температура обмоток электродвигателя фаза W сетевого насоса СН-1</t>
  </si>
  <si>
    <t>N1NDC01CY001</t>
  </si>
  <si>
    <t>N1NDC01CY002</t>
  </si>
  <si>
    <t>N1NDC01CY003</t>
  </si>
  <si>
    <t>N1NDC01CY004</t>
  </si>
  <si>
    <t>N1NDC01CY005</t>
  </si>
  <si>
    <t>N1NDC01CY006</t>
  </si>
  <si>
    <t>N1NDC01CY007</t>
  </si>
  <si>
    <t>N1NDC01CY008</t>
  </si>
  <si>
    <t>N1NDC01CY009</t>
  </si>
  <si>
    <t>N1NDC01CY010</t>
  </si>
  <si>
    <t>N1NDC01CY011</t>
  </si>
  <si>
    <t>N1NDC01CY012</t>
  </si>
  <si>
    <t>Температура обмоток электродвигателя фаза U сетевого насоса СН-1</t>
  </si>
  <si>
    <t>Ток ЭД сетевого насоса СН-1</t>
  </si>
  <si>
    <t>Электродвигатель сетевого насоса СН-1</t>
  </si>
  <si>
    <t>I секция РУ-6кВ Ячейка №2</t>
  </si>
  <si>
    <t>Соединительная коробка СК-1 СН-1</t>
  </si>
  <si>
    <t>Соединительная коробка СК-2 СН-1</t>
  </si>
  <si>
    <t>Соединительная коробка СК-3 СН-1</t>
  </si>
  <si>
    <t>N1-53</t>
  </si>
  <si>
    <t>N1-54</t>
  </si>
  <si>
    <t>N1-55</t>
  </si>
  <si>
    <t>N1-56</t>
  </si>
  <si>
    <t>N1-57</t>
  </si>
  <si>
    <t>Температура подшипника №1 ЭД сетевого насоса СН-2</t>
  </si>
  <si>
    <t>Соединительная коробка СК-1 СН-2</t>
  </si>
  <si>
    <t>Температура подшипника №2 ЭД сетевого насоса СН-2</t>
  </si>
  <si>
    <t>Температура подшипника №3 ЭД сетевого насоса СН-2</t>
  </si>
  <si>
    <t>Температура подшипника №4 ЭД сетевого насоса СН-2</t>
  </si>
  <si>
    <t>Температура обмоток электродвигателя фаза U сетевого насоса СН-2</t>
  </si>
  <si>
    <t>Соединительная коробка СК-2 СН-2</t>
  </si>
  <si>
    <t>Температура обмоток электродвигателя фаза V сетевого насоса СН-2</t>
  </si>
  <si>
    <t>Температура обмоток электродвигателя фаза W сетевого насоса СН-2</t>
  </si>
  <si>
    <t>Ток ЭД сетевого насоса СН-2</t>
  </si>
  <si>
    <t>Электродвигатель сетевого насоса СН-2</t>
  </si>
  <si>
    <t>Соединительная коробка СК-3 СН-2</t>
  </si>
  <si>
    <t>N1NDC02CT102</t>
  </si>
  <si>
    <t>N1NDC02CT104</t>
  </si>
  <si>
    <t>N1NDC02CT106</t>
  </si>
  <si>
    <t>N1NDC02CT107</t>
  </si>
  <si>
    <t>N1NDC02CY001</t>
  </si>
  <si>
    <t>N1NDC02CY002</t>
  </si>
  <si>
    <t>N1NDC02CY003</t>
  </si>
  <si>
    <t>N1NDC02CY004</t>
  </si>
  <si>
    <t>N1NDC02CY005</t>
  </si>
  <si>
    <t>N1NDC02CY006</t>
  </si>
  <si>
    <t>N1NDC02CY007</t>
  </si>
  <si>
    <t>N1NDC02CY008</t>
  </si>
  <si>
    <t>N1NDC02CY009</t>
  </si>
  <si>
    <t>N1NDC02CY010</t>
  </si>
  <si>
    <t>N1NDC02CY011</t>
  </si>
  <si>
    <t>N1NDC02CY012</t>
  </si>
  <si>
    <t>A3.21</t>
  </si>
  <si>
    <t>A3.11</t>
  </si>
  <si>
    <t>I секция РУ-6кВ Ячейка №3</t>
  </si>
  <si>
    <t>N1NDC03CT102</t>
  </si>
  <si>
    <t>N1NDC03CT104</t>
  </si>
  <si>
    <t>N1NDC03CT106</t>
  </si>
  <si>
    <t>N1NDC03CT107</t>
  </si>
  <si>
    <t>N1NDC03CY001</t>
  </si>
  <si>
    <t>N1NDC03CY002</t>
  </si>
  <si>
    <t>N1NDC03CY003</t>
  </si>
  <si>
    <t>N1NDC03CY004</t>
  </si>
  <si>
    <t>N1NDC03CY005</t>
  </si>
  <si>
    <t>N1NDC03CY006</t>
  </si>
  <si>
    <t>N1NDC03CY007</t>
  </si>
  <si>
    <t>N1NDC03CY008</t>
  </si>
  <si>
    <t>N1NDC03CY009</t>
  </si>
  <si>
    <t>N1NDC03CY010</t>
  </si>
  <si>
    <t>N1NDC03CY011</t>
  </si>
  <si>
    <t>N1NDC03CY012</t>
  </si>
  <si>
    <t>Температура подшипника №1 ЭД сетевого насоса СН-3</t>
  </si>
  <si>
    <t>Соединительная коробка СК-1 СН-3</t>
  </si>
  <si>
    <t>Температура подшипника №2 ЭД сетевого насоса СН-3</t>
  </si>
  <si>
    <t>Температура подшипника №3 ЭД сетевого насоса СН-3</t>
  </si>
  <si>
    <t>Температура подшипника №4 ЭД сетевого насоса СН-3</t>
  </si>
  <si>
    <t>Температура обмоток электродвигателя фаза U сетевого насоса СН-3</t>
  </si>
  <si>
    <t>Соединительная коробка СК-2 СН-3</t>
  </si>
  <si>
    <t>Температура обмоток электродвигателя фаза V сетевого насоса СН-3</t>
  </si>
  <si>
    <t>Температура обмоток электродвигателя фаза W сетевого насоса СН-3</t>
  </si>
  <si>
    <t>Ток ЭД сетевого насоса СН-3</t>
  </si>
  <si>
    <t>Электродвигатель сетевого насоса СН-3</t>
  </si>
  <si>
    <t>Соединительная коробка СК-3 СН-3</t>
  </si>
  <si>
    <t>N1-58</t>
  </si>
  <si>
    <t>N1-59</t>
  </si>
  <si>
    <t>N1-60</t>
  </si>
  <si>
    <t>N1-61</t>
  </si>
  <si>
    <t>N1-62</t>
  </si>
  <si>
    <t>A3.13</t>
  </si>
  <si>
    <t>II секция РУ-6кВ Ячейка №9</t>
  </si>
  <si>
    <t>Температура подшипника №1 ЭД сетевого насоса СН-4</t>
  </si>
  <si>
    <t>Соединительная коробка СК-1 СН-4</t>
  </si>
  <si>
    <t>Температура подшипника №2 ЭД сетевого насоса СН-4</t>
  </si>
  <si>
    <t>Температура подшипника №3 ЭД сетевого насоса СН-4</t>
  </si>
  <si>
    <t>Температура подшипника №4 ЭД сетевого насоса СН-4</t>
  </si>
  <si>
    <t>Температура обмоток электродвигателя фаза U сетевого насоса СН-4</t>
  </si>
  <si>
    <t>Соединительная коробка СК-2 СН-4</t>
  </si>
  <si>
    <t>Температура обмоток электродвигателя фаза V сетевого насоса СН-4</t>
  </si>
  <si>
    <t>Температура обмоток электродвигателя фаза W сетевого насоса СН-4</t>
  </si>
  <si>
    <t>Ток ЭД сетевого насоса СН-4</t>
  </si>
  <si>
    <t>Электродвигатель сетевого насоса СН-4</t>
  </si>
  <si>
    <t>Соединительная коробка СК-3 СН-4</t>
  </si>
  <si>
    <t>N1NDC04CT102</t>
  </si>
  <si>
    <t>N1NDC04CT104</t>
  </si>
  <si>
    <t>N1NDC04CT106</t>
  </si>
  <si>
    <t>N1NDC04CT107</t>
  </si>
  <si>
    <t>N1NDC04CY001</t>
  </si>
  <si>
    <t>N1NDC04CY002</t>
  </si>
  <si>
    <t>N1NDC04CY003</t>
  </si>
  <si>
    <t>N1NDC04CY004</t>
  </si>
  <si>
    <t>N1NDC04CY005</t>
  </si>
  <si>
    <t>N1NDC04CY006</t>
  </si>
  <si>
    <t>N1NDC04CY007</t>
  </si>
  <si>
    <t>N1NDC04CY008</t>
  </si>
  <si>
    <t>N1NDC04CY009</t>
  </si>
  <si>
    <t>N1NDC04CY010</t>
  </si>
  <si>
    <t>N1NDC04CY011</t>
  </si>
  <si>
    <t>N1NDC04CY012</t>
  </si>
  <si>
    <t>N1-63</t>
  </si>
  <si>
    <t>N1-64</t>
  </si>
  <si>
    <t>N1-65</t>
  </si>
  <si>
    <t>N1-66</t>
  </si>
  <si>
    <t>N1-67</t>
  </si>
  <si>
    <t>A3.15</t>
  </si>
  <si>
    <t>II секция РУ-6кВ Ячейка №10</t>
  </si>
  <si>
    <t>N1-68</t>
  </si>
  <si>
    <t>Сигналы с ША ПЧВМ СН-1 - СН-4</t>
  </si>
  <si>
    <t>ША ПЧВМ СН-1 - СН-4</t>
  </si>
  <si>
    <t>E1-Eth1</t>
  </si>
  <si>
    <t>E2-Eth1</t>
  </si>
  <si>
    <t>N1-Eth1</t>
  </si>
  <si>
    <t>N2-Eth1</t>
  </si>
  <si>
    <t>E1-Eth2</t>
  </si>
  <si>
    <t>E2-Eth2</t>
  </si>
  <si>
    <t>N1-Eth2</t>
  </si>
  <si>
    <t>N2-Eth2</t>
  </si>
  <si>
    <t>Давление воды после пожарных насосов. Датчик 1</t>
  </si>
  <si>
    <t>N1-ПТ2</t>
  </si>
  <si>
    <t>Давление воды после пожарных насосов. Датчик 2</t>
  </si>
  <si>
    <t>N1-ПТ3</t>
  </si>
  <si>
    <t>ТОЛ-П-8У-2.7 кН</t>
  </si>
  <si>
    <t>Затвор дисковый Т-1 тепловывод "A"</t>
  </si>
  <si>
    <t>N1-70</t>
  </si>
  <si>
    <t>Шкаф управления запорной арматурой ШУЗ (N1CDA01)</t>
  </si>
  <si>
    <t>Затвор дисковый Т-2 тепловывод "B"</t>
  </si>
  <si>
    <t>N1-72</t>
  </si>
  <si>
    <t>Затвор дисковый Т-3 тепловывод "С"</t>
  </si>
  <si>
    <t>N1-74</t>
  </si>
  <si>
    <t>Затвор дисковый Т-4 на подаче сетевой воды в ГИГ</t>
  </si>
  <si>
    <t>Затвор дисковый Т-5 на выходе сетевой воды из ГИГ</t>
  </si>
  <si>
    <t>Затвор дисковый Т-6 на трубопроводе помимо ГИГ</t>
  </si>
  <si>
    <t>Затвор дисковый Т-7 на отключение здания теплообменников по сетевой воде</t>
  </si>
  <si>
    <t>N1-76</t>
  </si>
  <si>
    <t>N1-78</t>
  </si>
  <si>
    <t>N1-80</t>
  </si>
  <si>
    <t>N1-82</t>
  </si>
  <si>
    <t>N1-84</t>
  </si>
  <si>
    <t>N1-86</t>
  </si>
  <si>
    <t>N1-88</t>
  </si>
  <si>
    <t>N1-90</t>
  </si>
  <si>
    <t>N1-92</t>
  </si>
  <si>
    <t>N1-94</t>
  </si>
  <si>
    <t>N1-96</t>
  </si>
  <si>
    <t>N1-98</t>
  </si>
  <si>
    <t>N1-100</t>
  </si>
  <si>
    <t>N1-102</t>
  </si>
  <si>
    <t>N1-104</t>
  </si>
  <si>
    <t>N1-106</t>
  </si>
  <si>
    <t>Затвор дисковый Т-8 на входе насосной группы №1</t>
  </si>
  <si>
    <t>Затвор дисковый Т-9 на входе насосной группы №2</t>
  </si>
  <si>
    <t>Затвор дисковый Т-10 на всасе СН №1</t>
  </si>
  <si>
    <t>Затвор дисковый Т-11 на напоре СН №1</t>
  </si>
  <si>
    <t>Затвор дисковый Т-12 на всасе СН №2</t>
  </si>
  <si>
    <t>Затвор дисковый Т-13 на напоре СН №2</t>
  </si>
  <si>
    <t>Затвор дисковый Т-14 на всасе СН №3</t>
  </si>
  <si>
    <t>Затвор дисковый Т-15 на напоре СН №3</t>
  </si>
  <si>
    <t>Затвор дисковый Т-16 на всасе СН №4</t>
  </si>
  <si>
    <t>Затвор дисковый Т-17 на напоре СН №4</t>
  </si>
  <si>
    <t>Затвор дисковый Т-18 на выходе насосной группы №1</t>
  </si>
  <si>
    <t>Затвор дисковый Т-19 на выходе насосной группы №2</t>
  </si>
  <si>
    <t>Затвор дисковый Т-20 на выходе сетевой воды из ТА-1</t>
  </si>
  <si>
    <t>N1-108</t>
  </si>
  <si>
    <t>N1-110</t>
  </si>
  <si>
    <t>N1-112</t>
  </si>
  <si>
    <t>N1-114</t>
  </si>
  <si>
    <t>N1-116</t>
  </si>
  <si>
    <t>N1-118</t>
  </si>
  <si>
    <t>N1-120</t>
  </si>
  <si>
    <t>N1-122</t>
  </si>
  <si>
    <t>N1-124</t>
  </si>
  <si>
    <t>Затвор дисковый Т-21 на выходе сетевой воды из ТА-2</t>
  </si>
  <si>
    <t>Затвор дисковый Т-22 на выходе сетевой воды из ТА-3</t>
  </si>
  <si>
    <t>Затвор дисковый Т-23 на выходе сетевой воды из ТА-4</t>
  </si>
  <si>
    <t>Затвор дисковый Т-24 на выходе сетевой воды из ТА-5</t>
  </si>
  <si>
    <t>Затвор дисковый Т-25 на выходе сетевой воды из ТА-6</t>
  </si>
  <si>
    <t>Затвор дисковый Т-26 на выходе сетевой воды из ТА-7</t>
  </si>
  <si>
    <t>Затвор дисковый Т-27 на выходе сетевой воды из ТА-8</t>
  </si>
  <si>
    <t>Затвор дисковый Т-28 на выходе сетевой воды из ТА-9</t>
  </si>
  <si>
    <t>N1-126</t>
  </si>
  <si>
    <t>N1-128</t>
  </si>
  <si>
    <t>N1-130</t>
  </si>
  <si>
    <t>31X</t>
  </si>
  <si>
    <t>Затвор дисковый Т-29 тепловывод "A"</t>
  </si>
  <si>
    <t>Затвор дисковый Т-30 тепловывод "B"</t>
  </si>
  <si>
    <t>Затвор дисковый Т-31 тепловывод "C"</t>
  </si>
  <si>
    <t>N1-132</t>
  </si>
  <si>
    <t>N1-134</t>
  </si>
  <si>
    <t>N1-136</t>
  </si>
  <si>
    <t>N1-138</t>
  </si>
  <si>
    <t>N1-140</t>
  </si>
  <si>
    <t>N1-142</t>
  </si>
  <si>
    <t>N1-144</t>
  </si>
  <si>
    <t>N1-146</t>
  </si>
  <si>
    <t>N1-148</t>
  </si>
  <si>
    <t>Затвор дисковый К-17 на выходе котловой воды из ТА-1</t>
  </si>
  <si>
    <t>Затвор дисковый К-18 на выходе котловой воды из ТА-2</t>
  </si>
  <si>
    <t>Затвор дисковый К-19 на выходе котловой воды из ТА-3</t>
  </si>
  <si>
    <t>Затвор дисковый К-20 на выходе котловой воды из ТА-4</t>
  </si>
  <si>
    <t>Затвор дисковый К-21 на выходе котловой воды из ТА-5</t>
  </si>
  <si>
    <t>Затвор дисковый К-22 на выходе котловой воды из ТА-6</t>
  </si>
  <si>
    <t>Затвор дисковый К-23 на выходе котловой воды из ТА-7</t>
  </si>
  <si>
    <t>Затвор дисковый К-24 на выходе котловой воды из ТА-8</t>
  </si>
  <si>
    <t>Затвор дисковый К-25 на выходе котловой воды из ТА-9</t>
  </si>
  <si>
    <t>N1-150</t>
  </si>
  <si>
    <t>N1-152</t>
  </si>
  <si>
    <t>N1-154</t>
  </si>
  <si>
    <t>42X</t>
  </si>
  <si>
    <t>Затвор дисковый секционирующий Т-1С на входе сетевой воды в теплообменники</t>
  </si>
  <si>
    <t>Затвор дисковый секционирующий Т-2С на выходе сетевой воды из теплообменников</t>
  </si>
  <si>
    <t>Затвор дисковый зТА-0 помимо регуляторов расхода</t>
  </si>
  <si>
    <t>Регулирующий клапан РДТА-1 на линии помимо теплообменников</t>
  </si>
  <si>
    <t>N1-158</t>
  </si>
  <si>
    <t>N1-159</t>
  </si>
  <si>
    <t>44X</t>
  </si>
  <si>
    <t>Регулирующий клапан РДТА-2 на линии помимо теплообменников</t>
  </si>
  <si>
    <t>N1-162</t>
  </si>
  <si>
    <t>N1-163</t>
  </si>
  <si>
    <t>45X</t>
  </si>
  <si>
    <t>Регулирующий клапан РД-79 аварийной подпитки сырой водой</t>
  </si>
  <si>
    <t>N1-166</t>
  </si>
  <si>
    <t>N1-167</t>
  </si>
  <si>
    <t>46X</t>
  </si>
  <si>
    <t>Регулирующий клапан РД-80 на линии подпитки теплосети</t>
  </si>
  <si>
    <t>N1-170</t>
  </si>
  <si>
    <t>N1-171</t>
  </si>
  <si>
    <t>N1-172</t>
  </si>
  <si>
    <t>Затвор дисковый С-10 от аккумуляторной насосной</t>
  </si>
  <si>
    <t>Затвор дисковый С-71 на линии подпитки теплосети</t>
  </si>
  <si>
    <t>N1-174</t>
  </si>
  <si>
    <t>49X</t>
  </si>
  <si>
    <t>Регулирующий клапан РД-75 от аккумуляторной насосной</t>
  </si>
  <si>
    <t>N1-178</t>
  </si>
  <si>
    <t>N1-179</t>
  </si>
  <si>
    <t>50X</t>
  </si>
  <si>
    <t>N1-180</t>
  </si>
  <si>
    <t>51X</t>
  </si>
  <si>
    <t>Затвор дисковый секционирующий К-3С на входе котловой воды в теплообменники</t>
  </si>
  <si>
    <t>N1-182</t>
  </si>
  <si>
    <t>52X</t>
  </si>
  <si>
    <t>Затвор дисковый секционирующий К-4С на выходе котловой воды из теплообменников</t>
  </si>
  <si>
    <t>N1-184</t>
  </si>
  <si>
    <t>N1-ПТ5</t>
  </si>
  <si>
    <t>Давление воды до пожарных насосов ниже уставки. Датчик "сухого хода"</t>
  </si>
  <si>
    <t>Шкаф пожаротушения ШУВН</t>
  </si>
  <si>
    <t>TmDo10+</t>
  </si>
  <si>
    <t>TmDo10-</t>
  </si>
  <si>
    <t>TmDo9+</t>
  </si>
  <si>
    <t>TmDo9-</t>
  </si>
  <si>
    <t>TmDo8+</t>
  </si>
  <si>
    <t>TmDo7+</t>
  </si>
  <si>
    <t>TmDo6+</t>
  </si>
  <si>
    <t>TmDo5+</t>
  </si>
  <si>
    <t>TmDo4+</t>
  </si>
  <si>
    <t>TmDo4-</t>
  </si>
  <si>
    <t>TmDo5-</t>
  </si>
  <si>
    <t>TmDo6-</t>
  </si>
  <si>
    <t>TmDo7-</t>
  </si>
  <si>
    <t>TmDo8-</t>
  </si>
  <si>
    <t>WcpDo4+</t>
  </si>
  <si>
    <t>WcpDo4-</t>
  </si>
  <si>
    <t>WcpDo5+</t>
  </si>
  <si>
    <t>WcpDo5-</t>
  </si>
  <si>
    <t>WcpDo6+</t>
  </si>
  <si>
    <t>WcpDo6-</t>
  </si>
  <si>
    <t>WcpDo7+</t>
  </si>
  <si>
    <t>WcpDo7-</t>
  </si>
  <si>
    <t>WcpDo8+</t>
  </si>
  <si>
    <t>WcpDo8-</t>
  </si>
  <si>
    <t>WcpDo9+</t>
  </si>
  <si>
    <t>WcpDo9-</t>
  </si>
  <si>
    <t>WcpDo10-</t>
  </si>
  <si>
    <t>WcpDo10+</t>
  </si>
  <si>
    <t>KLcp10</t>
  </si>
  <si>
    <t>WcpKl1-</t>
  </si>
  <si>
    <t>WcpKl2-</t>
  </si>
  <si>
    <t>WcpKl3-</t>
  </si>
  <si>
    <t>WcpKl4-</t>
  </si>
  <si>
    <t>WcpKl10-</t>
  </si>
  <si>
    <t>WcpKl10+</t>
  </si>
  <si>
    <t>Desc3</t>
  </si>
  <si>
    <t>Desc4</t>
  </si>
  <si>
    <t>Desc5</t>
  </si>
  <si>
    <t>Desc6</t>
  </si>
  <si>
    <t>Desc7</t>
  </si>
  <si>
    <t>Desc8</t>
  </si>
  <si>
    <t>Desc9</t>
  </si>
  <si>
    <t>Desc10</t>
  </si>
  <si>
    <t>Tpp15</t>
  </si>
  <si>
    <t>Tpp16</t>
  </si>
  <si>
    <t>Tpp17</t>
  </si>
  <si>
    <t>Tpp18</t>
  </si>
  <si>
    <t>Tpp19</t>
  </si>
  <si>
    <t>Tpp20</t>
  </si>
  <si>
    <t>WcpKl8</t>
  </si>
  <si>
    <t>ch1</t>
  </si>
  <si>
    <t>chCom</t>
  </si>
  <si>
    <t>ch2</t>
  </si>
  <si>
    <t>A3.19</t>
  </si>
  <si>
    <t>Дверь шкафа открыта (Зд)</t>
  </si>
  <si>
    <t>Питание датчиков 220В включено (Зд)</t>
  </si>
  <si>
    <t>Питание цепей внутренних сигналов включено (Зд)</t>
  </si>
  <si>
    <t>Питание цепей внешних сигналов включено (Зд)</t>
  </si>
  <si>
    <t>Питание ИБП в норме (Зд)</t>
  </si>
  <si>
    <t>Ввод 1 включен (Зд)</t>
  </si>
  <si>
    <t>Питание ввода №1 в норме (Зд)</t>
  </si>
  <si>
    <t>N1NDA10 CP001</t>
  </si>
  <si>
    <t>N1NDB10 CP003</t>
  </si>
  <si>
    <t>N1NDB10 CP004</t>
  </si>
  <si>
    <t>N1NDC01 CP001</t>
  </si>
  <si>
    <t>N1NDC01 CP002</t>
  </si>
  <si>
    <t>N1NDC02 CP001</t>
  </si>
  <si>
    <t>N1NDC02 CP002</t>
  </si>
  <si>
    <t>N1NDC03 CP001</t>
  </si>
  <si>
    <t>N1NDC03 CP002</t>
  </si>
  <si>
    <t>N1NDC04 CP001</t>
  </si>
  <si>
    <t>N1NDC04 CP002</t>
  </si>
  <si>
    <t>N1NDB20 CP001</t>
  </si>
  <si>
    <t>N1GAD11 CP001</t>
  </si>
  <si>
    <t>N1NDB11 CP002</t>
  </si>
  <si>
    <t>N1NDB11 CP003</t>
  </si>
  <si>
    <t>N1NDB12 CP002</t>
  </si>
  <si>
    <t>N1NDB12 CP003</t>
  </si>
  <si>
    <t>N1NDB10 CP005</t>
  </si>
  <si>
    <t>N1NDB11 CP001</t>
  </si>
  <si>
    <t>N1NDB12 CP001</t>
  </si>
  <si>
    <t>N1NDB10 CP001</t>
  </si>
  <si>
    <t>N1NDB10 CP002</t>
  </si>
  <si>
    <t>N1SGA01 CP001</t>
  </si>
  <si>
    <t>N1SGA01 CP002</t>
  </si>
  <si>
    <t>N1NDA10 CT002</t>
  </si>
  <si>
    <t>N1NDD01 CT002</t>
  </si>
  <si>
    <t>N1NDD02 CT002</t>
  </si>
  <si>
    <t>N1NDD03 CT002</t>
  </si>
  <si>
    <t>N1NDD04 CT002</t>
  </si>
  <si>
    <t>N1NDD05 CT002</t>
  </si>
  <si>
    <t>N1NDD06 CT002</t>
  </si>
  <si>
    <t>N1NDD07 CT002</t>
  </si>
  <si>
    <t>N1NDD08 CT002</t>
  </si>
  <si>
    <t>N1NDD09 CT002</t>
  </si>
  <si>
    <t>N1NDF10 CT001</t>
  </si>
  <si>
    <t>N1NDD01 CT004</t>
  </si>
  <si>
    <t>N1NDD02 CT004</t>
  </si>
  <si>
    <t>N1NDD03 CT004</t>
  </si>
  <si>
    <t>N1NDD04 CT004</t>
  </si>
  <si>
    <t>N1NDD05 CT004</t>
  </si>
  <si>
    <t>N1NDD06 CT004</t>
  </si>
  <si>
    <t>N1NDD07 CT004</t>
  </si>
  <si>
    <t>N1NDD08 CT004</t>
  </si>
  <si>
    <t>N1NDD09 CT004</t>
  </si>
  <si>
    <t>N1NDB10 CT001</t>
  </si>
  <si>
    <t>N1NDB20 CT001</t>
  </si>
  <si>
    <t>N1GAD11 CT001</t>
  </si>
  <si>
    <t>N1NDK10 CT001</t>
  </si>
  <si>
    <t>N1NDB10 CT002</t>
  </si>
  <si>
    <t>N1NDC01 CT101</t>
  </si>
  <si>
    <t>N1NDC01 CT103</t>
  </si>
  <si>
    <t>N1NDC01 CT105</t>
  </si>
  <si>
    <t>N1NDC02 CT101</t>
  </si>
  <si>
    <t>N1NDC02 CT103</t>
  </si>
  <si>
    <t>N1NDC02 CT105</t>
  </si>
  <si>
    <t>N1NDC03 CT101</t>
  </si>
  <si>
    <t>N1NDC03 CT103</t>
  </si>
  <si>
    <t>N1NDC03 CT105</t>
  </si>
  <si>
    <t>N1NDC04 CT101</t>
  </si>
  <si>
    <t>N1NDC04 CT103</t>
  </si>
  <si>
    <t>N1NDC04 CT105</t>
  </si>
  <si>
    <t>N1NDB01 AA001</t>
  </si>
  <si>
    <t>N1NDB02 AA001</t>
  </si>
  <si>
    <t>N1NDB03 AA001</t>
  </si>
  <si>
    <t>N1NDB10 AA001</t>
  </si>
  <si>
    <t>N1NDB10 AA002</t>
  </si>
  <si>
    <t>N1NDB10 AA003</t>
  </si>
  <si>
    <t>N1NDB10 AA004</t>
  </si>
  <si>
    <t>N1NDB11 AA001</t>
  </si>
  <si>
    <t>N1NDB12 AA001</t>
  </si>
  <si>
    <t>N1NDC01 AA001</t>
  </si>
  <si>
    <t>N1NDC01 AA002</t>
  </si>
  <si>
    <t>N1NDC02 AA001</t>
  </si>
  <si>
    <t>N1NDC02 AA002</t>
  </si>
  <si>
    <t>N1NDC03 AA001</t>
  </si>
  <si>
    <t>N1NDC03 AA002</t>
  </si>
  <si>
    <t>N1NDC04 AA001</t>
  </si>
  <si>
    <t>N1NDC04 AA002</t>
  </si>
  <si>
    <t>N1NDB11 AA002</t>
  </si>
  <si>
    <t>N1NDB12 AA002</t>
  </si>
  <si>
    <t>N1NDD01 AA002</t>
  </si>
  <si>
    <t>N1NDD02 AA002</t>
  </si>
  <si>
    <t>N1NDD03 AA002</t>
  </si>
  <si>
    <t>N1NDD04 AA002</t>
  </si>
  <si>
    <t>N1NDD05 AA002</t>
  </si>
  <si>
    <t>N1NDD06 AA002</t>
  </si>
  <si>
    <t>N1NDD07 AA002</t>
  </si>
  <si>
    <t>N1NDD08 AA002</t>
  </si>
  <si>
    <t>N1NDD09 AA002</t>
  </si>
  <si>
    <t>N1NDA01 AA001</t>
  </si>
  <si>
    <t>N1NDA02 AA001</t>
  </si>
  <si>
    <t>N1NDA03 AA001</t>
  </si>
  <si>
    <t>N1NDD01 AA004</t>
  </si>
  <si>
    <t>N1NDD02 AA004</t>
  </si>
  <si>
    <t>N1NDD03 AA004</t>
  </si>
  <si>
    <t>N1NDD04 AA004</t>
  </si>
  <si>
    <t>N1NDD05 AA004</t>
  </si>
  <si>
    <t>N1NDD06 AA004</t>
  </si>
  <si>
    <t>N1NDD07 AA004</t>
  </si>
  <si>
    <t>N1NDD08 AA004</t>
  </si>
  <si>
    <t>N1NDD09 AA004</t>
  </si>
  <si>
    <t>N1NDB20 AA001</t>
  </si>
  <si>
    <t>N1NDA10 AA001</t>
  </si>
  <si>
    <t>N1NDB23 AA001</t>
  </si>
  <si>
    <t>N1NDB21 AA801</t>
  </si>
  <si>
    <t>N1NDB22 AA801</t>
  </si>
  <si>
    <t>N1GAD11 AA801</t>
  </si>
  <si>
    <t>N1NDK10 AA801</t>
  </si>
  <si>
    <t>N1NDE10 AA002</t>
  </si>
  <si>
    <t>N1NDK10 AA001</t>
  </si>
  <si>
    <t>N1NDE10 AA802</t>
  </si>
  <si>
    <t>N1NDF10 AA001</t>
  </si>
  <si>
    <t>N1NDG20 AA001</t>
  </si>
  <si>
    <t>N1NDC01 CE012</t>
  </si>
  <si>
    <t>N1NDC01 AP001</t>
  </si>
  <si>
    <t>N1NDC02 CE012</t>
  </si>
  <si>
    <t>N1NDC02 AP001</t>
  </si>
  <si>
    <t>N1NDC03 CE012</t>
  </si>
  <si>
    <t>N1NDC03 AP001</t>
  </si>
  <si>
    <t>N1NDC04 CE012</t>
  </si>
  <si>
    <t>N1NDC04 AP001</t>
  </si>
  <si>
    <t>N1CDA01 GH001</t>
  </si>
  <si>
    <t>N1CJU01 GH001</t>
  </si>
  <si>
    <t>N1CJU01 GH003</t>
  </si>
  <si>
    <t>N1CJU01 GH005</t>
  </si>
  <si>
    <t>N1CJU01 GH006</t>
  </si>
  <si>
    <t>N1CJU01 GH007</t>
  </si>
  <si>
    <t>N1CJU01 GH008</t>
  </si>
  <si>
    <t>N1CJU01 GH009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</si>
</sst>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8"/>
      <name val="Calibri"/>
      <family val="2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  <xf numFmtId="0" fontId="3" fillId="0" borderId="0" xfId="0" applyFont="1" applyAlignment="1">
      <alignment horizontal="left" vertic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2" xfId="0" applyFill="1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left"/>
    </xf>
    <xf numFmtId="1" fontId="0" fillId="0" borderId="0" xfId="0" applyNumberFormat="1" applyAlignment="1">
      <alignment horizontal="left"/>
    </xf>
    <xf numFmtId="0" fontId="0" fillId="0" borderId="8" xfId="0" applyBorder="1"/>
    <xf numFmtId="0" fontId="0" fillId="0" borderId="9" xfId="0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4" xfId="0" applyBorder="1"/>
    <xf numFmtId="0" fontId="0" fillId="2" borderId="15" xfId="0" applyFill="1" applyBorder="1"/>
    <xf numFmtId="0" fontId="0" fillId="0" borderId="7" xfId="0" applyBorder="1"/>
    <xf numFmtId="0" fontId="0" fillId="0" borderId="9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12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27" xfId="0" applyBorder="1"/>
    <xf numFmtId="0" fontId="0" fillId="3" borderId="0" xfId="0" applyFill="1"/>
    <xf numFmtId="1" fontId="0" fillId="0" borderId="0" xfId="0" applyNumberFormat="1"/>
    <xf numFmtId="0" fontId="0" fillId="0" borderId="0" xfId="0" applyAlignment="1">
      <alignment horizontal="right" vertical="center"/>
    </xf>
    <xf numFmtId="0" fontId="0" fillId="4" borderId="0" xfId="0" applyFill="1"/>
    <xf numFmtId="0" fontId="0" fillId="0" borderId="12" xfId="0" applyBorder="1" applyAlignment="1">
      <alignment wrapText="1"/>
    </xf>
    <xf numFmtId="0" fontId="2" fillId="0" borderId="0" xfId="0" applyFont="1"/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0" xfId="0" applyBorder="1" applyAlignment="1">
      <alignment horizontal="right"/>
    </xf>
    <xf numFmtId="0" fontId="1" fillId="0" borderId="0" xfId="0" applyFont="1"/>
  </cellXfs>
  <cellStyles count="1">
    <cellStyle name="Обычный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Илья Чураков" id="{1BBA9C37-440F-4406-BC90-B03034B3364F}" userId="60dee7a27dd0a6c3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25" dT="2025-07-03T10:31:53.28" personId="{1BBA9C37-440F-4406-BC90-B03034B3364F}" id="{D3B0118F-DD0F-48F6-9A58-CF2A997A7300}">
    <text>нужна схема шкафа ШУЗ зд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V132"/>
  <sheetViews>
    <sheetView tabSelected="1" zoomScale="85" zoomScaleNormal="85" workbookViewId="0">
      <pane ySplit="1" topLeftCell="A2" activePane="bottomLeft" state="frozen"/>
      <selection pane="bottomLeft" activeCell="B16" sqref="B16"/>
    </sheetView>
  </sheetViews>
  <sheetFormatPr defaultRowHeight="15" x14ac:dyDescent="0.25"/>
  <cols>
    <col min="1" max="1" width="19.28515625" bestFit="1" customWidth="1"/>
    <col min="2" max="2" width="90.28515625" bestFit="1" customWidth="1"/>
    <col min="3" max="3" width="29.140625" bestFit="1" customWidth="1"/>
    <col min="4" max="4" width="10.42578125" hidden="1" customWidth="1"/>
    <col min="5" max="15" width="9.140625" hidden="1" customWidth="1"/>
    <col min="17" max="19" width="9.140625" hidden="1" customWidth="1"/>
    <col min="20" max="20" width="7.5703125" bestFit="1" customWidth="1"/>
    <col min="21" max="21" width="10.140625" bestFit="1" customWidth="1"/>
    <col min="22" max="22" width="13.140625" bestFit="1" customWidth="1"/>
    <col min="23" max="23" width="14.85546875" bestFit="1" customWidth="1"/>
    <col min="24" max="24" width="7.7109375" bestFit="1" customWidth="1"/>
    <col min="25" max="25" width="9.140625" bestFit="1" customWidth="1"/>
    <col min="26" max="26" width="8.140625" bestFit="1" customWidth="1"/>
    <col min="27" max="27" width="7.28515625" bestFit="1" customWidth="1"/>
    <col min="28" max="28" width="7.7109375" customWidth="1"/>
    <col min="29" max="29" width="10.28515625" bestFit="1" customWidth="1"/>
    <col min="30" max="30" width="9.140625" bestFit="1" customWidth="1"/>
    <col min="31" max="31" width="8.140625" bestFit="1" customWidth="1"/>
    <col min="32" max="32" width="7.28515625" customWidth="1"/>
    <col min="33" max="33" width="7.7109375" customWidth="1"/>
    <col min="34" max="34" width="6.42578125" customWidth="1"/>
    <col min="35" max="35" width="9.7109375" style="47" bestFit="1" customWidth="1"/>
    <col min="36" max="36" width="8.7109375" style="47" bestFit="1" customWidth="1"/>
    <col min="37" max="37" width="7.85546875" customWidth="1"/>
    <col min="38" max="38" width="8.28515625" customWidth="1"/>
    <col min="39" max="39" width="5.42578125" customWidth="1"/>
    <col min="40" max="41" width="6.42578125" customWidth="1"/>
    <col min="42" max="42" width="27" bestFit="1" customWidth="1"/>
    <col min="43" max="43" width="59.140625" bestFit="1" customWidth="1"/>
    <col min="44" max="44" width="40.42578125" customWidth="1"/>
    <col min="45" max="45" width="12.140625" customWidth="1"/>
    <col min="46" max="46" width="26.42578125" customWidth="1"/>
    <col min="47" max="47" width="26.5703125" customWidth="1"/>
    <col min="48" max="48" width="3.140625" customWidth="1"/>
    <col min="49" max="49" width="4.28515625" customWidth="1"/>
    <col min="50" max="50" width="3.85546875" customWidth="1"/>
    <col min="51" max="51" width="5" customWidth="1"/>
    <col min="52" max="52" width="6" customWidth="1"/>
    <col min="53" max="53" width="5.7109375" customWidth="1"/>
    <col min="54" max="54" width="5.28515625" customWidth="1"/>
    <col min="55" max="55" width="6.28515625" customWidth="1"/>
    <col min="56" max="56" width="7.7109375" bestFit="1" customWidth="1"/>
    <col min="57" max="57" width="6.42578125" bestFit="1" customWidth="1"/>
    <col min="58" max="58" width="7.28515625" customWidth="1"/>
    <col min="59" max="59" width="7.7109375" customWidth="1"/>
    <col min="60" max="60" width="7.28515625" customWidth="1"/>
    <col min="61" max="61" width="7.7109375" customWidth="1"/>
    <col min="62" max="62" width="7.28515625" customWidth="1"/>
    <col min="63" max="63" width="7.7109375" customWidth="1"/>
    <col min="64" max="64" width="7.28515625" customWidth="1"/>
    <col min="65" max="65" width="7.7109375" customWidth="1"/>
    <col min="66" max="66" width="7.28515625" customWidth="1"/>
    <col min="67" max="67" width="7.7109375" customWidth="1"/>
    <col min="68" max="68" width="7.85546875" customWidth="1"/>
    <col min="69" max="69" width="8.28515625" customWidth="1"/>
    <col min="70" max="70" width="7.85546875" customWidth="1"/>
    <col min="71" max="71" width="8.28515625" customWidth="1"/>
    <col min="72" max="72" width="8.42578125" customWidth="1"/>
    <col min="73" max="73" width="8.7109375" customWidth="1"/>
    <col min="74" max="74" width="8.42578125" customWidth="1"/>
    <col min="75" max="75" width="8.7109375" customWidth="1"/>
    <col min="76" max="76" width="8.42578125" customWidth="1"/>
    <col min="77" max="77" width="8.7109375" customWidth="1"/>
    <col min="78" max="78" width="8.42578125" customWidth="1"/>
    <col min="79" max="79" width="8.7109375" customWidth="1"/>
    <col min="80" max="80" width="8.42578125" customWidth="1"/>
    <col min="81" max="81" width="8.7109375" customWidth="1"/>
    <col min="82" max="82" width="8.42578125" customWidth="1"/>
    <col min="83" max="83" width="8.7109375" customWidth="1"/>
    <col min="84" max="84" width="9" customWidth="1"/>
    <col min="85" max="85" width="9.28515625" customWidth="1"/>
    <col min="86" max="86" width="9" customWidth="1"/>
    <col min="87" max="87" width="9.28515625" customWidth="1"/>
    <col min="88" max="88" width="9" customWidth="1"/>
    <col min="89" max="89" width="9.28515625" customWidth="1"/>
    <col min="90" max="98" width="7.140625" customWidth="1"/>
    <col min="99" max="102" width="9.7109375" customWidth="1"/>
    <col min="103" max="103" width="10.7109375" customWidth="1"/>
    <col min="104" max="104" width="10.5703125" bestFit="1" customWidth="1"/>
    <col min="105" max="105" width="11.7109375" customWidth="1"/>
    <col min="106" max="106" width="12.42578125" customWidth="1"/>
    <col min="107" max="108" width="9.7109375" customWidth="1"/>
    <col min="109" max="112" width="10.7109375" customWidth="1"/>
    <col min="113" max="114" width="3.5703125" customWidth="1"/>
    <col min="115" max="117" width="3.42578125" customWidth="1"/>
    <col min="118" max="118" width="4.42578125" customWidth="1"/>
    <col min="119" max="119" width="4.7109375" customWidth="1"/>
    <col min="120" max="128" width="5.28515625" customWidth="1"/>
    <col min="129" max="133" width="6.28515625" customWidth="1"/>
    <col min="134" max="142" width="5.42578125" customWidth="1"/>
    <col min="143" max="147" width="6.42578125" customWidth="1"/>
    <col min="148" max="169" width="9.140625" customWidth="1"/>
    <col min="170" max="171" width="10.7109375" bestFit="1" customWidth="1"/>
    <col min="172" max="173" width="9.5703125" bestFit="1" customWidth="1"/>
    <col min="174" max="175" width="10.5703125" bestFit="1" customWidth="1"/>
    <col min="176" max="176" width="12.85546875" bestFit="1" customWidth="1"/>
    <col min="177" max="177" width="13.42578125" bestFit="1" customWidth="1"/>
    <col min="178" max="179" width="3.5703125" bestFit="1" customWidth="1"/>
    <col min="180" max="181" width="3.42578125" bestFit="1" customWidth="1"/>
    <col min="182" max="182" width="4" bestFit="1" customWidth="1"/>
    <col min="183" max="183" width="4.42578125" bestFit="1" customWidth="1"/>
    <col min="184" max="197" width="5.28515625" bestFit="1" customWidth="1"/>
    <col min="198" max="201" width="6.42578125" bestFit="1" customWidth="1"/>
    <col min="202" max="214" width="9.140625" customWidth="1"/>
    <col min="215" max="216" width="12.42578125" bestFit="1" customWidth="1"/>
    <col min="217" max="240" width="9.140625" customWidth="1"/>
    <col min="241" max="249" width="14.42578125" customWidth="1"/>
    <col min="250" max="250" width="11.7109375" customWidth="1"/>
    <col min="251" max="251" width="12.42578125" customWidth="1"/>
    <col min="252" max="288" width="9.140625" customWidth="1"/>
    <col min="289" max="290" width="15.7109375" bestFit="1" customWidth="1"/>
    <col min="291" max="291" width="11.7109375" bestFit="1" customWidth="1"/>
    <col min="292" max="292" width="11.5703125" bestFit="1" customWidth="1"/>
    <col min="293" max="294" width="11.5703125" customWidth="1"/>
    <col min="295" max="299" width="5.140625" customWidth="1"/>
    <col min="300" max="306" width="9.140625" customWidth="1"/>
    <col min="307" max="308" width="10.5703125" customWidth="1"/>
    <col min="309" max="325" width="9.140625" customWidth="1"/>
    <col min="327" max="328" width="10.5703125" bestFit="1" customWidth="1"/>
    <col min="339" max="339" width="10.28515625" bestFit="1" customWidth="1"/>
    <col min="358" max="358" width="9.5703125" customWidth="1"/>
    <col min="378" max="378" width="14.5703125" bestFit="1" customWidth="1"/>
    <col min="382" max="382" width="12" bestFit="1" customWidth="1"/>
    <col min="397" max="397" width="5.42578125" bestFit="1" customWidth="1"/>
    <col min="398" max="401" width="5.42578125" customWidth="1"/>
    <col min="402" max="402" width="7.28515625" bestFit="1" customWidth="1"/>
    <col min="403" max="403" width="7.7109375" bestFit="1" customWidth="1"/>
    <col min="404" max="411" width="7.7109375" customWidth="1"/>
    <col min="412" max="412" width="11.7109375" bestFit="1" customWidth="1"/>
    <col min="413" max="413" width="11.5703125" bestFit="1" customWidth="1"/>
    <col min="414" max="414" width="11.7109375" bestFit="1" customWidth="1"/>
    <col min="415" max="415" width="11.5703125" bestFit="1" customWidth="1"/>
    <col min="416" max="423" width="11.5703125" customWidth="1"/>
    <col min="424" max="424" width="7.7109375" bestFit="1" customWidth="1"/>
    <col min="425" max="428" width="5.28515625" bestFit="1" customWidth="1"/>
    <col min="429" max="432" width="5.28515625" customWidth="1"/>
    <col min="433" max="433" width="4.42578125" bestFit="1" customWidth="1"/>
    <col min="434" max="434" width="4" bestFit="1" customWidth="1"/>
    <col min="435" max="435" width="4.42578125" bestFit="1" customWidth="1"/>
    <col min="436" max="436" width="4" bestFit="1" customWidth="1"/>
    <col min="437" max="438" width="4.85546875" bestFit="1" customWidth="1"/>
    <col min="439" max="441" width="5.28515625" bestFit="1" customWidth="1"/>
    <col min="465" max="465" width="10.5703125" bestFit="1" customWidth="1"/>
    <col min="466" max="466" width="10.7109375" bestFit="1" customWidth="1"/>
    <col min="467" max="467" width="10.5703125" bestFit="1" customWidth="1"/>
    <col min="468" max="468" width="10.7109375" bestFit="1" customWidth="1"/>
    <col min="469" max="469" width="10.5703125" bestFit="1" customWidth="1"/>
    <col min="470" max="470" width="10.7109375" bestFit="1" customWidth="1"/>
    <col min="471" max="471" width="11.5703125" bestFit="1" customWidth="1"/>
    <col min="472" max="472" width="11.7109375" bestFit="1" customWidth="1"/>
    <col min="473" max="473" width="11.5703125" bestFit="1" customWidth="1"/>
    <col min="474" max="474" width="11.7109375" bestFit="1" customWidth="1"/>
    <col min="475" max="475" width="11.5703125" bestFit="1" customWidth="1"/>
    <col min="476" max="476" width="11.7109375" customWidth="1"/>
    <col min="477" max="477" width="10.5703125" bestFit="1" customWidth="1"/>
    <col min="478" max="478" width="10.7109375" customWidth="1"/>
    <col min="479" max="479" width="10.5703125" bestFit="1" customWidth="1"/>
    <col min="480" max="480" width="10.7109375" bestFit="1" customWidth="1"/>
    <col min="481" max="481" width="10.5703125" bestFit="1" customWidth="1"/>
    <col min="482" max="482" width="10.7109375" bestFit="1" customWidth="1"/>
    <col min="483" max="483" width="10.5703125" bestFit="1" customWidth="1"/>
    <col min="484" max="484" width="10.7109375" bestFit="1" customWidth="1"/>
    <col min="485" max="485" width="10.5703125" bestFit="1" customWidth="1"/>
    <col min="486" max="486" width="10.7109375" bestFit="1" customWidth="1"/>
    <col min="487" max="487" width="11.5703125" bestFit="1" customWidth="1"/>
    <col min="488" max="488" width="11.7109375" bestFit="1" customWidth="1"/>
    <col min="539" max="539" width="8" bestFit="1" customWidth="1"/>
    <col min="540" max="540" width="9" bestFit="1" customWidth="1"/>
    <col min="541" max="541" width="8.85546875" bestFit="1" customWidth="1"/>
    <col min="542" max="542" width="10" bestFit="1" customWidth="1"/>
    <col min="543" max="543" width="14.42578125" bestFit="1" customWidth="1"/>
    <col min="544" max="544" width="9.7109375" bestFit="1" customWidth="1"/>
    <col min="545" max="545" width="9.5703125" bestFit="1" customWidth="1"/>
    <col min="546" max="546" width="10.7109375" bestFit="1" customWidth="1"/>
    <col min="547" max="547" width="6.42578125" bestFit="1" customWidth="1"/>
    <col min="574" max="575" width="9.7109375" bestFit="1" customWidth="1"/>
    <col min="595" max="595" width="10.28515625" bestFit="1" customWidth="1"/>
    <col min="596" max="596" width="10.28515625" customWidth="1"/>
    <col min="597" max="598" width="6.85546875" bestFit="1" customWidth="1"/>
    <col min="792" max="793" width="9.42578125" bestFit="1" customWidth="1"/>
    <col min="794" max="794" width="10.5703125" bestFit="1" customWidth="1"/>
  </cols>
  <sheetData>
    <row r="1" spans="1:802" ht="15.7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7" t="s">
        <v>20</v>
      </c>
      <c r="V1" s="7" t="s">
        <v>171</v>
      </c>
      <c r="W1" s="7" t="s">
        <v>170</v>
      </c>
      <c r="X1" s="8" t="s">
        <v>192</v>
      </c>
      <c r="Y1" s="5" t="s">
        <v>409</v>
      </c>
      <c r="Z1" s="5" t="s">
        <v>410</v>
      </c>
      <c r="AA1" s="5" t="s">
        <v>193</v>
      </c>
      <c r="AB1" s="5" t="s">
        <v>194</v>
      </c>
      <c r="AC1" s="8" t="s">
        <v>21</v>
      </c>
      <c r="AD1" s="5" t="s">
        <v>419</v>
      </c>
      <c r="AE1" s="5" t="s">
        <v>420</v>
      </c>
      <c r="AF1" s="5" t="s">
        <v>23</v>
      </c>
      <c r="AG1" s="5" t="s">
        <v>24</v>
      </c>
      <c r="AH1" s="8" t="s">
        <v>22</v>
      </c>
      <c r="AI1" s="46" t="s">
        <v>421</v>
      </c>
      <c r="AJ1" s="46" t="s">
        <v>422</v>
      </c>
      <c r="AK1" s="5" t="s">
        <v>25</v>
      </c>
      <c r="AL1" s="5" t="s">
        <v>26</v>
      </c>
      <c r="AM1" s="8" t="s">
        <v>31</v>
      </c>
      <c r="AN1" s="8" t="s">
        <v>168</v>
      </c>
      <c r="AO1" s="8" t="s">
        <v>169</v>
      </c>
      <c r="AP1" s="8" t="s">
        <v>27</v>
      </c>
      <c r="AQ1" s="8" t="s">
        <v>28</v>
      </c>
      <c r="AR1" s="8" t="s">
        <v>180</v>
      </c>
      <c r="AS1" s="8" t="s">
        <v>190</v>
      </c>
      <c r="AT1" s="8" t="s">
        <v>29</v>
      </c>
      <c r="AU1" s="8" t="s">
        <v>30</v>
      </c>
      <c r="AV1" s="21" t="s">
        <v>32</v>
      </c>
      <c r="AW1" s="21" t="s">
        <v>33</v>
      </c>
      <c r="AX1" s="21" t="s">
        <v>34</v>
      </c>
      <c r="AY1" s="21" t="s">
        <v>182</v>
      </c>
      <c r="AZ1" s="21" t="s">
        <v>183</v>
      </c>
      <c r="BA1" s="21" t="s">
        <v>184</v>
      </c>
      <c r="BB1" s="21" t="s">
        <v>185</v>
      </c>
      <c r="BC1" s="21" t="s">
        <v>186</v>
      </c>
      <c r="BD1" s="21" t="s">
        <v>187</v>
      </c>
      <c r="BE1" s="5" t="s">
        <v>35</v>
      </c>
      <c r="BF1" s="5" t="s">
        <v>36</v>
      </c>
      <c r="BG1" s="5" t="s">
        <v>37</v>
      </c>
      <c r="BH1" s="5" t="s">
        <v>38</v>
      </c>
      <c r="BI1" s="5" t="s">
        <v>39</v>
      </c>
      <c r="BJ1" s="5" t="s">
        <v>40</v>
      </c>
      <c r="BK1" s="5" t="s">
        <v>41</v>
      </c>
      <c r="BL1" s="5" t="s">
        <v>42</v>
      </c>
      <c r="BM1" s="5" t="s">
        <v>43</v>
      </c>
      <c r="BN1" s="5" t="s">
        <v>44</v>
      </c>
      <c r="BO1" s="5" t="s">
        <v>45</v>
      </c>
      <c r="BP1" s="5" t="s">
        <v>46</v>
      </c>
      <c r="BQ1" s="5" t="s">
        <v>47</v>
      </c>
      <c r="BR1" s="5" t="s">
        <v>48</v>
      </c>
      <c r="BS1" s="5" t="s">
        <v>49</v>
      </c>
      <c r="BT1" s="5" t="s">
        <v>50</v>
      </c>
      <c r="BU1" s="5" t="s">
        <v>51</v>
      </c>
      <c r="BV1" s="5" t="s">
        <v>52</v>
      </c>
      <c r="BW1" s="5" t="s">
        <v>53</v>
      </c>
      <c r="BX1" s="5" t="s">
        <v>54</v>
      </c>
      <c r="BY1" s="5" t="s">
        <v>55</v>
      </c>
      <c r="BZ1" s="5" t="s">
        <v>56</v>
      </c>
      <c r="CA1" s="5" t="s">
        <v>57</v>
      </c>
      <c r="CB1" s="5" t="s">
        <v>58</v>
      </c>
      <c r="CC1" s="5" t="s">
        <v>59</v>
      </c>
      <c r="CD1" s="5" t="s">
        <v>60</v>
      </c>
      <c r="CE1" s="5" t="s">
        <v>61</v>
      </c>
      <c r="CF1" s="5" t="s">
        <v>62</v>
      </c>
      <c r="CG1" s="5" t="s">
        <v>63</v>
      </c>
      <c r="CH1" s="5" t="s">
        <v>64</v>
      </c>
      <c r="CI1" s="5" t="s">
        <v>65</v>
      </c>
      <c r="CJ1" s="5" t="s">
        <v>66</v>
      </c>
      <c r="CK1" s="5" t="s">
        <v>67</v>
      </c>
      <c r="CL1" s="5" t="s">
        <v>73</v>
      </c>
      <c r="CM1" s="5" t="s">
        <v>74</v>
      </c>
      <c r="CN1" s="5" t="s">
        <v>75</v>
      </c>
      <c r="CO1" s="5" t="s">
        <v>76</v>
      </c>
      <c r="CP1" s="5" t="s">
        <v>77</v>
      </c>
      <c r="CQ1" s="5" t="s">
        <v>78</v>
      </c>
      <c r="CR1" s="5" t="s">
        <v>79</v>
      </c>
      <c r="CS1" s="5" t="s">
        <v>80</v>
      </c>
      <c r="CT1" s="5" t="s">
        <v>81</v>
      </c>
      <c r="CU1" s="5" t="s">
        <v>82</v>
      </c>
      <c r="CV1" s="5" t="s">
        <v>83</v>
      </c>
      <c r="CW1" s="5" t="s">
        <v>84</v>
      </c>
      <c r="CX1" s="5" t="s">
        <v>85</v>
      </c>
      <c r="CY1" s="5" t="s">
        <v>86</v>
      </c>
      <c r="CZ1" s="5" t="s">
        <v>87</v>
      </c>
      <c r="DA1" s="5" t="s">
        <v>88</v>
      </c>
      <c r="DB1" s="5" t="s">
        <v>89</v>
      </c>
      <c r="DC1" s="5" t="s">
        <v>90</v>
      </c>
      <c r="DD1" s="5" t="s">
        <v>91</v>
      </c>
      <c r="DE1" s="5" t="s">
        <v>92</v>
      </c>
      <c r="DF1" s="5" t="s">
        <v>93</v>
      </c>
      <c r="DG1" s="5" t="s">
        <v>94</v>
      </c>
      <c r="DH1" s="5" t="s">
        <v>95</v>
      </c>
      <c r="DI1" s="5" t="s">
        <v>68</v>
      </c>
      <c r="DJ1" s="5" t="s">
        <v>69</v>
      </c>
      <c r="DK1" s="5" t="s">
        <v>70</v>
      </c>
      <c r="DL1" s="5" t="s">
        <v>71</v>
      </c>
      <c r="DM1" s="5" t="s">
        <v>72</v>
      </c>
      <c r="DN1" s="5" t="s">
        <v>96</v>
      </c>
      <c r="DO1" s="5" t="s">
        <v>97</v>
      </c>
      <c r="DP1" s="5" t="s">
        <v>98</v>
      </c>
      <c r="DQ1" s="5" t="s">
        <v>99</v>
      </c>
      <c r="DR1" s="5" t="s">
        <v>100</v>
      </c>
      <c r="DS1" s="5" t="s">
        <v>101</v>
      </c>
      <c r="DT1" s="5" t="s">
        <v>102</v>
      </c>
      <c r="DU1" s="5" t="s">
        <v>103</v>
      </c>
      <c r="DV1" s="5" t="s">
        <v>104</v>
      </c>
      <c r="DW1" s="5" t="s">
        <v>105</v>
      </c>
      <c r="DX1" s="5" t="s">
        <v>106</v>
      </c>
      <c r="DY1" s="5" t="s">
        <v>107</v>
      </c>
      <c r="DZ1" s="5" t="s">
        <v>108</v>
      </c>
      <c r="EA1" s="5" t="s">
        <v>109</v>
      </c>
      <c r="EB1" s="5" t="s">
        <v>110</v>
      </c>
      <c r="EC1" s="5" t="s">
        <v>111</v>
      </c>
      <c r="ED1" s="5" t="s">
        <v>112</v>
      </c>
      <c r="EE1" s="5" t="s">
        <v>113</v>
      </c>
      <c r="EF1" s="5" t="s">
        <v>114</v>
      </c>
      <c r="EG1" s="5" t="s">
        <v>115</v>
      </c>
      <c r="EH1" s="5" t="s">
        <v>116</v>
      </c>
      <c r="EI1" s="5" t="s">
        <v>117</v>
      </c>
      <c r="EJ1" s="5" t="s">
        <v>118</v>
      </c>
      <c r="EK1" s="5" t="s">
        <v>119</v>
      </c>
      <c r="EL1" s="5" t="s">
        <v>120</v>
      </c>
      <c r="EM1" s="5" t="s">
        <v>121</v>
      </c>
      <c r="EN1" s="5" t="s">
        <v>122</v>
      </c>
      <c r="EO1" s="5" t="s">
        <v>123</v>
      </c>
      <c r="EP1" s="5" t="s">
        <v>124</v>
      </c>
      <c r="EQ1" s="9" t="s">
        <v>125</v>
      </c>
      <c r="ER1" s="5" t="s">
        <v>35</v>
      </c>
      <c r="ES1" s="5" t="s">
        <v>36</v>
      </c>
      <c r="ET1" s="5" t="s">
        <v>37</v>
      </c>
      <c r="EU1" s="5" t="s">
        <v>38</v>
      </c>
      <c r="EV1" s="5" t="s">
        <v>39</v>
      </c>
      <c r="EW1" s="5" t="s">
        <v>46</v>
      </c>
      <c r="EX1" s="5" t="s">
        <v>47</v>
      </c>
      <c r="EY1" s="5" t="s">
        <v>50</v>
      </c>
      <c r="EZ1" s="5" t="s">
        <v>51</v>
      </c>
      <c r="FA1" s="5" t="s">
        <v>52</v>
      </c>
      <c r="FB1" s="5" t="s">
        <v>53</v>
      </c>
      <c r="FC1" s="5" t="s">
        <v>54</v>
      </c>
      <c r="FD1" s="5" t="s">
        <v>55</v>
      </c>
      <c r="FE1" s="5" t="s">
        <v>62</v>
      </c>
      <c r="FF1" s="5" t="s">
        <v>63</v>
      </c>
      <c r="FG1" s="5" t="s">
        <v>64</v>
      </c>
      <c r="FH1" s="5" t="s">
        <v>65</v>
      </c>
      <c r="FI1" s="5" t="s">
        <v>73</v>
      </c>
      <c r="FJ1" s="5" t="s">
        <v>74</v>
      </c>
      <c r="FK1" s="5" t="s">
        <v>75</v>
      </c>
      <c r="FL1" s="5" t="s">
        <v>76</v>
      </c>
      <c r="FM1" s="5" t="s">
        <v>77</v>
      </c>
      <c r="FN1" s="5" t="s">
        <v>172</v>
      </c>
      <c r="FO1" s="5" t="s">
        <v>181</v>
      </c>
      <c r="FP1" s="5" t="s">
        <v>82</v>
      </c>
      <c r="FQ1" s="5" t="s">
        <v>83</v>
      </c>
      <c r="FR1" s="5" t="s">
        <v>84</v>
      </c>
      <c r="FS1" s="5" t="s">
        <v>85</v>
      </c>
      <c r="FT1" s="5" t="s">
        <v>86</v>
      </c>
      <c r="FU1" s="5" t="s">
        <v>87</v>
      </c>
      <c r="FV1" s="5" t="s">
        <v>68</v>
      </c>
      <c r="FW1" s="5" t="s">
        <v>69</v>
      </c>
      <c r="FX1" s="5" t="s">
        <v>70</v>
      </c>
      <c r="FY1" s="5" t="s">
        <v>71</v>
      </c>
      <c r="FZ1" s="5" t="s">
        <v>97</v>
      </c>
      <c r="GA1" s="5" t="s">
        <v>96</v>
      </c>
      <c r="GB1" s="5" t="s">
        <v>98</v>
      </c>
      <c r="GC1" s="5" t="s">
        <v>99</v>
      </c>
      <c r="GD1" s="5" t="s">
        <v>100</v>
      </c>
      <c r="GE1" s="5" t="s">
        <v>101</v>
      </c>
      <c r="GF1" s="5" t="s">
        <v>102</v>
      </c>
      <c r="GG1" s="5" t="s">
        <v>103</v>
      </c>
      <c r="GH1" s="5" t="s">
        <v>104</v>
      </c>
      <c r="GI1" s="5" t="s">
        <v>105</v>
      </c>
      <c r="GJ1" s="5" t="s">
        <v>106</v>
      </c>
      <c r="GK1" s="5" t="s">
        <v>173</v>
      </c>
      <c r="GL1" s="5" t="s">
        <v>174</v>
      </c>
      <c r="GM1" s="5" t="s">
        <v>175</v>
      </c>
      <c r="GN1" s="5" t="s">
        <v>176</v>
      </c>
      <c r="GO1" s="5" t="s">
        <v>177</v>
      </c>
      <c r="GP1" s="5" t="s">
        <v>122</v>
      </c>
      <c r="GQ1" s="5" t="s">
        <v>123</v>
      </c>
      <c r="GR1" s="5" t="s">
        <v>178</v>
      </c>
      <c r="GS1" s="25" t="s">
        <v>179</v>
      </c>
      <c r="GT1" s="4" t="s">
        <v>35</v>
      </c>
      <c r="GU1" s="5" t="s">
        <v>36</v>
      </c>
      <c r="GV1" s="5" t="s">
        <v>37</v>
      </c>
      <c r="GW1" s="5" t="s">
        <v>38</v>
      </c>
      <c r="GX1" s="5" t="s">
        <v>39</v>
      </c>
      <c r="GY1" s="5" t="s">
        <v>40</v>
      </c>
      <c r="GZ1" s="5" t="s">
        <v>41</v>
      </c>
      <c r="HA1" s="5" t="s">
        <v>42</v>
      </c>
      <c r="HB1" s="5" t="s">
        <v>43</v>
      </c>
      <c r="HC1" s="5" t="s">
        <v>44</v>
      </c>
      <c r="HD1" s="5" t="s">
        <v>45</v>
      </c>
      <c r="HE1" s="5" t="s">
        <v>46</v>
      </c>
      <c r="HF1" s="5" t="s">
        <v>47</v>
      </c>
      <c r="HG1" s="5" t="s">
        <v>196</v>
      </c>
      <c r="HH1" s="5" t="s">
        <v>197</v>
      </c>
      <c r="HI1" s="5" t="s">
        <v>50</v>
      </c>
      <c r="HJ1" s="5" t="s">
        <v>51</v>
      </c>
      <c r="HK1" s="5" t="s">
        <v>52</v>
      </c>
      <c r="HL1" s="5" t="s">
        <v>53</v>
      </c>
      <c r="HM1" s="5" t="s">
        <v>54</v>
      </c>
      <c r="HN1" s="5" t="s">
        <v>55</v>
      </c>
      <c r="HO1" s="5" t="s">
        <v>56</v>
      </c>
      <c r="HP1" s="5" t="s">
        <v>57</v>
      </c>
      <c r="HQ1" s="5" t="s">
        <v>58</v>
      </c>
      <c r="HR1" s="5" t="s">
        <v>59</v>
      </c>
      <c r="HS1" s="5" t="s">
        <v>60</v>
      </c>
      <c r="HT1" s="5" t="s">
        <v>61</v>
      </c>
      <c r="HU1" s="5" t="s">
        <v>62</v>
      </c>
      <c r="HV1" s="5" t="s">
        <v>63</v>
      </c>
      <c r="HW1" s="5" t="s">
        <v>64</v>
      </c>
      <c r="HX1" s="5" t="s">
        <v>65</v>
      </c>
      <c r="HY1" s="5" t="s">
        <v>73</v>
      </c>
      <c r="HZ1" s="5" t="s">
        <v>74</v>
      </c>
      <c r="IA1" s="5" t="s">
        <v>75</v>
      </c>
      <c r="IB1" s="5" t="s">
        <v>76</v>
      </c>
      <c r="IC1" s="5" t="s">
        <v>77</v>
      </c>
      <c r="ID1" s="5" t="s">
        <v>78</v>
      </c>
      <c r="IE1" s="5" t="s">
        <v>79</v>
      </c>
      <c r="IF1" s="5" t="s">
        <v>80</v>
      </c>
      <c r="IG1" s="5" t="s">
        <v>198</v>
      </c>
      <c r="IH1" s="5" t="s">
        <v>211</v>
      </c>
      <c r="II1" s="5" t="s">
        <v>199</v>
      </c>
      <c r="IJ1" s="5" t="s">
        <v>200</v>
      </c>
      <c r="IK1" s="5" t="s">
        <v>201</v>
      </c>
      <c r="IL1" s="5" t="s">
        <v>202</v>
      </c>
      <c r="IM1" s="5" t="s">
        <v>203</v>
      </c>
      <c r="IN1" s="5" t="s">
        <v>204</v>
      </c>
      <c r="IO1" s="5" t="s">
        <v>205</v>
      </c>
      <c r="IP1" s="5" t="s">
        <v>92</v>
      </c>
      <c r="IQ1" s="5" t="s">
        <v>93</v>
      </c>
      <c r="IR1" s="5" t="s">
        <v>68</v>
      </c>
      <c r="IS1" s="5" t="s">
        <v>69</v>
      </c>
      <c r="IT1" s="5" t="s">
        <v>70</v>
      </c>
      <c r="IU1" s="5" t="s">
        <v>71</v>
      </c>
      <c r="IV1" s="5" t="s">
        <v>206</v>
      </c>
      <c r="IW1" s="5" t="s">
        <v>207</v>
      </c>
      <c r="IX1" s="5" t="s">
        <v>98</v>
      </c>
      <c r="IY1" s="5" t="s">
        <v>99</v>
      </c>
      <c r="IZ1" s="5" t="s">
        <v>100</v>
      </c>
      <c r="JA1" s="5" t="s">
        <v>101</v>
      </c>
      <c r="JB1" s="5" t="s">
        <v>102</v>
      </c>
      <c r="JC1" s="5" t="s">
        <v>103</v>
      </c>
      <c r="JD1" s="5" t="s">
        <v>104</v>
      </c>
      <c r="JE1" s="5" t="s">
        <v>105</v>
      </c>
      <c r="JF1" s="5" t="s">
        <v>106</v>
      </c>
      <c r="JG1" s="5" t="s">
        <v>107</v>
      </c>
      <c r="JH1" s="5" t="s">
        <v>108</v>
      </c>
      <c r="JI1" s="5" t="s">
        <v>109</v>
      </c>
      <c r="JJ1" s="5" t="s">
        <v>110</v>
      </c>
      <c r="JK1" s="5" t="s">
        <v>111</v>
      </c>
      <c r="JL1" s="5" t="s">
        <v>112</v>
      </c>
      <c r="JM1" s="5" t="s">
        <v>113</v>
      </c>
      <c r="JN1" s="5" t="s">
        <v>114</v>
      </c>
      <c r="JO1" s="5" t="s">
        <v>115</v>
      </c>
      <c r="JP1" s="5" t="s">
        <v>116</v>
      </c>
      <c r="JQ1" s="5" t="s">
        <v>117</v>
      </c>
      <c r="JR1" s="5" t="s">
        <v>118</v>
      </c>
      <c r="JS1" s="5" t="s">
        <v>119</v>
      </c>
      <c r="JT1" s="5" t="s">
        <v>120</v>
      </c>
      <c r="JU1" s="5" t="s">
        <v>121</v>
      </c>
      <c r="JV1" s="5" t="s">
        <v>122</v>
      </c>
      <c r="JW1" s="5" t="s">
        <v>123</v>
      </c>
      <c r="JX1" s="5" t="s">
        <v>124</v>
      </c>
      <c r="JY1" s="9" t="s">
        <v>125</v>
      </c>
      <c r="JZ1" s="18" t="s">
        <v>35</v>
      </c>
      <c r="KA1" s="18" t="s">
        <v>239</v>
      </c>
      <c r="KB1" s="18" t="s">
        <v>240</v>
      </c>
      <c r="KC1" s="26" t="s">
        <v>196</v>
      </c>
      <c r="KD1" s="5" t="s">
        <v>197</v>
      </c>
      <c r="KE1" s="26" t="s">
        <v>237</v>
      </c>
      <c r="KF1" s="5" t="s">
        <v>238</v>
      </c>
      <c r="KG1" s="5" t="s">
        <v>207</v>
      </c>
      <c r="KH1" s="5" t="s">
        <v>206</v>
      </c>
      <c r="KI1" s="5" t="s">
        <v>98</v>
      </c>
      <c r="KJ1" s="5" t="s">
        <v>99</v>
      </c>
      <c r="KK1" s="5" t="s">
        <v>100</v>
      </c>
      <c r="KL1" s="5" t="s">
        <v>101</v>
      </c>
      <c r="KM1" s="5" t="s">
        <v>102</v>
      </c>
      <c r="KN1" s="24" t="s">
        <v>227</v>
      </c>
      <c r="KO1" s="29" t="s">
        <v>229</v>
      </c>
      <c r="KP1" s="24" t="s">
        <v>228</v>
      </c>
      <c r="KQ1" s="29" t="s">
        <v>236</v>
      </c>
      <c r="KR1" s="16" t="s">
        <v>234</v>
      </c>
      <c r="KS1" s="16" t="s">
        <v>235</v>
      </c>
      <c r="KT1" s="4" t="s">
        <v>35</v>
      </c>
      <c r="KU1" s="5" t="s">
        <v>243</v>
      </c>
      <c r="KV1" s="5" t="s">
        <v>199</v>
      </c>
      <c r="KW1" s="5" t="s">
        <v>73</v>
      </c>
      <c r="KX1" s="5" t="s">
        <v>70</v>
      </c>
      <c r="KY1" s="5" t="s">
        <v>71</v>
      </c>
      <c r="KZ1" s="5" t="s">
        <v>68</v>
      </c>
      <c r="LA1" s="5" t="s">
        <v>69</v>
      </c>
      <c r="LB1" s="5" t="s">
        <v>244</v>
      </c>
      <c r="LC1" s="5" t="s">
        <v>245</v>
      </c>
      <c r="LD1" s="5" t="s">
        <v>246</v>
      </c>
      <c r="LE1" s="5" t="s">
        <v>247</v>
      </c>
      <c r="LF1" s="5" t="s">
        <v>98</v>
      </c>
      <c r="LG1" s="5" t="s">
        <v>99</v>
      </c>
      <c r="LH1" s="5" t="s">
        <v>100</v>
      </c>
      <c r="LI1" s="5" t="s">
        <v>248</v>
      </c>
      <c r="LJ1" s="5" t="s">
        <v>249</v>
      </c>
      <c r="LK1" s="5" t="s">
        <v>250</v>
      </c>
      <c r="LL1" s="5" t="s">
        <v>251</v>
      </c>
      <c r="LM1" s="9" t="s">
        <v>252</v>
      </c>
      <c r="LN1" s="32" t="s">
        <v>35</v>
      </c>
      <c r="LO1" s="26" t="s">
        <v>196</v>
      </c>
      <c r="LP1" s="5" t="s">
        <v>197</v>
      </c>
      <c r="LQ1" s="5" t="s">
        <v>98</v>
      </c>
      <c r="LR1" s="5" t="s">
        <v>99</v>
      </c>
      <c r="LS1" s="5" t="s">
        <v>100</v>
      </c>
      <c r="LT1" s="30" t="s">
        <v>31</v>
      </c>
      <c r="LU1" s="24" t="s">
        <v>112</v>
      </c>
      <c r="LV1" s="31" t="s">
        <v>113</v>
      </c>
      <c r="LW1" s="16" t="s">
        <v>114</v>
      </c>
      <c r="LX1" s="4" t="s">
        <v>35</v>
      </c>
      <c r="LY1" s="5" t="s">
        <v>51</v>
      </c>
      <c r="LZ1" s="5" t="s">
        <v>50</v>
      </c>
      <c r="MA1" s="5" t="s">
        <v>199</v>
      </c>
      <c r="MB1" s="5" t="s">
        <v>73</v>
      </c>
      <c r="MC1" s="5" t="s">
        <v>70</v>
      </c>
      <c r="MD1" s="5" t="s">
        <v>71</v>
      </c>
      <c r="ME1" s="5" t="s">
        <v>68</v>
      </c>
      <c r="MF1" s="5" t="s">
        <v>69</v>
      </c>
      <c r="MG1" s="5" t="s">
        <v>244</v>
      </c>
      <c r="MH1" s="5" t="s">
        <v>245</v>
      </c>
      <c r="MI1" s="5" t="s">
        <v>246</v>
      </c>
      <c r="MJ1" s="5" t="s">
        <v>247</v>
      </c>
      <c r="MK1" s="5" t="s">
        <v>98</v>
      </c>
      <c r="ML1" s="5" t="s">
        <v>99</v>
      </c>
      <c r="MM1" s="5" t="s">
        <v>100</v>
      </c>
      <c r="MN1" s="5" t="s">
        <v>101</v>
      </c>
      <c r="MO1" s="5" t="s">
        <v>248</v>
      </c>
      <c r="MP1" s="5" t="s">
        <v>249</v>
      </c>
      <c r="MQ1" s="5" t="s">
        <v>250</v>
      </c>
      <c r="MR1" s="5" t="s">
        <v>251</v>
      </c>
      <c r="MS1" s="9" t="s">
        <v>252</v>
      </c>
      <c r="MT1" s="33" t="s">
        <v>260</v>
      </c>
      <c r="MU1" s="30" t="s">
        <v>261</v>
      </c>
      <c r="MV1" s="34" t="s">
        <v>262</v>
      </c>
      <c r="MW1" s="34" t="s">
        <v>263</v>
      </c>
      <c r="MX1" s="34" t="s">
        <v>264</v>
      </c>
      <c r="MY1" s="34" t="s">
        <v>35</v>
      </c>
      <c r="MZ1" s="34" t="s">
        <v>37</v>
      </c>
      <c r="NA1" s="34" t="s">
        <v>36</v>
      </c>
      <c r="NB1" s="34" t="s">
        <v>39</v>
      </c>
      <c r="NC1" s="34" t="s">
        <v>38</v>
      </c>
      <c r="ND1" s="34" t="s">
        <v>41</v>
      </c>
      <c r="NE1" s="34" t="s">
        <v>40</v>
      </c>
      <c r="NF1" s="34" t="s">
        <v>239</v>
      </c>
      <c r="NG1" s="34" t="s">
        <v>240</v>
      </c>
      <c r="NH1" s="5" t="s">
        <v>243</v>
      </c>
      <c r="NI1" s="5" t="s">
        <v>254</v>
      </c>
      <c r="NJ1" s="5" t="s">
        <v>255</v>
      </c>
      <c r="NK1" s="5" t="s">
        <v>256</v>
      </c>
      <c r="NL1" s="5" t="s">
        <v>257</v>
      </c>
      <c r="NM1" s="5" t="s">
        <v>258</v>
      </c>
      <c r="NN1" s="5" t="s">
        <v>259</v>
      </c>
      <c r="NO1" s="5" t="s">
        <v>199</v>
      </c>
      <c r="NP1" s="5" t="s">
        <v>200</v>
      </c>
      <c r="NQ1" s="5" t="s">
        <v>201</v>
      </c>
      <c r="NR1" s="5" t="s">
        <v>202</v>
      </c>
      <c r="NS1" s="5" t="s">
        <v>73</v>
      </c>
      <c r="NT1" s="5" t="s">
        <v>74</v>
      </c>
      <c r="NU1" s="5" t="s">
        <v>75</v>
      </c>
      <c r="NV1" s="5" t="s">
        <v>76</v>
      </c>
      <c r="NW1" s="5" t="s">
        <v>70</v>
      </c>
      <c r="NX1" s="5" t="s">
        <v>71</v>
      </c>
      <c r="NY1" s="5" t="s">
        <v>68</v>
      </c>
      <c r="NZ1" s="5" t="s">
        <v>69</v>
      </c>
      <c r="OA1" s="5" t="s">
        <v>244</v>
      </c>
      <c r="OB1" s="5" t="s">
        <v>245</v>
      </c>
      <c r="OC1" s="5" t="s">
        <v>246</v>
      </c>
      <c r="OD1" s="9" t="s">
        <v>247</v>
      </c>
      <c r="OE1" s="5" t="s">
        <v>265</v>
      </c>
      <c r="OF1" s="9" t="s">
        <v>266</v>
      </c>
      <c r="OG1" s="18" t="s">
        <v>35</v>
      </c>
      <c r="OH1" s="18" t="s">
        <v>260</v>
      </c>
      <c r="OI1" s="18" t="s">
        <v>261</v>
      </c>
      <c r="OJ1" s="18" t="s">
        <v>318</v>
      </c>
      <c r="OK1" s="18" t="s">
        <v>319</v>
      </c>
      <c r="OL1" s="18" t="s">
        <v>239</v>
      </c>
      <c r="OM1" s="18" t="s">
        <v>240</v>
      </c>
      <c r="ON1" s="18" t="s">
        <v>310</v>
      </c>
      <c r="OO1" s="18" t="s">
        <v>311</v>
      </c>
      <c r="OP1" s="18" t="s">
        <v>312</v>
      </c>
      <c r="OQ1" s="18" t="s">
        <v>313</v>
      </c>
      <c r="OR1" s="18" t="s">
        <v>320</v>
      </c>
      <c r="OS1" s="18" t="s">
        <v>321</v>
      </c>
      <c r="OT1" s="18" t="s">
        <v>322</v>
      </c>
      <c r="OU1" s="18" t="s">
        <v>323</v>
      </c>
      <c r="OV1" s="26" t="s">
        <v>196</v>
      </c>
      <c r="OW1" s="5" t="s">
        <v>197</v>
      </c>
      <c r="OX1" s="26" t="s">
        <v>237</v>
      </c>
      <c r="OY1" s="5" t="s">
        <v>238</v>
      </c>
      <c r="OZ1" s="26" t="s">
        <v>314</v>
      </c>
      <c r="PA1" s="5" t="s">
        <v>315</v>
      </c>
      <c r="PB1" s="26" t="s">
        <v>316</v>
      </c>
      <c r="PC1" s="5" t="s">
        <v>317</v>
      </c>
      <c r="PD1" s="26" t="s">
        <v>324</v>
      </c>
      <c r="PE1" s="5" t="s">
        <v>325</v>
      </c>
      <c r="PF1" s="26" t="s">
        <v>326</v>
      </c>
      <c r="PG1" s="5" t="s">
        <v>327</v>
      </c>
      <c r="PH1" s="5" t="s">
        <v>98</v>
      </c>
      <c r="PI1" s="5" t="s">
        <v>99</v>
      </c>
      <c r="PJ1" s="5" t="s">
        <v>100</v>
      </c>
      <c r="PK1" s="5" t="s">
        <v>101</v>
      </c>
      <c r="PL1" s="5" t="s">
        <v>102</v>
      </c>
      <c r="PM1" s="5" t="s">
        <v>103</v>
      </c>
      <c r="PN1" s="5" t="s">
        <v>104</v>
      </c>
      <c r="PO1" s="5" t="s">
        <v>105</v>
      </c>
      <c r="PP1" s="5" t="s">
        <v>106</v>
      </c>
      <c r="PQ1" s="24" t="s">
        <v>173</v>
      </c>
      <c r="PR1" s="24" t="s">
        <v>174</v>
      </c>
      <c r="PS1" s="24" t="s">
        <v>175</v>
      </c>
      <c r="PT1" s="24" t="s">
        <v>176</v>
      </c>
      <c r="PU1" s="24" t="s">
        <v>177</v>
      </c>
      <c r="PV1" s="24" t="s">
        <v>309</v>
      </c>
      <c r="PW1" s="24" t="s">
        <v>328</v>
      </c>
      <c r="PX1" s="24" t="s">
        <v>329</v>
      </c>
      <c r="PY1" s="24" t="s">
        <v>330</v>
      </c>
      <c r="PZ1" s="35" t="s">
        <v>335</v>
      </c>
      <c r="QA1" s="35" t="s">
        <v>240</v>
      </c>
      <c r="QB1" s="35" t="s">
        <v>239</v>
      </c>
      <c r="QC1" s="35" t="s">
        <v>311</v>
      </c>
      <c r="QD1" s="35" t="s">
        <v>310</v>
      </c>
      <c r="QE1" s="35" t="s">
        <v>313</v>
      </c>
      <c r="QF1" s="35" t="s">
        <v>312</v>
      </c>
      <c r="QG1" s="35" t="s">
        <v>321</v>
      </c>
      <c r="QH1" s="35" t="s">
        <v>320</v>
      </c>
      <c r="QI1" s="35" t="s">
        <v>323</v>
      </c>
      <c r="QJ1" s="35" t="s">
        <v>322</v>
      </c>
      <c r="QK1" s="35" t="s">
        <v>336</v>
      </c>
      <c r="QL1" s="35" t="s">
        <v>337</v>
      </c>
      <c r="QM1" s="35" t="s">
        <v>338</v>
      </c>
      <c r="QN1" s="35" t="s">
        <v>339</v>
      </c>
      <c r="QO1" s="35" t="s">
        <v>340</v>
      </c>
      <c r="QP1" s="35" t="s">
        <v>341</v>
      </c>
      <c r="QQ1" s="35" t="s">
        <v>342</v>
      </c>
      <c r="QR1" s="35" t="s">
        <v>343</v>
      </c>
      <c r="QS1" s="35" t="s">
        <v>344</v>
      </c>
      <c r="QT1" s="35" t="s">
        <v>345</v>
      </c>
      <c r="QU1" s="35" t="s">
        <v>346</v>
      </c>
      <c r="QV1" s="35" t="s">
        <v>347</v>
      </c>
      <c r="QW1" s="35" t="s">
        <v>197</v>
      </c>
      <c r="QX1" s="35" t="s">
        <v>196</v>
      </c>
      <c r="QY1" s="35" t="s">
        <v>238</v>
      </c>
      <c r="QZ1" s="35" t="s">
        <v>237</v>
      </c>
      <c r="RA1" s="35" t="s">
        <v>315</v>
      </c>
      <c r="RB1" s="35" t="s">
        <v>314</v>
      </c>
      <c r="RC1" s="35" t="s">
        <v>317</v>
      </c>
      <c r="RD1" s="35" t="s">
        <v>316</v>
      </c>
      <c r="RE1" s="35" t="s">
        <v>325</v>
      </c>
      <c r="RF1" s="35" t="s">
        <v>324</v>
      </c>
      <c r="RG1" s="35" t="s">
        <v>327</v>
      </c>
      <c r="RH1" s="35" t="s">
        <v>326</v>
      </c>
      <c r="RI1" s="35" t="s">
        <v>348</v>
      </c>
      <c r="RJ1" s="35" t="s">
        <v>349</v>
      </c>
      <c r="RK1" s="35" t="s">
        <v>350</v>
      </c>
      <c r="RL1" s="35" t="s">
        <v>351</v>
      </c>
      <c r="RM1" s="35" t="s">
        <v>352</v>
      </c>
      <c r="RN1" s="35" t="s">
        <v>353</v>
      </c>
      <c r="RO1" s="35" t="s">
        <v>354</v>
      </c>
      <c r="RP1" s="35" t="s">
        <v>355</v>
      </c>
      <c r="RQ1" s="35" t="s">
        <v>356</v>
      </c>
      <c r="RR1" s="35" t="s">
        <v>357</v>
      </c>
      <c r="RS1" s="35" t="s">
        <v>358</v>
      </c>
      <c r="RT1" s="35" t="s">
        <v>359</v>
      </c>
      <c r="RU1" s="35" t="s">
        <v>35</v>
      </c>
      <c r="RV1" s="35" t="s">
        <v>98</v>
      </c>
      <c r="RW1" s="35" t="s">
        <v>99</v>
      </c>
      <c r="RX1" s="35" t="s">
        <v>100</v>
      </c>
      <c r="RY1" s="35" t="s">
        <v>101</v>
      </c>
      <c r="RZ1" s="35" t="s">
        <v>102</v>
      </c>
      <c r="SA1" s="35" t="s">
        <v>103</v>
      </c>
      <c r="SB1" s="35" t="s">
        <v>104</v>
      </c>
      <c r="SC1" s="35" t="s">
        <v>105</v>
      </c>
      <c r="SD1" s="35" t="s">
        <v>106</v>
      </c>
      <c r="SE1" s="35" t="s">
        <v>107</v>
      </c>
      <c r="SF1" s="35" t="s">
        <v>108</v>
      </c>
      <c r="SG1" s="35" t="s">
        <v>109</v>
      </c>
      <c r="SH1" s="35" t="s">
        <v>110</v>
      </c>
      <c r="SI1" s="35" t="s">
        <v>111</v>
      </c>
      <c r="SJ1" s="35" t="s">
        <v>360</v>
      </c>
      <c r="SK1" s="35" t="s">
        <v>361</v>
      </c>
      <c r="SL1" s="35" t="s">
        <v>362</v>
      </c>
      <c r="SM1" s="35" t="s">
        <v>363</v>
      </c>
      <c r="SN1" s="35" t="s">
        <v>364</v>
      </c>
      <c r="SO1" s="35" t="s">
        <v>365</v>
      </c>
      <c r="SP1" s="35" t="s">
        <v>366</v>
      </c>
      <c r="SQ1" s="35" t="s">
        <v>367</v>
      </c>
      <c r="SR1" s="35" t="s">
        <v>368</v>
      </c>
      <c r="SS1" s="35" t="s">
        <v>369</v>
      </c>
      <c r="ST1" s="35" t="s">
        <v>370</v>
      </c>
      <c r="SU1" s="35" t="s">
        <v>400</v>
      </c>
      <c r="SV1" s="35" t="s">
        <v>260</v>
      </c>
      <c r="SW1" s="35" t="s">
        <v>318</v>
      </c>
      <c r="SX1" s="35" t="s">
        <v>371</v>
      </c>
      <c r="SY1" s="35" t="s">
        <v>372</v>
      </c>
      <c r="SZ1" s="35" t="s">
        <v>373</v>
      </c>
      <c r="TA1" s="35" t="s">
        <v>374</v>
      </c>
      <c r="TB1" s="35" t="s">
        <v>375</v>
      </c>
      <c r="TC1" s="35" t="s">
        <v>376</v>
      </c>
      <c r="TD1" s="35" t="s">
        <v>377</v>
      </c>
      <c r="TE1" s="35" t="s">
        <v>378</v>
      </c>
      <c r="TF1" s="35" t="s">
        <v>379</v>
      </c>
      <c r="TG1" s="35" t="s">
        <v>401</v>
      </c>
      <c r="TH1" s="35" t="s">
        <v>261</v>
      </c>
      <c r="TI1" s="35" t="s">
        <v>319</v>
      </c>
      <c r="TJ1" s="35" t="s">
        <v>380</v>
      </c>
      <c r="TK1" s="35" t="s">
        <v>381</v>
      </c>
      <c r="TL1" s="35" t="s">
        <v>382</v>
      </c>
      <c r="TM1" s="35" t="s">
        <v>383</v>
      </c>
      <c r="TN1" s="35" t="s">
        <v>384</v>
      </c>
      <c r="TO1" s="35" t="s">
        <v>385</v>
      </c>
      <c r="TP1" s="35" t="s">
        <v>386</v>
      </c>
      <c r="TQ1" s="35" t="s">
        <v>387</v>
      </c>
      <c r="TR1" s="38" t="s">
        <v>388</v>
      </c>
      <c r="TS1" s="32" t="s">
        <v>455</v>
      </c>
      <c r="TT1" s="18" t="s">
        <v>456</v>
      </c>
      <c r="TU1" s="18" t="s">
        <v>457</v>
      </c>
      <c r="TV1" s="18" t="s">
        <v>474</v>
      </c>
      <c r="TW1" s="18" t="s">
        <v>458</v>
      </c>
      <c r="TX1" s="18" t="s">
        <v>459</v>
      </c>
      <c r="TY1" s="18" t="s">
        <v>460</v>
      </c>
      <c r="TZ1" s="18" t="s">
        <v>461</v>
      </c>
      <c r="UA1" s="18" t="s">
        <v>35</v>
      </c>
      <c r="UB1" s="18" t="s">
        <v>98</v>
      </c>
      <c r="UC1" s="18" t="s">
        <v>99</v>
      </c>
      <c r="UD1" s="18" t="s">
        <v>100</v>
      </c>
      <c r="UE1" s="18" t="s">
        <v>31</v>
      </c>
      <c r="UF1" s="18" t="s">
        <v>112</v>
      </c>
      <c r="UG1" s="18" t="s">
        <v>113</v>
      </c>
      <c r="UH1" s="19" t="s">
        <v>114</v>
      </c>
      <c r="UI1" s="32" t="s">
        <v>35</v>
      </c>
      <c r="UJ1" s="18" t="s">
        <v>260</v>
      </c>
      <c r="UK1" s="18" t="s">
        <v>261</v>
      </c>
      <c r="UL1" s="18" t="s">
        <v>37</v>
      </c>
      <c r="UM1" s="18" t="s">
        <v>36</v>
      </c>
      <c r="UN1" s="18" t="s">
        <v>51</v>
      </c>
      <c r="UO1" s="18" t="s">
        <v>50</v>
      </c>
      <c r="UP1" s="18" t="s">
        <v>53</v>
      </c>
      <c r="UQ1" s="18" t="s">
        <v>52</v>
      </c>
      <c r="UR1" s="18" t="s">
        <v>73</v>
      </c>
      <c r="US1" s="18" t="s">
        <v>74</v>
      </c>
      <c r="UT1" s="18" t="s">
        <v>70</v>
      </c>
      <c r="UU1" s="18" t="s">
        <v>71</v>
      </c>
      <c r="UV1" s="18" t="s">
        <v>68</v>
      </c>
      <c r="UW1" s="18" t="s">
        <v>69</v>
      </c>
      <c r="UX1" s="18" t="s">
        <v>98</v>
      </c>
      <c r="UY1" s="18" t="s">
        <v>99</v>
      </c>
      <c r="UZ1" s="18" t="s">
        <v>100</v>
      </c>
      <c r="VA1" s="18" t="s">
        <v>101</v>
      </c>
      <c r="VB1" s="18" t="s">
        <v>475</v>
      </c>
      <c r="VC1" s="18" t="s">
        <v>478</v>
      </c>
      <c r="VD1" s="18" t="s">
        <v>476</v>
      </c>
      <c r="VE1" s="18" t="s">
        <v>477</v>
      </c>
      <c r="VF1" s="18" t="s">
        <v>112</v>
      </c>
      <c r="VG1" s="18" t="s">
        <v>113</v>
      </c>
      <c r="VH1" s="19" t="s">
        <v>114</v>
      </c>
      <c r="VI1" s="23" t="s">
        <v>137</v>
      </c>
      <c r="VJ1" s="16" t="s">
        <v>480</v>
      </c>
      <c r="VK1" s="17" t="s">
        <v>481</v>
      </c>
      <c r="VL1" s="4" t="s">
        <v>35</v>
      </c>
      <c r="VM1" s="26" t="s">
        <v>98</v>
      </c>
      <c r="VN1" s="26" t="s">
        <v>99</v>
      </c>
      <c r="VO1" s="26" t="s">
        <v>100</v>
      </c>
      <c r="VP1" s="26" t="s">
        <v>101</v>
      </c>
      <c r="VQ1" s="26" t="s">
        <v>37</v>
      </c>
      <c r="VR1" s="26" t="s">
        <v>36</v>
      </c>
      <c r="VS1" s="5" t="s">
        <v>51</v>
      </c>
      <c r="VT1" s="5" t="s">
        <v>50</v>
      </c>
      <c r="VU1" s="5" t="s">
        <v>53</v>
      </c>
      <c r="VV1" s="5" t="s">
        <v>52</v>
      </c>
      <c r="VW1" s="5" t="s">
        <v>199</v>
      </c>
      <c r="VX1" s="5" t="s">
        <v>200</v>
      </c>
      <c r="VY1" s="5" t="s">
        <v>73</v>
      </c>
      <c r="VZ1" s="5" t="s">
        <v>74</v>
      </c>
      <c r="WA1" s="5" t="s">
        <v>70</v>
      </c>
      <c r="WB1" s="5" t="s">
        <v>71</v>
      </c>
      <c r="WC1" s="5" t="s">
        <v>68</v>
      </c>
      <c r="WD1" s="5" t="s">
        <v>69</v>
      </c>
      <c r="WE1" s="5" t="s">
        <v>246</v>
      </c>
      <c r="WF1" s="5" t="s">
        <v>247</v>
      </c>
      <c r="WG1" s="5" t="s">
        <v>250</v>
      </c>
      <c r="WH1" s="5" t="s">
        <v>251</v>
      </c>
      <c r="WI1" s="25" t="s">
        <v>252</v>
      </c>
      <c r="WJ1" s="18" t="s">
        <v>483</v>
      </c>
      <c r="WK1" s="16" t="s">
        <v>484</v>
      </c>
      <c r="WL1" s="17" t="s">
        <v>485</v>
      </c>
      <c r="WM1" t="s">
        <v>35</v>
      </c>
      <c r="WN1" t="s">
        <v>98</v>
      </c>
      <c r="WO1" t="s">
        <v>99</v>
      </c>
      <c r="WP1" t="s">
        <v>100</v>
      </c>
      <c r="WQ1" t="s">
        <v>101</v>
      </c>
      <c r="WR1" t="s">
        <v>102</v>
      </c>
      <c r="WS1" t="s">
        <v>103</v>
      </c>
      <c r="WT1" t="s">
        <v>104</v>
      </c>
      <c r="WU1" t="s">
        <v>105</v>
      </c>
      <c r="WV1" t="s">
        <v>106</v>
      </c>
      <c r="WW1" t="s">
        <v>107</v>
      </c>
      <c r="WX1" t="s">
        <v>108</v>
      </c>
      <c r="WY1" t="s">
        <v>109</v>
      </c>
      <c r="WZ1" t="s">
        <v>110</v>
      </c>
      <c r="XA1" t="s">
        <v>111</v>
      </c>
      <c r="XB1" t="s">
        <v>360</v>
      </c>
      <c r="XC1" t="s">
        <v>361</v>
      </c>
      <c r="XD1" t="s">
        <v>362</v>
      </c>
      <c r="XE1" t="s">
        <v>363</v>
      </c>
      <c r="XF1" t="s">
        <v>364</v>
      </c>
      <c r="XG1" t="s">
        <v>365</v>
      </c>
      <c r="XH1" t="s">
        <v>46</v>
      </c>
      <c r="XI1" t="s">
        <v>47</v>
      </c>
      <c r="XJ1" t="s">
        <v>48</v>
      </c>
      <c r="XK1" t="s">
        <v>49</v>
      </c>
      <c r="XL1" t="s">
        <v>874</v>
      </c>
      <c r="XM1" t="s">
        <v>873</v>
      </c>
      <c r="XN1" t="s">
        <v>875</v>
      </c>
      <c r="XO1" t="s">
        <v>872</v>
      </c>
      <c r="XP1" t="s">
        <v>876</v>
      </c>
      <c r="XQ1" t="s">
        <v>871</v>
      </c>
      <c r="XR1" t="s">
        <v>877</v>
      </c>
      <c r="XS1" t="s">
        <v>870</v>
      </c>
      <c r="XT1" t="s">
        <v>878</v>
      </c>
      <c r="XU1" t="s">
        <v>869</v>
      </c>
      <c r="XV1" t="s">
        <v>868</v>
      </c>
      <c r="XW1" t="s">
        <v>867</v>
      </c>
      <c r="XX1" t="s">
        <v>866</v>
      </c>
      <c r="XY1" t="s">
        <v>865</v>
      </c>
      <c r="XZ1" t="s">
        <v>62</v>
      </c>
      <c r="YA1" t="s">
        <v>63</v>
      </c>
      <c r="YB1" t="s">
        <v>64</v>
      </c>
      <c r="YC1" t="s">
        <v>65</v>
      </c>
      <c r="YD1" t="s">
        <v>66</v>
      </c>
      <c r="YE1" t="s">
        <v>67</v>
      </c>
      <c r="YF1" t="s">
        <v>880</v>
      </c>
      <c r="YG1" t="s">
        <v>879</v>
      </c>
      <c r="YH1" t="s">
        <v>882</v>
      </c>
      <c r="YI1" t="s">
        <v>881</v>
      </c>
      <c r="YJ1" t="s">
        <v>884</v>
      </c>
      <c r="YK1" t="s">
        <v>883</v>
      </c>
      <c r="YL1" t="s">
        <v>886</v>
      </c>
      <c r="YM1" t="s">
        <v>885</v>
      </c>
      <c r="YN1" t="s">
        <v>888</v>
      </c>
      <c r="YO1" t="s">
        <v>887</v>
      </c>
      <c r="YP1" t="s">
        <v>890</v>
      </c>
      <c r="YQ1" t="s">
        <v>889</v>
      </c>
      <c r="YR1" t="s">
        <v>891</v>
      </c>
      <c r="YS1" t="s">
        <v>892</v>
      </c>
      <c r="YT1" t="s">
        <v>73</v>
      </c>
      <c r="YU1" t="s">
        <v>74</v>
      </c>
      <c r="YV1" t="s">
        <v>75</v>
      </c>
      <c r="YW1" t="s">
        <v>76</v>
      </c>
      <c r="YX1" t="s">
        <v>77</v>
      </c>
      <c r="YY1" t="s">
        <v>78</v>
      </c>
      <c r="YZ1" t="s">
        <v>79</v>
      </c>
      <c r="ZA1" t="s">
        <v>80</v>
      </c>
      <c r="ZB1" t="s">
        <v>81</v>
      </c>
      <c r="ZC1" t="s">
        <v>893</v>
      </c>
      <c r="ZD1" t="s">
        <v>894</v>
      </c>
      <c r="ZE1" t="s">
        <v>82</v>
      </c>
      <c r="ZF1" t="s">
        <v>895</v>
      </c>
      <c r="ZG1" t="s">
        <v>83</v>
      </c>
      <c r="ZH1" t="s">
        <v>896</v>
      </c>
      <c r="ZI1" t="s">
        <v>84</v>
      </c>
      <c r="ZJ1" t="s">
        <v>897</v>
      </c>
      <c r="ZK1" t="s">
        <v>85</v>
      </c>
      <c r="ZL1" t="s">
        <v>87</v>
      </c>
      <c r="ZM1" t="s">
        <v>86</v>
      </c>
      <c r="ZN1" t="s">
        <v>89</v>
      </c>
      <c r="ZO1" t="s">
        <v>88</v>
      </c>
      <c r="ZP1" t="s">
        <v>91</v>
      </c>
      <c r="ZQ1" t="s">
        <v>90</v>
      </c>
      <c r="ZR1" t="s">
        <v>93</v>
      </c>
      <c r="ZS1" t="s">
        <v>92</v>
      </c>
      <c r="ZT1" t="s">
        <v>95</v>
      </c>
      <c r="ZU1" t="s">
        <v>94</v>
      </c>
      <c r="ZV1" t="s">
        <v>898</v>
      </c>
      <c r="ZW1" t="s">
        <v>899</v>
      </c>
      <c r="ZX1" t="s">
        <v>480</v>
      </c>
      <c r="ZY1" t="s">
        <v>481</v>
      </c>
      <c r="ZZ1" t="s">
        <v>900</v>
      </c>
      <c r="AAA1" t="s">
        <v>901</v>
      </c>
      <c r="AAB1" t="s">
        <v>902</v>
      </c>
      <c r="AAC1" t="s">
        <v>903</v>
      </c>
      <c r="AAD1" t="s">
        <v>904</v>
      </c>
      <c r="AAE1" t="s">
        <v>905</v>
      </c>
      <c r="AAF1" t="s">
        <v>906</v>
      </c>
      <c r="AAG1" t="s">
        <v>907</v>
      </c>
      <c r="AAH1" t="s">
        <v>31</v>
      </c>
      <c r="AAI1" t="s">
        <v>112</v>
      </c>
      <c r="AAJ1" t="s">
        <v>113</v>
      </c>
      <c r="AAK1" t="s">
        <v>114</v>
      </c>
      <c r="AAL1" t="s">
        <v>115</v>
      </c>
      <c r="AAM1" t="s">
        <v>116</v>
      </c>
      <c r="AAN1" t="s">
        <v>117</v>
      </c>
      <c r="AAO1" t="s">
        <v>118</v>
      </c>
      <c r="AAP1" t="s">
        <v>119</v>
      </c>
      <c r="AAQ1" t="s">
        <v>120</v>
      </c>
      <c r="AAR1" t="s">
        <v>121</v>
      </c>
      <c r="AAS1" t="s">
        <v>122</v>
      </c>
      <c r="AAT1" t="s">
        <v>123</v>
      </c>
      <c r="AAU1" t="s">
        <v>124</v>
      </c>
      <c r="AAV1" t="s">
        <v>125</v>
      </c>
      <c r="AAW1" t="s">
        <v>908</v>
      </c>
      <c r="AAX1" t="s">
        <v>909</v>
      </c>
      <c r="AAY1" t="s">
        <v>910</v>
      </c>
      <c r="AAZ1" t="s">
        <v>911</v>
      </c>
      <c r="ABA1" t="s">
        <v>912</v>
      </c>
      <c r="ABB1" s="14" t="s">
        <v>913</v>
      </c>
      <c r="ABC1" s="16" t="s">
        <v>480</v>
      </c>
      <c r="ABD1" s="17" t="s">
        <v>481</v>
      </c>
      <c r="ABE1" s="16" t="s">
        <v>900</v>
      </c>
      <c r="ABF1" s="16" t="s">
        <v>901</v>
      </c>
      <c r="ABG1" s="4" t="s">
        <v>35</v>
      </c>
      <c r="ABH1" s="26" t="s">
        <v>98</v>
      </c>
      <c r="ABI1" s="26" t="s">
        <v>99</v>
      </c>
      <c r="ABJ1" s="26" t="s">
        <v>100</v>
      </c>
      <c r="ABK1" s="26" t="s">
        <v>101</v>
      </c>
      <c r="ABL1" s="26" t="s">
        <v>102</v>
      </c>
      <c r="ABM1" s="26" t="s">
        <v>103</v>
      </c>
      <c r="ABN1" s="26" t="s">
        <v>104</v>
      </c>
      <c r="ABO1" s="26" t="s">
        <v>105</v>
      </c>
      <c r="ABP1" s="26" t="s">
        <v>37</v>
      </c>
      <c r="ABQ1" s="26" t="s">
        <v>36</v>
      </c>
      <c r="ABR1" s="26" t="s">
        <v>39</v>
      </c>
      <c r="ABS1" s="26" t="s">
        <v>38</v>
      </c>
      <c r="ABT1" s="26" t="s">
        <v>41</v>
      </c>
      <c r="ABU1" s="26" t="s">
        <v>40</v>
      </c>
      <c r="ABV1" s="5" t="s">
        <v>51</v>
      </c>
      <c r="ABW1" s="5" t="s">
        <v>50</v>
      </c>
      <c r="ABX1" s="5" t="s">
        <v>53</v>
      </c>
      <c r="ABY1" s="5" t="s">
        <v>52</v>
      </c>
      <c r="ABZ1" s="5" t="s">
        <v>55</v>
      </c>
      <c r="ACA1" s="5" t="s">
        <v>54</v>
      </c>
      <c r="ACB1" s="5" t="s">
        <v>57</v>
      </c>
      <c r="ACC1" s="5" t="s">
        <v>56</v>
      </c>
      <c r="ACD1" s="5" t="s">
        <v>199</v>
      </c>
      <c r="ACE1" s="5" t="s">
        <v>200</v>
      </c>
      <c r="ACF1" s="5" t="s">
        <v>201</v>
      </c>
      <c r="ACG1" s="5" t="s">
        <v>202</v>
      </c>
      <c r="ACH1" s="5" t="s">
        <v>203</v>
      </c>
      <c r="ACI1" s="5" t="s">
        <v>204</v>
      </c>
      <c r="ACJ1" s="5" t="s">
        <v>205</v>
      </c>
      <c r="ACK1" s="5" t="s">
        <v>914</v>
      </c>
      <c r="ACL1" s="5" t="s">
        <v>73</v>
      </c>
      <c r="ACM1" s="5" t="s">
        <v>74</v>
      </c>
      <c r="ACN1" s="5" t="s">
        <v>75</v>
      </c>
      <c r="ACO1" s="5" t="s">
        <v>76</v>
      </c>
      <c r="ACP1" s="5" t="s">
        <v>68</v>
      </c>
      <c r="ACQ1" s="5" t="s">
        <v>69</v>
      </c>
      <c r="ACR1" s="5" t="s">
        <v>70</v>
      </c>
      <c r="ACS1" s="5" t="s">
        <v>71</v>
      </c>
      <c r="ACT1" s="5" t="s">
        <v>246</v>
      </c>
      <c r="ACU1" s="5" t="s">
        <v>247</v>
      </c>
      <c r="ACV1" s="5" t="s">
        <v>31</v>
      </c>
      <c r="ACW1" s="5" t="s">
        <v>112</v>
      </c>
      <c r="ACX1" s="5" t="s">
        <v>113</v>
      </c>
      <c r="ACY1" s="5" t="s">
        <v>114</v>
      </c>
      <c r="ACZ1" s="5" t="s">
        <v>115</v>
      </c>
      <c r="ADA1" s="5" t="s">
        <v>116</v>
      </c>
      <c r="ADB1" s="5" t="s">
        <v>117</v>
      </c>
      <c r="ADC1" s="5" t="s">
        <v>118</v>
      </c>
      <c r="ADD1" s="5" t="s">
        <v>119</v>
      </c>
      <c r="ADE1" s="35" t="s">
        <v>35</v>
      </c>
      <c r="ADF1" s="35" t="s">
        <v>98</v>
      </c>
      <c r="ADG1" s="35" t="s">
        <v>99</v>
      </c>
      <c r="ADH1" s="35" t="s">
        <v>100</v>
      </c>
      <c r="ADI1" s="35" t="s">
        <v>101</v>
      </c>
      <c r="ADJ1" s="35" t="s">
        <v>240</v>
      </c>
      <c r="ADK1" s="35" t="s">
        <v>239</v>
      </c>
      <c r="ADL1" s="35" t="s">
        <v>257</v>
      </c>
      <c r="ADM1" s="35" t="s">
        <v>258</v>
      </c>
      <c r="ADN1" s="35" t="s">
        <v>259</v>
      </c>
      <c r="ADO1" s="35" t="s">
        <v>250</v>
      </c>
      <c r="ADP1" s="35" t="s">
        <v>251</v>
      </c>
      <c r="ADQ1" s="35" t="s">
        <v>252</v>
      </c>
      <c r="ADR1" s="35" t="s">
        <v>915</v>
      </c>
      <c r="ADS1" s="35" t="s">
        <v>916</v>
      </c>
      <c r="ADT1" s="35" t="s">
        <v>917</v>
      </c>
      <c r="ADU1" s="35" t="s">
        <v>260</v>
      </c>
      <c r="ADV1" s="35" t="s">
        <v>261</v>
      </c>
    </row>
    <row r="2" spans="1:802" x14ac:dyDescent="0.25">
      <c r="A2" t="s">
        <v>926</v>
      </c>
      <c r="B2" t="s">
        <v>486</v>
      </c>
      <c r="C2" t="s">
        <v>231</v>
      </c>
      <c r="P2" t="s">
        <v>223</v>
      </c>
      <c r="T2" s="12" t="s">
        <v>487</v>
      </c>
      <c r="U2">
        <v>1</v>
      </c>
      <c r="V2" t="s">
        <v>488</v>
      </c>
      <c r="X2" t="s">
        <v>195</v>
      </c>
      <c r="Y2" s="36">
        <v>1</v>
      </c>
      <c r="Z2" s="36" cm="1">
        <f t="array" ref="Z2">SUM(IF(ISNUMBER(FIND("TmAi",$BE$1:$AAL$1)),IF(IFERROR(ISODD(SUBSTITUTE($BE2:$AAL2,"A","")),FALSE),IF(ISODD(SUBSTITUTE($BE2:$AAL2,"A","")),1,0),0)))</f>
        <v>0</v>
      </c>
      <c r="AA2" t="str">
        <f t="shared" ref="AA2:AA48" si="0">CONCATENATE($Y2*2-1,"B")</f>
        <v>1B</v>
      </c>
      <c r="AB2" t="str">
        <f t="shared" ref="AB2:AB48" si="1">CONCATENATE($Y2*2,"B")</f>
        <v>2B</v>
      </c>
      <c r="AP2" t="s">
        <v>489</v>
      </c>
      <c r="AS2" t="s">
        <v>191</v>
      </c>
      <c r="JZ2" s="22" t="str">
        <f t="shared" ref="JZ2:JZ3" si="2">CONCATENATE("XT",U2)</f>
        <v>XT1</v>
      </c>
      <c r="KC2" t="str">
        <f t="shared" ref="KC2" si="3">CONCATENATE(T2,"-AI",REPLACE($X2,1,3,""),"-",AA2)</f>
        <v>N1-AI1-1B</v>
      </c>
      <c r="KD2" t="str">
        <f t="shared" ref="KD2" si="4">CONCATENATE(T2,"-AI",REPLACE($X2,1,3,""),"-",AB2)</f>
        <v>N1-AI1-2B</v>
      </c>
      <c r="KI2">
        <v>1</v>
      </c>
      <c r="KJ2">
        <f>KI2+1</f>
        <v>2</v>
      </c>
      <c r="KK2">
        <f>KJ2+1</f>
        <v>3</v>
      </c>
      <c r="KN2">
        <v>1</v>
      </c>
      <c r="KO2" s="14">
        <v>2</v>
      </c>
      <c r="KS2" s="14"/>
    </row>
    <row r="3" spans="1:802" x14ac:dyDescent="0.25">
      <c r="A3" t="s">
        <v>950</v>
      </c>
      <c r="B3" t="s">
        <v>490</v>
      </c>
      <c r="C3" t="s">
        <v>230</v>
      </c>
      <c r="P3" t="s">
        <v>223</v>
      </c>
      <c r="T3" s="12" t="s">
        <v>487</v>
      </c>
      <c r="U3">
        <v>1</v>
      </c>
      <c r="V3" t="s">
        <v>491</v>
      </c>
      <c r="X3" t="str">
        <f>IF(COUNTIF(X$2:X2,X2)&gt;7,REPLACE(X2,LEN(X2),1,VALUE(RIGHT(X2,1))+1),X2)</f>
        <v>A3.1</v>
      </c>
      <c r="Y3" s="36" cm="1">
        <f t="array" ref="Y3">IF(COUNTIFS($X$2:$X3,$X3)=1,"1",VALUE(SUBSTITUTE(INDEX(Y:Y,_xlfn.XMATCH($X3,$X$1:$X2,0,-1)),"A",""))+INDEX(Z:Z,_xlfn.XMATCH($X3,$X$1:$X2,0,-1))+1)</f>
        <v>2</v>
      </c>
      <c r="Z3" s="36" cm="1">
        <f t="array" ref="Z3">SUM(IF(ISNUMBER(FIND("TmAi",$BE$1:$AAL$1)),IF(IFERROR(ISODD(SUBSTITUTE($BE3:$AAL3,"A","")),FALSE),IF(ISODD(SUBSTITUTE($BE3:$AAL3,"A","")),1,0),0)))</f>
        <v>0</v>
      </c>
      <c r="AA3" t="str">
        <f t="shared" si="0"/>
        <v>3B</v>
      </c>
      <c r="AB3" t="str">
        <f t="shared" si="1"/>
        <v>4B</v>
      </c>
      <c r="AP3" t="s">
        <v>489</v>
      </c>
      <c r="AS3" t="s">
        <v>191</v>
      </c>
      <c r="JZ3" s="22" t="str">
        <f t="shared" si="2"/>
        <v>XT1</v>
      </c>
      <c r="KC3" t="str">
        <f t="shared" ref="KC3" si="5">CONCATENATE(T3,"-AI",REPLACE($X3,1,3,""),"-",AA3)</f>
        <v>N1-AI1-3B</v>
      </c>
      <c r="KD3" t="str">
        <f t="shared" ref="KD3" si="6">CONCATENATE(T3,"-AI",REPLACE($X3,1,3,""),"-",AB3)</f>
        <v>N1-AI1-4B</v>
      </c>
      <c r="KI3" cm="1">
        <f t="array" ref="KI3">IF(COUNTIFS($U$2:$U3,$U3)=1,1,INDEX(KI:KI,_xlfn.XMATCH(U3,U$1:U2,0,-1))+COUNT(KI2:KM2))</f>
        <v>4</v>
      </c>
      <c r="KJ3">
        <f t="shared" ref="KJ3:KK3" si="7">KI3+1</f>
        <v>5</v>
      </c>
      <c r="KK3">
        <f t="shared" si="7"/>
        <v>6</v>
      </c>
      <c r="KN3">
        <v>1</v>
      </c>
      <c r="KO3" s="14">
        <v>2</v>
      </c>
      <c r="KS3" s="14"/>
    </row>
    <row r="4" spans="1:802" x14ac:dyDescent="0.25">
      <c r="A4" s="44" t="s">
        <v>951</v>
      </c>
      <c r="B4" t="s">
        <v>492</v>
      </c>
      <c r="C4" t="s">
        <v>230</v>
      </c>
      <c r="P4" t="s">
        <v>223</v>
      </c>
      <c r="T4" s="12" t="s">
        <v>487</v>
      </c>
      <c r="U4">
        <v>1</v>
      </c>
      <c r="V4" t="s">
        <v>493</v>
      </c>
      <c r="X4" t="s">
        <v>479</v>
      </c>
      <c r="Y4" s="36" t="str" cm="1">
        <f t="array" ref="Y4">IF(COUNTIFS($X$2:$X4,$X4)=1,"1",VALUE(SUBSTITUTE(INDEX(Y:Y,_xlfn.XMATCH($X4,$X$1:$X3,0,-1)),"A",""))+INDEX(Z:Z,_xlfn.XMATCH($X4,$X$1:$X3,0,-1))+1)</f>
        <v>1</v>
      </c>
      <c r="Z4" s="36" cm="1">
        <f t="array" ref="Z4">SUM(IF(ISNUMBER(FIND("TmAi",$BE$1:$AAL$1)),IF(IFERROR(ISODD(SUBSTITUTE($BE4:$AAL4,"A","")),FALSE),IF(ISODD(SUBSTITUTE($BE4:$AAL4,"A","")),1,0),0)))</f>
        <v>0</v>
      </c>
      <c r="AA4" t="str">
        <f t="shared" si="0"/>
        <v>1B</v>
      </c>
      <c r="AB4" t="str">
        <f t="shared" si="1"/>
        <v>2B</v>
      </c>
      <c r="AP4" t="s">
        <v>489</v>
      </c>
      <c r="AS4" t="s">
        <v>191</v>
      </c>
      <c r="JZ4" s="22" t="str">
        <f t="shared" ref="JZ4:JZ48" si="8">CONCATENATE("XT",U4)</f>
        <v>XT1</v>
      </c>
      <c r="KC4" t="str">
        <f t="shared" ref="KC4:KC48" si="9">CONCATENATE(T4,"-AI",REPLACE($X4,1,3,""),"-",AA4)</f>
        <v>N1-AI2-1B</v>
      </c>
      <c r="KD4" t="str">
        <f t="shared" ref="KD4:KD48" si="10">CONCATENATE(T4,"-AI",REPLACE($X4,1,3,""),"-",AB4)</f>
        <v>N1-AI2-2B</v>
      </c>
      <c r="KI4" cm="1">
        <f t="array" ref="KI4">IF(COUNTIFS($U$2:$U4,$U4)=1,1,INDEX(KI:KI,_xlfn.XMATCH(U4,U$1:U3,0,-1))+COUNT(KI3:KM3))</f>
        <v>7</v>
      </c>
      <c r="KJ4">
        <f t="shared" ref="KJ4:KK4" si="11">KI4+1</f>
        <v>8</v>
      </c>
      <c r="KK4">
        <f t="shared" si="11"/>
        <v>9</v>
      </c>
      <c r="KN4">
        <v>1</v>
      </c>
      <c r="KO4" s="14">
        <v>2</v>
      </c>
      <c r="KS4" s="14"/>
    </row>
    <row r="5" spans="1:802" x14ac:dyDescent="0.25">
      <c r="A5" t="s">
        <v>952</v>
      </c>
      <c r="B5" t="s">
        <v>539</v>
      </c>
      <c r="C5" t="s">
        <v>230</v>
      </c>
      <c r="P5" t="s">
        <v>223</v>
      </c>
      <c r="T5" s="12" t="s">
        <v>487</v>
      </c>
      <c r="U5">
        <v>1</v>
      </c>
      <c r="V5" t="s">
        <v>494</v>
      </c>
      <c r="X5" t="str">
        <f>IF(COUNTIF(X$2:X4,X4)&gt;7,REPLACE(X4,LEN(X4),1,VALUE(RIGHT(X4,1))+1),X4)</f>
        <v>A3.2</v>
      </c>
      <c r="Y5" s="36" cm="1">
        <f t="array" ref="Y5">IF(COUNTIFS($X$2:$X5,$X5)=1,"1",VALUE(SUBSTITUTE(INDEX(Y:Y,_xlfn.XMATCH($X5,$X$1:$X4,0,-1)),"A",""))+INDEX(Z:Z,_xlfn.XMATCH($X5,$X$1:$X4,0,-1))+1)</f>
        <v>2</v>
      </c>
      <c r="Z5" s="36" cm="1">
        <f t="array" ref="Z5">SUM(IF(ISNUMBER(FIND("TmAi",$BE$1:$AAL$1)),IF(IFERROR(ISODD(SUBSTITUTE($BE5:$AAL5,"A","")),FALSE),IF(ISODD(SUBSTITUTE($BE5:$AAL5,"A","")),1,0),0)))</f>
        <v>0</v>
      </c>
      <c r="AA5" t="str">
        <f t="shared" si="0"/>
        <v>3B</v>
      </c>
      <c r="AB5" t="str">
        <f t="shared" si="1"/>
        <v>4B</v>
      </c>
      <c r="AP5" t="s">
        <v>489</v>
      </c>
      <c r="AS5" t="s">
        <v>191</v>
      </c>
      <c r="JZ5" s="22" t="str">
        <f t="shared" si="8"/>
        <v>XT1</v>
      </c>
      <c r="KC5" t="str">
        <f t="shared" si="9"/>
        <v>N1-AI2-3B</v>
      </c>
      <c r="KD5" t="str">
        <f t="shared" si="10"/>
        <v>N1-AI2-4B</v>
      </c>
      <c r="KI5" cm="1">
        <f t="array" ref="KI5">IF(COUNTIFS($U$2:$U5,$U5)=1,1,INDEX(KI:KI,_xlfn.XMATCH(U5,U$1:U4,0,-1))+COUNT(KI4:KM4))</f>
        <v>10</v>
      </c>
      <c r="KJ5">
        <f t="shared" ref="KJ5:KK5" si="12">KI5+1</f>
        <v>11</v>
      </c>
      <c r="KK5">
        <f t="shared" si="12"/>
        <v>12</v>
      </c>
      <c r="KN5">
        <v>1</v>
      </c>
      <c r="KO5" s="14">
        <v>2</v>
      </c>
      <c r="KS5" s="14"/>
    </row>
    <row r="6" spans="1:802" x14ac:dyDescent="0.25">
      <c r="A6" t="s">
        <v>953</v>
      </c>
      <c r="B6" t="s">
        <v>540</v>
      </c>
      <c r="C6" t="s">
        <v>230</v>
      </c>
      <c r="P6" t="s">
        <v>223</v>
      </c>
      <c r="T6" s="12" t="s">
        <v>487</v>
      </c>
      <c r="U6">
        <v>1</v>
      </c>
      <c r="V6" t="s">
        <v>495</v>
      </c>
      <c r="X6" t="str">
        <f>IF(COUNTIF(X$2:X5,X5)&gt;7,REPLACE(X5,LEN(X5),1,VALUE(RIGHT(X5,1))+1),X5)</f>
        <v>A3.2</v>
      </c>
      <c r="Y6" s="36" cm="1">
        <f t="array" ref="Y6">IF(COUNTIFS($X$2:$X6,$X6)=1,"1",VALUE(SUBSTITUTE(INDEX(Y:Y,_xlfn.XMATCH($X6,$X$1:$X5,0,-1)),"A",""))+INDEX(Z:Z,_xlfn.XMATCH($X6,$X$1:$X5,0,-1))+1)</f>
        <v>3</v>
      </c>
      <c r="Z6" s="36" cm="1">
        <f t="array" ref="Z6">SUM(IF(ISNUMBER(FIND("TmAi",$BE$1:$AAL$1)),IF(IFERROR(ISODD(SUBSTITUTE($BE6:$AAL6,"A","")),FALSE),IF(ISODD(SUBSTITUTE($BE6:$AAL6,"A","")),1,0),0)))</f>
        <v>0</v>
      </c>
      <c r="AA6" t="str">
        <f t="shared" si="0"/>
        <v>5B</v>
      </c>
      <c r="AB6" t="str">
        <f t="shared" si="1"/>
        <v>6B</v>
      </c>
      <c r="AP6" t="s">
        <v>489</v>
      </c>
      <c r="AS6" t="s">
        <v>191</v>
      </c>
      <c r="JZ6" s="22" t="str">
        <f t="shared" si="8"/>
        <v>XT1</v>
      </c>
      <c r="KC6" t="str">
        <f t="shared" si="9"/>
        <v>N1-AI2-5B</v>
      </c>
      <c r="KD6" t="str">
        <f t="shared" si="10"/>
        <v>N1-AI2-6B</v>
      </c>
      <c r="KI6" cm="1">
        <f t="array" ref="KI6">IF(COUNTIFS($U$2:$U6,$U6)=1,1,INDEX(KI:KI,_xlfn.XMATCH(U6,U$1:U5,0,-1))+COUNT(KI5:KM5))</f>
        <v>13</v>
      </c>
      <c r="KJ6">
        <f t="shared" ref="KJ6:KK6" si="13">KI6+1</f>
        <v>14</v>
      </c>
      <c r="KK6">
        <f t="shared" si="13"/>
        <v>15</v>
      </c>
      <c r="KN6">
        <v>1</v>
      </c>
      <c r="KO6" s="14">
        <v>2</v>
      </c>
      <c r="KS6" s="14"/>
    </row>
    <row r="7" spans="1:802" x14ac:dyDescent="0.25">
      <c r="A7" t="s">
        <v>954</v>
      </c>
      <c r="B7" t="s">
        <v>541</v>
      </c>
      <c r="C7" t="s">
        <v>230</v>
      </c>
      <c r="P7" t="s">
        <v>223</v>
      </c>
      <c r="T7" s="12" t="s">
        <v>487</v>
      </c>
      <c r="U7">
        <v>1</v>
      </c>
      <c r="V7" t="s">
        <v>496</v>
      </c>
      <c r="X7" t="s">
        <v>224</v>
      </c>
      <c r="Y7" s="36" t="str" cm="1">
        <f t="array" ref="Y7">IF(COUNTIFS($X$2:$X7,$X7)=1,"1",VALUE(SUBSTITUTE(INDEX(Y:Y,_xlfn.XMATCH($X7,$X$1:$X6,0,-1)),"A",""))+INDEX(Z:Z,_xlfn.XMATCH($X7,$X$1:$X6,0,-1))+1)</f>
        <v>1</v>
      </c>
      <c r="Z7" s="36" cm="1">
        <f t="array" ref="Z7">SUM(IF(ISNUMBER(FIND("TmAi",$BE$1:$AAL$1)),IF(IFERROR(ISODD(SUBSTITUTE($BE7:$AAL7,"A","")),FALSE),IF(ISODD(SUBSTITUTE($BE7:$AAL7,"A","")),1,0),0)))</f>
        <v>0</v>
      </c>
      <c r="AA7" t="str">
        <f t="shared" si="0"/>
        <v>1B</v>
      </c>
      <c r="AB7" t="str">
        <f t="shared" si="1"/>
        <v>2B</v>
      </c>
      <c r="AP7" t="s">
        <v>489</v>
      </c>
      <c r="AS7" t="s">
        <v>191</v>
      </c>
      <c r="JZ7" s="22" t="str">
        <f t="shared" si="8"/>
        <v>XT1</v>
      </c>
      <c r="KC7" t="str">
        <f t="shared" si="9"/>
        <v>N1-AI3-1B</v>
      </c>
      <c r="KD7" t="str">
        <f t="shared" si="10"/>
        <v>N1-AI3-2B</v>
      </c>
      <c r="KI7" cm="1">
        <f t="array" ref="KI7">IF(COUNTIFS($U$2:$U7,$U7)=1,1,INDEX(KI:KI,_xlfn.XMATCH(U7,U$1:U6,0,-1))+COUNT(KI6:KM6))</f>
        <v>16</v>
      </c>
      <c r="KJ7">
        <f t="shared" ref="KJ7:KK7" si="14">KI7+1</f>
        <v>17</v>
      </c>
      <c r="KK7">
        <f t="shared" si="14"/>
        <v>18</v>
      </c>
      <c r="KN7">
        <v>1</v>
      </c>
      <c r="KO7" s="14">
        <v>2</v>
      </c>
      <c r="KS7" s="14"/>
    </row>
    <row r="8" spans="1:802" x14ac:dyDescent="0.25">
      <c r="A8" t="s">
        <v>955</v>
      </c>
      <c r="B8" t="s">
        <v>542</v>
      </c>
      <c r="C8" t="s">
        <v>230</v>
      </c>
      <c r="P8" t="s">
        <v>223</v>
      </c>
      <c r="T8" s="12" t="s">
        <v>487</v>
      </c>
      <c r="U8">
        <v>1</v>
      </c>
      <c r="V8" t="s">
        <v>497</v>
      </c>
      <c r="X8" t="str">
        <f>IF(COUNTIF(X$2:X7,X7)&gt;7,REPLACE(X7,LEN(X7),1,VALUE(RIGHT(X7,1))+1),X7)</f>
        <v>A3.3</v>
      </c>
      <c r="Y8" s="36" cm="1">
        <f t="array" ref="Y8">IF(COUNTIFS($X$2:$X8,$X8)=1,"1",VALUE(SUBSTITUTE(INDEX(Y:Y,_xlfn.XMATCH($X8,$X$1:$X7,0,-1)),"A",""))+INDEX(Z:Z,_xlfn.XMATCH($X8,$X$1:$X7,0,-1))+1)</f>
        <v>2</v>
      </c>
      <c r="Z8" s="36" cm="1">
        <f t="array" ref="Z8">SUM(IF(ISNUMBER(FIND("TmAi",$BE$1:$AAL$1)),IF(IFERROR(ISODD(SUBSTITUTE($BE8:$AAL8,"A","")),FALSE),IF(ISODD(SUBSTITUTE($BE8:$AAL8,"A","")),1,0),0)))</f>
        <v>0</v>
      </c>
      <c r="AA8" t="str">
        <f t="shared" si="0"/>
        <v>3B</v>
      </c>
      <c r="AB8" t="str">
        <f t="shared" si="1"/>
        <v>4B</v>
      </c>
      <c r="AP8" t="s">
        <v>489</v>
      </c>
      <c r="AS8" t="s">
        <v>191</v>
      </c>
      <c r="JZ8" s="22" t="str">
        <f t="shared" si="8"/>
        <v>XT1</v>
      </c>
      <c r="KC8" t="str">
        <f t="shared" si="9"/>
        <v>N1-AI3-3B</v>
      </c>
      <c r="KD8" t="str">
        <f t="shared" si="10"/>
        <v>N1-AI3-4B</v>
      </c>
      <c r="KI8" cm="1">
        <f t="array" ref="KI8">IF(COUNTIFS($U$2:$U8,$U8)=1,1,INDEX(KI:KI,_xlfn.XMATCH(U8,U$1:U7,0,-1))+COUNT(KI7:KM7))</f>
        <v>19</v>
      </c>
      <c r="KJ8">
        <f t="shared" ref="KJ8:KK8" si="15">KI8+1</f>
        <v>20</v>
      </c>
      <c r="KK8">
        <f t="shared" si="15"/>
        <v>21</v>
      </c>
      <c r="KN8">
        <v>1</v>
      </c>
      <c r="KO8" s="14">
        <v>2</v>
      </c>
      <c r="KS8" s="14"/>
    </row>
    <row r="9" spans="1:802" x14ac:dyDescent="0.25">
      <c r="A9" t="s">
        <v>956</v>
      </c>
      <c r="B9" t="s">
        <v>543</v>
      </c>
      <c r="C9" t="s">
        <v>230</v>
      </c>
      <c r="P9" t="s">
        <v>223</v>
      </c>
      <c r="T9" s="12" t="s">
        <v>487</v>
      </c>
      <c r="U9">
        <v>1</v>
      </c>
      <c r="V9" t="s">
        <v>498</v>
      </c>
      <c r="X9" t="str">
        <f>IF(COUNTIF(X$2:X8,X8)&gt;7,REPLACE(X8,LEN(X8),1,VALUE(RIGHT(X8,1))+1),X8)</f>
        <v>A3.3</v>
      </c>
      <c r="Y9" s="36" cm="1">
        <f t="array" ref="Y9">IF(COUNTIFS($X$2:$X9,$X9)=1,"1",VALUE(SUBSTITUTE(INDEX(Y:Y,_xlfn.XMATCH($X9,$X$1:$X8,0,-1)),"A",""))+INDEX(Z:Z,_xlfn.XMATCH($X9,$X$1:$X8,0,-1))+1)</f>
        <v>3</v>
      </c>
      <c r="Z9" s="36" cm="1">
        <f t="array" ref="Z9">SUM(IF(ISNUMBER(FIND("TmAi",$BE$1:$AAL$1)),IF(IFERROR(ISODD(SUBSTITUTE($BE9:$AAL9,"A","")),FALSE),IF(ISODD(SUBSTITUTE($BE9:$AAL9,"A","")),1,0),0)))</f>
        <v>0</v>
      </c>
      <c r="AA9" t="str">
        <f t="shared" si="0"/>
        <v>5B</v>
      </c>
      <c r="AB9" t="str">
        <f t="shared" si="1"/>
        <v>6B</v>
      </c>
      <c r="AP9" t="s">
        <v>489</v>
      </c>
      <c r="AS9" t="s">
        <v>191</v>
      </c>
      <c r="JZ9" s="22" t="str">
        <f t="shared" si="8"/>
        <v>XT1</v>
      </c>
      <c r="KC9" t="str">
        <f t="shared" si="9"/>
        <v>N1-AI3-5B</v>
      </c>
      <c r="KD9" t="str">
        <f t="shared" si="10"/>
        <v>N1-AI3-6B</v>
      </c>
      <c r="KI9" cm="1">
        <f t="array" ref="KI9">IF(COUNTIFS($U$2:$U9,$U9)=1,1,INDEX(KI:KI,_xlfn.XMATCH(U9,U$1:U8,0,-1))+COUNT(KI8:KM8))</f>
        <v>22</v>
      </c>
      <c r="KJ9">
        <f t="shared" ref="KJ9:KK9" si="16">KI9+1</f>
        <v>23</v>
      </c>
      <c r="KK9">
        <f t="shared" si="16"/>
        <v>24</v>
      </c>
      <c r="KN9">
        <v>1</v>
      </c>
      <c r="KO9" s="14">
        <v>2</v>
      </c>
      <c r="KS9" s="14"/>
    </row>
    <row r="10" spans="1:802" x14ac:dyDescent="0.25">
      <c r="A10" t="s">
        <v>957</v>
      </c>
      <c r="B10" t="s">
        <v>544</v>
      </c>
      <c r="C10" t="s">
        <v>230</v>
      </c>
      <c r="P10" t="s">
        <v>223</v>
      </c>
      <c r="T10" s="12" t="s">
        <v>487</v>
      </c>
      <c r="U10">
        <v>1</v>
      </c>
      <c r="V10" t="s">
        <v>499</v>
      </c>
      <c r="X10" t="s">
        <v>232</v>
      </c>
      <c r="Y10" s="36" t="str" cm="1">
        <f t="array" ref="Y10">IF(COUNTIFS($X$2:$X10,$X10)=1,"1",VALUE(SUBSTITUTE(INDEX(Y:Y,_xlfn.XMATCH($X10,$X$1:$X9,0,-1)),"A",""))+INDEX(Z:Z,_xlfn.XMATCH($X10,$X$1:$X9,0,-1))+1)</f>
        <v>1</v>
      </c>
      <c r="Z10" s="36" cm="1">
        <f t="array" ref="Z10">SUM(IF(ISNUMBER(FIND("TmAi",$BE$1:$AAL$1)),IF(IFERROR(ISODD(SUBSTITUTE($BE10:$AAL10,"A","")),FALSE),IF(ISODD(SUBSTITUTE($BE10:$AAL10,"A","")),1,0),0)))</f>
        <v>0</v>
      </c>
      <c r="AA10" t="str">
        <f t="shared" si="0"/>
        <v>1B</v>
      </c>
      <c r="AB10" t="str">
        <f t="shared" si="1"/>
        <v>2B</v>
      </c>
      <c r="AP10" t="s">
        <v>489</v>
      </c>
      <c r="AS10" t="s">
        <v>191</v>
      </c>
      <c r="JZ10" s="22" t="str">
        <f t="shared" si="8"/>
        <v>XT1</v>
      </c>
      <c r="KC10" t="str">
        <f t="shared" si="9"/>
        <v>N1-AI4-1B</v>
      </c>
      <c r="KD10" t="str">
        <f t="shared" si="10"/>
        <v>N1-AI4-2B</v>
      </c>
      <c r="KI10" cm="1">
        <f t="array" ref="KI10">IF(COUNTIFS($U$2:$U10,$U10)=1,1,INDEX(KI:KI,_xlfn.XMATCH(U10,U$1:U9,0,-1))+COUNT(KI9:KM9))</f>
        <v>25</v>
      </c>
      <c r="KJ10">
        <f t="shared" ref="KJ10:KK10" si="17">KI10+1</f>
        <v>26</v>
      </c>
      <c r="KK10">
        <f t="shared" si="17"/>
        <v>27</v>
      </c>
      <c r="KN10">
        <v>1</v>
      </c>
      <c r="KO10" s="14">
        <v>2</v>
      </c>
      <c r="KS10" s="14"/>
    </row>
    <row r="11" spans="1:802" x14ac:dyDescent="0.25">
      <c r="A11" t="s">
        <v>958</v>
      </c>
      <c r="B11" t="s">
        <v>545</v>
      </c>
      <c r="C11" t="s">
        <v>230</v>
      </c>
      <c r="P11" t="s">
        <v>223</v>
      </c>
      <c r="T11" s="12" t="s">
        <v>487</v>
      </c>
      <c r="U11">
        <v>1</v>
      </c>
      <c r="V11" t="s">
        <v>500</v>
      </c>
      <c r="X11" t="str">
        <f>IF(COUNTIF(X$2:X10,X10)&gt;7,REPLACE(X10,LEN(X10),1,VALUE(RIGHT(X10,1))+1),X10)</f>
        <v>A3.4</v>
      </c>
      <c r="Y11" s="36" cm="1">
        <f t="array" ref="Y11">IF(COUNTIFS($X$2:$X11,$X11)=1,"1",VALUE(SUBSTITUTE(INDEX(Y:Y,_xlfn.XMATCH($X11,$X$1:$X10,0,-1)),"A",""))+INDEX(Z:Z,_xlfn.XMATCH($X11,$X$1:$X10,0,-1))+1)</f>
        <v>2</v>
      </c>
      <c r="Z11" s="36" cm="1">
        <f t="array" ref="Z11">SUM(IF(ISNUMBER(FIND("TmAi",$BE$1:$AAL$1)),IF(IFERROR(ISODD(SUBSTITUTE($BE11:$AAL11,"A","")),FALSE),IF(ISODD(SUBSTITUTE($BE11:$AAL11,"A","")),1,0),0)))</f>
        <v>0</v>
      </c>
      <c r="AA11" t="str">
        <f t="shared" si="0"/>
        <v>3B</v>
      </c>
      <c r="AB11" t="str">
        <f t="shared" si="1"/>
        <v>4B</v>
      </c>
      <c r="AP11" t="s">
        <v>489</v>
      </c>
      <c r="AS11" t="s">
        <v>191</v>
      </c>
      <c r="JZ11" s="22" t="str">
        <f t="shared" si="8"/>
        <v>XT1</v>
      </c>
      <c r="KC11" t="str">
        <f t="shared" si="9"/>
        <v>N1-AI4-3B</v>
      </c>
      <c r="KD11" t="str">
        <f t="shared" si="10"/>
        <v>N1-AI4-4B</v>
      </c>
      <c r="KI11" cm="1">
        <f t="array" ref="KI11">IF(COUNTIFS($U$2:$U11,$U11)=1,1,INDEX(KI:KI,_xlfn.XMATCH(U11,U$1:U10,0,-1))+COUNT(KI10:KM10))</f>
        <v>28</v>
      </c>
      <c r="KJ11">
        <f t="shared" ref="KJ11:KK11" si="18">KI11+1</f>
        <v>29</v>
      </c>
      <c r="KK11">
        <f t="shared" si="18"/>
        <v>30</v>
      </c>
      <c r="KN11">
        <v>1</v>
      </c>
      <c r="KO11" s="14">
        <v>2</v>
      </c>
      <c r="KS11" s="14"/>
    </row>
    <row r="12" spans="1:802" x14ac:dyDescent="0.25">
      <c r="A12" t="s">
        <v>959</v>
      </c>
      <c r="B12" t="s">
        <v>546</v>
      </c>
      <c r="C12" t="s">
        <v>230</v>
      </c>
      <c r="P12" t="s">
        <v>223</v>
      </c>
      <c r="T12" s="12" t="s">
        <v>487</v>
      </c>
      <c r="U12">
        <v>1</v>
      </c>
      <c r="V12" t="s">
        <v>501</v>
      </c>
      <c r="X12" t="str">
        <f>IF(COUNTIF(X$2:X11,X11)&gt;7,REPLACE(X11,LEN(X11),1,VALUE(RIGHT(X11,1))+1),X11)</f>
        <v>A3.4</v>
      </c>
      <c r="Y12" s="36" cm="1">
        <f t="array" ref="Y12">IF(COUNTIFS($X$2:$X12,$X12)=1,"1",VALUE(SUBSTITUTE(INDEX(Y:Y,_xlfn.XMATCH($X12,$X$1:$X11,0,-1)),"A",""))+INDEX(Z:Z,_xlfn.XMATCH($X12,$X$1:$X11,0,-1))+1)</f>
        <v>3</v>
      </c>
      <c r="Z12" s="36" cm="1">
        <f t="array" ref="Z12">SUM(IF(ISNUMBER(FIND("TmAi",$BE$1:$AAL$1)),IF(IFERROR(ISODD(SUBSTITUTE($BE12:$AAL12,"A","")),FALSE),IF(ISODD(SUBSTITUTE($BE12:$AAL12,"A","")),1,0),0)))</f>
        <v>0</v>
      </c>
      <c r="AA12" t="str">
        <f t="shared" si="0"/>
        <v>5B</v>
      </c>
      <c r="AB12" t="str">
        <f t="shared" si="1"/>
        <v>6B</v>
      </c>
      <c r="AP12" t="s">
        <v>489</v>
      </c>
      <c r="AS12" t="s">
        <v>191</v>
      </c>
      <c r="JZ12" s="22" t="str">
        <f t="shared" si="8"/>
        <v>XT1</v>
      </c>
      <c r="KC12" t="str">
        <f t="shared" si="9"/>
        <v>N1-AI4-5B</v>
      </c>
      <c r="KD12" t="str">
        <f t="shared" si="10"/>
        <v>N1-AI4-6B</v>
      </c>
      <c r="KI12" cm="1">
        <f t="array" ref="KI12">IF(COUNTIFS($U$2:$U12,$U12)=1,1,INDEX(KI:KI,_xlfn.XMATCH(U12,U$1:U11,0,-1))+COUNT(KI11:KM11))</f>
        <v>31</v>
      </c>
      <c r="KJ12">
        <f t="shared" ref="KJ12:KK12" si="19">KI12+1</f>
        <v>32</v>
      </c>
      <c r="KK12">
        <f t="shared" si="19"/>
        <v>33</v>
      </c>
      <c r="KN12">
        <v>1</v>
      </c>
      <c r="KO12" s="14">
        <v>2</v>
      </c>
      <c r="KS12" s="14"/>
    </row>
    <row r="13" spans="1:802" x14ac:dyDescent="0.25">
      <c r="A13" t="s">
        <v>960</v>
      </c>
      <c r="B13" t="s">
        <v>547</v>
      </c>
      <c r="C13" t="s">
        <v>230</v>
      </c>
      <c r="P13" t="s">
        <v>223</v>
      </c>
      <c r="T13" s="12" t="s">
        <v>487</v>
      </c>
      <c r="U13">
        <v>1</v>
      </c>
      <c r="V13" t="s">
        <v>502</v>
      </c>
      <c r="X13" t="s">
        <v>195</v>
      </c>
      <c r="Y13" s="36" cm="1">
        <f t="array" ref="Y13">IF(COUNTIFS($X$2:$X13,$X13)=1,"1",VALUE(SUBSTITUTE(INDEX(Y:Y,_xlfn.XMATCH($X13,$X$1:$X12,0,-1)),"A",""))+INDEX(Z:Z,_xlfn.XMATCH($X13,$X$1:$X12,0,-1))+1)</f>
        <v>3</v>
      </c>
      <c r="Z13" s="36" cm="1">
        <f t="array" ref="Z13">SUM(IF(ISNUMBER(FIND("TmAi",$BE$1:$AAL$1)),IF(IFERROR(ISODD(SUBSTITUTE($BE13:$AAL13,"A","")),FALSE),IF(ISODD(SUBSTITUTE($BE13:$AAL13,"A","")),1,0),0)))</f>
        <v>0</v>
      </c>
      <c r="AA13" t="str">
        <f t="shared" si="0"/>
        <v>5B</v>
      </c>
      <c r="AB13" t="str">
        <f t="shared" si="1"/>
        <v>6B</v>
      </c>
      <c r="AP13" t="s">
        <v>489</v>
      </c>
      <c r="AS13" t="s">
        <v>191</v>
      </c>
      <c r="JZ13" s="22" t="str">
        <f t="shared" si="8"/>
        <v>XT1</v>
      </c>
      <c r="KC13" t="str">
        <f t="shared" si="9"/>
        <v>N1-AI1-5B</v>
      </c>
      <c r="KD13" t="str">
        <f t="shared" si="10"/>
        <v>N1-AI1-6B</v>
      </c>
      <c r="KI13" cm="1">
        <f t="array" ref="KI13">IF(COUNTIFS($U$2:$U13,$U13)=1,1,INDEX(KI:KI,_xlfn.XMATCH(U13,U$1:U12,0,-1))+COUNT(KI12:KM12))</f>
        <v>34</v>
      </c>
      <c r="KJ13">
        <f t="shared" ref="KJ13:KK13" si="20">KI13+1</f>
        <v>35</v>
      </c>
      <c r="KK13">
        <f t="shared" si="20"/>
        <v>36</v>
      </c>
      <c r="KN13">
        <v>1</v>
      </c>
      <c r="KO13" s="14">
        <v>2</v>
      </c>
      <c r="KS13" s="14"/>
    </row>
    <row r="14" spans="1:802" x14ac:dyDescent="0.25">
      <c r="A14" t="s">
        <v>961</v>
      </c>
      <c r="B14" t="s">
        <v>548</v>
      </c>
      <c r="C14" t="s">
        <v>230</v>
      </c>
      <c r="P14" t="s">
        <v>223</v>
      </c>
      <c r="T14" s="12" t="s">
        <v>487</v>
      </c>
      <c r="U14">
        <v>1</v>
      </c>
      <c r="V14" t="s">
        <v>503</v>
      </c>
      <c r="X14" t="s">
        <v>479</v>
      </c>
      <c r="Y14" s="36">
        <v>5</v>
      </c>
      <c r="Z14" s="36" cm="1">
        <f t="array" ref="Z14">SUM(IF(ISNUMBER(FIND("TmAi",$BE$1:$AAL$1)),IF(IFERROR(ISODD(SUBSTITUTE($BE14:$AAL14,"A","")),FALSE),IF(ISODD(SUBSTITUTE($BE14:$AAL14,"A","")),1,0),0)))</f>
        <v>0</v>
      </c>
      <c r="AA14" t="str">
        <f t="shared" si="0"/>
        <v>9B</v>
      </c>
      <c r="AB14" t="str">
        <f t="shared" si="1"/>
        <v>10B</v>
      </c>
      <c r="AP14" t="s">
        <v>489</v>
      </c>
      <c r="AS14" t="s">
        <v>191</v>
      </c>
      <c r="JZ14" s="22" t="str">
        <f t="shared" si="8"/>
        <v>XT1</v>
      </c>
      <c r="KC14" t="str">
        <f t="shared" si="9"/>
        <v>N1-AI2-9B</v>
      </c>
      <c r="KD14" t="str">
        <f t="shared" si="10"/>
        <v>N1-AI2-10B</v>
      </c>
      <c r="KI14" cm="1">
        <f t="array" ref="KI14">IF(COUNTIFS($U$2:$U14,$U14)=1,1,INDEX(KI:KI,_xlfn.XMATCH(U14,U$1:U13,0,-1))+COUNT(KI13:KM13))</f>
        <v>37</v>
      </c>
      <c r="KJ14">
        <f t="shared" ref="KJ14:KK14" si="21">KI14+1</f>
        <v>38</v>
      </c>
      <c r="KK14">
        <f t="shared" si="21"/>
        <v>39</v>
      </c>
      <c r="KN14">
        <v>1</v>
      </c>
      <c r="KO14" s="14">
        <v>2</v>
      </c>
      <c r="KS14" s="14"/>
    </row>
    <row r="15" spans="1:802" x14ac:dyDescent="0.25">
      <c r="A15" t="s">
        <v>962</v>
      </c>
      <c r="B15" t="s">
        <v>549</v>
      </c>
      <c r="C15" t="s">
        <v>230</v>
      </c>
      <c r="P15" t="s">
        <v>223</v>
      </c>
      <c r="T15" s="12" t="s">
        <v>487</v>
      </c>
      <c r="U15">
        <v>1</v>
      </c>
      <c r="V15" t="s">
        <v>504</v>
      </c>
      <c r="X15" t="str">
        <f>IF(COUNTIF(X$2:X14,X14)&gt;7,REPLACE(X14,LEN(X14),1,VALUE(RIGHT(X14,1))+1),X14)</f>
        <v>A3.2</v>
      </c>
      <c r="Y15" s="36" cm="1">
        <f t="array" ref="Y15">IF(COUNTIFS($X$2:$X15,$X15)=1,"1",VALUE(SUBSTITUTE(INDEX(Y:Y,_xlfn.XMATCH($X15,$X$1:$X14,0,-1)),"A",""))+INDEX(Z:Z,_xlfn.XMATCH($X15,$X$1:$X14,0,-1))+1)</f>
        <v>6</v>
      </c>
      <c r="Z15" s="36" cm="1">
        <f t="array" ref="Z15">SUM(IF(ISNUMBER(FIND("TmAi",$BE$1:$AAL$1)),IF(IFERROR(ISODD(SUBSTITUTE($BE15:$AAL15,"A","")),FALSE),IF(ISODD(SUBSTITUTE($BE15:$AAL15,"A","")),1,0),0)))</f>
        <v>0</v>
      </c>
      <c r="AA15" t="str">
        <f t="shared" si="0"/>
        <v>11B</v>
      </c>
      <c r="AB15" t="str">
        <f t="shared" si="1"/>
        <v>12B</v>
      </c>
      <c r="AP15" t="s">
        <v>489</v>
      </c>
      <c r="AS15" t="s">
        <v>191</v>
      </c>
      <c r="JZ15" s="22" t="str">
        <f t="shared" si="8"/>
        <v>XT1</v>
      </c>
      <c r="KC15" t="str">
        <f t="shared" si="9"/>
        <v>N1-AI2-11B</v>
      </c>
      <c r="KD15" t="str">
        <f t="shared" si="10"/>
        <v>N1-AI2-12B</v>
      </c>
      <c r="KI15" cm="1">
        <f t="array" ref="KI15">IF(COUNTIFS($U$2:$U15,$U15)=1,1,INDEX(KI:KI,_xlfn.XMATCH(U15,U$1:U14,0,-1))+COUNT(KI14:KM14))</f>
        <v>40</v>
      </c>
      <c r="KJ15">
        <f t="shared" ref="KJ15:KK15" si="22">KI15+1</f>
        <v>41</v>
      </c>
      <c r="KK15">
        <f t="shared" si="22"/>
        <v>42</v>
      </c>
      <c r="KN15">
        <v>1</v>
      </c>
      <c r="KO15" s="14">
        <v>2</v>
      </c>
      <c r="KS15" s="14"/>
    </row>
    <row r="16" spans="1:802" x14ac:dyDescent="0.25">
      <c r="A16" t="s">
        <v>963</v>
      </c>
      <c r="B16" t="s">
        <v>550</v>
      </c>
      <c r="C16" t="s">
        <v>230</v>
      </c>
      <c r="P16" t="s">
        <v>223</v>
      </c>
      <c r="T16" s="12" t="s">
        <v>487</v>
      </c>
      <c r="U16">
        <v>1</v>
      </c>
      <c r="V16" t="s">
        <v>505</v>
      </c>
      <c r="X16" t="str">
        <f>IF(COUNTIF(X$2:X15,X15)&gt;7,REPLACE(X15,LEN(X15),1,VALUE(RIGHT(X15,1))+1),X15)</f>
        <v>A3.2</v>
      </c>
      <c r="Y16" s="36" cm="1">
        <f t="array" ref="Y16">IF(COUNTIFS($X$2:$X16,$X16)=1,"1",VALUE(SUBSTITUTE(INDEX(Y:Y,_xlfn.XMATCH($X16,$X$1:$X15,0,-1)),"A",""))+INDEX(Z:Z,_xlfn.XMATCH($X16,$X$1:$X15,0,-1))+1)</f>
        <v>7</v>
      </c>
      <c r="Z16" s="36" cm="1">
        <f t="array" ref="Z16">SUM(IF(ISNUMBER(FIND("TmAi",$BE$1:$AAL$1)),IF(IFERROR(ISODD(SUBSTITUTE($BE16:$AAL16,"A","")),FALSE),IF(ISODD(SUBSTITUTE($BE16:$AAL16,"A","")),1,0),0)))</f>
        <v>0</v>
      </c>
      <c r="AA16" t="str">
        <f t="shared" si="0"/>
        <v>13B</v>
      </c>
      <c r="AB16" t="str">
        <f t="shared" si="1"/>
        <v>14B</v>
      </c>
      <c r="AP16" t="s">
        <v>489</v>
      </c>
      <c r="AS16" t="s">
        <v>191</v>
      </c>
      <c r="JZ16" s="22" t="str">
        <f t="shared" si="8"/>
        <v>XT1</v>
      </c>
      <c r="KC16" t="str">
        <f t="shared" si="9"/>
        <v>N1-AI2-13B</v>
      </c>
      <c r="KD16" t="str">
        <f t="shared" si="10"/>
        <v>N1-AI2-14B</v>
      </c>
      <c r="KI16" cm="1">
        <f t="array" ref="KI16">IF(COUNTIFS($U$2:$U16,$U16)=1,1,INDEX(KI:KI,_xlfn.XMATCH(U16,U$1:U15,0,-1))+COUNT(KI15:KM15))</f>
        <v>43</v>
      </c>
      <c r="KJ16">
        <f t="shared" ref="KJ16:KK16" si="23">KI16+1</f>
        <v>44</v>
      </c>
      <c r="KK16">
        <f t="shared" si="23"/>
        <v>45</v>
      </c>
      <c r="KN16">
        <v>1</v>
      </c>
      <c r="KO16" s="14">
        <v>2</v>
      </c>
      <c r="KS16" s="14"/>
    </row>
    <row r="17" spans="1:305" x14ac:dyDescent="0.25">
      <c r="A17" t="s">
        <v>964</v>
      </c>
      <c r="B17" t="s">
        <v>551</v>
      </c>
      <c r="C17" t="s">
        <v>230</v>
      </c>
      <c r="P17" t="s">
        <v>223</v>
      </c>
      <c r="T17" s="12" t="s">
        <v>487</v>
      </c>
      <c r="U17">
        <v>1</v>
      </c>
      <c r="V17" t="s">
        <v>506</v>
      </c>
      <c r="X17" t="s">
        <v>224</v>
      </c>
      <c r="Y17" s="36">
        <v>5</v>
      </c>
      <c r="Z17" s="36" cm="1">
        <f t="array" ref="Z17">SUM(IF(ISNUMBER(FIND("TmAi",$BE$1:$AAL$1)),IF(IFERROR(ISODD(SUBSTITUTE($BE17:$AAL17,"A","")),FALSE),IF(ISODD(SUBSTITUTE($BE17:$AAL17,"A","")),1,0),0)))</f>
        <v>0</v>
      </c>
      <c r="AA17" t="str">
        <f t="shared" si="0"/>
        <v>9B</v>
      </c>
      <c r="AB17" t="str">
        <f t="shared" si="1"/>
        <v>10B</v>
      </c>
      <c r="AP17" t="s">
        <v>489</v>
      </c>
      <c r="AS17" t="s">
        <v>191</v>
      </c>
      <c r="JZ17" s="22" t="str">
        <f t="shared" si="8"/>
        <v>XT1</v>
      </c>
      <c r="KC17" t="str">
        <f t="shared" si="9"/>
        <v>N1-AI3-9B</v>
      </c>
      <c r="KD17" t="str">
        <f t="shared" si="10"/>
        <v>N1-AI3-10B</v>
      </c>
      <c r="KI17" cm="1">
        <f t="array" ref="KI17">IF(COUNTIFS($U$2:$U17,$U17)=1,1,INDEX(KI:KI,_xlfn.XMATCH(U17,U$1:U16,0,-1))+COUNT(KI16:KM16))</f>
        <v>46</v>
      </c>
      <c r="KJ17">
        <f t="shared" ref="KJ17:KK17" si="24">KI17+1</f>
        <v>47</v>
      </c>
      <c r="KK17">
        <f t="shared" si="24"/>
        <v>48</v>
      </c>
      <c r="KN17">
        <v>1</v>
      </c>
      <c r="KO17" s="14">
        <v>2</v>
      </c>
      <c r="KS17" s="14"/>
    </row>
    <row r="18" spans="1:305" x14ac:dyDescent="0.25">
      <c r="A18" t="s">
        <v>965</v>
      </c>
      <c r="B18" t="s">
        <v>552</v>
      </c>
      <c r="C18" t="s">
        <v>230</v>
      </c>
      <c r="P18" t="s">
        <v>223</v>
      </c>
      <c r="T18" s="12" t="s">
        <v>487</v>
      </c>
      <c r="U18">
        <v>1</v>
      </c>
      <c r="V18" t="s">
        <v>507</v>
      </c>
      <c r="X18" t="str">
        <f>IF(COUNTIF(X$2:X17,X17)&gt;7,REPLACE(X17,LEN(X17),1,VALUE(RIGHT(X17,1))+1),X17)</f>
        <v>A3.3</v>
      </c>
      <c r="Y18" s="36" cm="1">
        <f t="array" ref="Y18">IF(COUNTIFS($X$2:$X18,$X18)=1,"1",VALUE(SUBSTITUTE(INDEX(Y:Y,_xlfn.XMATCH($X18,$X$1:$X17,0,-1)),"A",""))+INDEX(Z:Z,_xlfn.XMATCH($X18,$X$1:$X17,0,-1))+1)</f>
        <v>6</v>
      </c>
      <c r="Z18" s="36" cm="1">
        <f t="array" ref="Z18">SUM(IF(ISNUMBER(FIND("TmAi",$BE$1:$AAL$1)),IF(IFERROR(ISODD(SUBSTITUTE($BE18:$AAL18,"A","")),FALSE),IF(ISODD(SUBSTITUTE($BE18:$AAL18,"A","")),1,0),0)))</f>
        <v>0</v>
      </c>
      <c r="AA18" t="str">
        <f t="shared" si="0"/>
        <v>11B</v>
      </c>
      <c r="AB18" t="str">
        <f t="shared" si="1"/>
        <v>12B</v>
      </c>
      <c r="AP18" t="s">
        <v>489</v>
      </c>
      <c r="AS18" t="s">
        <v>191</v>
      </c>
      <c r="JZ18" s="22" t="str">
        <f t="shared" si="8"/>
        <v>XT1</v>
      </c>
      <c r="KC18" t="str">
        <f t="shared" si="9"/>
        <v>N1-AI3-11B</v>
      </c>
      <c r="KD18" t="str">
        <f t="shared" si="10"/>
        <v>N1-AI3-12B</v>
      </c>
      <c r="KI18" cm="1">
        <f t="array" ref="KI18">IF(COUNTIFS($U$2:$U18,$U18)=1,1,INDEX(KI:KI,_xlfn.XMATCH(U18,U$1:U17,0,-1))+COUNT(KI17:KM17))</f>
        <v>49</v>
      </c>
      <c r="KJ18">
        <f t="shared" ref="KJ18:KK18" si="25">KI18+1</f>
        <v>50</v>
      </c>
      <c r="KK18">
        <f t="shared" si="25"/>
        <v>51</v>
      </c>
      <c r="KN18">
        <v>1</v>
      </c>
      <c r="KO18" s="14">
        <v>2</v>
      </c>
      <c r="KS18" s="14"/>
    </row>
    <row r="19" spans="1:305" x14ac:dyDescent="0.25">
      <c r="A19" t="s">
        <v>966</v>
      </c>
      <c r="B19" t="s">
        <v>553</v>
      </c>
      <c r="C19" t="s">
        <v>230</v>
      </c>
      <c r="P19" t="s">
        <v>223</v>
      </c>
      <c r="T19" s="12" t="s">
        <v>487</v>
      </c>
      <c r="U19">
        <v>1</v>
      </c>
      <c r="V19" t="s">
        <v>508</v>
      </c>
      <c r="X19" t="str">
        <f>IF(COUNTIF(X$2:X18,X18)&gt;7,REPLACE(X18,LEN(X18),1,VALUE(RIGHT(X18,1))+1),X18)</f>
        <v>A3.3</v>
      </c>
      <c r="Y19" s="36" cm="1">
        <f t="array" ref="Y19">IF(COUNTIFS($X$2:$X19,$X19)=1,"1",VALUE(SUBSTITUTE(INDEX(Y:Y,_xlfn.XMATCH($X19,$X$1:$X18,0,-1)),"A",""))+INDEX(Z:Z,_xlfn.XMATCH($X19,$X$1:$X18,0,-1))+1)</f>
        <v>7</v>
      </c>
      <c r="Z19" s="36" cm="1">
        <f t="array" ref="Z19">SUM(IF(ISNUMBER(FIND("TmAi",$BE$1:$AAL$1)),IF(IFERROR(ISODD(SUBSTITUTE($BE19:$AAL19,"A","")),FALSE),IF(ISODD(SUBSTITUTE($BE19:$AAL19,"A","")),1,0),0)))</f>
        <v>0</v>
      </c>
      <c r="AA19" t="str">
        <f t="shared" si="0"/>
        <v>13B</v>
      </c>
      <c r="AB19" t="str">
        <f t="shared" si="1"/>
        <v>14B</v>
      </c>
      <c r="AP19" t="s">
        <v>489</v>
      </c>
      <c r="AS19" t="s">
        <v>191</v>
      </c>
      <c r="JZ19" s="22" t="str">
        <f t="shared" si="8"/>
        <v>XT1</v>
      </c>
      <c r="KC19" t="str">
        <f t="shared" si="9"/>
        <v>N1-AI3-13B</v>
      </c>
      <c r="KD19" t="str">
        <f t="shared" si="10"/>
        <v>N1-AI3-14B</v>
      </c>
      <c r="KI19" cm="1">
        <f t="array" ref="KI19">IF(COUNTIFS($U$2:$U19,$U19)=1,1,INDEX(KI:KI,_xlfn.XMATCH(U19,U$1:U18,0,-1))+COUNT(KI18:KM18))</f>
        <v>52</v>
      </c>
      <c r="KJ19">
        <f t="shared" ref="KJ19:KK19" si="26">KI19+1</f>
        <v>53</v>
      </c>
      <c r="KK19">
        <f t="shared" si="26"/>
        <v>54</v>
      </c>
      <c r="KN19">
        <v>1</v>
      </c>
      <c r="KO19" s="14">
        <v>2</v>
      </c>
      <c r="KS19" s="14"/>
    </row>
    <row r="20" spans="1:305" x14ac:dyDescent="0.25">
      <c r="A20" t="s">
        <v>967</v>
      </c>
      <c r="B20" t="s">
        <v>554</v>
      </c>
      <c r="C20" t="s">
        <v>230</v>
      </c>
      <c r="P20" t="s">
        <v>223</v>
      </c>
      <c r="T20" s="12" t="s">
        <v>487</v>
      </c>
      <c r="U20">
        <v>1</v>
      </c>
      <c r="V20" t="s">
        <v>509</v>
      </c>
      <c r="X20" t="s">
        <v>232</v>
      </c>
      <c r="Y20" s="36">
        <v>5</v>
      </c>
      <c r="Z20" s="36" cm="1">
        <f t="array" ref="Z20">SUM(IF(ISNUMBER(FIND("TmAi",$BE$1:$AAL$1)),IF(IFERROR(ISODD(SUBSTITUTE($BE20:$AAL20,"A","")),FALSE),IF(ISODD(SUBSTITUTE($BE20:$AAL20,"A","")),1,0),0)))</f>
        <v>0</v>
      </c>
      <c r="AA20" t="str">
        <f t="shared" si="0"/>
        <v>9B</v>
      </c>
      <c r="AB20" t="str">
        <f t="shared" si="1"/>
        <v>10B</v>
      </c>
      <c r="AP20" t="s">
        <v>489</v>
      </c>
      <c r="AS20" t="s">
        <v>191</v>
      </c>
      <c r="JZ20" s="22" t="str">
        <f t="shared" si="8"/>
        <v>XT1</v>
      </c>
      <c r="KC20" t="str">
        <f t="shared" si="9"/>
        <v>N1-AI4-9B</v>
      </c>
      <c r="KD20" t="str">
        <f t="shared" si="10"/>
        <v>N1-AI4-10B</v>
      </c>
      <c r="KI20" cm="1">
        <f t="array" ref="KI20">IF(COUNTIFS($U$2:$U20,$U20)=1,1,INDEX(KI:KI,_xlfn.XMATCH(U20,U$1:U19,0,-1))+COUNT(KI19:KM19))</f>
        <v>55</v>
      </c>
      <c r="KJ20">
        <f t="shared" ref="KJ20:KK20" si="27">KI20+1</f>
        <v>56</v>
      </c>
      <c r="KK20">
        <f t="shared" si="27"/>
        <v>57</v>
      </c>
      <c r="KN20">
        <v>1</v>
      </c>
      <c r="KO20" s="14">
        <v>2</v>
      </c>
      <c r="KS20" s="14"/>
    </row>
    <row r="21" spans="1:305" x14ac:dyDescent="0.25">
      <c r="A21" t="s">
        <v>968</v>
      </c>
      <c r="B21" t="s">
        <v>555</v>
      </c>
      <c r="C21" t="s">
        <v>230</v>
      </c>
      <c r="P21" t="s">
        <v>223</v>
      </c>
      <c r="T21" s="12" t="s">
        <v>487</v>
      </c>
      <c r="U21">
        <v>1</v>
      </c>
      <c r="V21" t="s">
        <v>510</v>
      </c>
      <c r="X21" t="str">
        <f>IF(COUNTIF(X$2:X20,X20)&gt;7,REPLACE(X20,LEN(X20),1,VALUE(RIGHT(X20,1))+1),X20)</f>
        <v>A3.4</v>
      </c>
      <c r="Y21" s="36" cm="1">
        <f t="array" ref="Y21">IF(COUNTIFS($X$2:$X21,$X21)=1,"1",VALUE(SUBSTITUTE(INDEX(Y:Y,_xlfn.XMATCH($X21,$X$1:$X20,0,-1)),"A",""))+INDEX(Z:Z,_xlfn.XMATCH($X21,$X$1:$X20,0,-1))+1)</f>
        <v>6</v>
      </c>
      <c r="Z21" s="36" cm="1">
        <f t="array" ref="Z21">SUM(IF(ISNUMBER(FIND("TmAi",$BE$1:$AAL$1)),IF(IFERROR(ISODD(SUBSTITUTE($BE21:$AAL21,"A","")),FALSE),IF(ISODD(SUBSTITUTE($BE21:$AAL21,"A","")),1,0),0)))</f>
        <v>0</v>
      </c>
      <c r="AA21" t="str">
        <f t="shared" si="0"/>
        <v>11B</v>
      </c>
      <c r="AB21" t="str">
        <f t="shared" si="1"/>
        <v>12B</v>
      </c>
      <c r="AP21" t="s">
        <v>489</v>
      </c>
      <c r="AS21" t="s">
        <v>191</v>
      </c>
      <c r="JZ21" s="22" t="str">
        <f t="shared" si="8"/>
        <v>XT1</v>
      </c>
      <c r="KC21" t="str">
        <f t="shared" si="9"/>
        <v>N1-AI4-11B</v>
      </c>
      <c r="KD21" t="str">
        <f t="shared" si="10"/>
        <v>N1-AI4-12B</v>
      </c>
      <c r="KI21" cm="1">
        <f t="array" ref="KI21">IF(COUNTIFS($U$2:$U21,$U21)=1,1,INDEX(KI:KI,_xlfn.XMATCH(U21,U$1:U20,0,-1))+COUNT(KI20:KM20))</f>
        <v>58</v>
      </c>
      <c r="KJ21">
        <f t="shared" ref="KJ21:KK21" si="28">KI21+1</f>
        <v>59</v>
      </c>
      <c r="KK21">
        <f t="shared" si="28"/>
        <v>60</v>
      </c>
      <c r="KN21">
        <v>1</v>
      </c>
      <c r="KO21" s="14">
        <v>2</v>
      </c>
      <c r="KS21" s="14"/>
    </row>
    <row r="22" spans="1:305" x14ac:dyDescent="0.25">
      <c r="A22" t="s">
        <v>969</v>
      </c>
      <c r="B22" t="s">
        <v>556</v>
      </c>
      <c r="C22" t="s">
        <v>230</v>
      </c>
      <c r="P22" t="s">
        <v>223</v>
      </c>
      <c r="T22" s="12" t="s">
        <v>487</v>
      </c>
      <c r="U22">
        <v>1</v>
      </c>
      <c r="V22" t="s">
        <v>511</v>
      </c>
      <c r="X22" t="str">
        <f>IF(COUNTIF(X$2:X21,X21)&gt;7,REPLACE(X21,LEN(X21),1,VALUE(RIGHT(X21,1))+1),X21)</f>
        <v>A3.4</v>
      </c>
      <c r="Y22" s="36" cm="1">
        <f t="array" ref="Y22">IF(COUNTIFS($X$2:$X22,$X22)=1,"1",VALUE(SUBSTITUTE(INDEX(Y:Y,_xlfn.XMATCH($X22,$X$1:$X21,0,-1)),"A",""))+INDEX(Z:Z,_xlfn.XMATCH($X22,$X$1:$X21,0,-1))+1)</f>
        <v>7</v>
      </c>
      <c r="Z22" s="36" cm="1">
        <f t="array" ref="Z22">SUM(IF(ISNUMBER(FIND("TmAi",$BE$1:$AAL$1)),IF(IFERROR(ISODD(SUBSTITUTE($BE22:$AAL22,"A","")),FALSE),IF(ISODD(SUBSTITUTE($BE22:$AAL22,"A","")),1,0),0)))</f>
        <v>0</v>
      </c>
      <c r="AA22" t="str">
        <f t="shared" si="0"/>
        <v>13B</v>
      </c>
      <c r="AB22" t="str">
        <f t="shared" si="1"/>
        <v>14B</v>
      </c>
      <c r="AP22" t="s">
        <v>489</v>
      </c>
      <c r="AS22" t="s">
        <v>191</v>
      </c>
      <c r="JZ22" s="22" t="str">
        <f t="shared" si="8"/>
        <v>XT1</v>
      </c>
      <c r="KC22" t="str">
        <f t="shared" si="9"/>
        <v>N1-AI4-13B</v>
      </c>
      <c r="KD22" t="str">
        <f t="shared" si="10"/>
        <v>N1-AI4-14B</v>
      </c>
      <c r="KI22" cm="1">
        <f t="array" ref="KI22">IF(COUNTIFS($U$2:$U22,$U22)=1,1,INDEX(KI:KI,_xlfn.XMATCH(U22,U$1:U21,0,-1))+COUNT(KI21:KM21))</f>
        <v>61</v>
      </c>
      <c r="KJ22">
        <f t="shared" ref="KJ22:KK22" si="29">KI22+1</f>
        <v>62</v>
      </c>
      <c r="KK22">
        <f t="shared" si="29"/>
        <v>63</v>
      </c>
      <c r="KN22">
        <v>1</v>
      </c>
      <c r="KO22" s="14">
        <v>2</v>
      </c>
      <c r="KS22" s="14"/>
    </row>
    <row r="23" spans="1:305" x14ac:dyDescent="0.25">
      <c r="A23" t="s">
        <v>970</v>
      </c>
      <c r="B23" t="s">
        <v>557</v>
      </c>
      <c r="C23" t="s">
        <v>230</v>
      </c>
      <c r="P23" t="s">
        <v>223</v>
      </c>
      <c r="T23" s="12" t="s">
        <v>487</v>
      </c>
      <c r="U23">
        <v>1</v>
      </c>
      <c r="V23" t="s">
        <v>512</v>
      </c>
      <c r="X23" t="s">
        <v>195</v>
      </c>
      <c r="Y23" s="36" cm="1">
        <f t="array" ref="Y23">IF(COUNTIFS($X$2:$X23,$X23)=1,"1",VALUE(SUBSTITUTE(INDEX(Y:Y,_xlfn.XMATCH($X23,$X$1:$X22,0,-1)),"A",""))+INDEX(Z:Z,_xlfn.XMATCH($X23,$X$1:$X22,0,-1))+1)</f>
        <v>4</v>
      </c>
      <c r="Z23" s="36" cm="1">
        <f t="array" ref="Z23">SUM(IF(ISNUMBER(FIND("TmAi",$BE$1:$AAL$1)),IF(IFERROR(ISODD(SUBSTITUTE($BE23:$AAL23,"A","")),FALSE),IF(ISODD(SUBSTITUTE($BE23:$AAL23,"A","")),1,0),0)))</f>
        <v>0</v>
      </c>
      <c r="AA23" t="str">
        <f t="shared" si="0"/>
        <v>7B</v>
      </c>
      <c r="AB23" t="str">
        <f t="shared" si="1"/>
        <v>8B</v>
      </c>
      <c r="AP23" t="s">
        <v>489</v>
      </c>
      <c r="AS23" t="s">
        <v>191</v>
      </c>
      <c r="JZ23" s="22" t="str">
        <f t="shared" si="8"/>
        <v>XT1</v>
      </c>
      <c r="KC23" t="str">
        <f t="shared" si="9"/>
        <v>N1-AI1-7B</v>
      </c>
      <c r="KD23" t="str">
        <f t="shared" si="10"/>
        <v>N1-AI1-8B</v>
      </c>
      <c r="KI23" cm="1">
        <f t="array" ref="KI23">IF(COUNTIFS($U$2:$U23,$U23)=1,1,INDEX(KI:KI,_xlfn.XMATCH(U23,U$1:U22,0,-1))+COUNT(KI22:KM22))</f>
        <v>64</v>
      </c>
      <c r="KJ23">
        <f t="shared" ref="KJ23:KK23" si="30">KI23+1</f>
        <v>65</v>
      </c>
      <c r="KK23">
        <f t="shared" si="30"/>
        <v>66</v>
      </c>
      <c r="KN23">
        <v>1</v>
      </c>
      <c r="KO23" s="14">
        <v>2</v>
      </c>
      <c r="KS23" s="14"/>
    </row>
    <row r="24" spans="1:305" x14ac:dyDescent="0.25">
      <c r="A24" t="s">
        <v>927</v>
      </c>
      <c r="B24" t="s">
        <v>558</v>
      </c>
      <c r="C24" t="s">
        <v>231</v>
      </c>
      <c r="P24" t="s">
        <v>223</v>
      </c>
      <c r="T24" s="12" t="s">
        <v>487</v>
      </c>
      <c r="U24">
        <v>1</v>
      </c>
      <c r="V24" t="s">
        <v>513</v>
      </c>
      <c r="X24" t="str">
        <f>IF(COUNTIF(X$2:X23,X23)&gt;7,REPLACE(X23,LEN(X23),1,VALUE(RIGHT(X23,1))+1),X23)</f>
        <v>A3.1</v>
      </c>
      <c r="Y24" s="36" cm="1">
        <f t="array" ref="Y24">IF(COUNTIFS($X$2:$X24,$X24)=1,"1",VALUE(SUBSTITUTE(INDEX(Y:Y,_xlfn.XMATCH($X24,$X$1:$X23,0,-1)),"A",""))+INDEX(Z:Z,_xlfn.XMATCH($X24,$X$1:$X23,0,-1))+1)</f>
        <v>5</v>
      </c>
      <c r="Z24" s="36" cm="1">
        <f t="array" ref="Z24">SUM(IF(ISNUMBER(FIND("TmAi",$BE$1:$AAL$1)),IF(IFERROR(ISODD(SUBSTITUTE($BE24:$AAL24,"A","")),FALSE),IF(ISODD(SUBSTITUTE($BE24:$AAL24,"A","")),1,0),0)))</f>
        <v>0</v>
      </c>
      <c r="AA24" t="str">
        <f t="shared" si="0"/>
        <v>9B</v>
      </c>
      <c r="AB24" t="str">
        <f t="shared" si="1"/>
        <v>10B</v>
      </c>
      <c r="AP24" t="s">
        <v>489</v>
      </c>
      <c r="AS24" t="s">
        <v>191</v>
      </c>
      <c r="JZ24" s="22" t="str">
        <f t="shared" si="8"/>
        <v>XT1</v>
      </c>
      <c r="KC24" t="str">
        <f t="shared" si="9"/>
        <v>N1-AI1-9B</v>
      </c>
      <c r="KD24" t="str">
        <f t="shared" si="10"/>
        <v>N1-AI1-10B</v>
      </c>
      <c r="KI24" cm="1">
        <f t="array" ref="KI24">IF(COUNTIFS($U$2:$U24,$U24)=1,1,INDEX(KI:KI,_xlfn.XMATCH(U24,U$1:U23,0,-1))+COUNT(KI23:KM23))</f>
        <v>67</v>
      </c>
      <c r="KJ24">
        <f t="shared" ref="KJ24:KK24" si="31">KI24+1</f>
        <v>68</v>
      </c>
      <c r="KK24">
        <f t="shared" si="31"/>
        <v>69</v>
      </c>
      <c r="KN24">
        <v>1</v>
      </c>
      <c r="KO24" s="14">
        <v>2</v>
      </c>
      <c r="KS24" s="14"/>
    </row>
    <row r="25" spans="1:305" x14ac:dyDescent="0.25">
      <c r="A25" t="s">
        <v>928</v>
      </c>
      <c r="B25" t="s">
        <v>559</v>
      </c>
      <c r="C25" t="s">
        <v>231</v>
      </c>
      <c r="P25" t="s">
        <v>223</v>
      </c>
      <c r="T25" s="12" t="s">
        <v>487</v>
      </c>
      <c r="U25">
        <v>1</v>
      </c>
      <c r="V25" t="s">
        <v>514</v>
      </c>
      <c r="X25" t="str">
        <f>IF(COUNTIF(X$2:X24,X24)&gt;7,REPLACE(X24,LEN(X24),1,VALUE(RIGHT(X24,1))+1),X24)</f>
        <v>A3.1</v>
      </c>
      <c r="Y25" s="36" cm="1">
        <f t="array" ref="Y25">IF(COUNTIFS($X$2:$X25,$X25)=1,"1",VALUE(SUBSTITUTE(INDEX(Y:Y,_xlfn.XMATCH($X25,$X$1:$X24,0,-1)),"A",""))+INDEX(Z:Z,_xlfn.XMATCH($X25,$X$1:$X24,0,-1))+1)</f>
        <v>6</v>
      </c>
      <c r="Z25" s="36" cm="1">
        <f t="array" ref="Z25">SUM(IF(ISNUMBER(FIND("TmAi",$BE$1:$AAL$1)),IF(IFERROR(ISODD(SUBSTITUTE($BE25:$AAL25,"A","")),FALSE),IF(ISODD(SUBSTITUTE($BE25:$AAL25,"A","")),1,0),0)))</f>
        <v>0</v>
      </c>
      <c r="AA25" t="str">
        <f t="shared" si="0"/>
        <v>11B</v>
      </c>
      <c r="AB25" t="str">
        <f t="shared" si="1"/>
        <v>12B</v>
      </c>
      <c r="AP25" t="s">
        <v>489</v>
      </c>
      <c r="AS25" t="s">
        <v>191</v>
      </c>
      <c r="JZ25" s="22" t="str">
        <f t="shared" si="8"/>
        <v>XT1</v>
      </c>
      <c r="KC25" t="str">
        <f t="shared" si="9"/>
        <v>N1-AI1-11B</v>
      </c>
      <c r="KD25" t="str">
        <f t="shared" si="10"/>
        <v>N1-AI1-12B</v>
      </c>
      <c r="KI25" cm="1">
        <f t="array" ref="KI25">IF(COUNTIFS($U$2:$U25,$U25)=1,1,INDEX(KI:KI,_xlfn.XMATCH(U25,U$1:U24,0,-1))+COUNT(KI24:KM24))</f>
        <v>70</v>
      </c>
      <c r="KJ25">
        <f t="shared" ref="KJ25:KK25" si="32">KI25+1</f>
        <v>71</v>
      </c>
      <c r="KK25">
        <f t="shared" si="32"/>
        <v>72</v>
      </c>
      <c r="KN25">
        <v>1</v>
      </c>
      <c r="KO25" s="14">
        <v>2</v>
      </c>
      <c r="KS25" s="14"/>
    </row>
    <row r="26" spans="1:305" x14ac:dyDescent="0.25">
      <c r="A26" t="s">
        <v>929</v>
      </c>
      <c r="B26" t="s">
        <v>560</v>
      </c>
      <c r="C26" t="s">
        <v>231</v>
      </c>
      <c r="P26" t="s">
        <v>223</v>
      </c>
      <c r="T26" s="12" t="s">
        <v>487</v>
      </c>
      <c r="U26">
        <v>1</v>
      </c>
      <c r="V26" t="s">
        <v>515</v>
      </c>
      <c r="X26" t="s">
        <v>583</v>
      </c>
      <c r="Y26" s="36" t="str" cm="1">
        <f t="array" ref="Y26">IF(COUNTIFS($X$2:$X26,$X26)=1,"1",VALUE(SUBSTITUTE(INDEX(Y:Y,_xlfn.XMATCH($X26,$X$1:$X25,0,-1)),"A",""))+INDEX(Z:Z,_xlfn.XMATCH($X26,$X$1:$X25,0,-1))+1)</f>
        <v>1</v>
      </c>
      <c r="Z26" s="36" cm="1">
        <f t="array" ref="Z26">SUM(IF(ISNUMBER(FIND("TmAi",$BE$1:$AAL$1)),IF(IFERROR(ISODD(SUBSTITUTE($BE26:$AAL26,"A","")),FALSE),IF(ISODD(SUBSTITUTE($BE26:$AAL26,"A","")),1,0),0)))</f>
        <v>0</v>
      </c>
      <c r="AA26" t="str">
        <f t="shared" si="0"/>
        <v>1B</v>
      </c>
      <c r="AB26" t="str">
        <f t="shared" si="1"/>
        <v>2B</v>
      </c>
      <c r="AP26" t="s">
        <v>489</v>
      </c>
      <c r="AS26" t="s">
        <v>191</v>
      </c>
      <c r="JZ26" s="22" t="str">
        <f t="shared" si="8"/>
        <v>XT1</v>
      </c>
      <c r="KC26" t="str">
        <f t="shared" si="9"/>
        <v>N1-AI5-1B</v>
      </c>
      <c r="KD26" t="str">
        <f t="shared" si="10"/>
        <v>N1-AI5-2B</v>
      </c>
      <c r="KI26" cm="1">
        <f t="array" ref="KI26">IF(COUNTIFS($U$2:$U26,$U26)=1,1,INDEX(KI:KI,_xlfn.XMATCH(U26,U$1:U25,0,-1))+COUNT(KI25:KM25))</f>
        <v>73</v>
      </c>
      <c r="KJ26">
        <f t="shared" ref="KJ26:KK26" si="33">KI26+1</f>
        <v>74</v>
      </c>
      <c r="KK26">
        <f t="shared" si="33"/>
        <v>75</v>
      </c>
      <c r="KN26">
        <v>1</v>
      </c>
      <c r="KO26" s="14">
        <v>2</v>
      </c>
      <c r="KS26" s="14"/>
    </row>
    <row r="27" spans="1:305" x14ac:dyDescent="0.25">
      <c r="A27" t="s">
        <v>930</v>
      </c>
      <c r="B27" t="s">
        <v>561</v>
      </c>
      <c r="C27" t="s">
        <v>231</v>
      </c>
      <c r="P27" t="s">
        <v>223</v>
      </c>
      <c r="T27" s="12" t="s">
        <v>487</v>
      </c>
      <c r="U27">
        <v>1</v>
      </c>
      <c r="V27" t="s">
        <v>516</v>
      </c>
      <c r="X27" t="str">
        <f>IF(COUNTIF(X$2:X26,X26)&gt;7,REPLACE(X26,LEN(X26),1,VALUE(RIGHT(X26,1))+1),X26)</f>
        <v>A3.5</v>
      </c>
      <c r="Y27" s="36" cm="1">
        <f t="array" ref="Y27">IF(COUNTIFS($X$2:$X27,$X27)=1,"1",VALUE(SUBSTITUTE(INDEX(Y:Y,_xlfn.XMATCH($X27,$X$1:$X26,0,-1)),"A",""))+INDEX(Z:Z,_xlfn.XMATCH($X27,$X$1:$X26,0,-1))+1)</f>
        <v>2</v>
      </c>
      <c r="Z27" s="36" cm="1">
        <f t="array" ref="Z27">SUM(IF(ISNUMBER(FIND("TmAi",$BE$1:$AAL$1)),IF(IFERROR(ISODD(SUBSTITUTE($BE27:$AAL27,"A","")),FALSE),IF(ISODD(SUBSTITUTE($BE27:$AAL27,"A","")),1,0),0)))</f>
        <v>0</v>
      </c>
      <c r="AA27" t="str">
        <f t="shared" si="0"/>
        <v>3B</v>
      </c>
      <c r="AB27" t="str">
        <f t="shared" si="1"/>
        <v>4B</v>
      </c>
      <c r="AP27" t="s">
        <v>489</v>
      </c>
      <c r="AS27" t="s">
        <v>191</v>
      </c>
      <c r="JZ27" s="22" t="str">
        <f t="shared" si="8"/>
        <v>XT1</v>
      </c>
      <c r="KC27" t="str">
        <f t="shared" si="9"/>
        <v>N1-AI5-3B</v>
      </c>
      <c r="KD27" t="str">
        <f t="shared" si="10"/>
        <v>N1-AI5-4B</v>
      </c>
      <c r="KI27" cm="1">
        <f t="array" ref="KI27">IF(COUNTIFS($U$2:$U27,$U27)=1,1,INDEX(KI:KI,_xlfn.XMATCH(U27,U$1:U26,0,-1))+COUNT(KI26:KM26))</f>
        <v>76</v>
      </c>
      <c r="KJ27">
        <f t="shared" ref="KJ27:KK27" si="34">KI27+1</f>
        <v>77</v>
      </c>
      <c r="KK27">
        <f t="shared" si="34"/>
        <v>78</v>
      </c>
      <c r="KN27">
        <v>1</v>
      </c>
      <c r="KO27" s="14">
        <v>2</v>
      </c>
      <c r="KS27" s="14"/>
    </row>
    <row r="28" spans="1:305" x14ac:dyDescent="0.25">
      <c r="A28" t="s">
        <v>931</v>
      </c>
      <c r="B28" t="s">
        <v>562</v>
      </c>
      <c r="C28" t="s">
        <v>231</v>
      </c>
      <c r="P28" t="s">
        <v>223</v>
      </c>
      <c r="T28" s="12" t="s">
        <v>487</v>
      </c>
      <c r="U28">
        <v>1</v>
      </c>
      <c r="V28" t="s">
        <v>517</v>
      </c>
      <c r="X28" t="str">
        <f>IF(COUNTIF(X$2:X27,X27)&gt;7,REPLACE(X27,LEN(X27),1,VALUE(RIGHT(X27,1))+1),X27)</f>
        <v>A3.5</v>
      </c>
      <c r="Y28" s="36" cm="1">
        <f t="array" ref="Y28">IF(COUNTIFS($X$2:$X28,$X28)=1,"1",VALUE(SUBSTITUTE(INDEX(Y:Y,_xlfn.XMATCH($X28,$X$1:$X27,0,-1)),"A",""))+INDEX(Z:Z,_xlfn.XMATCH($X28,$X$1:$X27,0,-1))+1)</f>
        <v>3</v>
      </c>
      <c r="Z28" s="36" cm="1">
        <f t="array" ref="Z28">SUM(IF(ISNUMBER(FIND("TmAi",$BE$1:$AAL$1)),IF(IFERROR(ISODD(SUBSTITUTE($BE28:$AAL28,"A","")),FALSE),IF(ISODD(SUBSTITUTE($BE28:$AAL28,"A","")),1,0),0)))</f>
        <v>0</v>
      </c>
      <c r="AA28" t="str">
        <f t="shared" si="0"/>
        <v>5B</v>
      </c>
      <c r="AB28" t="str">
        <f t="shared" si="1"/>
        <v>6B</v>
      </c>
      <c r="AP28" t="s">
        <v>489</v>
      </c>
      <c r="AS28" t="s">
        <v>191</v>
      </c>
      <c r="JZ28" s="22" t="str">
        <f t="shared" si="8"/>
        <v>XT1</v>
      </c>
      <c r="KC28" t="str">
        <f t="shared" si="9"/>
        <v>N1-AI5-5B</v>
      </c>
      <c r="KD28" t="str">
        <f t="shared" si="10"/>
        <v>N1-AI5-6B</v>
      </c>
      <c r="KI28" cm="1">
        <f t="array" ref="KI28">IF(COUNTIFS($U$2:$U28,$U28)=1,1,INDEX(KI:KI,_xlfn.XMATCH(U28,U$1:U27,0,-1))+COUNT(KI27:KM27))</f>
        <v>79</v>
      </c>
      <c r="KJ28">
        <f t="shared" ref="KJ28:KK28" si="35">KI28+1</f>
        <v>80</v>
      </c>
      <c r="KK28">
        <f t="shared" si="35"/>
        <v>81</v>
      </c>
      <c r="KN28">
        <v>1</v>
      </c>
      <c r="KO28" s="14">
        <v>2</v>
      </c>
      <c r="KS28" s="14"/>
    </row>
    <row r="29" spans="1:305" x14ac:dyDescent="0.25">
      <c r="A29" t="s">
        <v>932</v>
      </c>
      <c r="B29" t="s">
        <v>563</v>
      </c>
      <c r="C29" t="s">
        <v>231</v>
      </c>
      <c r="P29" t="s">
        <v>223</v>
      </c>
      <c r="T29" s="12" t="s">
        <v>487</v>
      </c>
      <c r="U29">
        <v>1</v>
      </c>
      <c r="V29" t="s">
        <v>518</v>
      </c>
      <c r="X29" t="str">
        <f>IF(COUNTIF(X$2:X28,X28)&gt;7,REPLACE(X28,LEN(X28),1,VALUE(RIGHT(X28,1))+1),X28)</f>
        <v>A3.5</v>
      </c>
      <c r="Y29" s="36" cm="1">
        <f t="array" ref="Y29">IF(COUNTIFS($X$2:$X29,$X29)=1,"1",VALUE(SUBSTITUTE(INDEX(Y:Y,_xlfn.XMATCH($X29,$X$1:$X28,0,-1)),"A",""))+INDEX(Z:Z,_xlfn.XMATCH($X29,$X$1:$X28,0,-1))+1)</f>
        <v>4</v>
      </c>
      <c r="Z29" s="36" cm="1">
        <f t="array" ref="Z29">SUM(IF(ISNUMBER(FIND("TmAi",$BE$1:$AAL$1)),IF(IFERROR(ISODD(SUBSTITUTE($BE29:$AAL29,"A","")),FALSE),IF(ISODD(SUBSTITUTE($BE29:$AAL29,"A","")),1,0),0)))</f>
        <v>0</v>
      </c>
      <c r="AA29" t="str">
        <f t="shared" si="0"/>
        <v>7B</v>
      </c>
      <c r="AB29" t="str">
        <f t="shared" si="1"/>
        <v>8B</v>
      </c>
      <c r="AP29" t="s">
        <v>489</v>
      </c>
      <c r="AS29" t="s">
        <v>191</v>
      </c>
      <c r="JZ29" s="22" t="str">
        <f t="shared" si="8"/>
        <v>XT1</v>
      </c>
      <c r="KC29" t="str">
        <f t="shared" si="9"/>
        <v>N1-AI5-7B</v>
      </c>
      <c r="KD29" t="str">
        <f t="shared" si="10"/>
        <v>N1-AI5-8B</v>
      </c>
      <c r="KI29" cm="1">
        <f t="array" ref="KI29">IF(COUNTIFS($U$2:$U29,$U29)=1,1,INDEX(KI:KI,_xlfn.XMATCH(U29,U$1:U28,0,-1))+COUNT(KI28:KM28))</f>
        <v>82</v>
      </c>
      <c r="KJ29">
        <f t="shared" ref="KJ29:KK29" si="36">KI29+1</f>
        <v>83</v>
      </c>
      <c r="KK29">
        <f t="shared" si="36"/>
        <v>84</v>
      </c>
      <c r="KN29">
        <v>1</v>
      </c>
      <c r="KO29" s="14">
        <v>2</v>
      </c>
      <c r="KS29" s="14"/>
    </row>
    <row r="30" spans="1:305" x14ac:dyDescent="0.25">
      <c r="A30" t="s">
        <v>933</v>
      </c>
      <c r="B30" t="s">
        <v>564</v>
      </c>
      <c r="C30" t="s">
        <v>231</v>
      </c>
      <c r="P30" t="s">
        <v>223</v>
      </c>
      <c r="T30" s="12" t="s">
        <v>487</v>
      </c>
      <c r="U30">
        <v>1</v>
      </c>
      <c r="V30" t="s">
        <v>519</v>
      </c>
      <c r="X30" t="str">
        <f>IF(COUNTIF(X$2:X29,X29)&gt;7,REPLACE(X29,LEN(X29),1,VALUE(RIGHT(X29,1))+1),X29)</f>
        <v>A3.5</v>
      </c>
      <c r="Y30" s="36" cm="1">
        <f t="array" ref="Y30">IF(COUNTIFS($X$2:$X30,$X30)=1,"1",VALUE(SUBSTITUTE(INDEX(Y:Y,_xlfn.XMATCH($X30,$X$1:$X29,0,-1)),"A",""))+INDEX(Z:Z,_xlfn.XMATCH($X30,$X$1:$X29,0,-1))+1)</f>
        <v>5</v>
      </c>
      <c r="Z30" s="36" cm="1">
        <f t="array" ref="Z30">SUM(IF(ISNUMBER(FIND("TmAi",$BE$1:$AAL$1)),IF(IFERROR(ISODD(SUBSTITUTE($BE30:$AAL30,"A","")),FALSE),IF(ISODD(SUBSTITUTE($BE30:$AAL30,"A","")),1,0),0)))</f>
        <v>0</v>
      </c>
      <c r="AA30" t="str">
        <f t="shared" si="0"/>
        <v>9B</v>
      </c>
      <c r="AB30" t="str">
        <f t="shared" si="1"/>
        <v>10B</v>
      </c>
      <c r="AP30" t="s">
        <v>489</v>
      </c>
      <c r="AS30" t="s">
        <v>191</v>
      </c>
      <c r="JZ30" s="22" t="str">
        <f t="shared" si="8"/>
        <v>XT1</v>
      </c>
      <c r="KC30" t="str">
        <f t="shared" si="9"/>
        <v>N1-AI5-9B</v>
      </c>
      <c r="KD30" t="str">
        <f t="shared" si="10"/>
        <v>N1-AI5-10B</v>
      </c>
      <c r="KI30" cm="1">
        <f t="array" ref="KI30">IF(COUNTIFS($U$2:$U30,$U30)=1,1,INDEX(KI:KI,_xlfn.XMATCH(U30,U$1:U29,0,-1))+COUNT(KI29:KM29))</f>
        <v>85</v>
      </c>
      <c r="KJ30">
        <f t="shared" ref="KJ30:KK30" si="37">KI30+1</f>
        <v>86</v>
      </c>
      <c r="KK30">
        <f t="shared" si="37"/>
        <v>87</v>
      </c>
      <c r="KN30">
        <v>1</v>
      </c>
      <c r="KO30" s="14">
        <v>2</v>
      </c>
      <c r="KS30" s="14"/>
    </row>
    <row r="31" spans="1:305" x14ac:dyDescent="0.25">
      <c r="A31" t="s">
        <v>934</v>
      </c>
      <c r="B31" t="s">
        <v>565</v>
      </c>
      <c r="C31" t="s">
        <v>231</v>
      </c>
      <c r="P31" t="s">
        <v>223</v>
      </c>
      <c r="T31" s="12" t="s">
        <v>487</v>
      </c>
      <c r="U31">
        <v>1</v>
      </c>
      <c r="V31" t="s">
        <v>520</v>
      </c>
      <c r="X31" t="str">
        <f>IF(COUNTIF(X$2:X30,X30)&gt;7,REPLACE(X30,LEN(X30),1,VALUE(RIGHT(X30,1))+1),X30)</f>
        <v>A3.5</v>
      </c>
      <c r="Y31" s="36" cm="1">
        <f t="array" ref="Y31">IF(COUNTIFS($X$2:$X31,$X31)=1,"1",VALUE(SUBSTITUTE(INDEX(Y:Y,_xlfn.XMATCH($X31,$X$1:$X30,0,-1)),"A",""))+INDEX(Z:Z,_xlfn.XMATCH($X31,$X$1:$X30,0,-1))+1)</f>
        <v>6</v>
      </c>
      <c r="Z31" s="36" cm="1">
        <f t="array" ref="Z31">SUM(IF(ISNUMBER(FIND("TmAi",$BE$1:$AAL$1)),IF(IFERROR(ISODD(SUBSTITUTE($BE31:$AAL31,"A","")),FALSE),IF(ISODD(SUBSTITUTE($BE31:$AAL31,"A","")),1,0),0)))</f>
        <v>0</v>
      </c>
      <c r="AA31" t="str">
        <f t="shared" si="0"/>
        <v>11B</v>
      </c>
      <c r="AB31" t="str">
        <f t="shared" si="1"/>
        <v>12B</v>
      </c>
      <c r="AP31" t="s">
        <v>489</v>
      </c>
      <c r="AS31" t="s">
        <v>191</v>
      </c>
      <c r="JZ31" s="22" t="str">
        <f t="shared" si="8"/>
        <v>XT1</v>
      </c>
      <c r="KC31" t="str">
        <f t="shared" si="9"/>
        <v>N1-AI5-11B</v>
      </c>
      <c r="KD31" t="str">
        <f t="shared" si="10"/>
        <v>N1-AI5-12B</v>
      </c>
      <c r="KI31" cm="1">
        <f t="array" ref="KI31">IF(COUNTIFS($U$2:$U31,$U31)=1,1,INDEX(KI:KI,_xlfn.XMATCH(U31,U$1:U30,0,-1))+COUNT(KI30:KM30))</f>
        <v>88</v>
      </c>
      <c r="KJ31">
        <f t="shared" ref="KJ31:KK31" si="38">KI31+1</f>
        <v>89</v>
      </c>
      <c r="KK31">
        <f t="shared" si="38"/>
        <v>90</v>
      </c>
      <c r="KN31">
        <v>1</v>
      </c>
      <c r="KO31" s="14">
        <v>2</v>
      </c>
      <c r="KS31" s="14"/>
    </row>
    <row r="32" spans="1:305" x14ac:dyDescent="0.25">
      <c r="A32" t="s">
        <v>935</v>
      </c>
      <c r="B32" t="s">
        <v>566</v>
      </c>
      <c r="C32" t="s">
        <v>231</v>
      </c>
      <c r="P32" t="s">
        <v>223</v>
      </c>
      <c r="T32" s="12" t="s">
        <v>487</v>
      </c>
      <c r="U32">
        <v>1</v>
      </c>
      <c r="V32" t="s">
        <v>521</v>
      </c>
      <c r="X32" t="str">
        <f>IF(COUNTIF(X$2:X31,X31)&gt;7,REPLACE(X31,LEN(X31),1,VALUE(RIGHT(X31,1))+1),X31)</f>
        <v>A3.5</v>
      </c>
      <c r="Y32" s="36" cm="1">
        <f t="array" ref="Y32">IF(COUNTIFS($X$2:$X32,$X32)=1,"1",VALUE(SUBSTITUTE(INDEX(Y:Y,_xlfn.XMATCH($X32,$X$1:$X31,0,-1)),"A",""))+INDEX(Z:Z,_xlfn.XMATCH($X32,$X$1:$X31,0,-1))+1)</f>
        <v>7</v>
      </c>
      <c r="Z32" s="36" cm="1">
        <f t="array" ref="Z32">SUM(IF(ISNUMBER(FIND("TmAi",$BE$1:$AAL$1)),IF(IFERROR(ISODD(SUBSTITUTE($BE32:$AAL32,"A","")),FALSE),IF(ISODD(SUBSTITUTE($BE32:$AAL32,"A","")),1,0),0)))</f>
        <v>0</v>
      </c>
      <c r="AA32" t="str">
        <f t="shared" si="0"/>
        <v>13B</v>
      </c>
      <c r="AB32" t="str">
        <f t="shared" si="1"/>
        <v>14B</v>
      </c>
      <c r="AP32" t="s">
        <v>489</v>
      </c>
      <c r="AS32" t="s">
        <v>191</v>
      </c>
      <c r="JZ32" s="22" t="str">
        <f t="shared" si="8"/>
        <v>XT1</v>
      </c>
      <c r="KC32" t="str">
        <f t="shared" si="9"/>
        <v>N1-AI5-13B</v>
      </c>
      <c r="KD32" t="str">
        <f t="shared" si="10"/>
        <v>N1-AI5-14B</v>
      </c>
      <c r="KI32" cm="1">
        <f t="array" ref="KI32">IF(COUNTIFS($U$2:$U32,$U32)=1,1,INDEX(KI:KI,_xlfn.XMATCH(U32,U$1:U31,0,-1))+COUNT(KI31:KM31))</f>
        <v>91</v>
      </c>
      <c r="KJ32">
        <f t="shared" ref="KJ32:KK32" si="39">KI32+1</f>
        <v>92</v>
      </c>
      <c r="KK32">
        <f t="shared" si="39"/>
        <v>93</v>
      </c>
      <c r="KN32">
        <v>1</v>
      </c>
      <c r="KO32" s="14">
        <v>2</v>
      </c>
      <c r="KS32" s="14"/>
    </row>
    <row r="33" spans="1:305" x14ac:dyDescent="0.25">
      <c r="A33" t="s">
        <v>936</v>
      </c>
      <c r="B33" t="s">
        <v>567</v>
      </c>
      <c r="C33" t="s">
        <v>231</v>
      </c>
      <c r="P33" t="s">
        <v>223</v>
      </c>
      <c r="T33" s="12" t="s">
        <v>487</v>
      </c>
      <c r="U33">
        <v>1</v>
      </c>
      <c r="V33" t="s">
        <v>522</v>
      </c>
      <c r="X33" t="str">
        <f>IF(COUNTIF(X$2:X32,X32)&gt;7,REPLACE(X32,LEN(X32),1,VALUE(RIGHT(X32,1))+1),X32)</f>
        <v>A3.5</v>
      </c>
      <c r="Y33" s="36" cm="1">
        <f t="array" ref="Y33">IF(COUNTIFS($X$2:$X33,$X33)=1,"1",VALUE(SUBSTITUTE(INDEX(Y:Y,_xlfn.XMATCH($X33,$X$1:$X32,0,-1)),"A",""))+INDEX(Z:Z,_xlfn.XMATCH($X33,$X$1:$X32,0,-1))+1)</f>
        <v>8</v>
      </c>
      <c r="Z33" s="36" cm="1">
        <f t="array" ref="Z33">SUM(IF(ISNUMBER(FIND("TmAi",$BE$1:$AAL$1)),IF(IFERROR(ISODD(SUBSTITUTE($BE33:$AAL33,"A","")),FALSE),IF(ISODD(SUBSTITUTE($BE33:$AAL33,"A","")),1,0),0)))</f>
        <v>0</v>
      </c>
      <c r="AA33" t="str">
        <f t="shared" si="0"/>
        <v>15B</v>
      </c>
      <c r="AB33" t="str">
        <f t="shared" si="1"/>
        <v>16B</v>
      </c>
      <c r="AP33" t="s">
        <v>489</v>
      </c>
      <c r="AS33" t="s">
        <v>191</v>
      </c>
      <c r="JZ33" s="22" t="str">
        <f t="shared" si="8"/>
        <v>XT1</v>
      </c>
      <c r="KC33" t="str">
        <f t="shared" si="9"/>
        <v>N1-AI5-15B</v>
      </c>
      <c r="KD33" t="str">
        <f t="shared" si="10"/>
        <v>N1-AI5-16B</v>
      </c>
      <c r="KI33" cm="1">
        <f t="array" ref="KI33">IF(COUNTIFS($U$2:$U33,$U33)=1,1,INDEX(KI:KI,_xlfn.XMATCH(U33,U$1:U32,0,-1))+COUNT(KI32:KM32))</f>
        <v>94</v>
      </c>
      <c r="KJ33">
        <f t="shared" ref="KJ33:KK33" si="40">KI33+1</f>
        <v>95</v>
      </c>
      <c r="KK33">
        <f t="shared" si="40"/>
        <v>96</v>
      </c>
      <c r="KN33">
        <v>1</v>
      </c>
      <c r="KO33" s="14">
        <v>2</v>
      </c>
      <c r="KS33" s="14"/>
    </row>
    <row r="34" spans="1:305" x14ac:dyDescent="0.25">
      <c r="A34" t="s">
        <v>937</v>
      </c>
      <c r="B34" t="s">
        <v>568</v>
      </c>
      <c r="C34" t="s">
        <v>231</v>
      </c>
      <c r="P34" t="s">
        <v>223</v>
      </c>
      <c r="T34" s="12" t="s">
        <v>487</v>
      </c>
      <c r="U34">
        <v>1</v>
      </c>
      <c r="V34" t="s">
        <v>523</v>
      </c>
      <c r="X34" t="str">
        <f>IF(COUNTIF(X$2:X33,X33)&gt;7,REPLACE(X33,LEN(X33),1,VALUE(RIGHT(X33,1))+1),X33)</f>
        <v>A3.6</v>
      </c>
      <c r="Y34" s="36" t="str" cm="1">
        <f t="array" ref="Y34">IF(COUNTIFS($X$2:$X34,$X34)=1,"1",VALUE(SUBSTITUTE(INDEX(Y:Y,_xlfn.XMATCH($X34,$X$1:$X33,0,-1)),"A",""))+INDEX(Z:Z,_xlfn.XMATCH($X34,$X$1:$X33,0,-1))+1)</f>
        <v>1</v>
      </c>
      <c r="Z34" s="36" cm="1">
        <f t="array" ref="Z34">SUM(IF(ISNUMBER(FIND("TmAi",$BE$1:$AAL$1)),IF(IFERROR(ISODD(SUBSTITUTE($BE34:$AAL34,"A","")),FALSE),IF(ISODD(SUBSTITUTE($BE34:$AAL34,"A","")),1,0),0)))</f>
        <v>0</v>
      </c>
      <c r="AA34" t="str">
        <f t="shared" si="0"/>
        <v>1B</v>
      </c>
      <c r="AB34" t="str">
        <f t="shared" si="1"/>
        <v>2B</v>
      </c>
      <c r="AP34" t="s">
        <v>489</v>
      </c>
      <c r="AS34" t="s">
        <v>191</v>
      </c>
      <c r="JZ34" s="22" t="str">
        <f t="shared" si="8"/>
        <v>XT1</v>
      </c>
      <c r="KC34" t="str">
        <f t="shared" si="9"/>
        <v>N1-AI6-1B</v>
      </c>
      <c r="KD34" t="str">
        <f t="shared" si="10"/>
        <v>N1-AI6-2B</v>
      </c>
      <c r="KI34" cm="1">
        <f t="array" ref="KI34">IF(COUNTIFS($U$2:$U34,$U34)=1,1,INDEX(KI:KI,_xlfn.XMATCH(U34,U$1:U33,0,-1))+COUNT(KI33:KM33))</f>
        <v>97</v>
      </c>
      <c r="KJ34">
        <f t="shared" ref="KJ34:KK34" si="41">KI34+1</f>
        <v>98</v>
      </c>
      <c r="KK34">
        <f t="shared" si="41"/>
        <v>99</v>
      </c>
      <c r="KN34">
        <v>1</v>
      </c>
      <c r="KO34" s="14">
        <v>2</v>
      </c>
      <c r="KS34" s="14"/>
    </row>
    <row r="35" spans="1:305" x14ac:dyDescent="0.25">
      <c r="A35" t="s">
        <v>971</v>
      </c>
      <c r="B35" t="s">
        <v>569</v>
      </c>
      <c r="C35" t="s">
        <v>230</v>
      </c>
      <c r="P35" t="s">
        <v>223</v>
      </c>
      <c r="T35" s="12" t="s">
        <v>487</v>
      </c>
      <c r="U35">
        <v>1</v>
      </c>
      <c r="V35" t="s">
        <v>524</v>
      </c>
      <c r="X35" t="str">
        <f>IF(COUNTIF(X$2:X34,X34)&gt;7,REPLACE(X34,LEN(X34),1,VALUE(RIGHT(X34,1))+1),X34)</f>
        <v>A3.6</v>
      </c>
      <c r="Y35" s="36" cm="1">
        <f t="array" ref="Y35">IF(COUNTIFS($X$2:$X35,$X35)=1,"1",VALUE(SUBSTITUTE(INDEX(Y:Y,_xlfn.XMATCH($X35,$X$1:$X34,0,-1)),"A",""))+INDEX(Z:Z,_xlfn.XMATCH($X35,$X$1:$X34,0,-1))+1)</f>
        <v>2</v>
      </c>
      <c r="Z35" s="36" cm="1">
        <f t="array" ref="Z35">SUM(IF(ISNUMBER(FIND("TmAi",$BE$1:$AAL$1)),IF(IFERROR(ISODD(SUBSTITUTE($BE35:$AAL35,"A","")),FALSE),IF(ISODD(SUBSTITUTE($BE35:$AAL35,"A","")),1,0),0)))</f>
        <v>0</v>
      </c>
      <c r="AA35" t="str">
        <f t="shared" si="0"/>
        <v>3B</v>
      </c>
      <c r="AB35" t="str">
        <f t="shared" si="1"/>
        <v>4B</v>
      </c>
      <c r="AP35" t="s">
        <v>489</v>
      </c>
      <c r="AS35" t="s">
        <v>191</v>
      </c>
      <c r="JZ35" s="22" t="str">
        <f t="shared" si="8"/>
        <v>XT1</v>
      </c>
      <c r="KC35" t="str">
        <f t="shared" si="9"/>
        <v>N1-AI6-3B</v>
      </c>
      <c r="KD35" t="str">
        <f t="shared" si="10"/>
        <v>N1-AI6-4B</v>
      </c>
      <c r="KI35" cm="1">
        <f t="array" ref="KI35">IF(COUNTIFS($U$2:$U35,$U35)=1,1,INDEX(KI:KI,_xlfn.XMATCH(U35,U$1:U34,0,-1))+COUNT(KI34:KM34))</f>
        <v>100</v>
      </c>
      <c r="KJ35">
        <f t="shared" ref="KJ35:KK35" si="42">KI35+1</f>
        <v>101</v>
      </c>
      <c r="KK35">
        <f t="shared" si="42"/>
        <v>102</v>
      </c>
      <c r="KN35">
        <v>1</v>
      </c>
      <c r="KO35" s="14">
        <v>2</v>
      </c>
      <c r="KS35" s="14"/>
    </row>
    <row r="36" spans="1:305" x14ac:dyDescent="0.25">
      <c r="A36" t="s">
        <v>938</v>
      </c>
      <c r="B36" t="s">
        <v>570</v>
      </c>
      <c r="C36" t="s">
        <v>231</v>
      </c>
      <c r="P36" t="s">
        <v>223</v>
      </c>
      <c r="T36" s="12" t="s">
        <v>487</v>
      </c>
      <c r="U36">
        <v>1</v>
      </c>
      <c r="V36" t="s">
        <v>525</v>
      </c>
      <c r="X36" t="str">
        <f>IF(COUNTIF(X$2:X35,X35)&gt;7,REPLACE(X35,LEN(X35),1,VALUE(RIGHT(X35,1))+1),X35)</f>
        <v>A3.6</v>
      </c>
      <c r="Y36" s="36" cm="1">
        <f t="array" ref="Y36">IF(COUNTIFS($X$2:$X36,$X36)=1,"1",VALUE(SUBSTITUTE(INDEX(Y:Y,_xlfn.XMATCH($X36,$X$1:$X35,0,-1)),"A",""))+INDEX(Z:Z,_xlfn.XMATCH($X36,$X$1:$X35,0,-1))+1)</f>
        <v>3</v>
      </c>
      <c r="Z36" s="36" cm="1">
        <f t="array" ref="Z36">SUM(IF(ISNUMBER(FIND("TmAi",$BE$1:$AAL$1)),IF(IFERROR(ISODD(SUBSTITUTE($BE36:$AAL36,"A","")),FALSE),IF(ISODD(SUBSTITUTE($BE36:$AAL36,"A","")),1,0),0)))</f>
        <v>0</v>
      </c>
      <c r="AA36" t="str">
        <f t="shared" si="0"/>
        <v>5B</v>
      </c>
      <c r="AB36" t="str">
        <f t="shared" si="1"/>
        <v>6B</v>
      </c>
      <c r="AP36" t="s">
        <v>489</v>
      </c>
      <c r="AS36" t="s">
        <v>191</v>
      </c>
      <c r="JZ36" s="22" t="str">
        <f t="shared" si="8"/>
        <v>XT1</v>
      </c>
      <c r="KC36" t="str">
        <f t="shared" si="9"/>
        <v>N1-AI6-5B</v>
      </c>
      <c r="KD36" t="str">
        <f t="shared" si="10"/>
        <v>N1-AI6-6B</v>
      </c>
      <c r="KI36" cm="1">
        <f t="array" ref="KI36">IF(COUNTIFS($U$2:$U36,$U36)=1,1,INDEX(KI:KI,_xlfn.XMATCH(U36,U$1:U35,0,-1))+COUNT(KI35:KM35))</f>
        <v>103</v>
      </c>
      <c r="KJ36">
        <f t="shared" ref="KJ36:KK36" si="43">KI36+1</f>
        <v>104</v>
      </c>
      <c r="KK36">
        <f t="shared" si="43"/>
        <v>105</v>
      </c>
      <c r="KN36">
        <v>1</v>
      </c>
      <c r="KO36" s="14">
        <v>2</v>
      </c>
      <c r="KS36" s="14"/>
    </row>
    <row r="37" spans="1:305" x14ac:dyDescent="0.25">
      <c r="A37" t="s">
        <v>972</v>
      </c>
      <c r="B37" t="s">
        <v>571</v>
      </c>
      <c r="C37" t="s">
        <v>230</v>
      </c>
      <c r="P37" t="s">
        <v>223</v>
      </c>
      <c r="T37" s="12" t="s">
        <v>487</v>
      </c>
      <c r="U37">
        <v>1</v>
      </c>
      <c r="V37" t="s">
        <v>526</v>
      </c>
      <c r="X37" t="str">
        <f>IF(COUNTIF(X$2:X36,X36)&gt;7,REPLACE(X36,LEN(X36),1,VALUE(RIGHT(X36,1))+1),X36)</f>
        <v>A3.6</v>
      </c>
      <c r="Y37" s="36" cm="1">
        <f t="array" ref="Y37">IF(COUNTIFS($X$2:$X37,$X37)=1,"1",VALUE(SUBSTITUTE(INDEX(Y:Y,_xlfn.XMATCH($X37,$X$1:$X36,0,-1)),"A",""))+INDEX(Z:Z,_xlfn.XMATCH($X37,$X$1:$X36,0,-1))+1)</f>
        <v>4</v>
      </c>
      <c r="Z37" s="36" cm="1">
        <f t="array" ref="Z37">SUM(IF(ISNUMBER(FIND("TmAi",$BE$1:$AAL$1)),IF(IFERROR(ISODD(SUBSTITUTE($BE37:$AAL37,"A","")),FALSE),IF(ISODD(SUBSTITUTE($BE37:$AAL37,"A","")),1,0),0)))</f>
        <v>0</v>
      </c>
      <c r="AA37" t="str">
        <f t="shared" si="0"/>
        <v>7B</v>
      </c>
      <c r="AB37" t="str">
        <f t="shared" si="1"/>
        <v>8B</v>
      </c>
      <c r="AP37" t="s">
        <v>489</v>
      </c>
      <c r="AS37" t="s">
        <v>191</v>
      </c>
      <c r="JZ37" s="22" t="str">
        <f t="shared" si="8"/>
        <v>XT1</v>
      </c>
      <c r="KC37" t="str">
        <f t="shared" si="9"/>
        <v>N1-AI6-7B</v>
      </c>
      <c r="KD37" t="str">
        <f t="shared" si="10"/>
        <v>N1-AI6-8B</v>
      </c>
      <c r="KI37" cm="1">
        <f t="array" ref="KI37">IF(COUNTIFS($U$2:$U37,$U37)=1,1,INDEX(KI:KI,_xlfn.XMATCH(U37,U$1:U36,0,-1))+COUNT(KI36:KM36))</f>
        <v>106</v>
      </c>
      <c r="KJ37">
        <f t="shared" ref="KJ37:KK37" si="44">KI37+1</f>
        <v>107</v>
      </c>
      <c r="KK37">
        <f t="shared" si="44"/>
        <v>108</v>
      </c>
      <c r="KN37">
        <v>1</v>
      </c>
      <c r="KO37" s="14">
        <v>2</v>
      </c>
      <c r="KS37" s="14"/>
    </row>
    <row r="38" spans="1:305" x14ac:dyDescent="0.25">
      <c r="A38" t="s">
        <v>973</v>
      </c>
      <c r="B38" t="s">
        <v>572</v>
      </c>
      <c r="C38" t="s">
        <v>230</v>
      </c>
      <c r="P38" t="s">
        <v>223</v>
      </c>
      <c r="T38" s="12" t="s">
        <v>487</v>
      </c>
      <c r="U38">
        <v>1</v>
      </c>
      <c r="V38" t="s">
        <v>527</v>
      </c>
      <c r="X38" t="str">
        <f>IF(COUNTIF(X$2:X37,X37)&gt;7,REPLACE(X37,LEN(X37),1,VALUE(RIGHT(X37,1))+1),X37)</f>
        <v>A3.6</v>
      </c>
      <c r="Y38" s="36" cm="1">
        <f t="array" ref="Y38">IF(COUNTIFS($X$2:$X38,$X38)=1,"1",VALUE(SUBSTITUTE(INDEX(Y:Y,_xlfn.XMATCH($X38,$X$1:$X37,0,-1)),"A",""))+INDEX(Z:Z,_xlfn.XMATCH($X38,$X$1:$X37,0,-1))+1)</f>
        <v>5</v>
      </c>
      <c r="Z38" s="36" cm="1">
        <f t="array" ref="Z38">SUM(IF(ISNUMBER(FIND("TmAi",$BE$1:$AAL$1)),IF(IFERROR(ISODD(SUBSTITUTE($BE38:$AAL38,"A","")),FALSE),IF(ISODD(SUBSTITUTE($BE38:$AAL38,"A","")),1,0),0)))</f>
        <v>0</v>
      </c>
      <c r="AA38" t="str">
        <f t="shared" si="0"/>
        <v>9B</v>
      </c>
      <c r="AB38" t="str">
        <f t="shared" si="1"/>
        <v>10B</v>
      </c>
      <c r="AP38" t="s">
        <v>489</v>
      </c>
      <c r="AS38" t="s">
        <v>191</v>
      </c>
      <c r="JZ38" s="22" t="str">
        <f t="shared" si="8"/>
        <v>XT1</v>
      </c>
      <c r="KC38" t="str">
        <f t="shared" si="9"/>
        <v>N1-AI6-9B</v>
      </c>
      <c r="KD38" t="str">
        <f t="shared" si="10"/>
        <v>N1-AI6-10B</v>
      </c>
      <c r="KI38" cm="1">
        <f t="array" ref="KI38">IF(COUNTIFS($U$2:$U38,$U38)=1,1,INDEX(KI:KI,_xlfn.XMATCH(U38,U$1:U37,0,-1))+COUNT(KI37:KM37))</f>
        <v>109</v>
      </c>
      <c r="KJ38">
        <f t="shared" ref="KJ38:KK38" si="45">KI38+1</f>
        <v>110</v>
      </c>
      <c r="KK38">
        <f t="shared" si="45"/>
        <v>111</v>
      </c>
      <c r="KN38">
        <v>1</v>
      </c>
      <c r="KO38" s="14">
        <v>2</v>
      </c>
      <c r="KS38" s="14"/>
    </row>
    <row r="39" spans="1:305" x14ac:dyDescent="0.25">
      <c r="A39" t="s">
        <v>939</v>
      </c>
      <c r="B39" t="s">
        <v>573</v>
      </c>
      <c r="C39" t="s">
        <v>231</v>
      </c>
      <c r="P39" t="s">
        <v>223</v>
      </c>
      <c r="T39" s="12" t="s">
        <v>487</v>
      </c>
      <c r="U39">
        <v>1</v>
      </c>
      <c r="V39" t="s">
        <v>528</v>
      </c>
      <c r="X39" t="s">
        <v>584</v>
      </c>
      <c r="Y39" s="36" t="str" cm="1">
        <f t="array" ref="Y39">IF(COUNTIFS($X$2:$X39,$X39)=1,"1",VALUE(SUBSTITUTE(INDEX(Y:Y,_xlfn.XMATCH($X39,$X$1:$X38,0,-1)),"A",""))+INDEX(Z:Z,_xlfn.XMATCH($X39,$X$1:$X38,0,-1))+1)</f>
        <v>1</v>
      </c>
      <c r="Z39" s="36" cm="1">
        <f t="array" ref="Z39">SUM(IF(ISNUMBER(FIND("TmAi",$BE$1:$AAL$1)),IF(IFERROR(ISODD(SUBSTITUTE($BE39:$AAL39,"A","")),FALSE),IF(ISODD(SUBSTITUTE($BE39:$AAL39,"A","")),1,0),0)))</f>
        <v>0</v>
      </c>
      <c r="AA39" t="str">
        <f t="shared" si="0"/>
        <v>1B</v>
      </c>
      <c r="AB39" t="str">
        <f t="shared" si="1"/>
        <v>2B</v>
      </c>
      <c r="AP39" t="s">
        <v>489</v>
      </c>
      <c r="AS39" t="s">
        <v>191</v>
      </c>
      <c r="JZ39" s="22" t="str">
        <f t="shared" si="8"/>
        <v>XT1</v>
      </c>
      <c r="KC39" t="str">
        <f t="shared" si="9"/>
        <v>N1-AI7-1B</v>
      </c>
      <c r="KD39" t="str">
        <f t="shared" si="10"/>
        <v>N1-AI7-2B</v>
      </c>
      <c r="KI39" cm="1">
        <f t="array" ref="KI39">IF(COUNTIFS($U$2:$U39,$U39)=1,1,INDEX(KI:KI,_xlfn.XMATCH(U39,U$1:U38,0,-1))+COUNT(KI38:KM38))</f>
        <v>112</v>
      </c>
      <c r="KJ39">
        <f t="shared" ref="KJ39:KK39" si="46">KI39+1</f>
        <v>113</v>
      </c>
      <c r="KK39">
        <f t="shared" si="46"/>
        <v>114</v>
      </c>
      <c r="KN39">
        <v>1</v>
      </c>
      <c r="KO39" s="14">
        <v>2</v>
      </c>
      <c r="KS39" s="14"/>
    </row>
    <row r="40" spans="1:305" x14ac:dyDescent="0.25">
      <c r="A40" t="s">
        <v>940</v>
      </c>
      <c r="B40" t="s">
        <v>574</v>
      </c>
      <c r="C40" t="s">
        <v>231</v>
      </c>
      <c r="P40" t="s">
        <v>223</v>
      </c>
      <c r="T40" s="12" t="s">
        <v>487</v>
      </c>
      <c r="U40">
        <v>1</v>
      </c>
      <c r="V40" t="s">
        <v>529</v>
      </c>
      <c r="X40" t="str">
        <f>IF(COUNTIF(X$2:X39,X39)&gt;7,REPLACE(X39,LEN(X39),1,VALUE(RIGHT(X39,1))+1),X39)</f>
        <v>A3.7</v>
      </c>
      <c r="Y40" s="36" cm="1">
        <f t="array" ref="Y40">IF(COUNTIFS($X$2:$X40,$X40)=1,"1",VALUE(SUBSTITUTE(INDEX(Y:Y,_xlfn.XMATCH($X40,$X$1:$X39,0,-1)),"A",""))+INDEX(Z:Z,_xlfn.XMATCH($X40,$X$1:$X39,0,-1))+1)</f>
        <v>2</v>
      </c>
      <c r="Z40" s="36" cm="1">
        <f t="array" ref="Z40">SUM(IF(ISNUMBER(FIND("TmAi",$BE$1:$AAL$1)),IF(IFERROR(ISODD(SUBSTITUTE($BE40:$AAL40,"A","")),FALSE),IF(ISODD(SUBSTITUTE($BE40:$AAL40,"A","")),1,0),0)))</f>
        <v>0</v>
      </c>
      <c r="AA40" t="str">
        <f t="shared" si="0"/>
        <v>3B</v>
      </c>
      <c r="AB40" t="str">
        <f t="shared" si="1"/>
        <v>4B</v>
      </c>
      <c r="AP40" t="s">
        <v>489</v>
      </c>
      <c r="AS40" t="s">
        <v>191</v>
      </c>
      <c r="JZ40" s="22" t="str">
        <f t="shared" si="8"/>
        <v>XT1</v>
      </c>
      <c r="KC40" t="str">
        <f t="shared" si="9"/>
        <v>N1-AI7-3B</v>
      </c>
      <c r="KD40" t="str">
        <f t="shared" si="10"/>
        <v>N1-AI7-4B</v>
      </c>
      <c r="KI40" cm="1">
        <f t="array" ref="KI40">IF(COUNTIFS($U$2:$U40,$U40)=1,1,INDEX(KI:KI,_xlfn.XMATCH(U40,U$1:U39,0,-1))+COUNT(KI39:KM39))</f>
        <v>115</v>
      </c>
      <c r="KJ40">
        <f t="shared" ref="KJ40:KK40" si="47">KI40+1</f>
        <v>116</v>
      </c>
      <c r="KK40">
        <f t="shared" si="47"/>
        <v>117</v>
      </c>
      <c r="KN40">
        <v>1</v>
      </c>
      <c r="KO40" s="14">
        <v>2</v>
      </c>
      <c r="KS40" s="14"/>
    </row>
    <row r="41" spans="1:305" x14ac:dyDescent="0.25">
      <c r="A41" t="s">
        <v>941</v>
      </c>
      <c r="B41" t="s">
        <v>575</v>
      </c>
      <c r="C41" t="s">
        <v>231</v>
      </c>
      <c r="P41" t="s">
        <v>223</v>
      </c>
      <c r="T41" s="12" t="s">
        <v>487</v>
      </c>
      <c r="U41">
        <v>1</v>
      </c>
      <c r="V41" t="s">
        <v>530</v>
      </c>
      <c r="X41" t="str">
        <f>IF(COUNTIF(X$2:X40,X40)&gt;7,REPLACE(X40,LEN(X40),1,VALUE(RIGHT(X40,1))+1),X40)</f>
        <v>A3.7</v>
      </c>
      <c r="Y41" s="36" cm="1">
        <f t="array" ref="Y41">IF(COUNTIFS($X$2:$X41,$X41)=1,"1",VALUE(SUBSTITUTE(INDEX(Y:Y,_xlfn.XMATCH($X41,$X$1:$X40,0,-1)),"A",""))+INDEX(Z:Z,_xlfn.XMATCH($X41,$X$1:$X40,0,-1))+1)</f>
        <v>3</v>
      </c>
      <c r="Z41" s="36" cm="1">
        <f t="array" ref="Z41">SUM(IF(ISNUMBER(FIND("TmAi",$BE$1:$AAL$1)),IF(IFERROR(ISODD(SUBSTITUTE($BE41:$AAL41,"A","")),FALSE),IF(ISODD(SUBSTITUTE($BE41:$AAL41,"A","")),1,0),0)))</f>
        <v>0</v>
      </c>
      <c r="AA41" t="str">
        <f t="shared" si="0"/>
        <v>5B</v>
      </c>
      <c r="AB41" t="str">
        <f t="shared" si="1"/>
        <v>6B</v>
      </c>
      <c r="AP41" t="s">
        <v>489</v>
      </c>
      <c r="AS41" t="s">
        <v>191</v>
      </c>
      <c r="JZ41" s="22" t="str">
        <f t="shared" si="8"/>
        <v>XT1</v>
      </c>
      <c r="KC41" t="str">
        <f t="shared" si="9"/>
        <v>N1-AI7-5B</v>
      </c>
      <c r="KD41" t="str">
        <f t="shared" si="10"/>
        <v>N1-AI7-6B</v>
      </c>
      <c r="KI41" cm="1">
        <f t="array" ref="KI41">IF(COUNTIFS($U$2:$U41,$U41)=1,1,INDEX(KI:KI,_xlfn.XMATCH(U41,U$1:U40,0,-1))+COUNT(KI40:KM40))</f>
        <v>118</v>
      </c>
      <c r="KJ41">
        <f t="shared" ref="KJ41:KK41" si="48">KI41+1</f>
        <v>119</v>
      </c>
      <c r="KK41">
        <f t="shared" si="48"/>
        <v>120</v>
      </c>
      <c r="KN41">
        <v>1</v>
      </c>
      <c r="KO41" s="14">
        <v>2</v>
      </c>
      <c r="KS41" s="14"/>
    </row>
    <row r="42" spans="1:305" x14ac:dyDescent="0.25">
      <c r="A42" t="s">
        <v>942</v>
      </c>
      <c r="B42" t="s">
        <v>576</v>
      </c>
      <c r="C42" t="s">
        <v>231</v>
      </c>
      <c r="P42" t="s">
        <v>223</v>
      </c>
      <c r="T42" s="12" t="s">
        <v>487</v>
      </c>
      <c r="U42">
        <v>1</v>
      </c>
      <c r="V42" t="s">
        <v>531</v>
      </c>
      <c r="X42" t="str">
        <f>IF(COUNTIF(X$2:X41,X41)&gt;7,REPLACE(X41,LEN(X41),1,VALUE(RIGHT(X41,1))+1),X41)</f>
        <v>A3.7</v>
      </c>
      <c r="Y42" s="36" cm="1">
        <f t="array" ref="Y42">IF(COUNTIFS($X$2:$X42,$X42)=1,"1",VALUE(SUBSTITUTE(INDEX(Y:Y,_xlfn.XMATCH($X42,$X$1:$X41,0,-1)),"A",""))+INDEX(Z:Z,_xlfn.XMATCH($X42,$X$1:$X41,0,-1))+1)</f>
        <v>4</v>
      </c>
      <c r="Z42" s="36" cm="1">
        <f t="array" ref="Z42">SUM(IF(ISNUMBER(FIND("TmAi",$BE$1:$AAL$1)),IF(IFERROR(ISODD(SUBSTITUTE($BE42:$AAL42,"A","")),FALSE),IF(ISODD(SUBSTITUTE($BE42:$AAL42,"A","")),1,0),0)))</f>
        <v>0</v>
      </c>
      <c r="AA42" t="str">
        <f t="shared" si="0"/>
        <v>7B</v>
      </c>
      <c r="AB42" t="str">
        <f t="shared" si="1"/>
        <v>8B</v>
      </c>
      <c r="AP42" t="s">
        <v>489</v>
      </c>
      <c r="AS42" t="s">
        <v>191</v>
      </c>
      <c r="JZ42" s="22" t="str">
        <f t="shared" si="8"/>
        <v>XT1</v>
      </c>
      <c r="KC42" t="str">
        <f t="shared" si="9"/>
        <v>N1-AI7-7B</v>
      </c>
      <c r="KD42" t="str">
        <f t="shared" si="10"/>
        <v>N1-AI7-8B</v>
      </c>
      <c r="KI42" cm="1">
        <f t="array" ref="KI42">IF(COUNTIFS($U$2:$U42,$U42)=1,1,INDEX(KI:KI,_xlfn.XMATCH(U42,U$1:U41,0,-1))+COUNT(KI41:KM41))</f>
        <v>121</v>
      </c>
      <c r="KJ42">
        <f t="shared" ref="KJ42:KK42" si="49">KI42+1</f>
        <v>122</v>
      </c>
      <c r="KK42">
        <f t="shared" si="49"/>
        <v>123</v>
      </c>
      <c r="KN42">
        <v>1</v>
      </c>
      <c r="KO42" s="14">
        <v>2</v>
      </c>
      <c r="KS42" s="14"/>
    </row>
    <row r="43" spans="1:305" x14ac:dyDescent="0.25">
      <c r="A43" t="s">
        <v>943</v>
      </c>
      <c r="B43" t="s">
        <v>577</v>
      </c>
      <c r="C43" t="s">
        <v>231</v>
      </c>
      <c r="P43" t="s">
        <v>223</v>
      </c>
      <c r="T43" s="12" t="s">
        <v>487</v>
      </c>
      <c r="U43">
        <v>1</v>
      </c>
      <c r="V43" t="s">
        <v>532</v>
      </c>
      <c r="X43" t="str">
        <f>IF(COUNTIF(X$2:X42,X42)&gt;7,REPLACE(X42,LEN(X42),1,VALUE(RIGHT(X42,1))+1),X42)</f>
        <v>A3.7</v>
      </c>
      <c r="Y43" s="36" cm="1">
        <f t="array" ref="Y43">IF(COUNTIFS($X$2:$X43,$X43)=1,"1",VALUE(SUBSTITUTE(INDEX(Y:Y,_xlfn.XMATCH($X43,$X$1:$X42,0,-1)),"A",""))+INDEX(Z:Z,_xlfn.XMATCH($X43,$X$1:$X42,0,-1))+1)</f>
        <v>5</v>
      </c>
      <c r="Z43" s="36" cm="1">
        <f t="array" ref="Z43">SUM(IF(ISNUMBER(FIND("TmAi",$BE$1:$AAL$1)),IF(IFERROR(ISODD(SUBSTITUTE($BE43:$AAL43,"A","")),FALSE),IF(ISODD(SUBSTITUTE($BE43:$AAL43,"A","")),1,0),0)))</f>
        <v>0</v>
      </c>
      <c r="AA43" t="str">
        <f t="shared" si="0"/>
        <v>9B</v>
      </c>
      <c r="AB43" t="str">
        <f t="shared" si="1"/>
        <v>10B</v>
      </c>
      <c r="AP43" t="s">
        <v>489</v>
      </c>
      <c r="AS43" t="s">
        <v>191</v>
      </c>
      <c r="JZ43" s="22" t="str">
        <f t="shared" si="8"/>
        <v>XT1</v>
      </c>
      <c r="KC43" t="str">
        <f t="shared" si="9"/>
        <v>N1-AI7-9B</v>
      </c>
      <c r="KD43" t="str">
        <f t="shared" si="10"/>
        <v>N1-AI7-10B</v>
      </c>
      <c r="KI43" cm="1">
        <f t="array" ref="KI43">IF(COUNTIFS($U$2:$U43,$U43)=1,1,INDEX(KI:KI,_xlfn.XMATCH(U43,U$1:U42,0,-1))+COUNT(KI42:KM42))</f>
        <v>124</v>
      </c>
      <c r="KJ43">
        <f t="shared" ref="KJ43:KK43" si="50">KI43+1</f>
        <v>125</v>
      </c>
      <c r="KK43">
        <f t="shared" si="50"/>
        <v>126</v>
      </c>
      <c r="KN43">
        <v>1</v>
      </c>
      <c r="KO43" s="14">
        <v>2</v>
      </c>
      <c r="KS43" s="14"/>
    </row>
    <row r="44" spans="1:305" x14ac:dyDescent="0.25">
      <c r="A44" t="s">
        <v>974</v>
      </c>
      <c r="B44" t="s">
        <v>578</v>
      </c>
      <c r="C44" t="s">
        <v>230</v>
      </c>
      <c r="P44" t="s">
        <v>223</v>
      </c>
      <c r="T44" s="12" t="s">
        <v>487</v>
      </c>
      <c r="U44">
        <v>1</v>
      </c>
      <c r="V44" t="s">
        <v>533</v>
      </c>
      <c r="X44" t="str">
        <f>IF(COUNTIF(X$2:X43,X43)&gt;7,REPLACE(X43,LEN(X43),1,VALUE(RIGHT(X43,1))+1),X43)</f>
        <v>A3.7</v>
      </c>
      <c r="Y44" s="36" cm="1">
        <f t="array" ref="Y44">IF(COUNTIFS($X$2:$X44,$X44)=1,"1",VALUE(SUBSTITUTE(INDEX(Y:Y,_xlfn.XMATCH($X44,$X$1:$X43,0,-1)),"A",""))+INDEX(Z:Z,_xlfn.XMATCH($X44,$X$1:$X43,0,-1))+1)</f>
        <v>6</v>
      </c>
      <c r="Z44" s="36" cm="1">
        <f t="array" ref="Z44">SUM(IF(ISNUMBER(FIND("TmAi",$BE$1:$AAL$1)),IF(IFERROR(ISODD(SUBSTITUTE($BE44:$AAL44,"A","")),FALSE),IF(ISODD(SUBSTITUTE($BE44:$AAL44,"A","")),1,0),0)))</f>
        <v>0</v>
      </c>
      <c r="AA44" t="str">
        <f t="shared" si="0"/>
        <v>11B</v>
      </c>
      <c r="AB44" t="str">
        <f t="shared" si="1"/>
        <v>12B</v>
      </c>
      <c r="AP44" t="s">
        <v>489</v>
      </c>
      <c r="AS44" t="s">
        <v>191</v>
      </c>
      <c r="JZ44" s="22" t="str">
        <f t="shared" si="8"/>
        <v>XT1</v>
      </c>
      <c r="KC44" t="str">
        <f t="shared" si="9"/>
        <v>N1-AI7-11B</v>
      </c>
      <c r="KD44" t="str">
        <f t="shared" si="10"/>
        <v>N1-AI7-12B</v>
      </c>
      <c r="KI44" cm="1">
        <f t="array" ref="KI44">IF(COUNTIFS($U$2:$U44,$U44)=1,1,INDEX(KI:KI,_xlfn.XMATCH(U44,U$1:U43,0,-1))+COUNT(KI43:KM43))</f>
        <v>127</v>
      </c>
      <c r="KJ44">
        <f t="shared" ref="KJ44:KK44" si="51">KI44+1</f>
        <v>128</v>
      </c>
      <c r="KK44">
        <f t="shared" si="51"/>
        <v>129</v>
      </c>
      <c r="KN44">
        <v>1</v>
      </c>
      <c r="KO44" s="14">
        <v>2</v>
      </c>
      <c r="KS44" s="14"/>
    </row>
    <row r="45" spans="1:305" x14ac:dyDescent="0.25">
      <c r="A45" t="s">
        <v>944</v>
      </c>
      <c r="B45" t="s">
        <v>579</v>
      </c>
      <c r="C45" t="s">
        <v>231</v>
      </c>
      <c r="P45" t="s">
        <v>223</v>
      </c>
      <c r="T45" s="12" t="s">
        <v>487</v>
      </c>
      <c r="U45">
        <v>1</v>
      </c>
      <c r="V45" t="s">
        <v>534</v>
      </c>
      <c r="X45" t="s">
        <v>585</v>
      </c>
      <c r="Y45" s="36" t="str" cm="1">
        <f t="array" ref="Y45">IF(COUNTIFS($X$2:$X45,$X45)=1,"1",VALUE(SUBSTITUTE(INDEX(Y:Y,_xlfn.XMATCH($X45,$X$1:$X44,0,-1)),"A",""))+INDEX(Z:Z,_xlfn.XMATCH($X45,$X$1:$X44,0,-1))+1)</f>
        <v>1</v>
      </c>
      <c r="Z45" s="36" cm="1">
        <f t="array" ref="Z45">SUM(IF(ISNUMBER(FIND("TmAi",$BE$1:$AAL$1)),IF(IFERROR(ISODD(SUBSTITUTE($BE45:$AAL45,"A","")),FALSE),IF(ISODD(SUBSTITUTE($BE45:$AAL45,"A","")),1,0),0)))</f>
        <v>0</v>
      </c>
      <c r="AA45" t="str">
        <f t="shared" si="0"/>
        <v>1B</v>
      </c>
      <c r="AB45" t="str">
        <f t="shared" si="1"/>
        <v>2B</v>
      </c>
      <c r="AP45" t="s">
        <v>489</v>
      </c>
      <c r="AS45" t="s">
        <v>191</v>
      </c>
      <c r="JZ45" s="22" t="str">
        <f t="shared" si="8"/>
        <v>XT1</v>
      </c>
      <c r="KC45" t="str">
        <f t="shared" si="9"/>
        <v>N1-AI8-1B</v>
      </c>
      <c r="KD45" t="str">
        <f t="shared" si="10"/>
        <v>N1-AI8-2B</v>
      </c>
      <c r="KI45" cm="1">
        <f t="array" ref="KI45">IF(COUNTIFS($U$2:$U45,$U45)=1,1,INDEX(KI:KI,_xlfn.XMATCH(U45,U$1:U44,0,-1))+COUNT(KI44:KM44))</f>
        <v>130</v>
      </c>
      <c r="KJ45">
        <f t="shared" ref="KJ45:KK45" si="52">KI45+1</f>
        <v>131</v>
      </c>
      <c r="KK45">
        <f t="shared" si="52"/>
        <v>132</v>
      </c>
      <c r="KN45">
        <v>1</v>
      </c>
      <c r="KO45" s="14">
        <v>2</v>
      </c>
      <c r="KS45" s="14"/>
    </row>
    <row r="46" spans="1:305" x14ac:dyDescent="0.25">
      <c r="A46" t="s">
        <v>945</v>
      </c>
      <c r="B46" t="s">
        <v>580</v>
      </c>
      <c r="C46" t="s">
        <v>231</v>
      </c>
      <c r="P46" t="s">
        <v>223</v>
      </c>
      <c r="T46" s="12" t="s">
        <v>487</v>
      </c>
      <c r="U46">
        <v>1</v>
      </c>
      <c r="V46" t="s">
        <v>535</v>
      </c>
      <c r="X46" t="str">
        <f>IF(COUNTIF(X$2:X45,X45)&gt;7,REPLACE(X45,LEN(X45),1,VALUE(RIGHT(X45,1))+1),X45)</f>
        <v>A3.8</v>
      </c>
      <c r="Y46" s="36" cm="1">
        <f t="array" ref="Y46">IF(COUNTIFS($X$2:$X46,$X46)=1,"1",VALUE(SUBSTITUTE(INDEX(Y:Y,_xlfn.XMATCH($X46,$X$1:$X45,0,-1)),"A",""))+INDEX(Z:Z,_xlfn.XMATCH($X46,$X$1:$X45,0,-1))+1)</f>
        <v>2</v>
      </c>
      <c r="Z46" s="36" cm="1">
        <f t="array" ref="Z46">SUM(IF(ISNUMBER(FIND("TmAi",$BE$1:$AAL$1)),IF(IFERROR(ISODD(SUBSTITUTE($BE46:$AAL46,"A","")),FALSE),IF(ISODD(SUBSTITUTE($BE46:$AAL46,"A","")),1,0),0)))</f>
        <v>0</v>
      </c>
      <c r="AA46" t="str">
        <f t="shared" si="0"/>
        <v>3B</v>
      </c>
      <c r="AB46" t="str">
        <f t="shared" si="1"/>
        <v>4B</v>
      </c>
      <c r="AP46" t="s">
        <v>489</v>
      </c>
      <c r="AS46" t="s">
        <v>191</v>
      </c>
      <c r="JZ46" s="22" t="str">
        <f t="shared" si="8"/>
        <v>XT1</v>
      </c>
      <c r="KC46" t="str">
        <f t="shared" si="9"/>
        <v>N1-AI8-3B</v>
      </c>
      <c r="KD46" t="str">
        <f t="shared" si="10"/>
        <v>N1-AI8-4B</v>
      </c>
      <c r="KI46" cm="1">
        <f t="array" ref="KI46">IF(COUNTIFS($U$2:$U46,$U46)=1,1,INDEX(KI:KI,_xlfn.XMATCH(U46,U$1:U45,0,-1))+COUNT(KI45:KM45))</f>
        <v>133</v>
      </c>
      <c r="KJ46">
        <f t="shared" ref="KJ46:KK46" si="53">KI46+1</f>
        <v>134</v>
      </c>
      <c r="KK46">
        <f t="shared" si="53"/>
        <v>135</v>
      </c>
      <c r="KN46">
        <v>1</v>
      </c>
      <c r="KO46" s="14">
        <v>2</v>
      </c>
      <c r="KS46" s="14"/>
    </row>
    <row r="47" spans="1:305" x14ac:dyDescent="0.25">
      <c r="A47" t="s">
        <v>946</v>
      </c>
      <c r="B47" t="s">
        <v>581</v>
      </c>
      <c r="C47" t="s">
        <v>231</v>
      </c>
      <c r="P47" t="s">
        <v>223</v>
      </c>
      <c r="T47" s="12" t="s">
        <v>487</v>
      </c>
      <c r="U47">
        <v>1</v>
      </c>
      <c r="V47" t="s">
        <v>536</v>
      </c>
      <c r="X47" t="str">
        <f>IF(COUNTIF(X$2:X46,X46)&gt;7,REPLACE(X46,LEN(X46),1,VALUE(RIGHT(X46,1))+1),X46)</f>
        <v>A3.8</v>
      </c>
      <c r="Y47" s="36" cm="1">
        <f t="array" ref="Y47">IF(COUNTIFS($X$2:$X47,$X47)=1,"1",VALUE(SUBSTITUTE(INDEX(Y:Y,_xlfn.XMATCH($X47,$X$1:$X46,0,-1)),"A",""))+INDEX(Z:Z,_xlfn.XMATCH($X47,$X$1:$X46,0,-1))+1)</f>
        <v>3</v>
      </c>
      <c r="Z47" s="36" cm="1">
        <f t="array" ref="Z47">SUM(IF(ISNUMBER(FIND("TmAi",$BE$1:$AAL$1)),IF(IFERROR(ISODD(SUBSTITUTE($BE47:$AAL47,"A","")),FALSE),IF(ISODD(SUBSTITUTE($BE47:$AAL47,"A","")),1,0),0)))</f>
        <v>0</v>
      </c>
      <c r="AA47" t="str">
        <f t="shared" si="0"/>
        <v>5B</v>
      </c>
      <c r="AB47" t="str">
        <f t="shared" si="1"/>
        <v>6B</v>
      </c>
      <c r="AP47" t="s">
        <v>489</v>
      </c>
      <c r="AS47" t="s">
        <v>191</v>
      </c>
      <c r="JZ47" s="22" t="str">
        <f t="shared" si="8"/>
        <v>XT1</v>
      </c>
      <c r="KC47" t="str">
        <f t="shared" si="9"/>
        <v>N1-AI8-5B</v>
      </c>
      <c r="KD47" t="str">
        <f t="shared" si="10"/>
        <v>N1-AI8-6B</v>
      </c>
      <c r="KI47" cm="1">
        <f t="array" ref="KI47">IF(COUNTIFS($U$2:$U47,$U47)=1,1,INDEX(KI:KI,_xlfn.XMATCH(U47,U$1:U46,0,-1))+COUNT(KI46:KM46))</f>
        <v>136</v>
      </c>
      <c r="KJ47">
        <f t="shared" ref="KJ47:KK47" si="54">KI47+1</f>
        <v>137</v>
      </c>
      <c r="KK47">
        <f t="shared" si="54"/>
        <v>138</v>
      </c>
      <c r="KN47">
        <v>1</v>
      </c>
      <c r="KO47" s="14">
        <v>2</v>
      </c>
      <c r="KS47" s="14"/>
    </row>
    <row r="48" spans="1:305" ht="15.75" thickBot="1" x14ac:dyDescent="0.3">
      <c r="A48" t="s">
        <v>947</v>
      </c>
      <c r="B48" t="s">
        <v>582</v>
      </c>
      <c r="C48" t="s">
        <v>231</v>
      </c>
      <c r="P48" t="s">
        <v>223</v>
      </c>
      <c r="T48" s="12" t="s">
        <v>487</v>
      </c>
      <c r="U48">
        <v>1</v>
      </c>
      <c r="V48" t="s">
        <v>537</v>
      </c>
      <c r="X48" t="str">
        <f>IF(COUNTIF(X$2:X47,X47)&gt;7,REPLACE(X47,LEN(X47),1,VALUE(RIGHT(X47,1))+1),X47)</f>
        <v>A3.8</v>
      </c>
      <c r="Y48" s="36" cm="1">
        <f t="array" ref="Y48">IF(COUNTIFS($X$2:$X48,$X48)=1,"1",VALUE(SUBSTITUTE(INDEX(Y:Y,_xlfn.XMATCH($X48,$X$1:$X47,0,-1)),"A",""))+INDEX(Z:Z,_xlfn.XMATCH($X48,$X$1:$X47,0,-1))+1)</f>
        <v>4</v>
      </c>
      <c r="Z48" s="36" cm="1">
        <f t="array" ref="Z48">SUM(IF(ISNUMBER(FIND("TmAi",$BE$1:$AAL$1)),IF(IFERROR(ISODD(SUBSTITUTE($BE48:$AAL48,"A","")),FALSE),IF(ISODD(SUBSTITUTE($BE48:$AAL48,"A","")),1,0),0)))</f>
        <v>0</v>
      </c>
      <c r="AA48" t="str">
        <f t="shared" si="0"/>
        <v>7B</v>
      </c>
      <c r="AB48" t="str">
        <f t="shared" si="1"/>
        <v>8B</v>
      </c>
      <c r="AP48" t="s">
        <v>489</v>
      </c>
      <c r="AS48" t="s">
        <v>191</v>
      </c>
      <c r="JZ48" s="22" t="str">
        <f t="shared" si="8"/>
        <v>XT1</v>
      </c>
      <c r="KC48" t="str">
        <f t="shared" si="9"/>
        <v>N1-AI8-7B</v>
      </c>
      <c r="KD48" t="str">
        <f t="shared" si="10"/>
        <v>N1-AI8-8B</v>
      </c>
      <c r="KI48" cm="1">
        <f t="array" ref="KI48">IF(COUNTIFS($U$2:$U48,$U48)=1,1,INDEX(KI:KI,_xlfn.XMATCH(U48,U$1:U47,0,-1))+COUNT(KI47:KM47))</f>
        <v>139</v>
      </c>
      <c r="KJ48">
        <f t="shared" ref="KJ48:KK48" si="55">KI48+1</f>
        <v>140</v>
      </c>
      <c r="KK48">
        <f t="shared" si="55"/>
        <v>141</v>
      </c>
      <c r="KN48">
        <v>1</v>
      </c>
      <c r="KO48" s="14">
        <v>2</v>
      </c>
      <c r="KS48" s="14"/>
    </row>
    <row r="49" spans="1:538" x14ac:dyDescent="0.25">
      <c r="A49" t="s">
        <v>975</v>
      </c>
      <c r="B49" s="28" t="s">
        <v>591</v>
      </c>
      <c r="C49" t="s">
        <v>308</v>
      </c>
      <c r="P49" t="s">
        <v>307</v>
      </c>
      <c r="T49" s="12" t="s">
        <v>487</v>
      </c>
      <c r="U49">
        <v>2</v>
      </c>
      <c r="W49" t="s">
        <v>538</v>
      </c>
      <c r="X49" t="s">
        <v>332</v>
      </c>
      <c r="Y49" s="36" t="str" cm="1">
        <f t="array" ref="Y49">IF(COUNTIFS($X$2:$X49,$X49)=1,"1",VALUE(SUBSTITUTE(INDEX(Y:Y,_xlfn.XMATCH($X49,$X$1:$X48,0,-1)),"A",""))+INDEX(Z:Z,_xlfn.XMATCH($X49,$X$1:$X48,0,-1))+1)</f>
        <v>1</v>
      </c>
      <c r="Z49" s="36" cm="1">
        <f t="array" ref="Z49">SUM(IF(ISNUMBER(FIND("TmAi",$BE$1:$AAL$1)),IF(IFERROR(ISODD(SUBSTITUTE($BE49:$AAL49,"A","")),FALSE),IF(ISODD(SUBSTITUTE($BE49:$AAL49,"A","")),1,0),0)))</f>
        <v>1</v>
      </c>
      <c r="AA49" t="str">
        <f t="shared" ref="AA49:AA56" si="56">CONCATENATE($Y49*2-1,"A")</f>
        <v>1A</v>
      </c>
      <c r="AB49" t="str">
        <f t="shared" ref="AB49:AB56" si="57">CONCATENATE($Y49*2-1,"B")</f>
        <v>1B</v>
      </c>
      <c r="AP49" t="s">
        <v>489</v>
      </c>
      <c r="AR49" t="s">
        <v>617</v>
      </c>
      <c r="AS49" t="s">
        <v>191</v>
      </c>
      <c r="OG49" s="20" t="str">
        <f>CONCATENATE("XT",$U49)</f>
        <v>XT2</v>
      </c>
      <c r="OH49" s="10" t="s">
        <v>593</v>
      </c>
      <c r="OI49" s="10" t="s">
        <v>597</v>
      </c>
      <c r="OJ49" s="10"/>
      <c r="OK49" s="10"/>
      <c r="OL49" s="10" t="str">
        <f>CONCATENATE(REPLACE($AA49,LEN($AA49),1,"")+1,RIGHT($AA49))</f>
        <v>2A</v>
      </c>
      <c r="OM49" s="10" t="str">
        <f>CONCATENATE(REPLACE($AB49,LEN($AB49),1,"")+1,RIGHT($AB49))</f>
        <v>2B</v>
      </c>
      <c r="ON49" s="10" t="str">
        <f>CONCATENATE(REPLACE(OL49,LEN(OL49),1,"")+1,RIGHT(OL49))</f>
        <v>3A</v>
      </c>
      <c r="OO49" s="10" t="str">
        <f t="shared" ref="OO49:OO51" si="58">CONCATENATE(REPLACE(OM49,LEN(OM49),1,"")+1,RIGHT(OM49))</f>
        <v>3B</v>
      </c>
      <c r="OP49" s="10" t="str">
        <f t="shared" ref="OP49:OP51" si="59">CONCATENATE(REPLACE(ON49,LEN(ON49),1,"")+1,RIGHT(ON49))</f>
        <v>4A</v>
      </c>
      <c r="OQ49" s="10" t="str">
        <f t="shared" ref="OQ49:OQ51" si="60">CONCATENATE(REPLACE(OO49,LEN(OO49),1,"")+1,RIGHT(OO49))</f>
        <v>4B</v>
      </c>
      <c r="OR49" s="10"/>
      <c r="OS49" s="10"/>
      <c r="OT49" s="10"/>
      <c r="OU49" s="10"/>
      <c r="OV49" s="10" t="str">
        <f>CONCATENATE($T49,"-AI",REPLACE($X49,1,3,""),"-",$AA49)</f>
        <v>N1-AI18-1A</v>
      </c>
      <c r="OW49" s="10" t="str">
        <f>CONCATENATE($T49,"-AI",REPLACE($X49,1,3,""),"-",$AB49)</f>
        <v>N1-AI18-1B</v>
      </c>
      <c r="OX49" s="10" t="str">
        <f t="shared" ref="OX49:OX51" si="61">CONCATENATE($T49,"-AI",REPLACE($X49,1,3,""),"-",OL49)</f>
        <v>N1-AI18-2A</v>
      </c>
      <c r="OY49" s="10" t="str">
        <f t="shared" ref="OY49:OY51" si="62">CONCATENATE($T49,"-AI",REPLACE($X49,1,3,""),"-",OM49)</f>
        <v>N1-AI18-2B</v>
      </c>
      <c r="OZ49" s="10" t="str">
        <f t="shared" ref="OZ49:OZ51" si="63">CONCATENATE($T49,"-AI",REPLACE($X49,1,3,""),"-",ON49)</f>
        <v>N1-AI18-3A</v>
      </c>
      <c r="PA49" s="10" t="str">
        <f t="shared" ref="PA49:PA51" si="64">CONCATENATE($T49,"-AI",REPLACE($X49,1,3,""),"-",OO49)</f>
        <v>N1-AI18-3B</v>
      </c>
      <c r="PB49" s="10" t="str">
        <f t="shared" ref="PB49:PB51" si="65">CONCATENATE($T49,"-AI",REPLACE($X49,1,3,""),"-",OP49)</f>
        <v>N1-AI18-4A</v>
      </c>
      <c r="PC49" s="10" t="str">
        <f t="shared" ref="PC49:PC51" si="66">CONCATENATE($T49,"-AI",REPLACE($X49,1,3,""),"-",OQ49)</f>
        <v>N1-AI18-4B</v>
      </c>
      <c r="PD49" s="10"/>
      <c r="PE49" s="10"/>
      <c r="PF49" s="10"/>
      <c r="PG49" s="10"/>
      <c r="PH49" s="10" cm="1">
        <f t="array" ref="PH49">IF(COUNTIFS($U$2:$U49,$U49)=1,1,INDEX(PH:PH,_xlfn.XMATCH($U49,$U$2:EF48,0,-1))+COUNT(PH48:PM48))</f>
        <v>1</v>
      </c>
      <c r="PI49" s="10">
        <f t="shared" ref="PI49:PI51" si="67">PH49+1</f>
        <v>2</v>
      </c>
      <c r="PJ49" s="10">
        <f t="shared" ref="PJ49:PJ51" si="68">PI49+1</f>
        <v>3</v>
      </c>
      <c r="PK49" s="10">
        <f>PJ49+1</f>
        <v>4</v>
      </c>
      <c r="PL49" s="10">
        <f t="shared" ref="PL49:PL51" si="69">PK49+1</f>
        <v>5</v>
      </c>
      <c r="PM49" s="10">
        <f t="shared" ref="PM49:PM51" si="70">PL49+1</f>
        <v>6</v>
      </c>
      <c r="PN49" s="10"/>
      <c r="PO49" s="10"/>
      <c r="PP49" s="10"/>
      <c r="PQ49" s="10">
        <v>1</v>
      </c>
      <c r="PR49" s="10">
        <v>2</v>
      </c>
      <c r="PS49" s="10">
        <v>3</v>
      </c>
      <c r="PT49" s="10">
        <v>4</v>
      </c>
      <c r="PU49" s="10">
        <v>5</v>
      </c>
      <c r="PV49" s="11">
        <v>6</v>
      </c>
    </row>
    <row r="50" spans="1:538" ht="15.75" thickBot="1" x14ac:dyDescent="0.3">
      <c r="A50" t="s">
        <v>976</v>
      </c>
      <c r="B50" t="s">
        <v>592</v>
      </c>
      <c r="C50" t="s">
        <v>308</v>
      </c>
      <c r="P50" t="s">
        <v>307</v>
      </c>
      <c r="T50" s="12" t="s">
        <v>487</v>
      </c>
      <c r="U50">
        <v>2</v>
      </c>
      <c r="W50" t="s">
        <v>586</v>
      </c>
      <c r="X50" t="str">
        <f>IF(COUNTIF(X$2:X49,X49)&gt;7,REPLACE(X49,LEN(X49),1,VALUE(RIGHT(X49,1))+1),X49)</f>
        <v>A3.18</v>
      </c>
      <c r="Y50" s="36" cm="1">
        <f t="array" ref="Y50">IF(COUNTIFS($X$2:$X50,$X50)=1,"1",VALUE(SUBSTITUTE(INDEX(Y:Y,_xlfn.XMATCH($X50,$X$1:$X49,0,-1)),"A",""))+INDEX(Z:Z,_xlfn.XMATCH($X50,$X$1:$X49,0,-1))+1)</f>
        <v>3</v>
      </c>
      <c r="Z50" s="36" cm="1">
        <f t="array" ref="Z50">SUM(IF(ISNUMBER(FIND("TmAi",$BE$1:$AAL$1)),IF(IFERROR(ISODD(SUBSTITUTE($BE50:$AAL50,"A","")),FALSE),IF(ISODD(SUBSTITUTE($BE50:$AAL50,"A","")),1,0),0)))</f>
        <v>1</v>
      </c>
      <c r="AA50" t="str">
        <f t="shared" si="56"/>
        <v>5A</v>
      </c>
      <c r="AB50" t="str">
        <f t="shared" si="57"/>
        <v>5B</v>
      </c>
      <c r="AP50" t="s">
        <v>489</v>
      </c>
      <c r="AR50" t="s">
        <v>617</v>
      </c>
      <c r="AS50" t="s">
        <v>191</v>
      </c>
      <c r="OG50" s="22" t="str">
        <f t="shared" ref="OG50:OG51" si="71">CONCATENATE("XT",$U50)</f>
        <v>XT2</v>
      </c>
      <c r="OH50" t="s">
        <v>594</v>
      </c>
      <c r="OI50" t="s">
        <v>598</v>
      </c>
      <c r="OL50" t="str">
        <f t="shared" ref="OL50:OL51" si="72">CONCATENATE(REPLACE($AA50,LEN($AA50),1,"")+1,RIGHT($AA50))</f>
        <v>6A</v>
      </c>
      <c r="OM50" t="str">
        <f t="shared" ref="OM50:OM51" si="73">CONCATENATE(REPLACE($AB50,LEN($AB50),1,"")+1,RIGHT($AB50))</f>
        <v>6B</v>
      </c>
      <c r="ON50" t="str">
        <f t="shared" ref="ON50:ON51" si="74">CONCATENATE(REPLACE(OL50,LEN(OL50),1,"")+1,RIGHT(OL50))</f>
        <v>7A</v>
      </c>
      <c r="OO50" t="str">
        <f t="shared" si="58"/>
        <v>7B</v>
      </c>
      <c r="OP50" t="str">
        <f t="shared" si="59"/>
        <v>8A</v>
      </c>
      <c r="OQ50" t="str">
        <f t="shared" si="60"/>
        <v>8B</v>
      </c>
      <c r="OV50" t="str">
        <f>CONCATENATE($T50,"-AI",REPLACE($X50,1,3,""),"-",$AA50)</f>
        <v>N1-AI18-5A</v>
      </c>
      <c r="OW50" t="str">
        <f>CONCATENATE($T50,"-AI",REPLACE($X50,1,3,""),"-",$AB50)</f>
        <v>N1-AI18-5B</v>
      </c>
      <c r="OX50" t="str">
        <f t="shared" si="61"/>
        <v>N1-AI18-6A</v>
      </c>
      <c r="OY50" t="str">
        <f t="shared" si="62"/>
        <v>N1-AI18-6B</v>
      </c>
      <c r="OZ50" t="str">
        <f t="shared" si="63"/>
        <v>N1-AI18-7A</v>
      </c>
      <c r="PA50" t="str">
        <f t="shared" si="64"/>
        <v>N1-AI18-7B</v>
      </c>
      <c r="PB50" t="str">
        <f t="shared" si="65"/>
        <v>N1-AI18-8A</v>
      </c>
      <c r="PC50" t="str">
        <f t="shared" si="66"/>
        <v>N1-AI18-8B</v>
      </c>
      <c r="PH50" cm="1">
        <f t="array" ref="PH50">IF(COUNTIFS($U$2:$U50,$U50)=1,1,INDEX(PH:PH,_xlfn.XMATCH($U50,$U$1:$U49,0,-1))+COUNT(PH49:PM49))</f>
        <v>7</v>
      </c>
      <c r="PI50">
        <f t="shared" si="67"/>
        <v>8</v>
      </c>
      <c r="PJ50">
        <f t="shared" si="68"/>
        <v>9</v>
      </c>
      <c r="PK50">
        <f t="shared" ref="PK50:PK51" si="75">PJ50+1</f>
        <v>10</v>
      </c>
      <c r="PL50">
        <f t="shared" si="69"/>
        <v>11</v>
      </c>
      <c r="PM50">
        <f t="shared" si="70"/>
        <v>12</v>
      </c>
      <c r="PQ50">
        <v>7</v>
      </c>
      <c r="PR50">
        <v>8</v>
      </c>
      <c r="PS50">
        <v>9</v>
      </c>
      <c r="PT50">
        <v>10</v>
      </c>
      <c r="PU50">
        <v>11</v>
      </c>
      <c r="PV50" s="14">
        <v>12</v>
      </c>
    </row>
    <row r="51" spans="1:538" ht="15.75" thickBot="1" x14ac:dyDescent="0.3">
      <c r="A51" t="s">
        <v>977</v>
      </c>
      <c r="B51" t="s">
        <v>613</v>
      </c>
      <c r="C51" t="s">
        <v>308</v>
      </c>
      <c r="P51" t="s">
        <v>331</v>
      </c>
      <c r="T51" s="12" t="s">
        <v>487</v>
      </c>
      <c r="U51">
        <v>2</v>
      </c>
      <c r="W51" t="s">
        <v>587</v>
      </c>
      <c r="X51" t="str">
        <f>IF(COUNTIF(X$2:X50,X50)&gt;7,REPLACE(X50,LEN(X50),1,VALUE(RIGHT(X50,1))+1),X50)</f>
        <v>A3.18</v>
      </c>
      <c r="Y51" s="36" cm="1">
        <f t="array" ref="Y51">IF(COUNTIFS($X$2:$X51,$X51)=1,"1",VALUE(SUBSTITUTE(INDEX(Y:Y,_xlfn.XMATCH($X51,$X$1:$X50,0,-1)),"A",""))+INDEX(Z:Z,_xlfn.XMATCH($X51,$X$1:$X50,0,-1))+1)</f>
        <v>5</v>
      </c>
      <c r="Z51" s="36" cm="1">
        <f t="array" ref="Z51">SUM(IF(ISNUMBER(FIND("TmAi",$BE$1:$AAL$1)),IF(IFERROR(ISODD(SUBSTITUTE($BE51:$AAL51,"A","")),FALSE),IF(ISODD(SUBSTITUTE($BE51:$AAL51,"A","")),1,0),0)))</f>
        <v>2</v>
      </c>
      <c r="AA51" t="str">
        <f t="shared" si="56"/>
        <v>9A</v>
      </c>
      <c r="AB51" t="str">
        <f t="shared" si="57"/>
        <v>9B</v>
      </c>
      <c r="AP51" t="s">
        <v>489</v>
      </c>
      <c r="AR51" t="s">
        <v>618</v>
      </c>
      <c r="AS51" t="s">
        <v>191</v>
      </c>
      <c r="OG51" s="22" t="str">
        <f t="shared" si="71"/>
        <v>XT2</v>
      </c>
      <c r="OH51" t="s">
        <v>595</v>
      </c>
      <c r="OI51" t="s">
        <v>599</v>
      </c>
      <c r="OJ51" t="s">
        <v>596</v>
      </c>
      <c r="OK51" t="s">
        <v>600</v>
      </c>
      <c r="OL51" t="str">
        <f t="shared" si="72"/>
        <v>10A</v>
      </c>
      <c r="OM51" t="str">
        <f t="shared" si="73"/>
        <v>10B</v>
      </c>
      <c r="ON51" t="str">
        <f t="shared" si="74"/>
        <v>11A</v>
      </c>
      <c r="OO51" t="str">
        <f t="shared" si="58"/>
        <v>11B</v>
      </c>
      <c r="OP51" t="str">
        <f t="shared" si="59"/>
        <v>12A</v>
      </c>
      <c r="OQ51" t="str">
        <f t="shared" si="60"/>
        <v>12B</v>
      </c>
      <c r="OR51" t="str">
        <f t="shared" ref="OR51" si="76">CONCATENATE(REPLACE(OP51,LEN(OP51),1,"")+1,RIGHT(OP51))</f>
        <v>13A</v>
      </c>
      <c r="OS51" t="str">
        <f t="shared" ref="OS51" si="77">CONCATENATE(REPLACE(OQ51,LEN(OQ51),1,"")+1,RIGHT(OQ51))</f>
        <v>13B</v>
      </c>
      <c r="OT51" t="str">
        <f t="shared" ref="OT51" si="78">CONCATENATE(REPLACE(OR51,LEN(OR51),1,"")+1,RIGHT(OR51))</f>
        <v>14A</v>
      </c>
      <c r="OU51" t="str">
        <f t="shared" ref="OU51" si="79">CONCATENATE(REPLACE(OS51,LEN(OS51),1,"")+1,RIGHT(OS51))</f>
        <v>14B</v>
      </c>
      <c r="OV51" t="str">
        <f>CONCATENATE($T51,"-AI",REPLACE($X51,1,3,""),"-",$AA51)</f>
        <v>N1-AI18-9A</v>
      </c>
      <c r="OW51" t="str">
        <f>CONCATENATE($T51,"-AI",REPLACE($X51,1,3,""),"-",$AB51)</f>
        <v>N1-AI18-9B</v>
      </c>
      <c r="OX51" t="str">
        <f t="shared" si="61"/>
        <v>N1-AI18-10A</v>
      </c>
      <c r="OY51" t="str">
        <f t="shared" si="62"/>
        <v>N1-AI18-10B</v>
      </c>
      <c r="OZ51" t="str">
        <f t="shared" si="63"/>
        <v>N1-AI18-11A</v>
      </c>
      <c r="PA51" t="str">
        <f t="shared" si="64"/>
        <v>N1-AI18-11B</v>
      </c>
      <c r="PB51" t="str">
        <f t="shared" si="65"/>
        <v>N1-AI18-12A</v>
      </c>
      <c r="PC51" t="str">
        <f t="shared" si="66"/>
        <v>N1-AI18-12B</v>
      </c>
      <c r="PD51" t="str">
        <f t="shared" ref="PD51" si="80">CONCATENATE($T51,"-AI",REPLACE($X51,1,3,""),"-",OR51)</f>
        <v>N1-AI18-13A</v>
      </c>
      <c r="PE51" t="str">
        <f t="shared" ref="PE51" si="81">CONCATENATE($T51,"-AI",REPLACE($X51,1,3,""),"-",OS51)</f>
        <v>N1-AI18-13B</v>
      </c>
      <c r="PF51" t="str">
        <f t="shared" ref="PF51" si="82">CONCATENATE($T51,"-AI",REPLACE($X51,1,3,""),"-",OT51)</f>
        <v>N1-AI18-14A</v>
      </c>
      <c r="PG51" t="str">
        <f t="shared" ref="PG51" si="83">CONCATENATE($T51,"-AI",REPLACE($X51,1,3,""),"-",OU51)</f>
        <v>N1-AI18-14B</v>
      </c>
      <c r="PH51" cm="1">
        <f t="array" ref="PH51">IF(COUNTIFS($U$2:$U51,$U51)=1,1,INDEX(PH:PH,_xlfn.XMATCH($U51,$U$1:$U50,0,-1))+COUNT(PH50:PM50))</f>
        <v>13</v>
      </c>
      <c r="PI51">
        <f t="shared" si="67"/>
        <v>14</v>
      </c>
      <c r="PJ51">
        <f t="shared" si="68"/>
        <v>15</v>
      </c>
      <c r="PK51">
        <f t="shared" si="75"/>
        <v>16</v>
      </c>
      <c r="PL51">
        <f t="shared" si="69"/>
        <v>17</v>
      </c>
      <c r="PM51">
        <f t="shared" si="70"/>
        <v>18</v>
      </c>
      <c r="PN51">
        <f t="shared" ref="PN51" si="84">PM51+1</f>
        <v>19</v>
      </c>
      <c r="PO51">
        <f t="shared" ref="PO51" si="85">PN51+1</f>
        <v>20</v>
      </c>
      <c r="PP51">
        <f t="shared" ref="PP51" si="86">PO51+1</f>
        <v>21</v>
      </c>
      <c r="PQ51">
        <v>1</v>
      </c>
      <c r="PR51">
        <v>2</v>
      </c>
      <c r="PS51">
        <v>3</v>
      </c>
      <c r="PT51">
        <v>4</v>
      </c>
      <c r="PU51">
        <v>5</v>
      </c>
      <c r="PV51">
        <v>6</v>
      </c>
      <c r="PW51" s="10">
        <v>7</v>
      </c>
      <c r="PX51" s="10">
        <v>8</v>
      </c>
      <c r="PY51" s="11">
        <v>9</v>
      </c>
    </row>
    <row r="52" spans="1:538" ht="15.75" thickBot="1" x14ac:dyDescent="0.3">
      <c r="A52" t="s">
        <v>1039</v>
      </c>
      <c r="B52" s="39" t="s">
        <v>614</v>
      </c>
      <c r="P52" t="s">
        <v>223</v>
      </c>
      <c r="T52" s="12" t="s">
        <v>487</v>
      </c>
      <c r="U52">
        <v>2</v>
      </c>
      <c r="W52" t="s">
        <v>588</v>
      </c>
      <c r="X52" t="s">
        <v>590</v>
      </c>
      <c r="Y52" s="36" t="str" cm="1">
        <f t="array" ref="Y52">IF(COUNTIFS($X$2:$X52,$X52)=1,"1",VALUE(SUBSTITUTE(INDEX(Y:Y,_xlfn.XMATCH($X52,$X$1:$X51,0,-1)),"A",""))+INDEX(Z:Z,_xlfn.XMATCH($X52,$X$1:$X51,0,-1))+1)</f>
        <v>1</v>
      </c>
      <c r="Z52" s="36" cm="1">
        <f t="array" ref="Z52">SUM(IF(ISNUMBER(FIND("TmAi",$BE$1:$AAL$1)),IF(IFERROR(ISODD(SUBSTITUTE($BE52:$AAL52,"A","")),FALSE),IF(ISODD(SUBSTITUTE($BE52:$AAL52,"A","")),1,0),0)))</f>
        <v>0</v>
      </c>
      <c r="AA52" t="str">
        <f t="shared" ref="AA52" si="87">CONCATENATE($Y52*2-1,"B")</f>
        <v>1B</v>
      </c>
      <c r="AB52" t="str">
        <f t="shared" ref="AB52" si="88">CONCATENATE($Y52*2,"B")</f>
        <v>2B</v>
      </c>
      <c r="AP52" t="s">
        <v>489</v>
      </c>
      <c r="AQ52" t="s">
        <v>616</v>
      </c>
      <c r="AS52" t="s">
        <v>191</v>
      </c>
      <c r="JZ52" s="20" t="str">
        <f>CONCATENATE("XT",U52)</f>
        <v>XT2</v>
      </c>
      <c r="KA52" s="10"/>
      <c r="KB52" s="10"/>
      <c r="KC52" s="10" t="str">
        <f>CONCATENATE(T52,"-AI",REPLACE($X52,1,3,""),"-",AA52)</f>
        <v>N1-AI9-1B</v>
      </c>
      <c r="KD52" s="10" t="str">
        <f>CONCATENATE(T52,"-AI",REPLACE($X52,1,3,""),"-",AB52)</f>
        <v>N1-AI9-2B</v>
      </c>
      <c r="KE52" s="10"/>
      <c r="KF52" s="10"/>
      <c r="KG52" s="10"/>
      <c r="KH52" s="10"/>
      <c r="KI52" s="10">
        <v>22</v>
      </c>
      <c r="KJ52" s="10">
        <f t="shared" ref="KJ52" si="89">KI52+1</f>
        <v>23</v>
      </c>
      <c r="KK52" s="10">
        <f t="shared" ref="KK52" si="90">KJ52+1</f>
        <v>24</v>
      </c>
      <c r="KL52" s="10"/>
      <c r="KM52" s="10"/>
      <c r="KN52" s="10" t="s">
        <v>233</v>
      </c>
      <c r="KO52" s="10" t="s">
        <v>233</v>
      </c>
      <c r="KP52" s="10"/>
      <c r="KQ52" s="10"/>
      <c r="KR52" s="10"/>
      <c r="KS52" s="10"/>
      <c r="KT52" s="10"/>
      <c r="KU52" s="10"/>
      <c r="KV52" s="10"/>
      <c r="KW52" s="10"/>
      <c r="KX52" s="10"/>
      <c r="KY52" s="10"/>
      <c r="KZ52" s="10"/>
      <c r="LA52" s="10"/>
      <c r="LB52" s="10"/>
      <c r="LC52" s="10"/>
      <c r="LD52" s="10"/>
      <c r="LE52" s="10"/>
      <c r="LF52" s="10"/>
      <c r="LG52" s="10"/>
      <c r="LH52" s="10"/>
      <c r="LI52" s="10"/>
      <c r="LJ52" s="10"/>
      <c r="LK52" s="10"/>
      <c r="LL52" s="10"/>
      <c r="LM52" s="10"/>
      <c r="LN52" s="10"/>
      <c r="LO52" s="10"/>
      <c r="LP52" s="10"/>
      <c r="LQ52" s="10"/>
      <c r="LR52" s="10"/>
      <c r="LS52" s="10"/>
      <c r="LT52" s="10"/>
      <c r="LU52" s="10"/>
      <c r="LV52" s="10"/>
      <c r="LW52" s="10"/>
      <c r="LX52" s="10"/>
      <c r="LY52" s="10"/>
      <c r="LZ52" s="10"/>
      <c r="MA52" s="10"/>
      <c r="MB52" s="10"/>
      <c r="MC52" s="10"/>
      <c r="MD52" s="10"/>
      <c r="ME52" s="10"/>
      <c r="MF52" s="10"/>
      <c r="MG52" s="10"/>
      <c r="MH52" s="10"/>
      <c r="MI52" s="10"/>
      <c r="MJ52" s="10"/>
      <c r="MK52" s="10"/>
      <c r="ML52" s="10"/>
      <c r="MM52" s="10"/>
      <c r="MN52" s="10"/>
      <c r="MO52" s="10"/>
      <c r="MP52" s="10"/>
      <c r="MQ52" s="10"/>
      <c r="MR52" s="10"/>
      <c r="MS52" s="10"/>
      <c r="MT52" s="10"/>
      <c r="MU52" s="10"/>
      <c r="MV52" s="10"/>
      <c r="MW52" s="10"/>
      <c r="MX52" s="10"/>
      <c r="MY52" s="10"/>
      <c r="MZ52" s="10"/>
      <c r="NA52" s="10"/>
      <c r="NB52" s="10"/>
      <c r="NC52" s="10"/>
      <c r="ND52" s="10"/>
      <c r="NE52" s="10"/>
      <c r="NF52" s="10"/>
      <c r="NG52" s="10"/>
      <c r="NH52" s="10"/>
      <c r="NI52" s="10"/>
      <c r="NJ52" s="10"/>
      <c r="NK52" s="10"/>
      <c r="NL52" s="10"/>
      <c r="NM52" s="10"/>
      <c r="NN52" s="10"/>
      <c r="NO52" s="10"/>
      <c r="NP52" s="10"/>
      <c r="NQ52" s="10"/>
      <c r="NR52" s="10"/>
      <c r="NS52" s="10"/>
      <c r="NT52" s="10"/>
      <c r="NU52" s="10"/>
      <c r="NV52" s="10"/>
      <c r="NW52" s="10"/>
      <c r="NX52" s="10"/>
      <c r="NY52" s="10"/>
      <c r="NZ52" s="10"/>
      <c r="OA52" s="10"/>
      <c r="OB52" s="10"/>
      <c r="OC52" s="10"/>
      <c r="OD52" s="10"/>
      <c r="OE52" s="10"/>
      <c r="OF52" s="10"/>
      <c r="PY52" s="14"/>
    </row>
    <row r="53" spans="1:538" ht="15.75" thickBot="1" x14ac:dyDescent="0.3">
      <c r="A53" t="s">
        <v>1040</v>
      </c>
      <c r="B53" s="27" t="s">
        <v>615</v>
      </c>
      <c r="P53" t="s">
        <v>334</v>
      </c>
      <c r="T53" s="12" t="s">
        <v>487</v>
      </c>
      <c r="U53">
        <v>2</v>
      </c>
      <c r="W53" t="s">
        <v>589</v>
      </c>
      <c r="X53" t="str">
        <f>IF(COUNTIF(X$2:X52,X52)&gt;7,REPLACE(X52,LEN(X52),1,VALUE(RIGHT(X52,1))+1),X52)</f>
        <v>A3.9</v>
      </c>
      <c r="Y53" s="36" cm="1">
        <f t="array" ref="Y53">IF(COUNTIFS($X$2:$X53,$X53)=1,"1",VALUE(SUBSTITUTE(INDEX(Y:Y,_xlfn.XMATCH($X53,$X$1:$X52,0,-1)),"A",""))+INDEX(Z:Z,_xlfn.XMATCH($X53,$X$1:$X52,0,-1))+1)</f>
        <v>2</v>
      </c>
      <c r="Z53" s="36" cm="1">
        <f t="array" ref="Z53">SUM(IF(ISNUMBER(FIND("TmAi",$BE$1:$AAL$1)),IF(IFERROR(ISODD(SUBSTITUTE($BE53:$AAL53,"A","")),FALSE),IF(ISODD(SUBSTITUTE($BE53:$AAL53,"A","")),1,0),0)))</f>
        <v>11</v>
      </c>
      <c r="AA53" t="str">
        <f t="shared" ref="AA53" si="91">CONCATENATE($Y53*2-1,"A")</f>
        <v>3A</v>
      </c>
      <c r="AB53" t="str">
        <f t="shared" ref="AB53" si="92">CONCATENATE($Y53*2-1,"B")</f>
        <v>3B</v>
      </c>
      <c r="AP53" t="s">
        <v>489</v>
      </c>
      <c r="AR53" t="s">
        <v>619</v>
      </c>
      <c r="AS53" t="s">
        <v>191</v>
      </c>
      <c r="JZ53" s="23"/>
      <c r="KA53" s="16"/>
      <c r="KB53" s="16"/>
      <c r="KC53" s="16"/>
      <c r="KD53" s="16"/>
      <c r="KE53" s="16"/>
      <c r="KF53" s="16"/>
      <c r="KG53" s="16"/>
      <c r="KH53" s="16"/>
      <c r="KI53" s="16"/>
      <c r="KJ53" s="16"/>
      <c r="KK53" s="16"/>
      <c r="KL53" s="16"/>
      <c r="KM53" s="16"/>
      <c r="KN53" s="16"/>
      <c r="KO53" s="16"/>
      <c r="KP53" s="16"/>
      <c r="KQ53" s="16"/>
      <c r="KR53" s="16"/>
      <c r="KS53" s="16"/>
      <c r="KT53" s="16"/>
      <c r="KU53" s="16"/>
      <c r="KV53" s="16"/>
      <c r="KW53" s="16"/>
      <c r="KX53" s="16"/>
      <c r="KY53" s="16"/>
      <c r="KZ53" s="16"/>
      <c r="LA53" s="16"/>
      <c r="LB53" s="16"/>
      <c r="LC53" s="16"/>
      <c r="LD53" s="16"/>
      <c r="LE53" s="16"/>
      <c r="LF53" s="16"/>
      <c r="LG53" s="16"/>
      <c r="LH53" s="16"/>
      <c r="LI53" s="16"/>
      <c r="LJ53" s="16"/>
      <c r="LK53" s="16"/>
      <c r="LL53" s="16"/>
      <c r="LM53" s="16"/>
      <c r="LN53" s="16"/>
      <c r="LO53" s="16"/>
      <c r="LP53" s="16"/>
      <c r="LQ53" s="16"/>
      <c r="LR53" s="16"/>
      <c r="LS53" s="16"/>
      <c r="LT53" s="16"/>
      <c r="LU53" s="16"/>
      <c r="LV53" s="16"/>
      <c r="LW53" s="16"/>
      <c r="LX53" s="16"/>
      <c r="LY53" s="16"/>
      <c r="LZ53" s="16"/>
      <c r="MA53" s="16"/>
      <c r="MB53" s="16"/>
      <c r="MC53" s="16"/>
      <c r="MD53" s="16"/>
      <c r="ME53" s="16"/>
      <c r="MF53" s="16"/>
      <c r="MG53" s="16"/>
      <c r="MH53" s="16"/>
      <c r="MI53" s="16"/>
      <c r="MJ53" s="16"/>
      <c r="MK53" s="16"/>
      <c r="ML53" s="16"/>
      <c r="MM53" s="16"/>
      <c r="MN53" s="16"/>
      <c r="MO53" s="16"/>
      <c r="MP53" s="16"/>
      <c r="MQ53" s="16"/>
      <c r="MR53" s="16"/>
      <c r="MS53" s="16"/>
      <c r="MT53" s="16"/>
      <c r="MU53" s="16"/>
      <c r="MV53" s="16"/>
      <c r="MW53" s="16"/>
      <c r="MX53" s="16"/>
      <c r="MY53" s="16"/>
      <c r="MZ53" s="16"/>
      <c r="NA53" s="16"/>
      <c r="NB53" s="16"/>
      <c r="NC53" s="16"/>
      <c r="ND53" s="16"/>
      <c r="NE53" s="16"/>
      <c r="NF53" s="16"/>
      <c r="NG53" s="16"/>
      <c r="NH53" s="16"/>
      <c r="NI53" s="16"/>
      <c r="NJ53" s="16"/>
      <c r="NK53" s="16"/>
      <c r="NL53" s="16"/>
      <c r="NM53" s="16"/>
      <c r="NN53" s="16"/>
      <c r="NO53" s="16"/>
      <c r="NP53" s="16"/>
      <c r="NQ53" s="16"/>
      <c r="NR53" s="16"/>
      <c r="NS53" s="16"/>
      <c r="NT53" s="16"/>
      <c r="NU53" s="16"/>
      <c r="NV53" s="16"/>
      <c r="NW53" s="16"/>
      <c r="NX53" s="16"/>
      <c r="NY53" s="16"/>
      <c r="NZ53" s="16"/>
      <c r="OA53" s="16"/>
      <c r="OB53" s="16"/>
      <c r="OC53" s="16"/>
      <c r="OD53" s="16"/>
      <c r="OE53" s="16"/>
      <c r="OF53" s="16"/>
      <c r="OG53" s="16"/>
      <c r="OH53" s="16"/>
      <c r="OI53" s="16"/>
      <c r="OJ53" s="16"/>
      <c r="OK53" s="16"/>
      <c r="OL53" s="16"/>
      <c r="OM53" s="16"/>
      <c r="ON53" s="16"/>
      <c r="OO53" s="16"/>
      <c r="OP53" s="16"/>
      <c r="OQ53" s="16"/>
      <c r="OR53" s="16"/>
      <c r="OS53" s="16"/>
      <c r="OT53" s="16"/>
      <c r="OU53" s="16"/>
      <c r="OV53" s="16"/>
      <c r="OW53" s="16"/>
      <c r="OX53" s="16"/>
      <c r="OY53" s="16"/>
      <c r="OZ53" s="16"/>
      <c r="PA53" s="16"/>
      <c r="PB53" s="16"/>
      <c r="PC53" s="16"/>
      <c r="PD53" s="16"/>
      <c r="PE53" s="16"/>
      <c r="PF53" s="16"/>
      <c r="PG53" s="16"/>
      <c r="PH53" s="16"/>
      <c r="PI53" s="16"/>
      <c r="PJ53" s="16"/>
      <c r="PK53" s="16"/>
      <c r="PL53" s="16"/>
      <c r="PM53" s="16"/>
      <c r="PN53" s="16"/>
      <c r="PO53" s="16"/>
      <c r="PP53" s="16"/>
      <c r="PQ53" s="16"/>
      <c r="PR53" s="16"/>
      <c r="PS53" s="16"/>
      <c r="PT53" s="16"/>
      <c r="PU53" s="16"/>
      <c r="PV53" s="16"/>
      <c r="PW53" s="16"/>
      <c r="PX53" s="16"/>
      <c r="PY53" s="16"/>
      <c r="PZ53" s="18" t="str">
        <f>REPLACE(X53,FIND(".",X53)+1,3,MID(X53,FIND(".",X53)+1,3)+1)</f>
        <v>A3.10</v>
      </c>
      <c r="QA53" s="18" t="str">
        <f>CONCATENATE(VALUE(SUBSTITUTE($AB53,"B",""))+2,"B")</f>
        <v>5B</v>
      </c>
      <c r="QB53" s="18" t="str">
        <f>CONCATENATE(VALUE(SUBSTITUTE($AA53,"A",""))+2,"A")</f>
        <v>5A</v>
      </c>
      <c r="QC53" s="18" t="str">
        <f>CONCATENATE(VALUE(SUBSTITUTE(QA53,"B",""))+2,"B")</f>
        <v>7B</v>
      </c>
      <c r="QD53" s="18" t="str">
        <f>CONCATENATE(VALUE(SUBSTITUTE(QB53,"A",""))+2,"A")</f>
        <v>7A</v>
      </c>
      <c r="QE53" s="18" t="str">
        <f t="shared" ref="QE53" si="93">CONCATENATE(VALUE(SUBSTITUTE(QC53,"B",""))+2,"B")</f>
        <v>9B</v>
      </c>
      <c r="QF53" s="18" t="str">
        <f t="shared" ref="QF53" si="94">CONCATENATE(VALUE(SUBSTITUTE(QD53,"A",""))+2,"A")</f>
        <v>9A</v>
      </c>
      <c r="QG53" s="18" t="str">
        <f t="shared" ref="QG53" si="95">CONCATENATE(VALUE(SUBSTITUTE(QE53,"B",""))+2,"B")</f>
        <v>11B</v>
      </c>
      <c r="QH53" s="18" t="str">
        <f t="shared" ref="QH53" si="96">CONCATENATE(VALUE(SUBSTITUTE(QF53,"A",""))+2,"A")</f>
        <v>11A</v>
      </c>
      <c r="QI53" s="18" t="str">
        <f t="shared" ref="QI53" si="97">CONCATENATE(VALUE(SUBSTITUTE(QG53,"B",""))+2,"B")</f>
        <v>13B</v>
      </c>
      <c r="QJ53" s="18" t="str">
        <f t="shared" ref="QJ53" si="98">CONCATENATE(VALUE(SUBSTITUTE(QH53,"A",""))+2,"A")</f>
        <v>13A</v>
      </c>
      <c r="QK53" s="18" t="s">
        <v>130</v>
      </c>
      <c r="QL53" s="18" t="s">
        <v>131</v>
      </c>
      <c r="QM53" s="18" t="str">
        <f t="shared" ref="QM53" si="99">CONCATENATE(VALUE(SUBSTITUTE(QK53,"B",""))+2,"B")</f>
        <v>3B</v>
      </c>
      <c r="QN53" s="18" t="str">
        <f t="shared" ref="QN53" si="100">CONCATENATE(VALUE(SUBSTITUTE(QL53,"A",""))+2,"A")</f>
        <v>3A</v>
      </c>
      <c r="QO53" s="18" t="str">
        <f t="shared" ref="QO53" si="101">CONCATENATE(VALUE(SUBSTITUTE(QM53,"B",""))+2,"B")</f>
        <v>5B</v>
      </c>
      <c r="QP53" s="18" t="str">
        <f t="shared" ref="QP53" si="102">CONCATENATE(VALUE(SUBSTITUTE(QN53,"A",""))+2,"A")</f>
        <v>5A</v>
      </c>
      <c r="QQ53" s="18" t="str">
        <f t="shared" ref="QQ53" si="103">CONCATENATE(VALUE(SUBSTITUTE(QO53,"B",""))+2,"B")</f>
        <v>7B</v>
      </c>
      <c r="QR53" s="18" t="str">
        <f t="shared" ref="QR53" si="104">CONCATENATE(VALUE(SUBSTITUTE(QP53,"A",""))+2,"A")</f>
        <v>7A</v>
      </c>
      <c r="QS53" s="18" t="str">
        <f t="shared" ref="QS53" si="105">CONCATENATE(VALUE(SUBSTITUTE(QQ53,"B",""))+2,"B")</f>
        <v>9B</v>
      </c>
      <c r="QT53" s="18" t="str">
        <f t="shared" ref="QT53" si="106">CONCATENATE(VALUE(SUBSTITUTE(QR53,"A",""))+2,"A")</f>
        <v>9A</v>
      </c>
      <c r="QU53" s="18" t="str">
        <f t="shared" ref="QU53" si="107">CONCATENATE(VALUE(SUBSTITUTE(QS53,"B",""))+2,"B")</f>
        <v>11B</v>
      </c>
      <c r="QV53" s="18" t="str">
        <f t="shared" ref="QV53" si="108">CONCATENATE(VALUE(SUBSTITUTE(QT53,"A",""))+2,"A")</f>
        <v>11A</v>
      </c>
      <c r="QW53" s="18" t="str">
        <f>CONCATENATE($T53,"-AI",REPLACE($X53,1,3,""),"-",AB53)</f>
        <v>N1-AI9-3B</v>
      </c>
      <c r="QX53" s="18" t="str">
        <f>CONCATENATE($T53,"-AI",REPLACE($X53,1,3,""),"-",AA53)</f>
        <v>N1-AI9-3A</v>
      </c>
      <c r="QY53" s="18" t="str">
        <f>CONCATENATE($T53,"-AI",REPLACE($X53,1,3,""),"-",QA53)</f>
        <v>N1-AI9-5B</v>
      </c>
      <c r="QZ53" s="18" t="str">
        <f>CONCATENATE($T53,"-AI",REPLACE($X53,1,3,""),"-",QB53)</f>
        <v>N1-AI9-5A</v>
      </c>
      <c r="RA53" s="18" t="str">
        <f t="shared" ref="RA53" si="109">CONCATENATE($T53,"-AI",REPLACE($X53,1,3,""),"-",QC53)</f>
        <v>N1-AI9-7B</v>
      </c>
      <c r="RB53" s="18" t="str">
        <f t="shared" ref="RB53" si="110">CONCATENATE($T53,"-AI",REPLACE($X53,1,3,""),"-",QD53)</f>
        <v>N1-AI9-7A</v>
      </c>
      <c r="RC53" s="18" t="str">
        <f t="shared" ref="RC53" si="111">CONCATENATE($T53,"-AI",REPLACE($X53,1,3,""),"-",QE53)</f>
        <v>N1-AI9-9B</v>
      </c>
      <c r="RD53" s="18" t="str">
        <f t="shared" ref="RD53" si="112">CONCATENATE($T53,"-AI",REPLACE($X53,1,3,""),"-",QF53)</f>
        <v>N1-AI9-9A</v>
      </c>
      <c r="RE53" s="18" t="str">
        <f t="shared" ref="RE53" si="113">CONCATENATE($T53,"-AI",REPLACE($X53,1,3,""),"-",QG53)</f>
        <v>N1-AI9-11B</v>
      </c>
      <c r="RF53" s="18" t="str">
        <f t="shared" ref="RF53" si="114">CONCATENATE($T53,"-AI",REPLACE($X53,1,3,""),"-",QH53)</f>
        <v>N1-AI9-11A</v>
      </c>
      <c r="RG53" s="18" t="str">
        <f t="shared" ref="RG53" si="115">CONCATENATE($T53,"-AI",REPLACE($X53,1,3,""),"-",QI53)</f>
        <v>N1-AI9-13B</v>
      </c>
      <c r="RH53" s="18" t="str">
        <f t="shared" ref="RH53" si="116">CONCATENATE($T53,"-AI",REPLACE($X53,1,3,""),"-",QJ53)</f>
        <v>N1-AI9-13A</v>
      </c>
      <c r="RI53" s="18" t="str">
        <f t="shared" ref="RI53" si="117">CONCATENATE($T53,"-AI",REPLACE($PZ53,1,3,""),"-",QK53)</f>
        <v>N1-AI10-1B</v>
      </c>
      <c r="RJ53" s="18" t="str">
        <f t="shared" ref="RJ53" si="118">CONCATENATE($T53,"-AI",REPLACE($PZ53,1,3,""),"-",QL53)</f>
        <v>N1-AI10-1A</v>
      </c>
      <c r="RK53" s="18" t="str">
        <f t="shared" ref="RK53" si="119">CONCATENATE($T53,"-AI",REPLACE($PZ53,1,3,""),"-",QM53)</f>
        <v>N1-AI10-3B</v>
      </c>
      <c r="RL53" s="18" t="str">
        <f t="shared" ref="RL53" si="120">CONCATENATE($T53,"-AI",REPLACE($PZ53,1,3,""),"-",QN53)</f>
        <v>N1-AI10-3A</v>
      </c>
      <c r="RM53" s="18" t="str">
        <f t="shared" ref="RM53" si="121">CONCATENATE($T53,"-AI",REPLACE($PZ53,1,3,""),"-",QO53)</f>
        <v>N1-AI10-5B</v>
      </c>
      <c r="RN53" s="18" t="str">
        <f t="shared" ref="RN53" si="122">CONCATENATE($T53,"-AI",REPLACE($PZ53,1,3,""),"-",QP53)</f>
        <v>N1-AI10-5A</v>
      </c>
      <c r="RO53" s="18" t="str">
        <f t="shared" ref="RO53" si="123">CONCATENATE($T53,"-AI",REPLACE($PZ53,1,3,""),"-",QQ53)</f>
        <v>N1-AI10-7B</v>
      </c>
      <c r="RP53" s="18" t="str">
        <f t="shared" ref="RP53" si="124">CONCATENATE($T53,"-AI",REPLACE($PZ53,1,3,""),"-",QR53)</f>
        <v>N1-AI10-7A</v>
      </c>
      <c r="RQ53" s="18" t="str">
        <f t="shared" ref="RQ53" si="125">CONCATENATE($T53,"-AI",REPLACE($PZ53,1,3,""),"-",QS53)</f>
        <v>N1-AI10-9B</v>
      </c>
      <c r="RR53" s="18" t="str">
        <f t="shared" ref="RR53" si="126">CONCATENATE($T53,"-AI",REPLACE($PZ53,1,3,""),"-",QT53)</f>
        <v>N1-AI10-9A</v>
      </c>
      <c r="RS53" s="18" t="str">
        <f t="shared" ref="RS53" si="127">CONCATENATE($T53,"-AI",REPLACE($PZ53,1,3,""),"-",QU53)</f>
        <v>N1-AI10-11B</v>
      </c>
      <c r="RT53" s="18" t="str">
        <f t="shared" ref="RT53" si="128">CONCATENATE($T53,"-AI",REPLACE($PZ53,1,3,""),"-",QV53)</f>
        <v>N1-AI10-11A</v>
      </c>
      <c r="RU53" s="18" t="str">
        <f t="shared" ref="RU53" si="129">CONCATENATE("XT",$U53)</f>
        <v>XT2</v>
      </c>
      <c r="RV53" s="18">
        <v>25</v>
      </c>
      <c r="RW53" s="18">
        <f>RV53+1</f>
        <v>26</v>
      </c>
      <c r="RX53" s="18">
        <f t="shared" ref="RX53:SS53" si="130">RW53+1</f>
        <v>27</v>
      </c>
      <c r="RY53" s="18">
        <f t="shared" si="130"/>
        <v>28</v>
      </c>
      <c r="RZ53" s="18">
        <f t="shared" si="130"/>
        <v>29</v>
      </c>
      <c r="SA53" s="18">
        <f t="shared" si="130"/>
        <v>30</v>
      </c>
      <c r="SB53" s="18">
        <f t="shared" si="130"/>
        <v>31</v>
      </c>
      <c r="SC53" s="18">
        <f t="shared" si="130"/>
        <v>32</v>
      </c>
      <c r="SD53" s="18">
        <f t="shared" si="130"/>
        <v>33</v>
      </c>
      <c r="SE53" s="18">
        <f t="shared" si="130"/>
        <v>34</v>
      </c>
      <c r="SF53" s="18">
        <f t="shared" si="130"/>
        <v>35</v>
      </c>
      <c r="SG53" s="18">
        <f t="shared" si="130"/>
        <v>36</v>
      </c>
      <c r="SH53" s="18">
        <f t="shared" si="130"/>
        <v>37</v>
      </c>
      <c r="SI53" s="18">
        <f t="shared" si="130"/>
        <v>38</v>
      </c>
      <c r="SJ53" s="18">
        <f t="shared" si="130"/>
        <v>39</v>
      </c>
      <c r="SK53" s="18">
        <f t="shared" si="130"/>
        <v>40</v>
      </c>
      <c r="SL53" s="18">
        <f t="shared" si="130"/>
        <v>41</v>
      </c>
      <c r="SM53" s="18">
        <f t="shared" si="130"/>
        <v>42</v>
      </c>
      <c r="SN53" s="18">
        <f t="shared" si="130"/>
        <v>43</v>
      </c>
      <c r="SO53" s="18">
        <f t="shared" si="130"/>
        <v>44</v>
      </c>
      <c r="SP53" s="18">
        <f t="shared" si="130"/>
        <v>45</v>
      </c>
      <c r="SQ53" s="18">
        <f t="shared" si="130"/>
        <v>46</v>
      </c>
      <c r="SR53" s="18">
        <f t="shared" si="130"/>
        <v>47</v>
      </c>
      <c r="SS53" s="18">
        <f t="shared" si="130"/>
        <v>48</v>
      </c>
      <c r="ST53" s="18">
        <f>SS53+1</f>
        <v>49</v>
      </c>
      <c r="SU53" s="18" t="s">
        <v>601</v>
      </c>
      <c r="SV53" s="18" t="s">
        <v>602</v>
      </c>
      <c r="SW53" s="18" t="s">
        <v>603</v>
      </c>
      <c r="SX53" s="18" t="s">
        <v>604</v>
      </c>
      <c r="SY53" s="18" t="s">
        <v>605</v>
      </c>
      <c r="SZ53" s="18" t="s">
        <v>606</v>
      </c>
      <c r="TA53" s="18" t="s">
        <v>607</v>
      </c>
      <c r="TB53" s="18" t="s">
        <v>608</v>
      </c>
      <c r="TC53" s="18" t="s">
        <v>609</v>
      </c>
      <c r="TD53" s="18" t="s">
        <v>610</v>
      </c>
      <c r="TE53" s="18" t="s">
        <v>611</v>
      </c>
      <c r="TF53" s="18" t="s">
        <v>612</v>
      </c>
      <c r="TG53" s="18" t="s">
        <v>333</v>
      </c>
      <c r="TH53" s="18" t="s">
        <v>389</v>
      </c>
      <c r="TI53" s="18" t="s">
        <v>390</v>
      </c>
      <c r="TJ53" s="18" t="s">
        <v>391</v>
      </c>
      <c r="TK53" s="18" t="s">
        <v>393</v>
      </c>
      <c r="TL53" s="18" t="s">
        <v>392</v>
      </c>
      <c r="TM53" s="18" t="s">
        <v>394</v>
      </c>
      <c r="TN53" s="18" t="s">
        <v>395</v>
      </c>
      <c r="TO53" s="18" t="s">
        <v>396</v>
      </c>
      <c r="TP53" s="18" t="s">
        <v>397</v>
      </c>
      <c r="TQ53" s="18" t="s">
        <v>398</v>
      </c>
      <c r="TR53" s="19" t="s">
        <v>399</v>
      </c>
    </row>
    <row r="54" spans="1:538" x14ac:dyDescent="0.25">
      <c r="A54" t="s">
        <v>978</v>
      </c>
      <c r="B54" s="28" t="s">
        <v>625</v>
      </c>
      <c r="C54" t="s">
        <v>308</v>
      </c>
      <c r="P54" t="s">
        <v>307</v>
      </c>
      <c r="T54" s="12" t="s">
        <v>487</v>
      </c>
      <c r="U54">
        <v>3</v>
      </c>
      <c r="W54" t="s">
        <v>620</v>
      </c>
      <c r="X54" t="s">
        <v>918</v>
      </c>
      <c r="Y54" s="36" t="str" cm="1">
        <f t="array" ref="Y54">IF(COUNTIFS($X$2:$X54,$X54)=1,"1",VALUE(SUBSTITUTE(INDEX(Y:Y,_xlfn.XMATCH($X54,$X$1:$X53,0,-1)),"A",""))+INDEX(Z:Z,_xlfn.XMATCH($X54,$X$1:$X53,0,-1))+1)</f>
        <v>1</v>
      </c>
      <c r="Z54" s="36" cm="1">
        <f t="array" ref="Z54">SUM(IF(ISNUMBER(FIND("TmAi",$BE$1:$AAL$1)),IF(IFERROR(ISODD(SUBSTITUTE($BE54:$AAL54,"A","")),FALSE),IF(ISODD(SUBSTITUTE($BE54:$AAL54,"A","")),1,0),0)))</f>
        <v>1</v>
      </c>
      <c r="AA54" t="str">
        <f t="shared" si="56"/>
        <v>1A</v>
      </c>
      <c r="AB54" t="str">
        <f t="shared" si="57"/>
        <v>1B</v>
      </c>
      <c r="AP54" t="s">
        <v>489</v>
      </c>
      <c r="AR54" t="s">
        <v>626</v>
      </c>
      <c r="AS54" t="s">
        <v>191</v>
      </c>
      <c r="OG54" s="20" t="str">
        <f>CONCATENATE("XT",$U54)</f>
        <v>XT3</v>
      </c>
      <c r="OH54" s="10" t="s">
        <v>637</v>
      </c>
      <c r="OI54" s="10" t="s">
        <v>627</v>
      </c>
      <c r="OJ54" s="10"/>
      <c r="OK54" s="10"/>
      <c r="OL54" s="10" t="str">
        <f>CONCATENATE(REPLACE($AA54,LEN($AA54),1,"")+1,RIGHT($AA54))</f>
        <v>2A</v>
      </c>
      <c r="OM54" s="10" t="str">
        <f>CONCATENATE(REPLACE($AB54,LEN($AB54),1,"")+1,RIGHT($AB54))</f>
        <v>2B</v>
      </c>
      <c r="ON54" s="10" t="str">
        <f>CONCATENATE(REPLACE(OL54,LEN(OL54),1,"")+1,RIGHT(OL54))</f>
        <v>3A</v>
      </c>
      <c r="OO54" s="10" t="str">
        <f t="shared" ref="OO54:OO56" si="131">CONCATENATE(REPLACE(OM54,LEN(OM54),1,"")+1,RIGHT(OM54))</f>
        <v>3B</v>
      </c>
      <c r="OP54" s="10" t="str">
        <f t="shared" ref="OP54:OP56" si="132">CONCATENATE(REPLACE(ON54,LEN(ON54),1,"")+1,RIGHT(ON54))</f>
        <v>4A</v>
      </c>
      <c r="OQ54" s="10" t="str">
        <f t="shared" ref="OQ54:OQ56" si="133">CONCATENATE(REPLACE(OO54,LEN(OO54),1,"")+1,RIGHT(OO54))</f>
        <v>4B</v>
      </c>
      <c r="OR54" s="10"/>
      <c r="OS54" s="10"/>
      <c r="OT54" s="10"/>
      <c r="OU54" s="10"/>
      <c r="OV54" s="10" t="str">
        <f>CONCATENATE($T54,"-AI",REPLACE($X54,1,3,""),"-",$AA54)</f>
        <v>N1-AI19-1A</v>
      </c>
      <c r="OW54" s="10" t="str">
        <f>CONCATENATE($T54,"-AI",REPLACE($X54,1,3,""),"-",$AB54)</f>
        <v>N1-AI19-1B</v>
      </c>
      <c r="OX54" s="10" t="str">
        <f t="shared" ref="OX54:OX56" si="134">CONCATENATE($T54,"-AI",REPLACE($X54,1,3,""),"-",OL54)</f>
        <v>N1-AI19-2A</v>
      </c>
      <c r="OY54" s="10" t="str">
        <f t="shared" ref="OY54:OY56" si="135">CONCATENATE($T54,"-AI",REPLACE($X54,1,3,""),"-",OM54)</f>
        <v>N1-AI19-2B</v>
      </c>
      <c r="OZ54" s="10" t="str">
        <f t="shared" ref="OZ54:OZ56" si="136">CONCATENATE($T54,"-AI",REPLACE($X54,1,3,""),"-",ON54)</f>
        <v>N1-AI19-3A</v>
      </c>
      <c r="PA54" s="10" t="str">
        <f t="shared" ref="PA54:PA56" si="137">CONCATENATE($T54,"-AI",REPLACE($X54,1,3,""),"-",OO54)</f>
        <v>N1-AI19-3B</v>
      </c>
      <c r="PB54" s="10" t="str">
        <f t="shared" ref="PB54:PB56" si="138">CONCATENATE($T54,"-AI",REPLACE($X54,1,3,""),"-",OP54)</f>
        <v>N1-AI19-4A</v>
      </c>
      <c r="PC54" s="10" t="str">
        <f t="shared" ref="PC54:PC56" si="139">CONCATENATE($T54,"-AI",REPLACE($X54,1,3,""),"-",OQ54)</f>
        <v>N1-AI19-4B</v>
      </c>
      <c r="PD54" s="10"/>
      <c r="PE54" s="10"/>
      <c r="PF54" s="10"/>
      <c r="PG54" s="10"/>
      <c r="PH54" s="10" cm="1">
        <f t="array" ref="PH54">IF(COUNTIFS($U$2:$U54,$U54)=1,1,INDEX(PH:PH,_xlfn.XMATCH($U54,$U$2:EF53,0,-1))+COUNT(PH53:PM53))</f>
        <v>1</v>
      </c>
      <c r="PI54" s="10">
        <f t="shared" ref="PI54:PI56" si="140">PH54+1</f>
        <v>2</v>
      </c>
      <c r="PJ54" s="10">
        <f t="shared" ref="PJ54:PJ56" si="141">PI54+1</f>
        <v>3</v>
      </c>
      <c r="PK54" s="10">
        <f>PJ54+1</f>
        <v>4</v>
      </c>
      <c r="PL54" s="10">
        <f t="shared" ref="PL54:PL56" si="142">PK54+1</f>
        <v>5</v>
      </c>
      <c r="PM54" s="10">
        <f t="shared" ref="PM54:PM56" si="143">PL54+1</f>
        <v>6</v>
      </c>
      <c r="PN54" s="10"/>
      <c r="PO54" s="10"/>
      <c r="PP54" s="10"/>
      <c r="PQ54" s="10">
        <v>1</v>
      </c>
      <c r="PR54" s="10">
        <v>2</v>
      </c>
      <c r="PS54" s="10">
        <v>3</v>
      </c>
      <c r="PT54" s="10">
        <v>4</v>
      </c>
      <c r="PU54" s="10">
        <v>5</v>
      </c>
      <c r="PV54" s="11">
        <v>6</v>
      </c>
    </row>
    <row r="55" spans="1:538" ht="15.75" thickBot="1" x14ac:dyDescent="0.3">
      <c r="A55" t="s">
        <v>979</v>
      </c>
      <c r="B55" t="s">
        <v>628</v>
      </c>
      <c r="C55" t="s">
        <v>308</v>
      </c>
      <c r="P55" t="s">
        <v>307</v>
      </c>
      <c r="T55" s="12" t="s">
        <v>487</v>
      </c>
      <c r="U55">
        <v>3</v>
      </c>
      <c r="W55" t="s">
        <v>621</v>
      </c>
      <c r="X55" t="str">
        <f>IF(COUNTIF(X$2:X54,X54)&gt;7,REPLACE(X54,LEN(X54),1,VALUE(RIGHT(X54,1))+1),X54)</f>
        <v>A3.19</v>
      </c>
      <c r="Y55" s="36" cm="1">
        <f t="array" ref="Y55">IF(COUNTIFS($X$2:$X55,$X55)=1,"1",VALUE(SUBSTITUTE(INDEX(Y:Y,_xlfn.XMATCH($X55,$X$1:$X54,0,-1)),"A",""))+INDEX(Z:Z,_xlfn.XMATCH($X55,$X$1:$X54,0,-1))+1)</f>
        <v>3</v>
      </c>
      <c r="Z55" s="36" cm="1">
        <f t="array" ref="Z55">SUM(IF(ISNUMBER(FIND("TmAi",$BE$1:$AAL$1)),IF(IFERROR(ISODD(SUBSTITUTE($BE55:$AAL55,"A","")),FALSE),IF(ISODD(SUBSTITUTE($BE55:$AAL55,"A","")),1,0),0)))</f>
        <v>1</v>
      </c>
      <c r="AA55" t="str">
        <f t="shared" si="56"/>
        <v>5A</v>
      </c>
      <c r="AB55" t="str">
        <f t="shared" si="57"/>
        <v>5B</v>
      </c>
      <c r="AP55" t="s">
        <v>489</v>
      </c>
      <c r="AR55" t="s">
        <v>626</v>
      </c>
      <c r="AS55" t="s">
        <v>191</v>
      </c>
      <c r="OG55" s="22" t="str">
        <f t="shared" ref="OG55:OG56" si="144">CONCATENATE("XT",$U55)</f>
        <v>XT3</v>
      </c>
      <c r="OH55" t="s">
        <v>638</v>
      </c>
      <c r="OI55" t="s">
        <v>629</v>
      </c>
      <c r="OL55" t="str">
        <f t="shared" ref="OL55:OL56" si="145">CONCATENATE(REPLACE($AA55,LEN($AA55),1,"")+1,RIGHT($AA55))</f>
        <v>6A</v>
      </c>
      <c r="OM55" t="str">
        <f t="shared" ref="OM55:OM56" si="146">CONCATENATE(REPLACE($AB55,LEN($AB55),1,"")+1,RIGHT($AB55))</f>
        <v>6B</v>
      </c>
      <c r="ON55" t="str">
        <f t="shared" ref="ON55:ON56" si="147">CONCATENATE(REPLACE(OL55,LEN(OL55),1,"")+1,RIGHT(OL55))</f>
        <v>7A</v>
      </c>
      <c r="OO55" t="str">
        <f t="shared" si="131"/>
        <v>7B</v>
      </c>
      <c r="OP55" t="str">
        <f t="shared" si="132"/>
        <v>8A</v>
      </c>
      <c r="OQ55" t="str">
        <f t="shared" si="133"/>
        <v>8B</v>
      </c>
      <c r="OV55" t="str">
        <f>CONCATENATE($T55,"-AI",REPLACE($X55,1,3,""),"-",$AA55)</f>
        <v>N1-AI19-5A</v>
      </c>
      <c r="OW55" t="str">
        <f>CONCATENATE($T55,"-AI",REPLACE($X55,1,3,""),"-",$AB55)</f>
        <v>N1-AI19-5B</v>
      </c>
      <c r="OX55" t="str">
        <f t="shared" si="134"/>
        <v>N1-AI19-6A</v>
      </c>
      <c r="OY55" t="str">
        <f t="shared" si="135"/>
        <v>N1-AI19-6B</v>
      </c>
      <c r="OZ55" t="str">
        <f t="shared" si="136"/>
        <v>N1-AI19-7A</v>
      </c>
      <c r="PA55" t="str">
        <f t="shared" si="137"/>
        <v>N1-AI19-7B</v>
      </c>
      <c r="PB55" t="str">
        <f t="shared" si="138"/>
        <v>N1-AI19-8A</v>
      </c>
      <c r="PC55" t="str">
        <f t="shared" si="139"/>
        <v>N1-AI19-8B</v>
      </c>
      <c r="PH55" cm="1">
        <f t="array" ref="PH55">IF(COUNTIFS($U$2:$U55,$U55)=1,1,INDEX(PH:PH,_xlfn.XMATCH($U55,$U$1:$U54,0,-1))+COUNT(PH54:PM54))</f>
        <v>7</v>
      </c>
      <c r="PI55">
        <f t="shared" si="140"/>
        <v>8</v>
      </c>
      <c r="PJ55">
        <f t="shared" si="141"/>
        <v>9</v>
      </c>
      <c r="PK55">
        <f t="shared" ref="PK55:PK56" si="148">PJ55+1</f>
        <v>10</v>
      </c>
      <c r="PL55">
        <f t="shared" si="142"/>
        <v>11</v>
      </c>
      <c r="PM55">
        <f t="shared" si="143"/>
        <v>12</v>
      </c>
      <c r="PQ55">
        <v>7</v>
      </c>
      <c r="PR55">
        <v>8</v>
      </c>
      <c r="PS55">
        <v>9</v>
      </c>
      <c r="PT55">
        <v>10</v>
      </c>
      <c r="PU55">
        <v>11</v>
      </c>
      <c r="PV55" s="14">
        <v>12</v>
      </c>
    </row>
    <row r="56" spans="1:538" ht="15.75" thickBot="1" x14ac:dyDescent="0.3">
      <c r="A56" t="s">
        <v>980</v>
      </c>
      <c r="B56" t="s">
        <v>630</v>
      </c>
      <c r="C56" t="s">
        <v>308</v>
      </c>
      <c r="P56" t="s">
        <v>331</v>
      </c>
      <c r="T56" s="12" t="s">
        <v>487</v>
      </c>
      <c r="U56">
        <v>3</v>
      </c>
      <c r="W56" t="s">
        <v>622</v>
      </c>
      <c r="X56" t="str">
        <f>IF(COUNTIF(X$2:X55,X55)&gt;7,REPLACE(X55,LEN(X55),1,VALUE(RIGHT(X55,1))+1),X55)</f>
        <v>A3.19</v>
      </c>
      <c r="Y56" s="36" cm="1">
        <f t="array" ref="Y56">IF(COUNTIFS($X$2:$X56,$X56)=1,"1",VALUE(SUBSTITUTE(INDEX(Y:Y,_xlfn.XMATCH($X56,$X$1:$X55,0,-1)),"A",""))+INDEX(Z:Z,_xlfn.XMATCH($X56,$X$1:$X55,0,-1))+1)</f>
        <v>5</v>
      </c>
      <c r="Z56" s="36" cm="1">
        <f t="array" ref="Z56">SUM(IF(ISNUMBER(FIND("TmAi",$BE$1:$AAL$1)),IF(IFERROR(ISODD(SUBSTITUTE($BE56:$AAL56,"A","")),FALSE),IF(ISODD(SUBSTITUTE($BE56:$AAL56,"A","")),1,0),0)))</f>
        <v>2</v>
      </c>
      <c r="AA56" t="str">
        <f t="shared" si="56"/>
        <v>9A</v>
      </c>
      <c r="AB56" t="str">
        <f t="shared" si="57"/>
        <v>9B</v>
      </c>
      <c r="AP56" t="s">
        <v>489</v>
      </c>
      <c r="AR56" t="s">
        <v>631</v>
      </c>
      <c r="AS56" t="s">
        <v>191</v>
      </c>
      <c r="OG56" s="22" t="str">
        <f t="shared" si="144"/>
        <v>XT3</v>
      </c>
      <c r="OH56" t="s">
        <v>639</v>
      </c>
      <c r="OI56" t="s">
        <v>632</v>
      </c>
      <c r="OJ56" t="s">
        <v>640</v>
      </c>
      <c r="OK56" t="s">
        <v>633</v>
      </c>
      <c r="OL56" t="str">
        <f t="shared" si="145"/>
        <v>10A</v>
      </c>
      <c r="OM56" t="str">
        <f t="shared" si="146"/>
        <v>10B</v>
      </c>
      <c r="ON56" t="str">
        <f t="shared" si="147"/>
        <v>11A</v>
      </c>
      <c r="OO56" t="str">
        <f t="shared" si="131"/>
        <v>11B</v>
      </c>
      <c r="OP56" t="str">
        <f t="shared" si="132"/>
        <v>12A</v>
      </c>
      <c r="OQ56" t="str">
        <f t="shared" si="133"/>
        <v>12B</v>
      </c>
      <c r="OR56" t="str">
        <f t="shared" ref="OR56" si="149">CONCATENATE(REPLACE(OP56,LEN(OP56),1,"")+1,RIGHT(OP56))</f>
        <v>13A</v>
      </c>
      <c r="OS56" t="str">
        <f t="shared" ref="OS56" si="150">CONCATENATE(REPLACE(OQ56,LEN(OQ56),1,"")+1,RIGHT(OQ56))</f>
        <v>13B</v>
      </c>
      <c r="OT56" t="str">
        <f t="shared" ref="OT56" si="151">CONCATENATE(REPLACE(OR56,LEN(OR56),1,"")+1,RIGHT(OR56))</f>
        <v>14A</v>
      </c>
      <c r="OU56" t="str">
        <f t="shared" ref="OU56" si="152">CONCATENATE(REPLACE(OS56,LEN(OS56),1,"")+1,RIGHT(OS56))</f>
        <v>14B</v>
      </c>
      <c r="OV56" t="str">
        <f>CONCATENATE($T56,"-AI",REPLACE($X56,1,3,""),"-",$AA56)</f>
        <v>N1-AI19-9A</v>
      </c>
      <c r="OW56" t="str">
        <f>CONCATENATE($T56,"-AI",REPLACE($X56,1,3,""),"-",$AB56)</f>
        <v>N1-AI19-9B</v>
      </c>
      <c r="OX56" t="str">
        <f t="shared" si="134"/>
        <v>N1-AI19-10A</v>
      </c>
      <c r="OY56" t="str">
        <f t="shared" si="135"/>
        <v>N1-AI19-10B</v>
      </c>
      <c r="OZ56" t="str">
        <f t="shared" si="136"/>
        <v>N1-AI19-11A</v>
      </c>
      <c r="PA56" t="str">
        <f t="shared" si="137"/>
        <v>N1-AI19-11B</v>
      </c>
      <c r="PB56" t="str">
        <f t="shared" si="138"/>
        <v>N1-AI19-12A</v>
      </c>
      <c r="PC56" t="str">
        <f t="shared" si="139"/>
        <v>N1-AI19-12B</v>
      </c>
      <c r="PD56" t="str">
        <f t="shared" ref="PD56" si="153">CONCATENATE($T56,"-AI",REPLACE($X56,1,3,""),"-",OR56)</f>
        <v>N1-AI19-13A</v>
      </c>
      <c r="PE56" t="str">
        <f t="shared" ref="PE56" si="154">CONCATENATE($T56,"-AI",REPLACE($X56,1,3,""),"-",OS56)</f>
        <v>N1-AI19-13B</v>
      </c>
      <c r="PF56" t="str">
        <f t="shared" ref="PF56" si="155">CONCATENATE($T56,"-AI",REPLACE($X56,1,3,""),"-",OT56)</f>
        <v>N1-AI19-14A</v>
      </c>
      <c r="PG56" t="str">
        <f t="shared" ref="PG56" si="156">CONCATENATE($T56,"-AI",REPLACE($X56,1,3,""),"-",OU56)</f>
        <v>N1-AI19-14B</v>
      </c>
      <c r="PH56" cm="1">
        <f t="array" ref="PH56">IF(COUNTIFS($U$2:$U56,$U56)=1,1,INDEX(PH:PH,_xlfn.XMATCH($U56,$U$1:$U55,0,-1))+COUNT(PH55:PM55))</f>
        <v>13</v>
      </c>
      <c r="PI56">
        <f t="shared" si="140"/>
        <v>14</v>
      </c>
      <c r="PJ56">
        <f t="shared" si="141"/>
        <v>15</v>
      </c>
      <c r="PK56">
        <f t="shared" si="148"/>
        <v>16</v>
      </c>
      <c r="PL56">
        <f t="shared" si="142"/>
        <v>17</v>
      </c>
      <c r="PM56">
        <f t="shared" si="143"/>
        <v>18</v>
      </c>
      <c r="PN56">
        <f t="shared" ref="PN56" si="157">PM56+1</f>
        <v>19</v>
      </c>
      <c r="PO56">
        <f t="shared" ref="PO56" si="158">PN56+1</f>
        <v>20</v>
      </c>
      <c r="PP56">
        <f t="shared" ref="PP56" si="159">PO56+1</f>
        <v>21</v>
      </c>
      <c r="PQ56">
        <v>1</v>
      </c>
      <c r="PR56">
        <v>2</v>
      </c>
      <c r="PS56">
        <v>3</v>
      </c>
      <c r="PT56">
        <v>4</v>
      </c>
      <c r="PU56">
        <v>5</v>
      </c>
      <c r="PV56">
        <v>6</v>
      </c>
      <c r="PW56" s="10">
        <v>7</v>
      </c>
      <c r="PX56" s="10">
        <v>8</v>
      </c>
      <c r="PY56" s="11">
        <v>9</v>
      </c>
    </row>
    <row r="57" spans="1:538" ht="15.75" thickBot="1" x14ac:dyDescent="0.3">
      <c r="A57" t="s">
        <v>1041</v>
      </c>
      <c r="B57" s="39" t="s">
        <v>634</v>
      </c>
      <c r="P57" t="s">
        <v>223</v>
      </c>
      <c r="T57" s="12" t="s">
        <v>487</v>
      </c>
      <c r="U57">
        <v>3</v>
      </c>
      <c r="W57" t="s">
        <v>623</v>
      </c>
      <c r="X57" t="s">
        <v>654</v>
      </c>
      <c r="Y57" s="36" t="str" cm="1">
        <f t="array" ref="Y57">IF(COUNTIFS($X$2:$X57,$X57)=1,"1",VALUE(SUBSTITUTE(INDEX(Y:Y,_xlfn.XMATCH($X57,$X$1:$X56,0,-1)),"A",""))+INDEX(Z:Z,_xlfn.XMATCH($X57,$X$1:$X56,0,-1))+1)</f>
        <v>1</v>
      </c>
      <c r="Z57" s="36" cm="1">
        <f t="array" ref="Z57">SUM(IF(ISNUMBER(FIND("TmAi",$BE$1:$AAL$1)),IF(IFERROR(ISODD(SUBSTITUTE($BE57:$AAL57,"A","")),FALSE),IF(ISODD(SUBSTITUTE($BE57:$AAL57,"A","")),1,0),0)))</f>
        <v>0</v>
      </c>
      <c r="AA57" t="str">
        <f t="shared" ref="AA57" si="160">CONCATENATE($Y57*2-1,"B")</f>
        <v>1B</v>
      </c>
      <c r="AB57" t="str">
        <f t="shared" ref="AB57" si="161">CONCATENATE($Y57*2,"B")</f>
        <v>2B</v>
      </c>
      <c r="AP57" t="s">
        <v>489</v>
      </c>
      <c r="AQ57" t="s">
        <v>655</v>
      </c>
      <c r="AS57" t="s">
        <v>191</v>
      </c>
      <c r="JZ57" s="20" t="str">
        <f>CONCATENATE("XT",U57)</f>
        <v>XT3</v>
      </c>
      <c r="KA57" s="10"/>
      <c r="KB57" s="10"/>
      <c r="KC57" s="10" t="str">
        <f>CONCATENATE(T57,"-AI",REPLACE($X57,1,3,""),"-",AA57)</f>
        <v>N1-AI11-1B</v>
      </c>
      <c r="KD57" s="10" t="str">
        <f>CONCATENATE(T57,"-AI",REPLACE($X57,1,3,""),"-",AB57)</f>
        <v>N1-AI11-2B</v>
      </c>
      <c r="KE57" s="10"/>
      <c r="KF57" s="10"/>
      <c r="KG57" s="10"/>
      <c r="KH57" s="10"/>
      <c r="KI57" s="10">
        <v>22</v>
      </c>
      <c r="KJ57" s="10">
        <f t="shared" ref="KJ57" si="162">KI57+1</f>
        <v>23</v>
      </c>
      <c r="KK57" s="10">
        <f t="shared" ref="KK57" si="163">KJ57+1</f>
        <v>24</v>
      </c>
      <c r="KL57" s="10"/>
      <c r="KM57" s="10"/>
      <c r="KN57" s="10" t="s">
        <v>233</v>
      </c>
      <c r="KO57" s="10" t="s">
        <v>233</v>
      </c>
      <c r="KP57" s="10"/>
      <c r="KQ57" s="10"/>
      <c r="KR57" s="10"/>
      <c r="KS57" s="10"/>
      <c r="KT57" s="10"/>
      <c r="KU57" s="10"/>
      <c r="KV57" s="10"/>
      <c r="KW57" s="10"/>
      <c r="KX57" s="10"/>
      <c r="KY57" s="10"/>
      <c r="KZ57" s="10"/>
      <c r="LA57" s="10"/>
      <c r="LB57" s="10"/>
      <c r="LC57" s="10"/>
      <c r="LD57" s="10"/>
      <c r="LE57" s="10"/>
      <c r="LF57" s="10"/>
      <c r="LG57" s="10"/>
      <c r="LH57" s="10"/>
      <c r="LI57" s="10"/>
      <c r="LJ57" s="10"/>
      <c r="LK57" s="10"/>
      <c r="LL57" s="10"/>
      <c r="LM57" s="10"/>
      <c r="LN57" s="10"/>
      <c r="LO57" s="10"/>
      <c r="LP57" s="10"/>
      <c r="LQ57" s="10"/>
      <c r="LR57" s="10"/>
      <c r="LS57" s="10"/>
      <c r="LT57" s="10"/>
      <c r="LU57" s="10"/>
      <c r="LV57" s="10"/>
      <c r="LW57" s="10"/>
      <c r="LX57" s="10"/>
      <c r="LY57" s="10"/>
      <c r="LZ57" s="10"/>
      <c r="MA57" s="10"/>
      <c r="MB57" s="10"/>
      <c r="MC57" s="10"/>
      <c r="MD57" s="10"/>
      <c r="ME57" s="10"/>
      <c r="MF57" s="10"/>
      <c r="MG57" s="10"/>
      <c r="MH57" s="10"/>
      <c r="MI57" s="10"/>
      <c r="MJ57" s="10"/>
      <c r="MK57" s="10"/>
      <c r="ML57" s="10"/>
      <c r="MM57" s="10"/>
      <c r="MN57" s="10"/>
      <c r="MO57" s="10"/>
      <c r="MP57" s="10"/>
      <c r="MQ57" s="10"/>
      <c r="MR57" s="10"/>
      <c r="MS57" s="10"/>
      <c r="MT57" s="10"/>
      <c r="MU57" s="10"/>
      <c r="MV57" s="10"/>
      <c r="MW57" s="10"/>
      <c r="MX57" s="10"/>
      <c r="MY57" s="10"/>
      <c r="MZ57" s="10"/>
      <c r="NA57" s="10"/>
      <c r="NB57" s="10"/>
      <c r="NC57" s="10"/>
      <c r="ND57" s="10"/>
      <c r="NE57" s="10"/>
      <c r="NF57" s="10"/>
      <c r="NG57" s="10"/>
      <c r="NH57" s="10"/>
      <c r="NI57" s="10"/>
      <c r="NJ57" s="10"/>
      <c r="NK57" s="10"/>
      <c r="NL57" s="10"/>
      <c r="NM57" s="10"/>
      <c r="NN57" s="10"/>
      <c r="NO57" s="10"/>
      <c r="NP57" s="10"/>
      <c r="NQ57" s="10"/>
      <c r="NR57" s="10"/>
      <c r="NS57" s="10"/>
      <c r="NT57" s="10"/>
      <c r="NU57" s="10"/>
      <c r="NV57" s="10"/>
      <c r="NW57" s="10"/>
      <c r="NX57" s="10"/>
      <c r="NY57" s="10"/>
      <c r="NZ57" s="10"/>
      <c r="OA57" s="10"/>
      <c r="OB57" s="10"/>
      <c r="OC57" s="10"/>
      <c r="OD57" s="10"/>
      <c r="OE57" s="10"/>
      <c r="OF57" s="10"/>
      <c r="PY57" s="14"/>
    </row>
    <row r="58" spans="1:538" ht="15.75" thickBot="1" x14ac:dyDescent="0.3">
      <c r="A58" t="s">
        <v>1042</v>
      </c>
      <c r="B58" s="27" t="s">
        <v>635</v>
      </c>
      <c r="P58" t="s">
        <v>334</v>
      </c>
      <c r="T58" s="12" t="s">
        <v>487</v>
      </c>
      <c r="U58">
        <v>3</v>
      </c>
      <c r="W58" t="s">
        <v>624</v>
      </c>
      <c r="X58" t="str">
        <f>IF(COUNTIF(X$2:X57,X57)&gt;7,REPLACE(X57,LEN(X57),1,VALUE(RIGHT(X57,1))+1),X57)</f>
        <v>A3.11</v>
      </c>
      <c r="Y58" s="36" cm="1">
        <f t="array" ref="Y58">IF(COUNTIFS($X$2:$X58,$X58)=1,"1",VALUE(SUBSTITUTE(INDEX(Y:Y,_xlfn.XMATCH($X58,$X$1:$X57,0,-1)),"A",""))+INDEX(Z:Z,_xlfn.XMATCH($X58,$X$1:$X57,0,-1))+1)</f>
        <v>2</v>
      </c>
      <c r="Z58" s="36" cm="1">
        <f t="array" ref="Z58">SUM(IF(ISNUMBER(FIND("TmAi",$BE$1:$AAL$1)),IF(IFERROR(ISODD(SUBSTITUTE($BE58:$AAL58,"A","")),FALSE),IF(ISODD(SUBSTITUTE($BE58:$AAL58,"A","")),1,0),0)))</f>
        <v>11</v>
      </c>
      <c r="AA58" t="str">
        <f t="shared" ref="AA58:AA68" si="164">CONCATENATE($Y58*2-1,"A")</f>
        <v>3A</v>
      </c>
      <c r="AB58" t="str">
        <f t="shared" ref="AB58:AB68" si="165">CONCATENATE($Y58*2-1,"B")</f>
        <v>3B</v>
      </c>
      <c r="AP58" t="s">
        <v>489</v>
      </c>
      <c r="AR58" t="s">
        <v>636</v>
      </c>
      <c r="AS58" t="s">
        <v>191</v>
      </c>
      <c r="JZ58" s="23"/>
      <c r="KA58" s="16"/>
      <c r="KB58" s="16"/>
      <c r="KC58" s="16"/>
      <c r="KD58" s="16"/>
      <c r="KE58" s="16"/>
      <c r="KF58" s="16"/>
      <c r="KG58" s="16"/>
      <c r="KH58" s="16"/>
      <c r="KI58" s="16"/>
      <c r="KJ58" s="16"/>
      <c r="KK58" s="16"/>
      <c r="KL58" s="16"/>
      <c r="KM58" s="16"/>
      <c r="KN58" s="16"/>
      <c r="KO58" s="16"/>
      <c r="KP58" s="16"/>
      <c r="KQ58" s="16"/>
      <c r="KR58" s="16"/>
      <c r="KS58" s="16"/>
      <c r="KT58" s="16"/>
      <c r="KU58" s="16"/>
      <c r="KV58" s="16"/>
      <c r="KW58" s="16"/>
      <c r="KX58" s="16"/>
      <c r="KY58" s="16"/>
      <c r="KZ58" s="16"/>
      <c r="LA58" s="16"/>
      <c r="LB58" s="16"/>
      <c r="LC58" s="16"/>
      <c r="LD58" s="16"/>
      <c r="LE58" s="16"/>
      <c r="LF58" s="16"/>
      <c r="LG58" s="16"/>
      <c r="LH58" s="16"/>
      <c r="LI58" s="16"/>
      <c r="LJ58" s="16"/>
      <c r="LK58" s="16"/>
      <c r="LL58" s="16"/>
      <c r="LM58" s="16"/>
      <c r="LN58" s="16"/>
      <c r="LO58" s="16"/>
      <c r="LP58" s="16"/>
      <c r="LQ58" s="16"/>
      <c r="LR58" s="16"/>
      <c r="LS58" s="16"/>
      <c r="LT58" s="16"/>
      <c r="LU58" s="16"/>
      <c r="LV58" s="16"/>
      <c r="LW58" s="16"/>
      <c r="LX58" s="16"/>
      <c r="LY58" s="16"/>
      <c r="LZ58" s="16"/>
      <c r="MA58" s="16"/>
      <c r="MB58" s="16"/>
      <c r="MC58" s="16"/>
      <c r="MD58" s="16"/>
      <c r="ME58" s="16"/>
      <c r="MF58" s="16"/>
      <c r="MG58" s="16"/>
      <c r="MH58" s="16"/>
      <c r="MI58" s="16"/>
      <c r="MJ58" s="16"/>
      <c r="MK58" s="16"/>
      <c r="ML58" s="16"/>
      <c r="MM58" s="16"/>
      <c r="MN58" s="16"/>
      <c r="MO58" s="16"/>
      <c r="MP58" s="16"/>
      <c r="MQ58" s="16"/>
      <c r="MR58" s="16"/>
      <c r="MS58" s="16"/>
      <c r="MT58" s="16"/>
      <c r="MU58" s="16"/>
      <c r="MV58" s="16"/>
      <c r="MW58" s="16"/>
      <c r="MX58" s="16"/>
      <c r="MY58" s="16"/>
      <c r="MZ58" s="16"/>
      <c r="NA58" s="16"/>
      <c r="NB58" s="16"/>
      <c r="NC58" s="16"/>
      <c r="ND58" s="16"/>
      <c r="NE58" s="16"/>
      <c r="NF58" s="16"/>
      <c r="NG58" s="16"/>
      <c r="NH58" s="16"/>
      <c r="NI58" s="16"/>
      <c r="NJ58" s="16"/>
      <c r="NK58" s="16"/>
      <c r="NL58" s="16"/>
      <c r="NM58" s="16"/>
      <c r="NN58" s="16"/>
      <c r="NO58" s="16"/>
      <c r="NP58" s="16"/>
      <c r="NQ58" s="16"/>
      <c r="NR58" s="16"/>
      <c r="NS58" s="16"/>
      <c r="NT58" s="16"/>
      <c r="NU58" s="16"/>
      <c r="NV58" s="16"/>
      <c r="NW58" s="16"/>
      <c r="NX58" s="16"/>
      <c r="NY58" s="16"/>
      <c r="NZ58" s="16"/>
      <c r="OA58" s="16"/>
      <c r="OB58" s="16"/>
      <c r="OC58" s="16"/>
      <c r="OD58" s="16"/>
      <c r="OE58" s="16"/>
      <c r="OF58" s="16"/>
      <c r="OG58" s="16"/>
      <c r="OH58" s="16"/>
      <c r="OI58" s="16"/>
      <c r="OJ58" s="16"/>
      <c r="OK58" s="16"/>
      <c r="OL58" s="16"/>
      <c r="OM58" s="16"/>
      <c r="ON58" s="16"/>
      <c r="OO58" s="16"/>
      <c r="OP58" s="16"/>
      <c r="OQ58" s="16"/>
      <c r="OR58" s="16"/>
      <c r="OS58" s="16"/>
      <c r="OT58" s="16"/>
      <c r="OU58" s="16"/>
      <c r="OV58" s="16"/>
      <c r="OW58" s="16"/>
      <c r="OX58" s="16"/>
      <c r="OY58" s="16"/>
      <c r="OZ58" s="16"/>
      <c r="PA58" s="16"/>
      <c r="PB58" s="16"/>
      <c r="PC58" s="16"/>
      <c r="PD58" s="16"/>
      <c r="PE58" s="16"/>
      <c r="PF58" s="16"/>
      <c r="PG58" s="16"/>
      <c r="PH58" s="16"/>
      <c r="PI58" s="16"/>
      <c r="PJ58" s="16"/>
      <c r="PK58" s="16"/>
      <c r="PL58" s="16"/>
      <c r="PM58" s="16"/>
      <c r="PN58" s="16"/>
      <c r="PO58" s="16"/>
      <c r="PP58" s="16"/>
      <c r="PQ58" s="16"/>
      <c r="PR58" s="16"/>
      <c r="PS58" s="16"/>
      <c r="PT58" s="16"/>
      <c r="PU58" s="16"/>
      <c r="PV58" s="16"/>
      <c r="PW58" s="16"/>
      <c r="PX58" s="16"/>
      <c r="PY58" s="16"/>
      <c r="PZ58" s="18" t="str">
        <f>REPLACE(X58,FIND(".",X58)+1,3,MID(X58,FIND(".",X58)+1,3)+1)</f>
        <v>A3.12</v>
      </c>
      <c r="QA58" s="18" t="str">
        <f>CONCATENATE(VALUE(SUBSTITUTE($AB58,"B",""))+2,"B")</f>
        <v>5B</v>
      </c>
      <c r="QB58" s="18" t="str">
        <f>CONCATENATE(VALUE(SUBSTITUTE($AA58,"A",""))+2,"A")</f>
        <v>5A</v>
      </c>
      <c r="QC58" s="18" t="str">
        <f>CONCATENATE(VALUE(SUBSTITUTE(QA58,"B",""))+2,"B")</f>
        <v>7B</v>
      </c>
      <c r="QD58" s="18" t="str">
        <f>CONCATENATE(VALUE(SUBSTITUTE(QB58,"A",""))+2,"A")</f>
        <v>7A</v>
      </c>
      <c r="QE58" s="18" t="str">
        <f t="shared" ref="QE58" si="166">CONCATENATE(VALUE(SUBSTITUTE(QC58,"B",""))+2,"B")</f>
        <v>9B</v>
      </c>
      <c r="QF58" s="18" t="str">
        <f t="shared" ref="QF58" si="167">CONCATENATE(VALUE(SUBSTITUTE(QD58,"A",""))+2,"A")</f>
        <v>9A</v>
      </c>
      <c r="QG58" s="18" t="str">
        <f t="shared" ref="QG58" si="168">CONCATENATE(VALUE(SUBSTITUTE(QE58,"B",""))+2,"B")</f>
        <v>11B</v>
      </c>
      <c r="QH58" s="18" t="str">
        <f t="shared" ref="QH58" si="169">CONCATENATE(VALUE(SUBSTITUTE(QF58,"A",""))+2,"A")</f>
        <v>11A</v>
      </c>
      <c r="QI58" s="18" t="str">
        <f t="shared" ref="QI58" si="170">CONCATENATE(VALUE(SUBSTITUTE(QG58,"B",""))+2,"B")</f>
        <v>13B</v>
      </c>
      <c r="QJ58" s="18" t="str">
        <f t="shared" ref="QJ58" si="171">CONCATENATE(VALUE(SUBSTITUTE(QH58,"A",""))+2,"A")</f>
        <v>13A</v>
      </c>
      <c r="QK58" s="18" t="s">
        <v>130</v>
      </c>
      <c r="QL58" s="18" t="s">
        <v>131</v>
      </c>
      <c r="QM58" s="18" t="str">
        <f t="shared" ref="QM58" si="172">CONCATENATE(VALUE(SUBSTITUTE(QK58,"B",""))+2,"B")</f>
        <v>3B</v>
      </c>
      <c r="QN58" s="18" t="str">
        <f t="shared" ref="QN58" si="173">CONCATENATE(VALUE(SUBSTITUTE(QL58,"A",""))+2,"A")</f>
        <v>3A</v>
      </c>
      <c r="QO58" s="18" t="str">
        <f t="shared" ref="QO58" si="174">CONCATENATE(VALUE(SUBSTITUTE(QM58,"B",""))+2,"B")</f>
        <v>5B</v>
      </c>
      <c r="QP58" s="18" t="str">
        <f t="shared" ref="QP58" si="175">CONCATENATE(VALUE(SUBSTITUTE(QN58,"A",""))+2,"A")</f>
        <v>5A</v>
      </c>
      <c r="QQ58" s="18" t="str">
        <f t="shared" ref="QQ58" si="176">CONCATENATE(VALUE(SUBSTITUTE(QO58,"B",""))+2,"B")</f>
        <v>7B</v>
      </c>
      <c r="QR58" s="18" t="str">
        <f t="shared" ref="QR58" si="177">CONCATENATE(VALUE(SUBSTITUTE(QP58,"A",""))+2,"A")</f>
        <v>7A</v>
      </c>
      <c r="QS58" s="18" t="str">
        <f t="shared" ref="QS58" si="178">CONCATENATE(VALUE(SUBSTITUTE(QQ58,"B",""))+2,"B")</f>
        <v>9B</v>
      </c>
      <c r="QT58" s="18" t="str">
        <f t="shared" ref="QT58" si="179">CONCATENATE(VALUE(SUBSTITUTE(QR58,"A",""))+2,"A")</f>
        <v>9A</v>
      </c>
      <c r="QU58" s="18" t="str">
        <f t="shared" ref="QU58" si="180">CONCATENATE(VALUE(SUBSTITUTE(QS58,"B",""))+2,"B")</f>
        <v>11B</v>
      </c>
      <c r="QV58" s="18" t="str">
        <f t="shared" ref="QV58" si="181">CONCATENATE(VALUE(SUBSTITUTE(QT58,"A",""))+2,"A")</f>
        <v>11A</v>
      </c>
      <c r="QW58" s="18" t="str">
        <f>CONCATENATE($T58,"-AI",REPLACE($X58,1,3,""),"-",AB58)</f>
        <v>N1-AI11-3B</v>
      </c>
      <c r="QX58" s="18" t="str">
        <f>CONCATENATE($T58,"-AI",REPLACE($X58,1,3,""),"-",AA58)</f>
        <v>N1-AI11-3A</v>
      </c>
      <c r="QY58" s="18" t="str">
        <f>CONCATENATE($T58,"-AI",REPLACE($X58,1,3,""),"-",QA58)</f>
        <v>N1-AI11-5B</v>
      </c>
      <c r="QZ58" s="18" t="str">
        <f>CONCATENATE($T58,"-AI",REPLACE($X58,1,3,""),"-",QB58)</f>
        <v>N1-AI11-5A</v>
      </c>
      <c r="RA58" s="18" t="str">
        <f t="shared" ref="RA58" si="182">CONCATENATE($T58,"-AI",REPLACE($X58,1,3,""),"-",QC58)</f>
        <v>N1-AI11-7B</v>
      </c>
      <c r="RB58" s="18" t="str">
        <f t="shared" ref="RB58" si="183">CONCATENATE($T58,"-AI",REPLACE($X58,1,3,""),"-",QD58)</f>
        <v>N1-AI11-7A</v>
      </c>
      <c r="RC58" s="18" t="str">
        <f t="shared" ref="RC58" si="184">CONCATENATE($T58,"-AI",REPLACE($X58,1,3,""),"-",QE58)</f>
        <v>N1-AI11-9B</v>
      </c>
      <c r="RD58" s="18" t="str">
        <f t="shared" ref="RD58" si="185">CONCATENATE($T58,"-AI",REPLACE($X58,1,3,""),"-",QF58)</f>
        <v>N1-AI11-9A</v>
      </c>
      <c r="RE58" s="18" t="str">
        <f t="shared" ref="RE58" si="186">CONCATENATE($T58,"-AI",REPLACE($X58,1,3,""),"-",QG58)</f>
        <v>N1-AI11-11B</v>
      </c>
      <c r="RF58" s="18" t="str">
        <f t="shared" ref="RF58" si="187">CONCATENATE($T58,"-AI",REPLACE($X58,1,3,""),"-",QH58)</f>
        <v>N1-AI11-11A</v>
      </c>
      <c r="RG58" s="18" t="str">
        <f t="shared" ref="RG58" si="188">CONCATENATE($T58,"-AI",REPLACE($X58,1,3,""),"-",QI58)</f>
        <v>N1-AI11-13B</v>
      </c>
      <c r="RH58" s="18" t="str">
        <f t="shared" ref="RH58" si="189">CONCATENATE($T58,"-AI",REPLACE($X58,1,3,""),"-",QJ58)</f>
        <v>N1-AI11-13A</v>
      </c>
      <c r="RI58" s="18" t="str">
        <f t="shared" ref="RI58" si="190">CONCATENATE($T58,"-AI",REPLACE($PZ58,1,3,""),"-",QK58)</f>
        <v>N1-AI12-1B</v>
      </c>
      <c r="RJ58" s="18" t="str">
        <f t="shared" ref="RJ58" si="191">CONCATENATE($T58,"-AI",REPLACE($PZ58,1,3,""),"-",QL58)</f>
        <v>N1-AI12-1A</v>
      </c>
      <c r="RK58" s="18" t="str">
        <f t="shared" ref="RK58" si="192">CONCATENATE($T58,"-AI",REPLACE($PZ58,1,3,""),"-",QM58)</f>
        <v>N1-AI12-3B</v>
      </c>
      <c r="RL58" s="18" t="str">
        <f t="shared" ref="RL58" si="193">CONCATENATE($T58,"-AI",REPLACE($PZ58,1,3,""),"-",QN58)</f>
        <v>N1-AI12-3A</v>
      </c>
      <c r="RM58" s="18" t="str">
        <f t="shared" ref="RM58" si="194">CONCATENATE($T58,"-AI",REPLACE($PZ58,1,3,""),"-",QO58)</f>
        <v>N1-AI12-5B</v>
      </c>
      <c r="RN58" s="18" t="str">
        <f t="shared" ref="RN58" si="195">CONCATENATE($T58,"-AI",REPLACE($PZ58,1,3,""),"-",QP58)</f>
        <v>N1-AI12-5A</v>
      </c>
      <c r="RO58" s="18" t="str">
        <f t="shared" ref="RO58" si="196">CONCATENATE($T58,"-AI",REPLACE($PZ58,1,3,""),"-",QQ58)</f>
        <v>N1-AI12-7B</v>
      </c>
      <c r="RP58" s="18" t="str">
        <f t="shared" ref="RP58" si="197">CONCATENATE($T58,"-AI",REPLACE($PZ58,1,3,""),"-",QR58)</f>
        <v>N1-AI12-7A</v>
      </c>
      <c r="RQ58" s="18" t="str">
        <f t="shared" ref="RQ58" si="198">CONCATENATE($T58,"-AI",REPLACE($PZ58,1,3,""),"-",QS58)</f>
        <v>N1-AI12-9B</v>
      </c>
      <c r="RR58" s="18" t="str">
        <f t="shared" ref="RR58" si="199">CONCATENATE($T58,"-AI",REPLACE($PZ58,1,3,""),"-",QT58)</f>
        <v>N1-AI12-9A</v>
      </c>
      <c r="RS58" s="18" t="str">
        <f t="shared" ref="RS58" si="200">CONCATENATE($T58,"-AI",REPLACE($PZ58,1,3,""),"-",QU58)</f>
        <v>N1-AI12-11B</v>
      </c>
      <c r="RT58" s="18" t="str">
        <f t="shared" ref="RT58" si="201">CONCATENATE($T58,"-AI",REPLACE($PZ58,1,3,""),"-",QV58)</f>
        <v>N1-AI12-11A</v>
      </c>
      <c r="RU58" s="18" t="str">
        <f t="shared" ref="RU58" si="202">CONCATENATE("XT",$U58)</f>
        <v>XT3</v>
      </c>
      <c r="RV58" s="18">
        <v>25</v>
      </c>
      <c r="RW58" s="18">
        <f>RV58+1</f>
        <v>26</v>
      </c>
      <c r="RX58" s="18">
        <f t="shared" ref="RX58:SS58" si="203">RW58+1</f>
        <v>27</v>
      </c>
      <c r="RY58" s="18">
        <f t="shared" si="203"/>
        <v>28</v>
      </c>
      <c r="RZ58" s="18">
        <f t="shared" si="203"/>
        <v>29</v>
      </c>
      <c r="SA58" s="18">
        <f t="shared" si="203"/>
        <v>30</v>
      </c>
      <c r="SB58" s="18">
        <f t="shared" si="203"/>
        <v>31</v>
      </c>
      <c r="SC58" s="18">
        <f t="shared" si="203"/>
        <v>32</v>
      </c>
      <c r="SD58" s="18">
        <f t="shared" si="203"/>
        <v>33</v>
      </c>
      <c r="SE58" s="18">
        <f t="shared" si="203"/>
        <v>34</v>
      </c>
      <c r="SF58" s="18">
        <f t="shared" si="203"/>
        <v>35</v>
      </c>
      <c r="SG58" s="18">
        <f t="shared" si="203"/>
        <v>36</v>
      </c>
      <c r="SH58" s="18">
        <f t="shared" si="203"/>
        <v>37</v>
      </c>
      <c r="SI58" s="18">
        <f t="shared" si="203"/>
        <v>38</v>
      </c>
      <c r="SJ58" s="18">
        <f t="shared" si="203"/>
        <v>39</v>
      </c>
      <c r="SK58" s="18">
        <f t="shared" si="203"/>
        <v>40</v>
      </c>
      <c r="SL58" s="18">
        <f t="shared" si="203"/>
        <v>41</v>
      </c>
      <c r="SM58" s="18">
        <f t="shared" si="203"/>
        <v>42</v>
      </c>
      <c r="SN58" s="18">
        <f t="shared" si="203"/>
        <v>43</v>
      </c>
      <c r="SO58" s="18">
        <f t="shared" si="203"/>
        <v>44</v>
      </c>
      <c r="SP58" s="18">
        <f t="shared" si="203"/>
        <v>45</v>
      </c>
      <c r="SQ58" s="18">
        <f t="shared" si="203"/>
        <v>46</v>
      </c>
      <c r="SR58" s="18">
        <f t="shared" si="203"/>
        <v>47</v>
      </c>
      <c r="SS58" s="18">
        <f t="shared" si="203"/>
        <v>48</v>
      </c>
      <c r="ST58" s="18">
        <f>SS58+1</f>
        <v>49</v>
      </c>
      <c r="SU58" s="18" t="s">
        <v>641</v>
      </c>
      <c r="SV58" s="18" t="s">
        <v>642</v>
      </c>
      <c r="SW58" s="18" t="s">
        <v>643</v>
      </c>
      <c r="SX58" s="18" t="s">
        <v>644</v>
      </c>
      <c r="SY58" s="18" t="s">
        <v>645</v>
      </c>
      <c r="SZ58" s="18" t="s">
        <v>646</v>
      </c>
      <c r="TA58" s="18" t="s">
        <v>647</v>
      </c>
      <c r="TB58" s="18" t="s">
        <v>648</v>
      </c>
      <c r="TC58" s="18" t="s">
        <v>649</v>
      </c>
      <c r="TD58" s="18" t="s">
        <v>650</v>
      </c>
      <c r="TE58" s="18" t="s">
        <v>651</v>
      </c>
      <c r="TF58" s="18" t="s">
        <v>652</v>
      </c>
      <c r="TG58" s="18" t="s">
        <v>333</v>
      </c>
      <c r="TH58" s="18" t="s">
        <v>389</v>
      </c>
      <c r="TI58" s="18" t="s">
        <v>390</v>
      </c>
      <c r="TJ58" s="18" t="s">
        <v>391</v>
      </c>
      <c r="TK58" s="18" t="s">
        <v>393</v>
      </c>
      <c r="TL58" s="18" t="s">
        <v>392</v>
      </c>
      <c r="TM58" s="18" t="s">
        <v>394</v>
      </c>
      <c r="TN58" s="18" t="s">
        <v>395</v>
      </c>
      <c r="TO58" s="18" t="s">
        <v>396</v>
      </c>
      <c r="TP58" s="18" t="s">
        <v>397</v>
      </c>
      <c r="TQ58" s="18" t="s">
        <v>398</v>
      </c>
      <c r="TR58" s="19" t="s">
        <v>399</v>
      </c>
    </row>
    <row r="59" spans="1:538" x14ac:dyDescent="0.25">
      <c r="A59" t="s">
        <v>981</v>
      </c>
      <c r="B59" s="28" t="s">
        <v>672</v>
      </c>
      <c r="C59" t="s">
        <v>308</v>
      </c>
      <c r="P59" t="s">
        <v>307</v>
      </c>
      <c r="T59" s="12" t="s">
        <v>487</v>
      </c>
      <c r="U59">
        <v>4</v>
      </c>
      <c r="W59" t="s">
        <v>684</v>
      </c>
      <c r="X59" t="s">
        <v>402</v>
      </c>
      <c r="Y59" s="36" t="str" cm="1">
        <f t="array" ref="Y59">IF(COUNTIFS($X$2:$X59,$X59)=1,"1",VALUE(SUBSTITUTE(INDEX(Y:Y,_xlfn.XMATCH($X59,$X$1:$X58,0,-1)),"A",""))+INDEX(Z:Z,_xlfn.XMATCH($X59,$X$1:$X58,0,-1))+1)</f>
        <v>1</v>
      </c>
      <c r="Z59" s="36" cm="1">
        <f t="array" ref="Z59">SUM(IF(ISNUMBER(FIND("TmAi",$BE$1:$AAL$1)),IF(IFERROR(ISODD(SUBSTITUTE($BE59:$AAL59,"A","")),FALSE),IF(ISODD(SUBSTITUTE($BE59:$AAL59,"A","")),1,0),0)))</f>
        <v>1</v>
      </c>
      <c r="AA59" t="str">
        <f t="shared" si="164"/>
        <v>1A</v>
      </c>
      <c r="AB59" t="str">
        <f t="shared" si="165"/>
        <v>1B</v>
      </c>
      <c r="AP59" t="s">
        <v>489</v>
      </c>
      <c r="AR59" t="s">
        <v>673</v>
      </c>
      <c r="AS59" t="s">
        <v>191</v>
      </c>
      <c r="OG59" s="20" t="str">
        <f>CONCATENATE("XT",$U59)</f>
        <v>XT4</v>
      </c>
      <c r="OH59" s="10" t="s">
        <v>656</v>
      </c>
      <c r="OI59" s="10" t="s">
        <v>674</v>
      </c>
      <c r="OJ59" s="10"/>
      <c r="OK59" s="10"/>
      <c r="OL59" s="10" t="str">
        <f>CONCATENATE(REPLACE($AA59,LEN($AA59),1,"")+1,RIGHT($AA59))</f>
        <v>2A</v>
      </c>
      <c r="OM59" s="10" t="str">
        <f>CONCATENATE(REPLACE($AB59,LEN($AB59),1,"")+1,RIGHT($AB59))</f>
        <v>2B</v>
      </c>
      <c r="ON59" s="10" t="str">
        <f>CONCATENATE(REPLACE(OL59,LEN(OL59),1,"")+1,RIGHT(OL59))</f>
        <v>3A</v>
      </c>
      <c r="OO59" s="10" t="str">
        <f t="shared" ref="OO59:OO61" si="204">CONCATENATE(REPLACE(OM59,LEN(OM59),1,"")+1,RIGHT(OM59))</f>
        <v>3B</v>
      </c>
      <c r="OP59" s="10" t="str">
        <f t="shared" ref="OP59:OP61" si="205">CONCATENATE(REPLACE(ON59,LEN(ON59),1,"")+1,RIGHT(ON59))</f>
        <v>4A</v>
      </c>
      <c r="OQ59" s="10" t="str">
        <f t="shared" ref="OQ59:OQ61" si="206">CONCATENATE(REPLACE(OO59,LEN(OO59),1,"")+1,RIGHT(OO59))</f>
        <v>4B</v>
      </c>
      <c r="OR59" s="10"/>
      <c r="OS59" s="10"/>
      <c r="OT59" s="10"/>
      <c r="OU59" s="10"/>
      <c r="OV59" s="10" t="str">
        <f>CONCATENATE($T59,"-AI",REPLACE($X59,1,3,""),"-",$AA59)</f>
        <v>N1-AI20-1A</v>
      </c>
      <c r="OW59" s="10" t="str">
        <f>CONCATENATE($T59,"-AI",REPLACE($X59,1,3,""),"-",$AB59)</f>
        <v>N1-AI20-1B</v>
      </c>
      <c r="OX59" s="10" t="str">
        <f t="shared" ref="OX59:OX61" si="207">CONCATENATE($T59,"-AI",REPLACE($X59,1,3,""),"-",OL59)</f>
        <v>N1-AI20-2A</v>
      </c>
      <c r="OY59" s="10" t="str">
        <f t="shared" ref="OY59:OY61" si="208">CONCATENATE($T59,"-AI",REPLACE($X59,1,3,""),"-",OM59)</f>
        <v>N1-AI20-2B</v>
      </c>
      <c r="OZ59" s="10" t="str">
        <f t="shared" ref="OZ59:OZ61" si="209">CONCATENATE($T59,"-AI",REPLACE($X59,1,3,""),"-",ON59)</f>
        <v>N1-AI20-3A</v>
      </c>
      <c r="PA59" s="10" t="str">
        <f t="shared" ref="PA59:PA61" si="210">CONCATENATE($T59,"-AI",REPLACE($X59,1,3,""),"-",OO59)</f>
        <v>N1-AI20-3B</v>
      </c>
      <c r="PB59" s="10" t="str">
        <f t="shared" ref="PB59:PB61" si="211">CONCATENATE($T59,"-AI",REPLACE($X59,1,3,""),"-",OP59)</f>
        <v>N1-AI20-4A</v>
      </c>
      <c r="PC59" s="10" t="str">
        <f t="shared" ref="PC59:PC61" si="212">CONCATENATE($T59,"-AI",REPLACE($X59,1,3,""),"-",OQ59)</f>
        <v>N1-AI20-4B</v>
      </c>
      <c r="PD59" s="10"/>
      <c r="PE59" s="10"/>
      <c r="PF59" s="10"/>
      <c r="PG59" s="10"/>
      <c r="PH59" s="10" cm="1">
        <f t="array" ref="PH59">IF(COUNTIFS($U$2:$U59,$U59)=1,1,INDEX(PH:PH,_xlfn.XMATCH($U59,$U$2:EF58,0,-1))+COUNT(PH58:PM58))</f>
        <v>1</v>
      </c>
      <c r="PI59" s="10">
        <f t="shared" ref="PI59:PI61" si="213">PH59+1</f>
        <v>2</v>
      </c>
      <c r="PJ59" s="10">
        <f t="shared" ref="PJ59:PJ61" si="214">PI59+1</f>
        <v>3</v>
      </c>
      <c r="PK59" s="10">
        <f>PJ59+1</f>
        <v>4</v>
      </c>
      <c r="PL59" s="10">
        <f t="shared" ref="PL59:PL61" si="215">PK59+1</f>
        <v>5</v>
      </c>
      <c r="PM59" s="10">
        <f t="shared" ref="PM59:PM61" si="216">PL59+1</f>
        <v>6</v>
      </c>
      <c r="PN59" s="10"/>
      <c r="PO59" s="10"/>
      <c r="PP59" s="10"/>
      <c r="PQ59" s="10">
        <v>1</v>
      </c>
      <c r="PR59" s="10">
        <v>2</v>
      </c>
      <c r="PS59" s="10">
        <v>3</v>
      </c>
      <c r="PT59" s="10">
        <v>4</v>
      </c>
      <c r="PU59" s="10">
        <v>5</v>
      </c>
      <c r="PV59" s="11">
        <v>6</v>
      </c>
    </row>
    <row r="60" spans="1:538" ht="15.75" thickBot="1" x14ac:dyDescent="0.3">
      <c r="A60" t="s">
        <v>982</v>
      </c>
      <c r="B60" t="s">
        <v>675</v>
      </c>
      <c r="C60" t="s">
        <v>308</v>
      </c>
      <c r="P60" t="s">
        <v>307</v>
      </c>
      <c r="T60" s="12" t="s">
        <v>487</v>
      </c>
      <c r="U60">
        <v>4</v>
      </c>
      <c r="W60" t="s">
        <v>685</v>
      </c>
      <c r="X60" t="str">
        <f>IF(COUNTIF(X$2:X59,X59)&gt;7,REPLACE(X59,LEN(X59),1,VALUE(RIGHT(X59,1))+1),X59)</f>
        <v>A3.20</v>
      </c>
      <c r="Y60" s="36" cm="1">
        <f t="array" ref="Y60">IF(COUNTIFS($X$2:$X60,$X60)=1,"1",VALUE(SUBSTITUTE(INDEX(Y:Y,_xlfn.XMATCH($X60,$X$1:$X59,0,-1)),"A",""))+INDEX(Z:Z,_xlfn.XMATCH($X60,$X$1:$X59,0,-1))+1)</f>
        <v>3</v>
      </c>
      <c r="Z60" s="36" cm="1">
        <f t="array" ref="Z60">SUM(IF(ISNUMBER(FIND("TmAi",$BE$1:$AAL$1)),IF(IFERROR(ISODD(SUBSTITUTE($BE60:$AAL60,"A","")),FALSE),IF(ISODD(SUBSTITUTE($BE60:$AAL60,"A","")),1,0),0)))</f>
        <v>1</v>
      </c>
      <c r="AA60" t="str">
        <f t="shared" si="164"/>
        <v>5A</v>
      </c>
      <c r="AB60" t="str">
        <f t="shared" si="165"/>
        <v>5B</v>
      </c>
      <c r="AP60" t="s">
        <v>489</v>
      </c>
      <c r="AR60" t="s">
        <v>673</v>
      </c>
      <c r="AS60" t="s">
        <v>191</v>
      </c>
      <c r="OG60" s="22" t="str">
        <f t="shared" ref="OG60:OG61" si="217">CONCATENATE("XT",$U60)</f>
        <v>XT4</v>
      </c>
      <c r="OH60" t="s">
        <v>657</v>
      </c>
      <c r="OI60" t="s">
        <v>676</v>
      </c>
      <c r="OL60" t="str">
        <f t="shared" ref="OL60:OL61" si="218">CONCATENATE(REPLACE($AA60,LEN($AA60),1,"")+1,RIGHT($AA60))</f>
        <v>6A</v>
      </c>
      <c r="OM60" t="str">
        <f t="shared" ref="OM60:OM61" si="219">CONCATENATE(REPLACE($AB60,LEN($AB60),1,"")+1,RIGHT($AB60))</f>
        <v>6B</v>
      </c>
      <c r="ON60" t="str">
        <f t="shared" ref="ON60:ON61" si="220">CONCATENATE(REPLACE(OL60,LEN(OL60),1,"")+1,RIGHT(OL60))</f>
        <v>7A</v>
      </c>
      <c r="OO60" t="str">
        <f t="shared" si="204"/>
        <v>7B</v>
      </c>
      <c r="OP60" t="str">
        <f t="shared" si="205"/>
        <v>8A</v>
      </c>
      <c r="OQ60" t="str">
        <f t="shared" si="206"/>
        <v>8B</v>
      </c>
      <c r="OV60" t="str">
        <f>CONCATENATE($T60,"-AI",REPLACE($X60,1,3,""),"-",$AA60)</f>
        <v>N1-AI20-5A</v>
      </c>
      <c r="OW60" t="str">
        <f>CONCATENATE($T60,"-AI",REPLACE($X60,1,3,""),"-",$AB60)</f>
        <v>N1-AI20-5B</v>
      </c>
      <c r="OX60" t="str">
        <f t="shared" si="207"/>
        <v>N1-AI20-6A</v>
      </c>
      <c r="OY60" t="str">
        <f t="shared" si="208"/>
        <v>N1-AI20-6B</v>
      </c>
      <c r="OZ60" t="str">
        <f t="shared" si="209"/>
        <v>N1-AI20-7A</v>
      </c>
      <c r="PA60" t="str">
        <f t="shared" si="210"/>
        <v>N1-AI20-7B</v>
      </c>
      <c r="PB60" t="str">
        <f t="shared" si="211"/>
        <v>N1-AI20-8A</v>
      </c>
      <c r="PC60" t="str">
        <f t="shared" si="212"/>
        <v>N1-AI20-8B</v>
      </c>
      <c r="PH60" cm="1">
        <f t="array" ref="PH60">IF(COUNTIFS($U$2:$U60,$U60)=1,1,INDEX(PH:PH,_xlfn.XMATCH($U60,$U$1:$U59,0,-1))+COUNT(PH59:PM59))</f>
        <v>7</v>
      </c>
      <c r="PI60">
        <f t="shared" si="213"/>
        <v>8</v>
      </c>
      <c r="PJ60">
        <f t="shared" si="214"/>
        <v>9</v>
      </c>
      <c r="PK60">
        <f t="shared" ref="PK60:PK61" si="221">PJ60+1</f>
        <v>10</v>
      </c>
      <c r="PL60">
        <f t="shared" si="215"/>
        <v>11</v>
      </c>
      <c r="PM60">
        <f t="shared" si="216"/>
        <v>12</v>
      </c>
      <c r="PQ60">
        <v>7</v>
      </c>
      <c r="PR60">
        <v>8</v>
      </c>
      <c r="PS60">
        <v>9</v>
      </c>
      <c r="PT60">
        <v>10</v>
      </c>
      <c r="PU60">
        <v>11</v>
      </c>
      <c r="PV60" s="14">
        <v>12</v>
      </c>
    </row>
    <row r="61" spans="1:538" ht="15.75" thickBot="1" x14ac:dyDescent="0.3">
      <c r="A61" t="s">
        <v>983</v>
      </c>
      <c r="B61" t="s">
        <v>677</v>
      </c>
      <c r="C61" t="s">
        <v>308</v>
      </c>
      <c r="P61" t="s">
        <v>331</v>
      </c>
      <c r="T61" s="12" t="s">
        <v>487</v>
      </c>
      <c r="U61">
        <v>4</v>
      </c>
      <c r="W61" t="s">
        <v>686</v>
      </c>
      <c r="X61" t="str">
        <f>IF(COUNTIF(X$2:X60,X60)&gt;7,REPLACE(X60,LEN(X60),1,VALUE(RIGHT(X60,1))+1),X60)</f>
        <v>A3.20</v>
      </c>
      <c r="Y61" s="36" cm="1">
        <f t="array" ref="Y61">IF(COUNTIFS($X$2:$X61,$X61)=1,"1",VALUE(SUBSTITUTE(INDEX(Y:Y,_xlfn.XMATCH($X61,$X$1:$X60,0,-1)),"A",""))+INDEX(Z:Z,_xlfn.XMATCH($X61,$X$1:$X60,0,-1))+1)</f>
        <v>5</v>
      </c>
      <c r="Z61" s="36" cm="1">
        <f t="array" ref="Z61">SUM(IF(ISNUMBER(FIND("TmAi",$BE$1:$AAL$1)),IF(IFERROR(ISODD(SUBSTITUTE($BE61:$AAL61,"A","")),FALSE),IF(ISODD(SUBSTITUTE($BE61:$AAL61,"A","")),1,0),0)))</f>
        <v>2</v>
      </c>
      <c r="AA61" t="str">
        <f t="shared" si="164"/>
        <v>9A</v>
      </c>
      <c r="AB61" t="str">
        <f t="shared" si="165"/>
        <v>9B</v>
      </c>
      <c r="AP61" t="s">
        <v>489</v>
      </c>
      <c r="AR61" t="s">
        <v>678</v>
      </c>
      <c r="AS61" t="s">
        <v>191</v>
      </c>
      <c r="OG61" s="22" t="str">
        <f t="shared" si="217"/>
        <v>XT4</v>
      </c>
      <c r="OH61" t="s">
        <v>658</v>
      </c>
      <c r="OI61" t="s">
        <v>679</v>
      </c>
      <c r="OJ61" t="s">
        <v>659</v>
      </c>
      <c r="OK61" t="s">
        <v>680</v>
      </c>
      <c r="OL61" t="str">
        <f t="shared" si="218"/>
        <v>10A</v>
      </c>
      <c r="OM61" t="str">
        <f t="shared" si="219"/>
        <v>10B</v>
      </c>
      <c r="ON61" t="str">
        <f t="shared" si="220"/>
        <v>11A</v>
      </c>
      <c r="OO61" t="str">
        <f t="shared" si="204"/>
        <v>11B</v>
      </c>
      <c r="OP61" t="str">
        <f t="shared" si="205"/>
        <v>12A</v>
      </c>
      <c r="OQ61" t="str">
        <f t="shared" si="206"/>
        <v>12B</v>
      </c>
      <c r="OR61" t="str">
        <f t="shared" ref="OR61" si="222">CONCATENATE(REPLACE(OP61,LEN(OP61),1,"")+1,RIGHT(OP61))</f>
        <v>13A</v>
      </c>
      <c r="OS61" t="str">
        <f t="shared" ref="OS61" si="223">CONCATENATE(REPLACE(OQ61,LEN(OQ61),1,"")+1,RIGHT(OQ61))</f>
        <v>13B</v>
      </c>
      <c r="OT61" t="str">
        <f t="shared" ref="OT61" si="224">CONCATENATE(REPLACE(OR61,LEN(OR61),1,"")+1,RIGHT(OR61))</f>
        <v>14A</v>
      </c>
      <c r="OU61" t="str">
        <f t="shared" ref="OU61" si="225">CONCATENATE(REPLACE(OS61,LEN(OS61),1,"")+1,RIGHT(OS61))</f>
        <v>14B</v>
      </c>
      <c r="OV61" t="str">
        <f>CONCATENATE($T61,"-AI",REPLACE($X61,1,3,""),"-",$AA61)</f>
        <v>N1-AI20-9A</v>
      </c>
      <c r="OW61" t="str">
        <f>CONCATENATE($T61,"-AI",REPLACE($X61,1,3,""),"-",$AB61)</f>
        <v>N1-AI20-9B</v>
      </c>
      <c r="OX61" t="str">
        <f t="shared" si="207"/>
        <v>N1-AI20-10A</v>
      </c>
      <c r="OY61" t="str">
        <f t="shared" si="208"/>
        <v>N1-AI20-10B</v>
      </c>
      <c r="OZ61" t="str">
        <f t="shared" si="209"/>
        <v>N1-AI20-11A</v>
      </c>
      <c r="PA61" t="str">
        <f t="shared" si="210"/>
        <v>N1-AI20-11B</v>
      </c>
      <c r="PB61" t="str">
        <f t="shared" si="211"/>
        <v>N1-AI20-12A</v>
      </c>
      <c r="PC61" t="str">
        <f t="shared" si="212"/>
        <v>N1-AI20-12B</v>
      </c>
      <c r="PD61" t="str">
        <f t="shared" ref="PD61" si="226">CONCATENATE($T61,"-AI",REPLACE($X61,1,3,""),"-",OR61)</f>
        <v>N1-AI20-13A</v>
      </c>
      <c r="PE61" t="str">
        <f t="shared" ref="PE61" si="227">CONCATENATE($T61,"-AI",REPLACE($X61,1,3,""),"-",OS61)</f>
        <v>N1-AI20-13B</v>
      </c>
      <c r="PF61" t="str">
        <f t="shared" ref="PF61" si="228">CONCATENATE($T61,"-AI",REPLACE($X61,1,3,""),"-",OT61)</f>
        <v>N1-AI20-14A</v>
      </c>
      <c r="PG61" t="str">
        <f t="shared" ref="PG61" si="229">CONCATENATE($T61,"-AI",REPLACE($X61,1,3,""),"-",OU61)</f>
        <v>N1-AI20-14B</v>
      </c>
      <c r="PH61" cm="1">
        <f t="array" ref="PH61">IF(COUNTIFS($U$2:$U61,$U61)=1,1,INDEX(PH:PH,_xlfn.XMATCH($U61,$U$1:$U60,0,-1))+COUNT(PH60:PM60))</f>
        <v>13</v>
      </c>
      <c r="PI61">
        <f t="shared" si="213"/>
        <v>14</v>
      </c>
      <c r="PJ61">
        <f t="shared" si="214"/>
        <v>15</v>
      </c>
      <c r="PK61">
        <f t="shared" si="221"/>
        <v>16</v>
      </c>
      <c r="PL61">
        <f t="shared" si="215"/>
        <v>17</v>
      </c>
      <c r="PM61">
        <f t="shared" si="216"/>
        <v>18</v>
      </c>
      <c r="PN61">
        <f t="shared" ref="PN61" si="230">PM61+1</f>
        <v>19</v>
      </c>
      <c r="PO61">
        <f t="shared" ref="PO61" si="231">PN61+1</f>
        <v>20</v>
      </c>
      <c r="PP61">
        <f t="shared" ref="PP61" si="232">PO61+1</f>
        <v>21</v>
      </c>
      <c r="PQ61">
        <v>1</v>
      </c>
      <c r="PR61">
        <v>2</v>
      </c>
      <c r="PS61">
        <v>3</v>
      </c>
      <c r="PT61">
        <v>4</v>
      </c>
      <c r="PU61">
        <v>5</v>
      </c>
      <c r="PV61">
        <v>6</v>
      </c>
      <c r="PW61" s="10">
        <v>7</v>
      </c>
      <c r="PX61" s="10">
        <v>8</v>
      </c>
      <c r="PY61" s="11">
        <v>9</v>
      </c>
    </row>
    <row r="62" spans="1:538" ht="15.75" thickBot="1" x14ac:dyDescent="0.3">
      <c r="A62" t="s">
        <v>1043</v>
      </c>
      <c r="B62" s="39" t="s">
        <v>681</v>
      </c>
      <c r="P62" t="s">
        <v>223</v>
      </c>
      <c r="T62" s="12" t="s">
        <v>487</v>
      </c>
      <c r="U62">
        <v>4</v>
      </c>
      <c r="W62" t="s">
        <v>687</v>
      </c>
      <c r="X62" t="s">
        <v>689</v>
      </c>
      <c r="Y62" s="36" t="str" cm="1">
        <f t="array" ref="Y62">IF(COUNTIFS($X$2:$X62,$X62)=1,"1",VALUE(SUBSTITUTE(INDEX(Y:Y,_xlfn.XMATCH($X62,$X$1:$X61,0,-1)),"A",""))+INDEX(Z:Z,_xlfn.XMATCH($X62,$X$1:$X61,0,-1))+1)</f>
        <v>1</v>
      </c>
      <c r="Z62" s="36" cm="1">
        <f t="array" ref="Z62">SUM(IF(ISNUMBER(FIND("TmAi",$BE$1:$AAL$1)),IF(IFERROR(ISODD(SUBSTITUTE($BE62:$AAL62,"A","")),FALSE),IF(ISODD(SUBSTITUTE($BE62:$AAL62,"A","")),1,0),0)))</f>
        <v>0</v>
      </c>
      <c r="AA62" t="str">
        <f t="shared" ref="AA62" si="233">CONCATENATE($Y62*2-1,"B")</f>
        <v>1B</v>
      </c>
      <c r="AB62" t="str">
        <f t="shared" ref="AB62" si="234">CONCATENATE($Y62*2,"B")</f>
        <v>2B</v>
      </c>
      <c r="AP62" t="s">
        <v>489</v>
      </c>
      <c r="AQ62" t="s">
        <v>690</v>
      </c>
      <c r="AS62" t="s">
        <v>191</v>
      </c>
      <c r="JZ62" s="20" t="str">
        <f>CONCATENATE("XT",U62)</f>
        <v>XT4</v>
      </c>
      <c r="KA62" s="10"/>
      <c r="KB62" s="10"/>
      <c r="KC62" s="10" t="str">
        <f>CONCATENATE(T62,"-AI",REPLACE($X62,1,3,""),"-",AA62)</f>
        <v>N1-AI13-1B</v>
      </c>
      <c r="KD62" s="10" t="str">
        <f>CONCATENATE(T62,"-AI",REPLACE($X62,1,3,""),"-",AB62)</f>
        <v>N1-AI13-2B</v>
      </c>
      <c r="KE62" s="10"/>
      <c r="KF62" s="10"/>
      <c r="KG62" s="10"/>
      <c r="KH62" s="10"/>
      <c r="KI62" s="10">
        <v>22</v>
      </c>
      <c r="KJ62" s="10">
        <f t="shared" ref="KJ62" si="235">KI62+1</f>
        <v>23</v>
      </c>
      <c r="KK62" s="10">
        <f t="shared" ref="KK62" si="236">KJ62+1</f>
        <v>24</v>
      </c>
      <c r="KL62" s="10"/>
      <c r="KM62" s="10"/>
      <c r="KN62" s="10" t="s">
        <v>233</v>
      </c>
      <c r="KO62" s="10" t="s">
        <v>233</v>
      </c>
      <c r="KP62" s="10"/>
      <c r="KQ62" s="10"/>
      <c r="KR62" s="10"/>
      <c r="KS62" s="10"/>
      <c r="KT62" s="10"/>
      <c r="KU62" s="10"/>
      <c r="KV62" s="10"/>
      <c r="KW62" s="10"/>
      <c r="KX62" s="10"/>
      <c r="KY62" s="10"/>
      <c r="KZ62" s="10"/>
      <c r="LA62" s="10"/>
      <c r="LB62" s="10"/>
      <c r="LC62" s="10"/>
      <c r="LD62" s="10"/>
      <c r="LE62" s="10"/>
      <c r="LF62" s="10"/>
      <c r="LG62" s="10"/>
      <c r="LH62" s="10"/>
      <c r="LI62" s="10"/>
      <c r="LJ62" s="10"/>
      <c r="LK62" s="10"/>
      <c r="LL62" s="10"/>
      <c r="LM62" s="10"/>
      <c r="LN62" s="10"/>
      <c r="LO62" s="10"/>
      <c r="LP62" s="10"/>
      <c r="LQ62" s="10"/>
      <c r="LR62" s="10"/>
      <c r="LS62" s="10"/>
      <c r="LT62" s="10"/>
      <c r="LU62" s="10"/>
      <c r="LV62" s="10"/>
      <c r="LW62" s="10"/>
      <c r="LX62" s="10"/>
      <c r="LY62" s="10"/>
      <c r="LZ62" s="10"/>
      <c r="MA62" s="10"/>
      <c r="MB62" s="10"/>
      <c r="MC62" s="10"/>
      <c r="MD62" s="10"/>
      <c r="ME62" s="10"/>
      <c r="MF62" s="10"/>
      <c r="MG62" s="10"/>
      <c r="MH62" s="10"/>
      <c r="MI62" s="10"/>
      <c r="MJ62" s="10"/>
      <c r="MK62" s="10"/>
      <c r="ML62" s="10"/>
      <c r="MM62" s="10"/>
      <c r="MN62" s="10"/>
      <c r="MO62" s="10"/>
      <c r="MP62" s="10"/>
      <c r="MQ62" s="10"/>
      <c r="MR62" s="10"/>
      <c r="MS62" s="10"/>
      <c r="MT62" s="10"/>
      <c r="MU62" s="10"/>
      <c r="MV62" s="10"/>
      <c r="MW62" s="10"/>
      <c r="MX62" s="10"/>
      <c r="MY62" s="10"/>
      <c r="MZ62" s="10"/>
      <c r="NA62" s="10"/>
      <c r="NB62" s="10"/>
      <c r="NC62" s="10"/>
      <c r="ND62" s="10"/>
      <c r="NE62" s="10"/>
      <c r="NF62" s="10"/>
      <c r="NG62" s="10"/>
      <c r="NH62" s="10"/>
      <c r="NI62" s="10"/>
      <c r="NJ62" s="10"/>
      <c r="NK62" s="10"/>
      <c r="NL62" s="10"/>
      <c r="NM62" s="10"/>
      <c r="NN62" s="10"/>
      <c r="NO62" s="10"/>
      <c r="NP62" s="10"/>
      <c r="NQ62" s="10"/>
      <c r="NR62" s="10"/>
      <c r="NS62" s="10"/>
      <c r="NT62" s="10"/>
      <c r="NU62" s="10"/>
      <c r="NV62" s="10"/>
      <c r="NW62" s="10"/>
      <c r="NX62" s="10"/>
      <c r="NY62" s="10"/>
      <c r="NZ62" s="10"/>
      <c r="OA62" s="10"/>
      <c r="OB62" s="10"/>
      <c r="OC62" s="10"/>
      <c r="OD62" s="10"/>
      <c r="OE62" s="10"/>
      <c r="OF62" s="10"/>
      <c r="PY62" s="14"/>
    </row>
    <row r="63" spans="1:538" ht="15.75" thickBot="1" x14ac:dyDescent="0.3">
      <c r="A63" t="s">
        <v>1044</v>
      </c>
      <c r="B63" s="27" t="s">
        <v>682</v>
      </c>
      <c r="P63" t="s">
        <v>334</v>
      </c>
      <c r="T63" s="12" t="s">
        <v>487</v>
      </c>
      <c r="U63">
        <v>4</v>
      </c>
      <c r="W63" t="s">
        <v>688</v>
      </c>
      <c r="X63" t="str">
        <f>IF(COUNTIF(X$2:X62,X62)&gt;7,REPLACE(X62,LEN(X62),1,VALUE(RIGHT(X62,1))+1),X62)</f>
        <v>A3.13</v>
      </c>
      <c r="Y63" s="36" cm="1">
        <f t="array" ref="Y63">IF(COUNTIFS($X$2:$X63,$X63)=1,"1",VALUE(SUBSTITUTE(INDEX(Y:Y,_xlfn.XMATCH($X63,$X$1:$X62,0,-1)),"A",""))+INDEX(Z:Z,_xlfn.XMATCH($X63,$X$1:$X62,0,-1))+1)</f>
        <v>2</v>
      </c>
      <c r="Z63" s="36" cm="1">
        <f t="array" ref="Z63">SUM(IF(ISNUMBER(FIND("TmAi",$BE$1:$AAL$1)),IF(IFERROR(ISODD(SUBSTITUTE($BE63:$AAL63,"A","")),FALSE),IF(ISODD(SUBSTITUTE($BE63:$AAL63,"A","")),1,0),0)))</f>
        <v>11</v>
      </c>
      <c r="AA63" t="str">
        <f t="shared" si="164"/>
        <v>3A</v>
      </c>
      <c r="AB63" t="str">
        <f t="shared" si="165"/>
        <v>3B</v>
      </c>
      <c r="AP63" t="s">
        <v>489</v>
      </c>
      <c r="AR63" t="s">
        <v>683</v>
      </c>
      <c r="AS63" t="s">
        <v>191</v>
      </c>
      <c r="JZ63" s="23"/>
      <c r="KA63" s="16"/>
      <c r="KB63" s="16"/>
      <c r="KC63" s="16"/>
      <c r="KD63" s="16"/>
      <c r="KE63" s="16"/>
      <c r="KF63" s="16"/>
      <c r="KG63" s="16"/>
      <c r="KH63" s="16"/>
      <c r="KI63" s="16"/>
      <c r="KJ63" s="16"/>
      <c r="KK63" s="16"/>
      <c r="KL63" s="16"/>
      <c r="KM63" s="16"/>
      <c r="KN63" s="16"/>
      <c r="KO63" s="16"/>
      <c r="KP63" s="16"/>
      <c r="KQ63" s="16"/>
      <c r="KR63" s="16"/>
      <c r="KS63" s="16"/>
      <c r="KT63" s="16"/>
      <c r="KU63" s="16"/>
      <c r="KV63" s="16"/>
      <c r="KW63" s="16"/>
      <c r="KX63" s="16"/>
      <c r="KY63" s="16"/>
      <c r="KZ63" s="16"/>
      <c r="LA63" s="16"/>
      <c r="LB63" s="16"/>
      <c r="LC63" s="16"/>
      <c r="LD63" s="16"/>
      <c r="LE63" s="16"/>
      <c r="LF63" s="16"/>
      <c r="LG63" s="16"/>
      <c r="LH63" s="16"/>
      <c r="LI63" s="16"/>
      <c r="LJ63" s="16"/>
      <c r="LK63" s="16"/>
      <c r="LL63" s="16"/>
      <c r="LM63" s="16"/>
      <c r="LN63" s="16"/>
      <c r="LO63" s="16"/>
      <c r="LP63" s="16"/>
      <c r="LQ63" s="16"/>
      <c r="LR63" s="16"/>
      <c r="LS63" s="16"/>
      <c r="LT63" s="16"/>
      <c r="LU63" s="16"/>
      <c r="LV63" s="16"/>
      <c r="LW63" s="16"/>
      <c r="LX63" s="16"/>
      <c r="LY63" s="16"/>
      <c r="LZ63" s="16"/>
      <c r="MA63" s="16"/>
      <c r="MB63" s="16"/>
      <c r="MC63" s="16"/>
      <c r="MD63" s="16"/>
      <c r="ME63" s="16"/>
      <c r="MF63" s="16"/>
      <c r="MG63" s="16"/>
      <c r="MH63" s="16"/>
      <c r="MI63" s="16"/>
      <c r="MJ63" s="16"/>
      <c r="MK63" s="16"/>
      <c r="ML63" s="16"/>
      <c r="MM63" s="16"/>
      <c r="MN63" s="16"/>
      <c r="MO63" s="16"/>
      <c r="MP63" s="16"/>
      <c r="MQ63" s="16"/>
      <c r="MR63" s="16"/>
      <c r="MS63" s="16"/>
      <c r="MT63" s="16"/>
      <c r="MU63" s="16"/>
      <c r="MV63" s="16"/>
      <c r="MW63" s="16"/>
      <c r="MX63" s="16"/>
      <c r="MY63" s="16"/>
      <c r="MZ63" s="16"/>
      <c r="NA63" s="16"/>
      <c r="NB63" s="16"/>
      <c r="NC63" s="16"/>
      <c r="ND63" s="16"/>
      <c r="NE63" s="16"/>
      <c r="NF63" s="16"/>
      <c r="NG63" s="16"/>
      <c r="NH63" s="16"/>
      <c r="NI63" s="16"/>
      <c r="NJ63" s="16"/>
      <c r="NK63" s="16"/>
      <c r="NL63" s="16"/>
      <c r="NM63" s="16"/>
      <c r="NN63" s="16"/>
      <c r="NO63" s="16"/>
      <c r="NP63" s="16"/>
      <c r="NQ63" s="16"/>
      <c r="NR63" s="16"/>
      <c r="NS63" s="16"/>
      <c r="NT63" s="16"/>
      <c r="NU63" s="16"/>
      <c r="NV63" s="16"/>
      <c r="NW63" s="16"/>
      <c r="NX63" s="16"/>
      <c r="NY63" s="16"/>
      <c r="NZ63" s="16"/>
      <c r="OA63" s="16"/>
      <c r="OB63" s="16"/>
      <c r="OC63" s="16"/>
      <c r="OD63" s="16"/>
      <c r="OE63" s="16"/>
      <c r="OF63" s="16"/>
      <c r="OG63" s="16"/>
      <c r="OH63" s="16"/>
      <c r="OI63" s="16"/>
      <c r="OJ63" s="16"/>
      <c r="OK63" s="16"/>
      <c r="OL63" s="16"/>
      <c r="OM63" s="16"/>
      <c r="ON63" s="16"/>
      <c r="OO63" s="16"/>
      <c r="OP63" s="16"/>
      <c r="OQ63" s="16"/>
      <c r="OR63" s="16"/>
      <c r="OS63" s="16"/>
      <c r="OT63" s="16"/>
      <c r="OU63" s="16"/>
      <c r="OV63" s="16"/>
      <c r="OW63" s="16"/>
      <c r="OX63" s="16"/>
      <c r="OY63" s="16"/>
      <c r="OZ63" s="16"/>
      <c r="PA63" s="16"/>
      <c r="PB63" s="16"/>
      <c r="PC63" s="16"/>
      <c r="PD63" s="16"/>
      <c r="PE63" s="16"/>
      <c r="PF63" s="16"/>
      <c r="PG63" s="16"/>
      <c r="PH63" s="16"/>
      <c r="PI63" s="16"/>
      <c r="PJ63" s="16"/>
      <c r="PK63" s="16"/>
      <c r="PL63" s="16"/>
      <c r="PM63" s="16"/>
      <c r="PN63" s="16"/>
      <c r="PO63" s="16"/>
      <c r="PP63" s="16"/>
      <c r="PQ63" s="16"/>
      <c r="PR63" s="16"/>
      <c r="PS63" s="16"/>
      <c r="PT63" s="16"/>
      <c r="PU63" s="16"/>
      <c r="PV63" s="16"/>
      <c r="PW63" s="16"/>
      <c r="PX63" s="16"/>
      <c r="PY63" s="16"/>
      <c r="PZ63" s="18" t="str">
        <f>REPLACE(X63,FIND(".",X63)+1,3,MID(X63,FIND(".",X63)+1,3)+1)</f>
        <v>A3.14</v>
      </c>
      <c r="QA63" s="18" t="str">
        <f>CONCATENATE(VALUE(SUBSTITUTE($AB63,"B",""))+2,"B")</f>
        <v>5B</v>
      </c>
      <c r="QB63" s="18" t="str">
        <f>CONCATENATE(VALUE(SUBSTITUTE($AA63,"A",""))+2,"A")</f>
        <v>5A</v>
      </c>
      <c r="QC63" s="18" t="str">
        <f>CONCATENATE(VALUE(SUBSTITUTE(QA63,"B",""))+2,"B")</f>
        <v>7B</v>
      </c>
      <c r="QD63" s="18" t="str">
        <f>CONCATENATE(VALUE(SUBSTITUTE(QB63,"A",""))+2,"A")</f>
        <v>7A</v>
      </c>
      <c r="QE63" s="18" t="str">
        <f t="shared" ref="QE63" si="237">CONCATENATE(VALUE(SUBSTITUTE(QC63,"B",""))+2,"B")</f>
        <v>9B</v>
      </c>
      <c r="QF63" s="18" t="str">
        <f t="shared" ref="QF63" si="238">CONCATENATE(VALUE(SUBSTITUTE(QD63,"A",""))+2,"A")</f>
        <v>9A</v>
      </c>
      <c r="QG63" s="18" t="str">
        <f t="shared" ref="QG63" si="239">CONCATENATE(VALUE(SUBSTITUTE(QE63,"B",""))+2,"B")</f>
        <v>11B</v>
      </c>
      <c r="QH63" s="18" t="str">
        <f t="shared" ref="QH63" si="240">CONCATENATE(VALUE(SUBSTITUTE(QF63,"A",""))+2,"A")</f>
        <v>11A</v>
      </c>
      <c r="QI63" s="18" t="str">
        <f t="shared" ref="QI63" si="241">CONCATENATE(VALUE(SUBSTITUTE(QG63,"B",""))+2,"B")</f>
        <v>13B</v>
      </c>
      <c r="QJ63" s="18" t="str">
        <f t="shared" ref="QJ63" si="242">CONCATENATE(VALUE(SUBSTITUTE(QH63,"A",""))+2,"A")</f>
        <v>13A</v>
      </c>
      <c r="QK63" s="18" t="s">
        <v>130</v>
      </c>
      <c r="QL63" s="18" t="s">
        <v>131</v>
      </c>
      <c r="QM63" s="18" t="str">
        <f t="shared" ref="QM63" si="243">CONCATENATE(VALUE(SUBSTITUTE(QK63,"B",""))+2,"B")</f>
        <v>3B</v>
      </c>
      <c r="QN63" s="18" t="str">
        <f t="shared" ref="QN63" si="244">CONCATENATE(VALUE(SUBSTITUTE(QL63,"A",""))+2,"A")</f>
        <v>3A</v>
      </c>
      <c r="QO63" s="18" t="str">
        <f t="shared" ref="QO63" si="245">CONCATENATE(VALUE(SUBSTITUTE(QM63,"B",""))+2,"B")</f>
        <v>5B</v>
      </c>
      <c r="QP63" s="18" t="str">
        <f t="shared" ref="QP63" si="246">CONCATENATE(VALUE(SUBSTITUTE(QN63,"A",""))+2,"A")</f>
        <v>5A</v>
      </c>
      <c r="QQ63" s="18" t="str">
        <f t="shared" ref="QQ63" si="247">CONCATENATE(VALUE(SUBSTITUTE(QO63,"B",""))+2,"B")</f>
        <v>7B</v>
      </c>
      <c r="QR63" s="18" t="str">
        <f t="shared" ref="QR63" si="248">CONCATENATE(VALUE(SUBSTITUTE(QP63,"A",""))+2,"A")</f>
        <v>7A</v>
      </c>
      <c r="QS63" s="18" t="str">
        <f t="shared" ref="QS63" si="249">CONCATENATE(VALUE(SUBSTITUTE(QQ63,"B",""))+2,"B")</f>
        <v>9B</v>
      </c>
      <c r="QT63" s="18" t="str">
        <f t="shared" ref="QT63" si="250">CONCATENATE(VALUE(SUBSTITUTE(QR63,"A",""))+2,"A")</f>
        <v>9A</v>
      </c>
      <c r="QU63" s="18" t="str">
        <f t="shared" ref="QU63" si="251">CONCATENATE(VALUE(SUBSTITUTE(QS63,"B",""))+2,"B")</f>
        <v>11B</v>
      </c>
      <c r="QV63" s="18" t="str">
        <f t="shared" ref="QV63" si="252">CONCATENATE(VALUE(SUBSTITUTE(QT63,"A",""))+2,"A")</f>
        <v>11A</v>
      </c>
      <c r="QW63" s="18" t="str">
        <f>CONCATENATE($T63,"-AI",REPLACE($X63,1,3,""),"-",AB63)</f>
        <v>N1-AI13-3B</v>
      </c>
      <c r="QX63" s="18" t="str">
        <f>CONCATENATE($T63,"-AI",REPLACE($X63,1,3,""),"-",AA63)</f>
        <v>N1-AI13-3A</v>
      </c>
      <c r="QY63" s="18" t="str">
        <f>CONCATENATE($T63,"-AI",REPLACE($X63,1,3,""),"-",QA63)</f>
        <v>N1-AI13-5B</v>
      </c>
      <c r="QZ63" s="18" t="str">
        <f>CONCATENATE($T63,"-AI",REPLACE($X63,1,3,""),"-",QB63)</f>
        <v>N1-AI13-5A</v>
      </c>
      <c r="RA63" s="18" t="str">
        <f t="shared" ref="RA63" si="253">CONCATENATE($T63,"-AI",REPLACE($X63,1,3,""),"-",QC63)</f>
        <v>N1-AI13-7B</v>
      </c>
      <c r="RB63" s="18" t="str">
        <f t="shared" ref="RB63" si="254">CONCATENATE($T63,"-AI",REPLACE($X63,1,3,""),"-",QD63)</f>
        <v>N1-AI13-7A</v>
      </c>
      <c r="RC63" s="18" t="str">
        <f t="shared" ref="RC63" si="255">CONCATENATE($T63,"-AI",REPLACE($X63,1,3,""),"-",QE63)</f>
        <v>N1-AI13-9B</v>
      </c>
      <c r="RD63" s="18" t="str">
        <f t="shared" ref="RD63" si="256">CONCATENATE($T63,"-AI",REPLACE($X63,1,3,""),"-",QF63)</f>
        <v>N1-AI13-9A</v>
      </c>
      <c r="RE63" s="18" t="str">
        <f t="shared" ref="RE63" si="257">CONCATENATE($T63,"-AI",REPLACE($X63,1,3,""),"-",QG63)</f>
        <v>N1-AI13-11B</v>
      </c>
      <c r="RF63" s="18" t="str">
        <f t="shared" ref="RF63" si="258">CONCATENATE($T63,"-AI",REPLACE($X63,1,3,""),"-",QH63)</f>
        <v>N1-AI13-11A</v>
      </c>
      <c r="RG63" s="18" t="str">
        <f t="shared" ref="RG63" si="259">CONCATENATE($T63,"-AI",REPLACE($X63,1,3,""),"-",QI63)</f>
        <v>N1-AI13-13B</v>
      </c>
      <c r="RH63" s="18" t="str">
        <f t="shared" ref="RH63" si="260">CONCATENATE($T63,"-AI",REPLACE($X63,1,3,""),"-",QJ63)</f>
        <v>N1-AI13-13A</v>
      </c>
      <c r="RI63" s="18" t="str">
        <f t="shared" ref="RI63" si="261">CONCATENATE($T63,"-AI",REPLACE($PZ63,1,3,""),"-",QK63)</f>
        <v>N1-AI14-1B</v>
      </c>
      <c r="RJ63" s="18" t="str">
        <f t="shared" ref="RJ63" si="262">CONCATENATE($T63,"-AI",REPLACE($PZ63,1,3,""),"-",QL63)</f>
        <v>N1-AI14-1A</v>
      </c>
      <c r="RK63" s="18" t="str">
        <f t="shared" ref="RK63" si="263">CONCATENATE($T63,"-AI",REPLACE($PZ63,1,3,""),"-",QM63)</f>
        <v>N1-AI14-3B</v>
      </c>
      <c r="RL63" s="18" t="str">
        <f t="shared" ref="RL63" si="264">CONCATENATE($T63,"-AI",REPLACE($PZ63,1,3,""),"-",QN63)</f>
        <v>N1-AI14-3A</v>
      </c>
      <c r="RM63" s="18" t="str">
        <f t="shared" ref="RM63" si="265">CONCATENATE($T63,"-AI",REPLACE($PZ63,1,3,""),"-",QO63)</f>
        <v>N1-AI14-5B</v>
      </c>
      <c r="RN63" s="18" t="str">
        <f t="shared" ref="RN63" si="266">CONCATENATE($T63,"-AI",REPLACE($PZ63,1,3,""),"-",QP63)</f>
        <v>N1-AI14-5A</v>
      </c>
      <c r="RO63" s="18" t="str">
        <f t="shared" ref="RO63" si="267">CONCATENATE($T63,"-AI",REPLACE($PZ63,1,3,""),"-",QQ63)</f>
        <v>N1-AI14-7B</v>
      </c>
      <c r="RP63" s="18" t="str">
        <f t="shared" ref="RP63" si="268">CONCATENATE($T63,"-AI",REPLACE($PZ63,1,3,""),"-",QR63)</f>
        <v>N1-AI14-7A</v>
      </c>
      <c r="RQ63" s="18" t="str">
        <f t="shared" ref="RQ63" si="269">CONCATENATE($T63,"-AI",REPLACE($PZ63,1,3,""),"-",QS63)</f>
        <v>N1-AI14-9B</v>
      </c>
      <c r="RR63" s="18" t="str">
        <f t="shared" ref="RR63" si="270">CONCATENATE($T63,"-AI",REPLACE($PZ63,1,3,""),"-",QT63)</f>
        <v>N1-AI14-9A</v>
      </c>
      <c r="RS63" s="18" t="str">
        <f t="shared" ref="RS63" si="271">CONCATENATE($T63,"-AI",REPLACE($PZ63,1,3,""),"-",QU63)</f>
        <v>N1-AI14-11B</v>
      </c>
      <c r="RT63" s="18" t="str">
        <f t="shared" ref="RT63" si="272">CONCATENATE($T63,"-AI",REPLACE($PZ63,1,3,""),"-",QV63)</f>
        <v>N1-AI14-11A</v>
      </c>
      <c r="RU63" s="18" t="str">
        <f t="shared" ref="RU63" si="273">CONCATENATE("XT",$U63)</f>
        <v>XT4</v>
      </c>
      <c r="RV63" s="18">
        <v>25</v>
      </c>
      <c r="RW63" s="18">
        <f>RV63+1</f>
        <v>26</v>
      </c>
      <c r="RX63" s="18">
        <f t="shared" ref="RX63:SS63" si="274">RW63+1</f>
        <v>27</v>
      </c>
      <c r="RY63" s="18">
        <f t="shared" si="274"/>
        <v>28</v>
      </c>
      <c r="RZ63" s="18">
        <f t="shared" si="274"/>
        <v>29</v>
      </c>
      <c r="SA63" s="18">
        <f t="shared" si="274"/>
        <v>30</v>
      </c>
      <c r="SB63" s="18">
        <f t="shared" si="274"/>
        <v>31</v>
      </c>
      <c r="SC63" s="18">
        <f t="shared" si="274"/>
        <v>32</v>
      </c>
      <c r="SD63" s="18">
        <f t="shared" si="274"/>
        <v>33</v>
      </c>
      <c r="SE63" s="18">
        <f t="shared" si="274"/>
        <v>34</v>
      </c>
      <c r="SF63" s="18">
        <f t="shared" si="274"/>
        <v>35</v>
      </c>
      <c r="SG63" s="18">
        <f t="shared" si="274"/>
        <v>36</v>
      </c>
      <c r="SH63" s="18">
        <f t="shared" si="274"/>
        <v>37</v>
      </c>
      <c r="SI63" s="18">
        <f t="shared" si="274"/>
        <v>38</v>
      </c>
      <c r="SJ63" s="18">
        <f t="shared" si="274"/>
        <v>39</v>
      </c>
      <c r="SK63" s="18">
        <f t="shared" si="274"/>
        <v>40</v>
      </c>
      <c r="SL63" s="18">
        <f t="shared" si="274"/>
        <v>41</v>
      </c>
      <c r="SM63" s="18">
        <f t="shared" si="274"/>
        <v>42</v>
      </c>
      <c r="SN63" s="18">
        <f t="shared" si="274"/>
        <v>43</v>
      </c>
      <c r="SO63" s="18">
        <f t="shared" si="274"/>
        <v>44</v>
      </c>
      <c r="SP63" s="18">
        <f t="shared" si="274"/>
        <v>45</v>
      </c>
      <c r="SQ63" s="18">
        <f t="shared" si="274"/>
        <v>46</v>
      </c>
      <c r="SR63" s="18">
        <f t="shared" si="274"/>
        <v>47</v>
      </c>
      <c r="SS63" s="18">
        <f t="shared" si="274"/>
        <v>48</v>
      </c>
      <c r="ST63" s="18">
        <f>SS63+1</f>
        <v>49</v>
      </c>
      <c r="SU63" s="18" t="s">
        <v>660</v>
      </c>
      <c r="SV63" s="18" t="s">
        <v>661</v>
      </c>
      <c r="SW63" s="18" t="s">
        <v>662</v>
      </c>
      <c r="SX63" s="18" t="s">
        <v>663</v>
      </c>
      <c r="SY63" s="18" t="s">
        <v>664</v>
      </c>
      <c r="SZ63" s="18" t="s">
        <v>665</v>
      </c>
      <c r="TA63" s="18" t="s">
        <v>666</v>
      </c>
      <c r="TB63" s="18" t="s">
        <v>667</v>
      </c>
      <c r="TC63" s="18" t="s">
        <v>668</v>
      </c>
      <c r="TD63" s="18" t="s">
        <v>669</v>
      </c>
      <c r="TE63" s="18" t="s">
        <v>670</v>
      </c>
      <c r="TF63" s="18" t="s">
        <v>671</v>
      </c>
      <c r="TG63" s="18" t="s">
        <v>333</v>
      </c>
      <c r="TH63" s="18" t="s">
        <v>389</v>
      </c>
      <c r="TI63" s="18" t="s">
        <v>390</v>
      </c>
      <c r="TJ63" s="18" t="s">
        <v>391</v>
      </c>
      <c r="TK63" s="18" t="s">
        <v>393</v>
      </c>
      <c r="TL63" s="18" t="s">
        <v>392</v>
      </c>
      <c r="TM63" s="18" t="s">
        <v>394</v>
      </c>
      <c r="TN63" s="18" t="s">
        <v>395</v>
      </c>
      <c r="TO63" s="18" t="s">
        <v>396</v>
      </c>
      <c r="TP63" s="18" t="s">
        <v>397</v>
      </c>
      <c r="TQ63" s="18" t="s">
        <v>398</v>
      </c>
      <c r="TR63" s="19" t="s">
        <v>399</v>
      </c>
    </row>
    <row r="64" spans="1:538" x14ac:dyDescent="0.25">
      <c r="A64" t="s">
        <v>984</v>
      </c>
      <c r="B64" s="28" t="s">
        <v>691</v>
      </c>
      <c r="C64" t="s">
        <v>308</v>
      </c>
      <c r="P64" t="s">
        <v>307</v>
      </c>
      <c r="T64" s="12" t="s">
        <v>487</v>
      </c>
      <c r="U64">
        <v>5</v>
      </c>
      <c r="W64" t="s">
        <v>719</v>
      </c>
      <c r="X64" t="s">
        <v>653</v>
      </c>
      <c r="Y64" s="36" t="str" cm="1">
        <f t="array" ref="Y64">IF(COUNTIFS($X$2:$X64,$X64)=1,"1",VALUE(SUBSTITUTE(INDEX(Y:Y,_xlfn.XMATCH($X64,$X$1:$X63,0,-1)),"A",""))+INDEX(Z:Z,_xlfn.XMATCH($X64,$X$1:$X63,0,-1))+1)</f>
        <v>1</v>
      </c>
      <c r="Z64" s="36" cm="1">
        <f t="array" ref="Z64">SUM(IF(ISNUMBER(FIND("TmAi",$BE$1:$AAL$1)),IF(IFERROR(ISODD(SUBSTITUTE($BE64:$AAL64,"A","")),FALSE),IF(ISODD(SUBSTITUTE($BE64:$AAL64,"A","")),1,0),0)))</f>
        <v>1</v>
      </c>
      <c r="AA64" t="str">
        <f t="shared" si="164"/>
        <v>1A</v>
      </c>
      <c r="AB64" t="str">
        <f t="shared" si="165"/>
        <v>1B</v>
      </c>
      <c r="AP64" t="s">
        <v>489</v>
      </c>
      <c r="AR64" t="s">
        <v>692</v>
      </c>
      <c r="AS64" t="s">
        <v>191</v>
      </c>
      <c r="OG64" s="20" t="str">
        <f>CONCATENATE("XT",$U64)</f>
        <v>XT5</v>
      </c>
      <c r="OH64" s="10" t="s">
        <v>703</v>
      </c>
      <c r="OI64" s="10" t="s">
        <v>693</v>
      </c>
      <c r="OJ64" s="10"/>
      <c r="OK64" s="10"/>
      <c r="OL64" s="10" t="str">
        <f>CONCATENATE(REPLACE($AA64,LEN($AA64),1,"")+1,RIGHT($AA64))</f>
        <v>2A</v>
      </c>
      <c r="OM64" s="10" t="str">
        <f>CONCATENATE(REPLACE($AB64,LEN($AB64),1,"")+1,RIGHT($AB64))</f>
        <v>2B</v>
      </c>
      <c r="ON64" s="10" t="str">
        <f>CONCATENATE(REPLACE(OL64,LEN(OL64),1,"")+1,RIGHT(OL64))</f>
        <v>3A</v>
      </c>
      <c r="OO64" s="10" t="str">
        <f t="shared" ref="OO64:OO66" si="275">CONCATENATE(REPLACE(OM64,LEN(OM64),1,"")+1,RIGHT(OM64))</f>
        <v>3B</v>
      </c>
      <c r="OP64" s="10" t="str">
        <f t="shared" ref="OP64:OP66" si="276">CONCATENATE(REPLACE(ON64,LEN(ON64),1,"")+1,RIGHT(ON64))</f>
        <v>4A</v>
      </c>
      <c r="OQ64" s="10" t="str">
        <f t="shared" ref="OQ64:OQ66" si="277">CONCATENATE(REPLACE(OO64,LEN(OO64),1,"")+1,RIGHT(OO64))</f>
        <v>4B</v>
      </c>
      <c r="OR64" s="10"/>
      <c r="OS64" s="10"/>
      <c r="OT64" s="10"/>
      <c r="OU64" s="10"/>
      <c r="OV64" s="10" t="str">
        <f>CONCATENATE($T64,"-AI",REPLACE($X64,1,3,""),"-",$AA64)</f>
        <v>N1-AI21-1A</v>
      </c>
      <c r="OW64" s="10" t="str">
        <f>CONCATENATE($T64,"-AI",REPLACE($X64,1,3,""),"-",$AB64)</f>
        <v>N1-AI21-1B</v>
      </c>
      <c r="OX64" s="10" t="str">
        <f t="shared" ref="OX64:OX66" si="278">CONCATENATE($T64,"-AI",REPLACE($X64,1,3,""),"-",OL64)</f>
        <v>N1-AI21-2A</v>
      </c>
      <c r="OY64" s="10" t="str">
        <f t="shared" ref="OY64:OY66" si="279">CONCATENATE($T64,"-AI",REPLACE($X64,1,3,""),"-",OM64)</f>
        <v>N1-AI21-2B</v>
      </c>
      <c r="OZ64" s="10" t="str">
        <f t="shared" ref="OZ64:OZ66" si="280">CONCATENATE($T64,"-AI",REPLACE($X64,1,3,""),"-",ON64)</f>
        <v>N1-AI21-3A</v>
      </c>
      <c r="PA64" s="10" t="str">
        <f t="shared" ref="PA64:PA66" si="281">CONCATENATE($T64,"-AI",REPLACE($X64,1,3,""),"-",OO64)</f>
        <v>N1-AI21-3B</v>
      </c>
      <c r="PB64" s="10" t="str">
        <f t="shared" ref="PB64:PB66" si="282">CONCATENATE($T64,"-AI",REPLACE($X64,1,3,""),"-",OP64)</f>
        <v>N1-AI21-4A</v>
      </c>
      <c r="PC64" s="10" t="str">
        <f t="shared" ref="PC64:PC66" si="283">CONCATENATE($T64,"-AI",REPLACE($X64,1,3,""),"-",OQ64)</f>
        <v>N1-AI21-4B</v>
      </c>
      <c r="PD64" s="10"/>
      <c r="PE64" s="10"/>
      <c r="PF64" s="10"/>
      <c r="PG64" s="10"/>
      <c r="PH64" s="10" cm="1">
        <f t="array" ref="PH64">IF(COUNTIFS($U$2:$U64,$U64)=1,1,INDEX(PH:PH,_xlfn.XMATCH($U64,$U$2:EF63,0,-1))+COUNT(PH63:PM63))</f>
        <v>1</v>
      </c>
      <c r="PI64" s="10">
        <f t="shared" ref="PI64:PI66" si="284">PH64+1</f>
        <v>2</v>
      </c>
      <c r="PJ64" s="10">
        <f t="shared" ref="PJ64:PJ66" si="285">PI64+1</f>
        <v>3</v>
      </c>
      <c r="PK64" s="10">
        <f>PJ64+1</f>
        <v>4</v>
      </c>
      <c r="PL64" s="10">
        <f t="shared" ref="PL64:PL66" si="286">PK64+1</f>
        <v>5</v>
      </c>
      <c r="PM64" s="10">
        <f t="shared" ref="PM64:PM66" si="287">PL64+1</f>
        <v>6</v>
      </c>
      <c r="PN64" s="10"/>
      <c r="PO64" s="10"/>
      <c r="PP64" s="10"/>
      <c r="PQ64" s="10">
        <v>1</v>
      </c>
      <c r="PR64" s="10">
        <v>2</v>
      </c>
      <c r="PS64" s="10">
        <v>3</v>
      </c>
      <c r="PT64" s="10">
        <v>4</v>
      </c>
      <c r="PU64" s="10">
        <v>5</v>
      </c>
      <c r="PV64" s="11">
        <v>6</v>
      </c>
    </row>
    <row r="65" spans="1:550" ht="15.75" thickBot="1" x14ac:dyDescent="0.3">
      <c r="A65" t="s">
        <v>985</v>
      </c>
      <c r="B65" t="s">
        <v>694</v>
      </c>
      <c r="C65" t="s">
        <v>308</v>
      </c>
      <c r="P65" t="s">
        <v>307</v>
      </c>
      <c r="T65" s="12" t="s">
        <v>487</v>
      </c>
      <c r="U65">
        <v>5</v>
      </c>
      <c r="W65" t="s">
        <v>720</v>
      </c>
      <c r="X65" t="str">
        <f>IF(COUNTIF(X$2:X64,X64)&gt;7,REPLACE(X64,LEN(X64),1,VALUE(RIGHT(X64,1))+1),X64)</f>
        <v>A3.21</v>
      </c>
      <c r="Y65" s="36" cm="1">
        <f t="array" ref="Y65">IF(COUNTIFS($X$2:$X65,$X65)=1,"1",VALUE(SUBSTITUTE(INDEX(Y:Y,_xlfn.XMATCH($X65,$X$1:$X64,0,-1)),"A",""))+INDEX(Z:Z,_xlfn.XMATCH($X65,$X$1:$X64,0,-1))+1)</f>
        <v>3</v>
      </c>
      <c r="Z65" s="36" cm="1">
        <f t="array" ref="Z65">SUM(IF(ISNUMBER(FIND("TmAi",$BE$1:$AAL$1)),IF(IFERROR(ISODD(SUBSTITUTE($BE65:$AAL65,"A","")),FALSE),IF(ISODD(SUBSTITUTE($BE65:$AAL65,"A","")),1,0),0)))</f>
        <v>1</v>
      </c>
      <c r="AA65" t="str">
        <f t="shared" si="164"/>
        <v>5A</v>
      </c>
      <c r="AB65" t="str">
        <f t="shared" si="165"/>
        <v>5B</v>
      </c>
      <c r="AP65" t="s">
        <v>489</v>
      </c>
      <c r="AR65" t="s">
        <v>692</v>
      </c>
      <c r="AS65" t="s">
        <v>191</v>
      </c>
      <c r="OG65" s="22" t="str">
        <f t="shared" ref="OG65:OG66" si="288">CONCATENATE("XT",$U65)</f>
        <v>XT5</v>
      </c>
      <c r="OH65" t="s">
        <v>704</v>
      </c>
      <c r="OI65" t="s">
        <v>695</v>
      </c>
      <c r="OL65" t="str">
        <f t="shared" ref="OL65:OL66" si="289">CONCATENATE(REPLACE($AA65,LEN($AA65),1,"")+1,RIGHT($AA65))</f>
        <v>6A</v>
      </c>
      <c r="OM65" t="str">
        <f t="shared" ref="OM65:OM66" si="290">CONCATENATE(REPLACE($AB65,LEN($AB65),1,"")+1,RIGHT($AB65))</f>
        <v>6B</v>
      </c>
      <c r="ON65" t="str">
        <f t="shared" ref="ON65:ON66" si="291">CONCATENATE(REPLACE(OL65,LEN(OL65),1,"")+1,RIGHT(OL65))</f>
        <v>7A</v>
      </c>
      <c r="OO65" t="str">
        <f t="shared" si="275"/>
        <v>7B</v>
      </c>
      <c r="OP65" t="str">
        <f t="shared" si="276"/>
        <v>8A</v>
      </c>
      <c r="OQ65" t="str">
        <f t="shared" si="277"/>
        <v>8B</v>
      </c>
      <c r="OV65" t="str">
        <f>CONCATENATE($T65,"-AI",REPLACE($X65,1,3,""),"-",$AA65)</f>
        <v>N1-AI21-5A</v>
      </c>
      <c r="OW65" t="str">
        <f>CONCATENATE($T65,"-AI",REPLACE($X65,1,3,""),"-",$AB65)</f>
        <v>N1-AI21-5B</v>
      </c>
      <c r="OX65" t="str">
        <f t="shared" si="278"/>
        <v>N1-AI21-6A</v>
      </c>
      <c r="OY65" t="str">
        <f t="shared" si="279"/>
        <v>N1-AI21-6B</v>
      </c>
      <c r="OZ65" t="str">
        <f t="shared" si="280"/>
        <v>N1-AI21-7A</v>
      </c>
      <c r="PA65" t="str">
        <f t="shared" si="281"/>
        <v>N1-AI21-7B</v>
      </c>
      <c r="PB65" t="str">
        <f t="shared" si="282"/>
        <v>N1-AI21-8A</v>
      </c>
      <c r="PC65" t="str">
        <f t="shared" si="283"/>
        <v>N1-AI21-8B</v>
      </c>
      <c r="PH65" cm="1">
        <f t="array" ref="PH65">IF(COUNTIFS($U$2:$U65,$U65)=1,1,INDEX(PH:PH,_xlfn.XMATCH($U65,$U$1:$U64,0,-1))+COUNT(PH64:PM64))</f>
        <v>7</v>
      </c>
      <c r="PI65">
        <f t="shared" si="284"/>
        <v>8</v>
      </c>
      <c r="PJ65">
        <f t="shared" si="285"/>
        <v>9</v>
      </c>
      <c r="PK65">
        <f t="shared" ref="PK65:PK66" si="292">PJ65+1</f>
        <v>10</v>
      </c>
      <c r="PL65">
        <f t="shared" si="286"/>
        <v>11</v>
      </c>
      <c r="PM65">
        <f t="shared" si="287"/>
        <v>12</v>
      </c>
      <c r="PQ65">
        <v>7</v>
      </c>
      <c r="PR65">
        <v>8</v>
      </c>
      <c r="PS65">
        <v>9</v>
      </c>
      <c r="PT65">
        <v>10</v>
      </c>
      <c r="PU65">
        <v>11</v>
      </c>
      <c r="PV65" s="14">
        <v>12</v>
      </c>
    </row>
    <row r="66" spans="1:550" ht="15.75" thickBot="1" x14ac:dyDescent="0.3">
      <c r="A66" t="s">
        <v>986</v>
      </c>
      <c r="B66" t="s">
        <v>696</v>
      </c>
      <c r="C66" t="s">
        <v>308</v>
      </c>
      <c r="P66" t="s">
        <v>331</v>
      </c>
      <c r="T66" s="12" t="s">
        <v>487</v>
      </c>
      <c r="U66">
        <v>5</v>
      </c>
      <c r="W66" t="s">
        <v>721</v>
      </c>
      <c r="X66" t="str">
        <f>IF(COUNTIF(X$2:X65,X65)&gt;7,REPLACE(X65,LEN(X65),1,VALUE(RIGHT(X65,1))+1),X65)</f>
        <v>A3.21</v>
      </c>
      <c r="Y66" s="36" cm="1">
        <f t="array" ref="Y66">IF(COUNTIFS($X$2:$X66,$X66)=1,"1",VALUE(SUBSTITUTE(INDEX(Y:Y,_xlfn.XMATCH($X66,$X$1:$X65,0,-1)),"A",""))+INDEX(Z:Z,_xlfn.XMATCH($X66,$X$1:$X65,0,-1))+1)</f>
        <v>5</v>
      </c>
      <c r="Z66" s="36" cm="1">
        <f t="array" ref="Z66">SUM(IF(ISNUMBER(FIND("TmAi",$BE$1:$AAL$1)),IF(IFERROR(ISODD(SUBSTITUTE($BE66:$AAL66,"A","")),FALSE),IF(ISODD(SUBSTITUTE($BE66:$AAL66,"A","")),1,0),0)))</f>
        <v>2</v>
      </c>
      <c r="AA66" t="str">
        <f t="shared" si="164"/>
        <v>9A</v>
      </c>
      <c r="AB66" t="str">
        <f t="shared" si="165"/>
        <v>9B</v>
      </c>
      <c r="AP66" t="s">
        <v>489</v>
      </c>
      <c r="AR66" t="s">
        <v>697</v>
      </c>
      <c r="AS66" t="s">
        <v>191</v>
      </c>
      <c r="OG66" s="22" t="str">
        <f t="shared" si="288"/>
        <v>XT5</v>
      </c>
      <c r="OH66" t="s">
        <v>705</v>
      </c>
      <c r="OI66" t="s">
        <v>698</v>
      </c>
      <c r="OJ66" t="s">
        <v>706</v>
      </c>
      <c r="OK66" t="s">
        <v>699</v>
      </c>
      <c r="OL66" t="str">
        <f t="shared" si="289"/>
        <v>10A</v>
      </c>
      <c r="OM66" t="str">
        <f t="shared" si="290"/>
        <v>10B</v>
      </c>
      <c r="ON66" t="str">
        <f t="shared" si="291"/>
        <v>11A</v>
      </c>
      <c r="OO66" t="str">
        <f t="shared" si="275"/>
        <v>11B</v>
      </c>
      <c r="OP66" t="str">
        <f t="shared" si="276"/>
        <v>12A</v>
      </c>
      <c r="OQ66" t="str">
        <f t="shared" si="277"/>
        <v>12B</v>
      </c>
      <c r="OR66" t="str">
        <f t="shared" ref="OR66" si="293">CONCATENATE(REPLACE(OP66,LEN(OP66),1,"")+1,RIGHT(OP66))</f>
        <v>13A</v>
      </c>
      <c r="OS66" t="str">
        <f t="shared" ref="OS66" si="294">CONCATENATE(REPLACE(OQ66,LEN(OQ66),1,"")+1,RIGHT(OQ66))</f>
        <v>13B</v>
      </c>
      <c r="OT66" t="str">
        <f t="shared" ref="OT66" si="295">CONCATENATE(REPLACE(OR66,LEN(OR66),1,"")+1,RIGHT(OR66))</f>
        <v>14A</v>
      </c>
      <c r="OU66" t="str">
        <f t="shared" ref="OU66" si="296">CONCATENATE(REPLACE(OS66,LEN(OS66),1,"")+1,RIGHT(OS66))</f>
        <v>14B</v>
      </c>
      <c r="OV66" t="str">
        <f>CONCATENATE($T66,"-AI",REPLACE($X66,1,3,""),"-",$AA66)</f>
        <v>N1-AI21-9A</v>
      </c>
      <c r="OW66" t="str">
        <f>CONCATENATE($T66,"-AI",REPLACE($X66,1,3,""),"-",$AB66)</f>
        <v>N1-AI21-9B</v>
      </c>
      <c r="OX66" t="str">
        <f t="shared" si="278"/>
        <v>N1-AI21-10A</v>
      </c>
      <c r="OY66" t="str">
        <f t="shared" si="279"/>
        <v>N1-AI21-10B</v>
      </c>
      <c r="OZ66" t="str">
        <f t="shared" si="280"/>
        <v>N1-AI21-11A</v>
      </c>
      <c r="PA66" t="str">
        <f t="shared" si="281"/>
        <v>N1-AI21-11B</v>
      </c>
      <c r="PB66" t="str">
        <f t="shared" si="282"/>
        <v>N1-AI21-12A</v>
      </c>
      <c r="PC66" t="str">
        <f t="shared" si="283"/>
        <v>N1-AI21-12B</v>
      </c>
      <c r="PD66" t="str">
        <f t="shared" ref="PD66" si="297">CONCATENATE($T66,"-AI",REPLACE($X66,1,3,""),"-",OR66)</f>
        <v>N1-AI21-13A</v>
      </c>
      <c r="PE66" t="str">
        <f t="shared" ref="PE66" si="298">CONCATENATE($T66,"-AI",REPLACE($X66,1,3,""),"-",OS66)</f>
        <v>N1-AI21-13B</v>
      </c>
      <c r="PF66" t="str">
        <f t="shared" ref="PF66" si="299">CONCATENATE($T66,"-AI",REPLACE($X66,1,3,""),"-",OT66)</f>
        <v>N1-AI21-14A</v>
      </c>
      <c r="PG66" t="str">
        <f t="shared" ref="PG66" si="300">CONCATENATE($T66,"-AI",REPLACE($X66,1,3,""),"-",OU66)</f>
        <v>N1-AI21-14B</v>
      </c>
      <c r="PH66" cm="1">
        <f t="array" ref="PH66">IF(COUNTIFS($U$2:$U66,$U66)=1,1,INDEX(PH:PH,_xlfn.XMATCH($U66,$U$1:$U65,0,-1))+COUNT(PH65:PM65))</f>
        <v>13</v>
      </c>
      <c r="PI66">
        <f t="shared" si="284"/>
        <v>14</v>
      </c>
      <c r="PJ66">
        <f t="shared" si="285"/>
        <v>15</v>
      </c>
      <c r="PK66">
        <f t="shared" si="292"/>
        <v>16</v>
      </c>
      <c r="PL66">
        <f t="shared" si="286"/>
        <v>17</v>
      </c>
      <c r="PM66">
        <f t="shared" si="287"/>
        <v>18</v>
      </c>
      <c r="PN66">
        <f t="shared" ref="PN66" si="301">PM66+1</f>
        <v>19</v>
      </c>
      <c r="PO66">
        <f t="shared" ref="PO66" si="302">PN66+1</f>
        <v>20</v>
      </c>
      <c r="PP66">
        <f t="shared" ref="PP66" si="303">PO66+1</f>
        <v>21</v>
      </c>
      <c r="PQ66">
        <v>1</v>
      </c>
      <c r="PR66">
        <v>2</v>
      </c>
      <c r="PS66">
        <v>3</v>
      </c>
      <c r="PT66">
        <v>4</v>
      </c>
      <c r="PU66">
        <v>5</v>
      </c>
      <c r="PV66">
        <v>6</v>
      </c>
      <c r="PW66" s="10">
        <v>7</v>
      </c>
      <c r="PX66" s="10">
        <v>8</v>
      </c>
      <c r="PY66" s="11">
        <v>9</v>
      </c>
    </row>
    <row r="67" spans="1:550" ht="15.75" thickBot="1" x14ac:dyDescent="0.3">
      <c r="A67" t="s">
        <v>1045</v>
      </c>
      <c r="B67" s="39" t="s">
        <v>700</v>
      </c>
      <c r="P67" t="s">
        <v>223</v>
      </c>
      <c r="T67" s="12" t="s">
        <v>487</v>
      </c>
      <c r="U67">
        <v>5</v>
      </c>
      <c r="W67" t="s">
        <v>722</v>
      </c>
      <c r="X67" t="s">
        <v>724</v>
      </c>
      <c r="Y67" s="36" t="str" cm="1">
        <f t="array" ref="Y67">IF(COUNTIFS($X$2:$X67,$X67)=1,"1",VALUE(SUBSTITUTE(INDEX(Y:Y,_xlfn.XMATCH($X67,$X$1:$X66,0,-1)),"A",""))+INDEX(Z:Z,_xlfn.XMATCH($X67,$X$1:$X66,0,-1))+1)</f>
        <v>1</v>
      </c>
      <c r="Z67" s="36" cm="1">
        <f t="array" ref="Z67">SUM(IF(ISNUMBER(FIND("TmAi",$BE$1:$AAL$1)),IF(IFERROR(ISODD(SUBSTITUTE($BE67:$AAL67,"A","")),FALSE),IF(ISODD(SUBSTITUTE($BE67:$AAL67,"A","")),1,0),0)))</f>
        <v>0</v>
      </c>
      <c r="AA67" t="str">
        <f t="shared" ref="AA67" si="304">CONCATENATE($Y67*2-1,"B")</f>
        <v>1B</v>
      </c>
      <c r="AB67" t="str">
        <f t="shared" ref="AB67" si="305">CONCATENATE($Y67*2,"B")</f>
        <v>2B</v>
      </c>
      <c r="AP67" t="s">
        <v>489</v>
      </c>
      <c r="AQ67" t="s">
        <v>725</v>
      </c>
      <c r="AS67" t="s">
        <v>191</v>
      </c>
      <c r="JZ67" s="20" t="str">
        <f>CONCATENATE("XT",U67)</f>
        <v>XT5</v>
      </c>
      <c r="KA67" s="10"/>
      <c r="KB67" s="10"/>
      <c r="KC67" s="10" t="str">
        <f>CONCATENATE(T67,"-AI",REPLACE($X67,1,3,""),"-",AA67)</f>
        <v>N1-AI15-1B</v>
      </c>
      <c r="KD67" s="10" t="str">
        <f>CONCATENATE(T67,"-AI",REPLACE($X67,1,3,""),"-",AB67)</f>
        <v>N1-AI15-2B</v>
      </c>
      <c r="KE67" s="10"/>
      <c r="KF67" s="10"/>
      <c r="KG67" s="10"/>
      <c r="KH67" s="10"/>
      <c r="KI67" s="10">
        <v>22</v>
      </c>
      <c r="KJ67" s="10">
        <f t="shared" ref="KJ67" si="306">KI67+1</f>
        <v>23</v>
      </c>
      <c r="KK67" s="10">
        <f t="shared" ref="KK67" si="307">KJ67+1</f>
        <v>24</v>
      </c>
      <c r="KL67" s="10"/>
      <c r="KM67" s="10"/>
      <c r="KN67" s="10" t="s">
        <v>233</v>
      </c>
      <c r="KO67" s="10" t="s">
        <v>233</v>
      </c>
      <c r="KP67" s="10"/>
      <c r="KQ67" s="10"/>
      <c r="KR67" s="10"/>
      <c r="KS67" s="10"/>
      <c r="KT67" s="10"/>
      <c r="KU67" s="10"/>
      <c r="KV67" s="10"/>
      <c r="KW67" s="10"/>
      <c r="KX67" s="10"/>
      <c r="KY67" s="10"/>
      <c r="KZ67" s="10"/>
      <c r="LA67" s="10"/>
      <c r="LB67" s="10"/>
      <c r="LC67" s="10"/>
      <c r="LD67" s="10"/>
      <c r="LE67" s="10"/>
      <c r="LF67" s="10"/>
      <c r="LG67" s="10"/>
      <c r="LH67" s="10"/>
      <c r="LI67" s="10"/>
      <c r="LJ67" s="10"/>
      <c r="LK67" s="10"/>
      <c r="LL67" s="10"/>
      <c r="LM67" s="10"/>
      <c r="LN67" s="10"/>
      <c r="LO67" s="10"/>
      <c r="LP67" s="10"/>
      <c r="LQ67" s="10"/>
      <c r="LR67" s="10"/>
      <c r="LS67" s="10"/>
      <c r="LT67" s="10"/>
      <c r="LU67" s="10"/>
      <c r="LV67" s="10"/>
      <c r="LW67" s="10"/>
      <c r="LX67" s="10"/>
      <c r="LY67" s="10"/>
      <c r="LZ67" s="10"/>
      <c r="MA67" s="10"/>
      <c r="MB67" s="10"/>
      <c r="MC67" s="10"/>
      <c r="MD67" s="10"/>
      <c r="ME67" s="10"/>
      <c r="MF67" s="10"/>
      <c r="MG67" s="10"/>
      <c r="MH67" s="10"/>
      <c r="MI67" s="10"/>
      <c r="MJ67" s="10"/>
      <c r="MK67" s="10"/>
      <c r="ML67" s="10"/>
      <c r="MM67" s="10"/>
      <c r="MN67" s="10"/>
      <c r="MO67" s="10"/>
      <c r="MP67" s="10"/>
      <c r="MQ67" s="10"/>
      <c r="MR67" s="10"/>
      <c r="MS67" s="10"/>
      <c r="MT67" s="10"/>
      <c r="MU67" s="10"/>
      <c r="MV67" s="10"/>
      <c r="MW67" s="10"/>
      <c r="MX67" s="10"/>
      <c r="MY67" s="10"/>
      <c r="MZ67" s="10"/>
      <c r="NA67" s="10"/>
      <c r="NB67" s="10"/>
      <c r="NC67" s="10"/>
      <c r="ND67" s="10"/>
      <c r="NE67" s="10"/>
      <c r="NF67" s="10"/>
      <c r="NG67" s="10"/>
      <c r="NH67" s="10"/>
      <c r="NI67" s="10"/>
      <c r="NJ67" s="10"/>
      <c r="NK67" s="10"/>
      <c r="NL67" s="10"/>
      <c r="NM67" s="10"/>
      <c r="NN67" s="10"/>
      <c r="NO67" s="10"/>
      <c r="NP67" s="10"/>
      <c r="NQ67" s="10"/>
      <c r="NR67" s="10"/>
      <c r="NS67" s="10"/>
      <c r="NT67" s="10"/>
      <c r="NU67" s="10"/>
      <c r="NV67" s="10"/>
      <c r="NW67" s="10"/>
      <c r="NX67" s="10"/>
      <c r="NY67" s="10"/>
      <c r="NZ67" s="10"/>
      <c r="OA67" s="10"/>
      <c r="OB67" s="10"/>
      <c r="OC67" s="10"/>
      <c r="OD67" s="10"/>
      <c r="OE67" s="10"/>
      <c r="OF67" s="10"/>
      <c r="PY67" s="14"/>
    </row>
    <row r="68" spans="1:550" ht="15.75" thickBot="1" x14ac:dyDescent="0.3">
      <c r="A68" t="s">
        <v>1046</v>
      </c>
      <c r="B68" s="27" t="s">
        <v>701</v>
      </c>
      <c r="P68" t="s">
        <v>334</v>
      </c>
      <c r="T68" s="12" t="s">
        <v>487</v>
      </c>
      <c r="U68">
        <v>5</v>
      </c>
      <c r="W68" t="s">
        <v>723</v>
      </c>
      <c r="X68" t="str">
        <f>IF(COUNTIF(X$2:X67,X67)&gt;7,REPLACE(X67,LEN(X67),1,VALUE(RIGHT(X67,1))+1),X67)</f>
        <v>A3.15</v>
      </c>
      <c r="Y68" s="36" cm="1">
        <f t="array" ref="Y68">IF(COUNTIFS($X$2:$X68,$X68)=1,"1",VALUE(SUBSTITUTE(INDEX(Y:Y,_xlfn.XMATCH($X68,$X$1:$X67,0,-1)),"A",""))+INDEX(Z:Z,_xlfn.XMATCH($X68,$X$1:$X67,0,-1))+1)</f>
        <v>2</v>
      </c>
      <c r="Z68" s="36" cm="1">
        <f t="array" ref="Z68">SUM(IF(ISNUMBER(FIND("TmAi",$BE$1:$AAL$1)),IF(IFERROR(ISODD(SUBSTITUTE($BE68:$AAL68,"A","")),FALSE),IF(ISODD(SUBSTITUTE($BE68:$AAL68,"A","")),1,0),0)))</f>
        <v>11</v>
      </c>
      <c r="AA68" t="str">
        <f t="shared" si="164"/>
        <v>3A</v>
      </c>
      <c r="AB68" t="str">
        <f t="shared" si="165"/>
        <v>3B</v>
      </c>
      <c r="AP68" t="s">
        <v>489</v>
      </c>
      <c r="AR68" t="s">
        <v>702</v>
      </c>
      <c r="AS68" t="s">
        <v>191</v>
      </c>
      <c r="JZ68" s="23"/>
      <c r="KA68" s="16"/>
      <c r="KB68" s="16"/>
      <c r="KC68" s="16"/>
      <c r="KD68" s="16"/>
      <c r="KE68" s="16"/>
      <c r="KF68" s="16"/>
      <c r="KG68" s="16"/>
      <c r="KH68" s="16"/>
      <c r="KI68" s="16"/>
      <c r="KJ68" s="16"/>
      <c r="KK68" s="16"/>
      <c r="KL68" s="16"/>
      <c r="KM68" s="16"/>
      <c r="KN68" s="16"/>
      <c r="KO68" s="16"/>
      <c r="KP68" s="16"/>
      <c r="KQ68" s="16"/>
      <c r="KR68" s="16"/>
      <c r="KS68" s="16"/>
      <c r="KT68" s="16"/>
      <c r="KU68" s="16"/>
      <c r="KV68" s="16"/>
      <c r="KW68" s="16"/>
      <c r="KX68" s="16"/>
      <c r="KY68" s="16"/>
      <c r="KZ68" s="16"/>
      <c r="LA68" s="16"/>
      <c r="LB68" s="16"/>
      <c r="LC68" s="16"/>
      <c r="LD68" s="16"/>
      <c r="LE68" s="16"/>
      <c r="LF68" s="16"/>
      <c r="LG68" s="16"/>
      <c r="LH68" s="16"/>
      <c r="LI68" s="16"/>
      <c r="LJ68" s="16"/>
      <c r="LK68" s="16"/>
      <c r="LL68" s="16"/>
      <c r="LM68" s="16"/>
      <c r="LN68" s="16"/>
      <c r="LO68" s="16"/>
      <c r="LP68" s="16"/>
      <c r="LQ68" s="16"/>
      <c r="LR68" s="16"/>
      <c r="LS68" s="16"/>
      <c r="LT68" s="16"/>
      <c r="LU68" s="16"/>
      <c r="LV68" s="16"/>
      <c r="LW68" s="16"/>
      <c r="LX68" s="16"/>
      <c r="LY68" s="16"/>
      <c r="LZ68" s="16"/>
      <c r="MA68" s="16"/>
      <c r="MB68" s="16"/>
      <c r="MC68" s="16"/>
      <c r="MD68" s="16"/>
      <c r="ME68" s="16"/>
      <c r="MF68" s="16"/>
      <c r="MG68" s="16"/>
      <c r="MH68" s="16"/>
      <c r="MI68" s="16"/>
      <c r="MJ68" s="16"/>
      <c r="MK68" s="16"/>
      <c r="ML68" s="16"/>
      <c r="MM68" s="16"/>
      <c r="MN68" s="16"/>
      <c r="MO68" s="16"/>
      <c r="MP68" s="16"/>
      <c r="MQ68" s="16"/>
      <c r="MR68" s="16"/>
      <c r="MS68" s="16"/>
      <c r="MT68" s="16"/>
      <c r="MU68" s="16"/>
      <c r="MV68" s="16"/>
      <c r="MW68" s="16"/>
      <c r="MX68" s="16"/>
      <c r="MY68" s="16"/>
      <c r="MZ68" s="16"/>
      <c r="NA68" s="16"/>
      <c r="NB68" s="16"/>
      <c r="NC68" s="16"/>
      <c r="ND68" s="16"/>
      <c r="NE68" s="16"/>
      <c r="NF68" s="16"/>
      <c r="NG68" s="16"/>
      <c r="NH68" s="16"/>
      <c r="NI68" s="16"/>
      <c r="NJ68" s="16"/>
      <c r="NK68" s="16"/>
      <c r="NL68" s="16"/>
      <c r="NM68" s="16"/>
      <c r="NN68" s="16"/>
      <c r="NO68" s="16"/>
      <c r="NP68" s="16"/>
      <c r="NQ68" s="16"/>
      <c r="NR68" s="16"/>
      <c r="NS68" s="16"/>
      <c r="NT68" s="16"/>
      <c r="NU68" s="16"/>
      <c r="NV68" s="16"/>
      <c r="NW68" s="16"/>
      <c r="NX68" s="16"/>
      <c r="NY68" s="16"/>
      <c r="NZ68" s="16"/>
      <c r="OA68" s="16"/>
      <c r="OB68" s="16"/>
      <c r="OC68" s="16"/>
      <c r="OD68" s="16"/>
      <c r="OE68" s="16"/>
      <c r="OF68" s="16"/>
      <c r="OG68" s="16"/>
      <c r="OH68" s="16"/>
      <c r="OI68" s="16"/>
      <c r="OJ68" s="16"/>
      <c r="OK68" s="16"/>
      <c r="OL68" s="16"/>
      <c r="OM68" s="16"/>
      <c r="ON68" s="16"/>
      <c r="OO68" s="16"/>
      <c r="OP68" s="16"/>
      <c r="OQ68" s="16"/>
      <c r="OR68" s="16"/>
      <c r="OS68" s="16"/>
      <c r="OT68" s="16"/>
      <c r="OU68" s="16"/>
      <c r="OV68" s="16"/>
      <c r="OW68" s="16"/>
      <c r="OX68" s="16"/>
      <c r="OY68" s="16"/>
      <c r="OZ68" s="16"/>
      <c r="PA68" s="16"/>
      <c r="PB68" s="16"/>
      <c r="PC68" s="16"/>
      <c r="PD68" s="16"/>
      <c r="PE68" s="16"/>
      <c r="PF68" s="16"/>
      <c r="PG68" s="16"/>
      <c r="PH68" s="16"/>
      <c r="PI68" s="16"/>
      <c r="PJ68" s="16"/>
      <c r="PK68" s="16"/>
      <c r="PL68" s="16"/>
      <c r="PM68" s="16"/>
      <c r="PN68" s="16"/>
      <c r="PO68" s="16"/>
      <c r="PP68" s="16"/>
      <c r="PQ68" s="16"/>
      <c r="PR68" s="16"/>
      <c r="PS68" s="16"/>
      <c r="PT68" s="16"/>
      <c r="PU68" s="16"/>
      <c r="PV68" s="16"/>
      <c r="PW68" s="16"/>
      <c r="PX68" s="16"/>
      <c r="PY68" s="16"/>
      <c r="PZ68" s="18" t="str">
        <f>REPLACE(X68,FIND(".",X68)+1,3,MID(X68,FIND(".",X68)+1,3)+1)</f>
        <v>A3.16</v>
      </c>
      <c r="QA68" s="18" t="str">
        <f>CONCATENATE(VALUE(SUBSTITUTE($AB68,"B",""))+2,"B")</f>
        <v>5B</v>
      </c>
      <c r="QB68" s="18" t="str">
        <f>CONCATENATE(VALUE(SUBSTITUTE($AA68,"A",""))+2,"A")</f>
        <v>5A</v>
      </c>
      <c r="QC68" s="18" t="str">
        <f>CONCATENATE(VALUE(SUBSTITUTE(QA68,"B",""))+2,"B")</f>
        <v>7B</v>
      </c>
      <c r="QD68" s="18" t="str">
        <f>CONCATENATE(VALUE(SUBSTITUTE(QB68,"A",""))+2,"A")</f>
        <v>7A</v>
      </c>
      <c r="QE68" s="18" t="str">
        <f t="shared" ref="QE68" si="308">CONCATENATE(VALUE(SUBSTITUTE(QC68,"B",""))+2,"B")</f>
        <v>9B</v>
      </c>
      <c r="QF68" s="18" t="str">
        <f t="shared" ref="QF68" si="309">CONCATENATE(VALUE(SUBSTITUTE(QD68,"A",""))+2,"A")</f>
        <v>9A</v>
      </c>
      <c r="QG68" s="18" t="str">
        <f t="shared" ref="QG68" si="310">CONCATENATE(VALUE(SUBSTITUTE(QE68,"B",""))+2,"B")</f>
        <v>11B</v>
      </c>
      <c r="QH68" s="18" t="str">
        <f t="shared" ref="QH68" si="311">CONCATENATE(VALUE(SUBSTITUTE(QF68,"A",""))+2,"A")</f>
        <v>11A</v>
      </c>
      <c r="QI68" s="18" t="str">
        <f t="shared" ref="QI68" si="312">CONCATENATE(VALUE(SUBSTITUTE(QG68,"B",""))+2,"B")</f>
        <v>13B</v>
      </c>
      <c r="QJ68" s="18" t="str">
        <f t="shared" ref="QJ68" si="313">CONCATENATE(VALUE(SUBSTITUTE(QH68,"A",""))+2,"A")</f>
        <v>13A</v>
      </c>
      <c r="QK68" s="18" t="s">
        <v>130</v>
      </c>
      <c r="QL68" s="18" t="s">
        <v>131</v>
      </c>
      <c r="QM68" s="18" t="str">
        <f t="shared" ref="QM68" si="314">CONCATENATE(VALUE(SUBSTITUTE(QK68,"B",""))+2,"B")</f>
        <v>3B</v>
      </c>
      <c r="QN68" s="18" t="str">
        <f t="shared" ref="QN68" si="315">CONCATENATE(VALUE(SUBSTITUTE(QL68,"A",""))+2,"A")</f>
        <v>3A</v>
      </c>
      <c r="QO68" s="18" t="str">
        <f t="shared" ref="QO68" si="316">CONCATENATE(VALUE(SUBSTITUTE(QM68,"B",""))+2,"B")</f>
        <v>5B</v>
      </c>
      <c r="QP68" s="18" t="str">
        <f t="shared" ref="QP68" si="317">CONCATENATE(VALUE(SUBSTITUTE(QN68,"A",""))+2,"A")</f>
        <v>5A</v>
      </c>
      <c r="QQ68" s="18" t="str">
        <f t="shared" ref="QQ68" si="318">CONCATENATE(VALUE(SUBSTITUTE(QO68,"B",""))+2,"B")</f>
        <v>7B</v>
      </c>
      <c r="QR68" s="18" t="str">
        <f t="shared" ref="QR68" si="319">CONCATENATE(VALUE(SUBSTITUTE(QP68,"A",""))+2,"A")</f>
        <v>7A</v>
      </c>
      <c r="QS68" s="18" t="str">
        <f t="shared" ref="QS68" si="320">CONCATENATE(VALUE(SUBSTITUTE(QQ68,"B",""))+2,"B")</f>
        <v>9B</v>
      </c>
      <c r="QT68" s="18" t="str">
        <f t="shared" ref="QT68" si="321">CONCATENATE(VALUE(SUBSTITUTE(QR68,"A",""))+2,"A")</f>
        <v>9A</v>
      </c>
      <c r="QU68" s="18" t="str">
        <f t="shared" ref="QU68" si="322">CONCATENATE(VALUE(SUBSTITUTE(QS68,"B",""))+2,"B")</f>
        <v>11B</v>
      </c>
      <c r="QV68" s="18" t="str">
        <f t="shared" ref="QV68" si="323">CONCATENATE(VALUE(SUBSTITUTE(QT68,"A",""))+2,"A")</f>
        <v>11A</v>
      </c>
      <c r="QW68" s="18" t="str">
        <f>CONCATENATE($T68,"-AI",REPLACE($X68,1,3,""),"-",AB68)</f>
        <v>N1-AI15-3B</v>
      </c>
      <c r="QX68" s="18" t="str">
        <f>CONCATENATE($T68,"-AI",REPLACE($X68,1,3,""),"-",AA68)</f>
        <v>N1-AI15-3A</v>
      </c>
      <c r="QY68" s="18" t="str">
        <f>CONCATENATE($T68,"-AI",REPLACE($X68,1,3,""),"-",QA68)</f>
        <v>N1-AI15-5B</v>
      </c>
      <c r="QZ68" s="18" t="str">
        <f>CONCATENATE($T68,"-AI",REPLACE($X68,1,3,""),"-",QB68)</f>
        <v>N1-AI15-5A</v>
      </c>
      <c r="RA68" s="18" t="str">
        <f t="shared" ref="RA68" si="324">CONCATENATE($T68,"-AI",REPLACE($X68,1,3,""),"-",QC68)</f>
        <v>N1-AI15-7B</v>
      </c>
      <c r="RB68" s="18" t="str">
        <f t="shared" ref="RB68" si="325">CONCATENATE($T68,"-AI",REPLACE($X68,1,3,""),"-",QD68)</f>
        <v>N1-AI15-7A</v>
      </c>
      <c r="RC68" s="18" t="str">
        <f t="shared" ref="RC68" si="326">CONCATENATE($T68,"-AI",REPLACE($X68,1,3,""),"-",QE68)</f>
        <v>N1-AI15-9B</v>
      </c>
      <c r="RD68" s="18" t="str">
        <f t="shared" ref="RD68" si="327">CONCATENATE($T68,"-AI",REPLACE($X68,1,3,""),"-",QF68)</f>
        <v>N1-AI15-9A</v>
      </c>
      <c r="RE68" s="18" t="str">
        <f t="shared" ref="RE68" si="328">CONCATENATE($T68,"-AI",REPLACE($X68,1,3,""),"-",QG68)</f>
        <v>N1-AI15-11B</v>
      </c>
      <c r="RF68" s="18" t="str">
        <f t="shared" ref="RF68" si="329">CONCATENATE($T68,"-AI",REPLACE($X68,1,3,""),"-",QH68)</f>
        <v>N1-AI15-11A</v>
      </c>
      <c r="RG68" s="18" t="str">
        <f t="shared" ref="RG68" si="330">CONCATENATE($T68,"-AI",REPLACE($X68,1,3,""),"-",QI68)</f>
        <v>N1-AI15-13B</v>
      </c>
      <c r="RH68" s="18" t="str">
        <f t="shared" ref="RH68" si="331">CONCATENATE($T68,"-AI",REPLACE($X68,1,3,""),"-",QJ68)</f>
        <v>N1-AI15-13A</v>
      </c>
      <c r="RI68" s="18" t="str">
        <f t="shared" ref="RI68" si="332">CONCATENATE($T68,"-AI",REPLACE($PZ68,1,3,""),"-",QK68)</f>
        <v>N1-AI16-1B</v>
      </c>
      <c r="RJ68" s="18" t="str">
        <f t="shared" ref="RJ68" si="333">CONCATENATE($T68,"-AI",REPLACE($PZ68,1,3,""),"-",QL68)</f>
        <v>N1-AI16-1A</v>
      </c>
      <c r="RK68" s="18" t="str">
        <f t="shared" ref="RK68" si="334">CONCATENATE($T68,"-AI",REPLACE($PZ68,1,3,""),"-",QM68)</f>
        <v>N1-AI16-3B</v>
      </c>
      <c r="RL68" s="18" t="str">
        <f t="shared" ref="RL68" si="335">CONCATENATE($T68,"-AI",REPLACE($PZ68,1,3,""),"-",QN68)</f>
        <v>N1-AI16-3A</v>
      </c>
      <c r="RM68" s="18" t="str">
        <f t="shared" ref="RM68" si="336">CONCATENATE($T68,"-AI",REPLACE($PZ68,1,3,""),"-",QO68)</f>
        <v>N1-AI16-5B</v>
      </c>
      <c r="RN68" s="18" t="str">
        <f t="shared" ref="RN68" si="337">CONCATENATE($T68,"-AI",REPLACE($PZ68,1,3,""),"-",QP68)</f>
        <v>N1-AI16-5A</v>
      </c>
      <c r="RO68" s="18" t="str">
        <f t="shared" ref="RO68" si="338">CONCATENATE($T68,"-AI",REPLACE($PZ68,1,3,""),"-",QQ68)</f>
        <v>N1-AI16-7B</v>
      </c>
      <c r="RP68" s="18" t="str">
        <f t="shared" ref="RP68" si="339">CONCATENATE($T68,"-AI",REPLACE($PZ68,1,3,""),"-",QR68)</f>
        <v>N1-AI16-7A</v>
      </c>
      <c r="RQ68" s="18" t="str">
        <f t="shared" ref="RQ68" si="340">CONCATENATE($T68,"-AI",REPLACE($PZ68,1,3,""),"-",QS68)</f>
        <v>N1-AI16-9B</v>
      </c>
      <c r="RR68" s="18" t="str">
        <f t="shared" ref="RR68" si="341">CONCATENATE($T68,"-AI",REPLACE($PZ68,1,3,""),"-",QT68)</f>
        <v>N1-AI16-9A</v>
      </c>
      <c r="RS68" s="18" t="str">
        <f t="shared" ref="RS68" si="342">CONCATENATE($T68,"-AI",REPLACE($PZ68,1,3,""),"-",QU68)</f>
        <v>N1-AI16-11B</v>
      </c>
      <c r="RT68" s="18" t="str">
        <f t="shared" ref="RT68" si="343">CONCATENATE($T68,"-AI",REPLACE($PZ68,1,3,""),"-",QV68)</f>
        <v>N1-AI16-11A</v>
      </c>
      <c r="RU68" s="18" t="str">
        <f t="shared" ref="RU68" si="344">CONCATENATE("XT",$U68)</f>
        <v>XT5</v>
      </c>
      <c r="RV68" s="18">
        <v>25</v>
      </c>
      <c r="RW68" s="18">
        <f>RV68+1</f>
        <v>26</v>
      </c>
      <c r="RX68" s="18">
        <f t="shared" ref="RX68:SS68" si="345">RW68+1</f>
        <v>27</v>
      </c>
      <c r="RY68" s="18">
        <f t="shared" si="345"/>
        <v>28</v>
      </c>
      <c r="RZ68" s="18">
        <f t="shared" si="345"/>
        <v>29</v>
      </c>
      <c r="SA68" s="18">
        <f t="shared" si="345"/>
        <v>30</v>
      </c>
      <c r="SB68" s="18">
        <f t="shared" si="345"/>
        <v>31</v>
      </c>
      <c r="SC68" s="18">
        <f t="shared" si="345"/>
        <v>32</v>
      </c>
      <c r="SD68" s="18">
        <f t="shared" si="345"/>
        <v>33</v>
      </c>
      <c r="SE68" s="18">
        <f t="shared" si="345"/>
        <v>34</v>
      </c>
      <c r="SF68" s="18">
        <f t="shared" si="345"/>
        <v>35</v>
      </c>
      <c r="SG68" s="18">
        <f t="shared" si="345"/>
        <v>36</v>
      </c>
      <c r="SH68" s="18">
        <f t="shared" si="345"/>
        <v>37</v>
      </c>
      <c r="SI68" s="18">
        <f t="shared" si="345"/>
        <v>38</v>
      </c>
      <c r="SJ68" s="18">
        <f t="shared" si="345"/>
        <v>39</v>
      </c>
      <c r="SK68" s="18">
        <f t="shared" si="345"/>
        <v>40</v>
      </c>
      <c r="SL68" s="18">
        <f t="shared" si="345"/>
        <v>41</v>
      </c>
      <c r="SM68" s="18">
        <f t="shared" si="345"/>
        <v>42</v>
      </c>
      <c r="SN68" s="18">
        <f t="shared" si="345"/>
        <v>43</v>
      </c>
      <c r="SO68" s="18">
        <f t="shared" si="345"/>
        <v>44</v>
      </c>
      <c r="SP68" s="18">
        <f t="shared" si="345"/>
        <v>45</v>
      </c>
      <c r="SQ68" s="18">
        <f t="shared" si="345"/>
        <v>46</v>
      </c>
      <c r="SR68" s="18">
        <f t="shared" si="345"/>
        <v>47</v>
      </c>
      <c r="SS68" s="18">
        <f t="shared" si="345"/>
        <v>48</v>
      </c>
      <c r="ST68" s="18">
        <f>SS68+1</f>
        <v>49</v>
      </c>
      <c r="SU68" s="18" t="s">
        <v>707</v>
      </c>
      <c r="SV68" s="18" t="s">
        <v>708</v>
      </c>
      <c r="SW68" s="18" t="s">
        <v>709</v>
      </c>
      <c r="SX68" s="18" t="s">
        <v>710</v>
      </c>
      <c r="SY68" s="18" t="s">
        <v>711</v>
      </c>
      <c r="SZ68" s="18" t="s">
        <v>712</v>
      </c>
      <c r="TA68" s="18" t="s">
        <v>713</v>
      </c>
      <c r="TB68" s="18" t="s">
        <v>714</v>
      </c>
      <c r="TC68" s="18" t="s">
        <v>715</v>
      </c>
      <c r="TD68" s="18" t="s">
        <v>716</v>
      </c>
      <c r="TE68" s="18" t="s">
        <v>717</v>
      </c>
      <c r="TF68" s="18" t="s">
        <v>718</v>
      </c>
      <c r="TG68" s="18" t="s">
        <v>333</v>
      </c>
      <c r="TH68" s="18" t="s">
        <v>389</v>
      </c>
      <c r="TI68" s="18" t="s">
        <v>390</v>
      </c>
      <c r="TJ68" s="18" t="s">
        <v>391</v>
      </c>
      <c r="TK68" s="18" t="s">
        <v>393</v>
      </c>
      <c r="TL68" s="18" t="s">
        <v>392</v>
      </c>
      <c r="TM68" s="18" t="s">
        <v>394</v>
      </c>
      <c r="TN68" s="18" t="s">
        <v>395</v>
      </c>
      <c r="TO68" s="18" t="s">
        <v>396</v>
      </c>
      <c r="TP68" s="18" t="s">
        <v>397</v>
      </c>
      <c r="TQ68" s="18" t="s">
        <v>398</v>
      </c>
      <c r="TR68" s="19" t="s">
        <v>399</v>
      </c>
    </row>
    <row r="69" spans="1:550" ht="30.75" thickBot="1" x14ac:dyDescent="0.3">
      <c r="A69" t="s">
        <v>726</v>
      </c>
      <c r="B69" t="s">
        <v>727</v>
      </c>
      <c r="P69" t="s">
        <v>454</v>
      </c>
      <c r="T69" s="22" t="s">
        <v>487</v>
      </c>
      <c r="U69">
        <v>58</v>
      </c>
      <c r="V69" t="s">
        <v>726</v>
      </c>
      <c r="AP69" t="s">
        <v>489</v>
      </c>
      <c r="AQ69" t="s">
        <v>728</v>
      </c>
      <c r="TS69" s="43" t="s">
        <v>462</v>
      </c>
      <c r="TT69" s="18" t="s">
        <v>463</v>
      </c>
      <c r="TU69" s="18" t="s">
        <v>464</v>
      </c>
      <c r="TV69" s="18" t="s">
        <v>465</v>
      </c>
      <c r="TW69" s="18" t="s">
        <v>466</v>
      </c>
      <c r="TX69" s="18" t="s">
        <v>467</v>
      </c>
      <c r="TY69" s="18" t="s">
        <v>468</v>
      </c>
      <c r="TZ69" s="18" t="s">
        <v>469</v>
      </c>
      <c r="UA69" s="18" t="str">
        <f>CONCATENATE("XT",$U69)</f>
        <v>XT58</v>
      </c>
      <c r="UB69" s="18">
        <v>1</v>
      </c>
      <c r="UC69" s="18">
        <f>UB69+1</f>
        <v>2</v>
      </c>
      <c r="UD69" s="19">
        <f>UC69+1</f>
        <v>3</v>
      </c>
    </row>
    <row r="70" spans="1:550" x14ac:dyDescent="0.25">
      <c r="A70" t="s">
        <v>948</v>
      </c>
      <c r="B70" t="s">
        <v>737</v>
      </c>
      <c r="C70" t="s">
        <v>231</v>
      </c>
      <c r="P70" t="s">
        <v>223</v>
      </c>
      <c r="T70" s="12" t="s">
        <v>487</v>
      </c>
      <c r="U70">
        <v>1</v>
      </c>
      <c r="V70" t="s">
        <v>738</v>
      </c>
      <c r="X70" t="s">
        <v>253</v>
      </c>
      <c r="Y70" s="36" t="str" cm="1">
        <f t="array" ref="Y70">IF(COUNTIFS($X$2:$X70,$X70)=1,"1",VALUE(SUBSTITUTE(INDEX(Y:Y,_xlfn.XMATCH($X70,$X$1:$X69,0,-1)),"A",""))+INDEX(Z:Z,_xlfn.XMATCH($X70,$X$1:$X69,0,-1))+1)</f>
        <v>1</v>
      </c>
      <c r="Z70" s="36" cm="1">
        <f t="array" ref="Z70">SUM(IF(ISNUMBER(FIND("TmAi",$BE$1:$AAL$1)),IF(IFERROR(ISODD(SUBSTITUTE($BE70:$AAL70,"A","")),FALSE),IF(ISODD(SUBSTITUTE($BE70:$AAL70,"A","")),1,0),0)))</f>
        <v>0</v>
      </c>
      <c r="AA70" t="str">
        <f t="shared" ref="AA70:AA71" si="346">CONCATENATE($Y70*2-1,"B")</f>
        <v>1B</v>
      </c>
      <c r="AB70" t="str">
        <f t="shared" ref="AB70:AB71" si="347">CONCATENATE($Y70*2,"B")</f>
        <v>2B</v>
      </c>
      <c r="AP70" t="s">
        <v>489</v>
      </c>
      <c r="AS70" t="s">
        <v>191</v>
      </c>
      <c r="JZ70" s="22" t="str">
        <f t="shared" ref="JZ70" si="348">CONCATENATE("XT",U70)</f>
        <v>XT1</v>
      </c>
      <c r="KC70" t="str">
        <f t="shared" ref="KC70" si="349">CONCATENATE(T70,"-AI",REPLACE($X70,1,3,""),"-",AA70)</f>
        <v>N1-AI17-1B</v>
      </c>
      <c r="KD70" t="str">
        <f t="shared" ref="KD70" si="350">CONCATENATE(T70,"-AI",REPLACE($X70,1,3,""),"-",AB70)</f>
        <v>N1-AI17-2B</v>
      </c>
      <c r="KI70" cm="1">
        <f t="array" ref="KI70">IF(COUNTIFS($U$2:$U70,$U70)=1,1,INDEX(KI:KI,_xlfn.XMATCH(U70,U$1:U69,0,-1))+COUNT(KI48:KM48))</f>
        <v>142</v>
      </c>
      <c r="KJ70">
        <f t="shared" ref="KJ70:KK71" si="351">KI70+1</f>
        <v>143</v>
      </c>
      <c r="KK70">
        <f t="shared" si="351"/>
        <v>144</v>
      </c>
      <c r="KN70">
        <v>1</v>
      </c>
      <c r="KO70" s="14">
        <v>2</v>
      </c>
      <c r="KS70" s="14"/>
    </row>
    <row r="71" spans="1:550" ht="15.75" thickBot="1" x14ac:dyDescent="0.3">
      <c r="A71" t="s">
        <v>949</v>
      </c>
      <c r="B71" t="s">
        <v>739</v>
      </c>
      <c r="C71" t="s">
        <v>231</v>
      </c>
      <c r="P71" t="s">
        <v>223</v>
      </c>
      <c r="T71" s="12" t="s">
        <v>487</v>
      </c>
      <c r="U71">
        <v>1</v>
      </c>
      <c r="V71" t="s">
        <v>740</v>
      </c>
      <c r="X71" t="str">
        <f>IF(COUNTIF(X$2:X70,X70)&gt;7,REPLACE(X70,LEN(X70),1,VALUE(RIGHT(X70,1))+1),X70)</f>
        <v>A3.17</v>
      </c>
      <c r="Y71" s="36" cm="1">
        <f t="array" ref="Y71">IF(COUNTIFS($X$2:$X71,$X71)=1,"1",VALUE(SUBSTITUTE(INDEX(Y:Y,_xlfn.XMATCH($X71,$X$1:$X70,0,-1)),"A",""))+INDEX(Z:Z,_xlfn.XMATCH($X71,$X$1:$X70,0,-1))+1)</f>
        <v>2</v>
      </c>
      <c r="Z71" s="36" cm="1">
        <f t="array" ref="Z71">SUM(IF(ISNUMBER(FIND("TmAi",$BE$1:$AAL$1)),IF(IFERROR(ISODD(SUBSTITUTE($BE71:$AAL71,"A","")),FALSE),IF(ISODD(SUBSTITUTE($BE71:$AAL71,"A","")),1,0),0)))</f>
        <v>0</v>
      </c>
      <c r="AA71" t="str">
        <f t="shared" si="346"/>
        <v>3B</v>
      </c>
      <c r="AB71" t="str">
        <f t="shared" si="347"/>
        <v>4B</v>
      </c>
      <c r="AP71" t="s">
        <v>489</v>
      </c>
      <c r="AS71" t="s">
        <v>191</v>
      </c>
      <c r="JZ71" s="22" t="str">
        <f t="shared" ref="JZ71" si="352">CONCATENATE("XT",U71)</f>
        <v>XT1</v>
      </c>
      <c r="KC71" t="str">
        <f t="shared" ref="KC71" si="353">CONCATENATE(T71,"-AI",REPLACE($X71,1,3,""),"-",AA71)</f>
        <v>N1-AI17-3B</v>
      </c>
      <c r="KD71" t="str">
        <f t="shared" ref="KD71" si="354">CONCATENATE(T71,"-AI",REPLACE($X71,1,3,""),"-",AB71)</f>
        <v>N1-AI17-4B</v>
      </c>
      <c r="KI71" cm="1">
        <f t="array" ref="KI71">IF(COUNTIFS($U$2:$U71,$U71)=1,1,INDEX(KI:KI,_xlfn.XMATCH(U71,U$1:U70,0,-1))+COUNT(KI70:KM70))</f>
        <v>145</v>
      </c>
      <c r="KJ71">
        <f t="shared" si="351"/>
        <v>146</v>
      </c>
      <c r="KK71">
        <f t="shared" si="351"/>
        <v>147</v>
      </c>
      <c r="KN71">
        <v>1</v>
      </c>
      <c r="KO71" s="14">
        <v>2</v>
      </c>
      <c r="KS71" s="14"/>
    </row>
    <row r="72" spans="1:550" ht="30.75" thickBot="1" x14ac:dyDescent="0.3">
      <c r="A72" t="s">
        <v>862</v>
      </c>
      <c r="B72" t="s">
        <v>863</v>
      </c>
      <c r="P72" t="s">
        <v>454</v>
      </c>
      <c r="T72" s="22" t="s">
        <v>487</v>
      </c>
      <c r="U72">
        <v>58</v>
      </c>
      <c r="V72" t="s">
        <v>862</v>
      </c>
      <c r="AP72" t="s">
        <v>489</v>
      </c>
      <c r="AQ72" t="s">
        <v>864</v>
      </c>
      <c r="TS72" s="43" t="s">
        <v>473</v>
      </c>
      <c r="TT72" s="18" t="s">
        <v>463</v>
      </c>
      <c r="TU72" s="18" t="s">
        <v>464</v>
      </c>
      <c r="TV72" s="18" t="s">
        <v>465</v>
      </c>
      <c r="TW72" s="18" t="s">
        <v>466</v>
      </c>
      <c r="TX72" s="18" t="s">
        <v>470</v>
      </c>
      <c r="TY72" s="18" t="s">
        <v>471</v>
      </c>
      <c r="TZ72" s="18" t="s">
        <v>472</v>
      </c>
      <c r="UA72" s="18" t="str">
        <f>CONCATENATE("XT",$U72)</f>
        <v>XT58</v>
      </c>
      <c r="UB72" s="18">
        <v>4</v>
      </c>
      <c r="UC72" s="18">
        <f>UB72+1</f>
        <v>5</v>
      </c>
      <c r="UD72" s="19">
        <f>UC72+1</f>
        <v>6</v>
      </c>
    </row>
    <row r="73" spans="1:550" x14ac:dyDescent="0.25">
      <c r="A73" s="44" t="s">
        <v>987</v>
      </c>
      <c r="B73" t="s">
        <v>742</v>
      </c>
      <c r="C73" s="3"/>
      <c r="O73" s="2"/>
      <c r="P73" t="s">
        <v>126</v>
      </c>
      <c r="Q73" s="1"/>
      <c r="S73" s="1" t="s">
        <v>127</v>
      </c>
      <c r="T73" s="12" t="s">
        <v>487</v>
      </c>
      <c r="U73" s="40">
        <v>6</v>
      </c>
      <c r="V73" s="13" t="s">
        <v>743</v>
      </c>
      <c r="W73" s="13"/>
      <c r="AC73" t="s">
        <v>128</v>
      </c>
      <c r="AD73" s="36">
        <v>1</v>
      </c>
      <c r="AE73" s="36" cm="1">
        <f t="array" ref="AE73">SUM(IF(ISNUMBER(FIND("TmDi",$BE$1:$AAL$1)),IF(IFERROR(ISNUMBER(VALUE(SUBSTITUTE($BE73:$AAL73,"B",""))),FALSE),IF(ISNUMBER(VALUE(SUBSTITUTE($BE73:$AAL73,"B",""))),1,0),0)))</f>
        <v>5</v>
      </c>
      <c r="AF73" t="str">
        <f t="shared" ref="AF73:AF132" si="355">CONCATENATE("C",$AD73)</f>
        <v>C1</v>
      </c>
      <c r="AG73" t="str">
        <f t="shared" ref="AG73:AG132" si="356">CONCATENATE("B",$AD73)</f>
        <v>B1</v>
      </c>
      <c r="AH73" t="s">
        <v>129</v>
      </c>
      <c r="AI73" s="41">
        <v>1</v>
      </c>
      <c r="AJ73" s="41" cm="1">
        <f t="array" ref="AJ73">SUM(IF(ISNUMBER(FIND("TmDo",$BE$1:$AAL$1)),IF(IFERROR(ISNUMBER(VALUE(SUBSTITUTE($BE73:$AAL73,"B",""))),FALSE),IF(ISNUMBER(VALUE(SUBSTITUTE($BE73:$AAL73,"B",""))),1,0),0)))</f>
        <v>2</v>
      </c>
      <c r="AK73" t="str">
        <f t="shared" ref="AK73:AK104" si="357">CONCATENATE($AI73,"A")</f>
        <v>1A</v>
      </c>
      <c r="AL73" t="str">
        <f t="shared" ref="AL73:AL104" si="358">CONCATENATE($AI73,"B")</f>
        <v>1B</v>
      </c>
      <c r="AM73" t="s">
        <v>134</v>
      </c>
      <c r="AP73" t="s">
        <v>489</v>
      </c>
      <c r="AQ73" t="s">
        <v>744</v>
      </c>
      <c r="AT73" t="s">
        <v>132</v>
      </c>
      <c r="AU73" t="s">
        <v>133</v>
      </c>
      <c r="BD73" s="14"/>
      <c r="BE73" s="20" t="str">
        <f t="shared" ref="BE73" si="359">CONCATENATE("XT",U73)</f>
        <v>XT6</v>
      </c>
      <c r="BF73" s="10" t="str">
        <f t="shared" ref="BF73" si="360">CONCATENATE("C",REPLACE(AF73,1,1,"")+1)</f>
        <v>C2</v>
      </c>
      <c r="BG73" s="10" t="str">
        <f t="shared" ref="BG73" si="361">CONCATENATE("B",REPLACE(AG73,1,1,"")+1)</f>
        <v>B2</v>
      </c>
      <c r="BH73" s="10" t="str">
        <f t="shared" ref="BH73" si="362">CONCATENATE("C",REPLACE(BF73,1,1,"")+1)</f>
        <v>C3</v>
      </c>
      <c r="BI73" s="10" t="str">
        <f t="shared" ref="BI73" si="363">CONCATENATE("B",REPLACE(BG73,1,1,"")+1)</f>
        <v>B3</v>
      </c>
      <c r="BJ73" s="10" t="str">
        <f t="shared" ref="BJ73" si="364">CONCATENATE("C",REPLACE(BH73,1,1,"")+1)</f>
        <v>C4</v>
      </c>
      <c r="BK73" s="10" t="str">
        <f t="shared" ref="BK73" si="365">CONCATENATE("B",REPLACE(BI73,1,1,"")+1)</f>
        <v>B4</v>
      </c>
      <c r="BL73" s="10" t="str">
        <f t="shared" ref="BL73" si="366">CONCATENATE("C",REPLACE(BJ73,1,1,"")+1)</f>
        <v>C5</v>
      </c>
      <c r="BM73" s="10" t="str">
        <f t="shared" ref="BM73" si="367">CONCATENATE("B",REPLACE(BK73,1,1,"")+1)</f>
        <v>B5</v>
      </c>
      <c r="BN73" s="10" t="str">
        <f t="shared" ref="BN73" si="368">CONCATENATE("C",REPLACE(BL73,1,1,"")+1)</f>
        <v>C6</v>
      </c>
      <c r="BO73" s="10" t="str">
        <f t="shared" ref="BO73" si="369">CONCATENATE("B",REPLACE(BM73,1,1,"")+1)</f>
        <v>B6</v>
      </c>
      <c r="BP73" s="10" t="str">
        <f t="shared" ref="BP73:BP115" si="370">CONCATENATE(REPLACE(AK73,LEN(AK73),1,"")+1,"A")</f>
        <v>2A</v>
      </c>
      <c r="BQ73" s="10" t="str">
        <f t="shared" ref="BQ73:BQ115" si="371">CONCATENATE(REPLACE(AL73,LEN(AL73),1,"")+1,"B")</f>
        <v>2B</v>
      </c>
      <c r="BR73" s="10" t="str">
        <f t="shared" ref="BR73:BR115" si="372">CONCATENATE(REPLACE(BP73,LEN(BP73),1,"")+1,"A")</f>
        <v>3A</v>
      </c>
      <c r="BS73" s="10" t="str">
        <f t="shared" ref="BS73:BS115" si="373">CONCATENATE(REPLACE(BQ73,LEN(BQ73),1,"")+1,"B")</f>
        <v>3B</v>
      </c>
      <c r="BT73" s="10" t="str">
        <f t="shared" ref="BT73" si="374">CONCATENATE("DI",REPLACE($AC73,1,3,""),"-",AF73)</f>
        <v>DI1-C1</v>
      </c>
      <c r="BU73" s="10" t="str">
        <f t="shared" ref="BU73" si="375">CONCATENATE("DI",REPLACE($AC73,1,3,""),"-",AG73)</f>
        <v>DI1-B1</v>
      </c>
      <c r="BV73" s="10" t="str">
        <f t="shared" ref="BV73" si="376">CONCATENATE("DI",REPLACE($AC73,1,3,""),"-",BF73)</f>
        <v>DI1-C2</v>
      </c>
      <c r="BW73" s="10" t="str">
        <f t="shared" ref="BW73" si="377">CONCATENATE("DI",REPLACE($AC73,1,3,""),"-",BG73)</f>
        <v>DI1-B2</v>
      </c>
      <c r="BX73" s="10" t="str">
        <f t="shared" ref="BX73" si="378">CONCATENATE("DI",REPLACE($AC73,1,3,""),"-",BH73)</f>
        <v>DI1-C3</v>
      </c>
      <c r="BY73" s="10" t="str">
        <f t="shared" ref="BY73" si="379">CONCATENATE("DI",REPLACE($AC73,1,3,""),"-",BI73)</f>
        <v>DI1-B3</v>
      </c>
      <c r="BZ73" s="10" t="str">
        <f t="shared" ref="BZ73" si="380">CONCATENATE("DI",REPLACE($AC73,1,3,""),"-",BJ73)</f>
        <v>DI1-C4</v>
      </c>
      <c r="CA73" s="10" t="str">
        <f t="shared" ref="CA73" si="381">CONCATENATE("DI",REPLACE($AC73,1,3,""),"-",BK73)</f>
        <v>DI1-B4</v>
      </c>
      <c r="CB73" s="10" t="str">
        <f t="shared" ref="CB73" si="382">CONCATENATE("DI",REPLACE($AC73,1,3,""),"-",BL73)</f>
        <v>DI1-C5</v>
      </c>
      <c r="CC73" s="10" t="str">
        <f t="shared" ref="CC73" si="383">CONCATENATE("DI",REPLACE($AC73,1,3,""),"-",BM73)</f>
        <v>DI1-B5</v>
      </c>
      <c r="CD73" s="10" t="str">
        <f t="shared" ref="CD73" si="384">CONCATENATE("DI",REPLACE($AC73,1,3,""),"-",BN73)</f>
        <v>DI1-C6</v>
      </c>
      <c r="CE73" s="10" t="str">
        <f t="shared" ref="CE73" si="385">CONCATENATE("DI",REPLACE($AC73,1,3,""),"-",BO73)</f>
        <v>DI1-B6</v>
      </c>
      <c r="CF73" s="10" t="str">
        <f t="shared" ref="CF73" si="386">CONCATENATE("DO",REPLACE($AH73,1,3,""),"-",AK73)</f>
        <v>DO1-1A</v>
      </c>
      <c r="CG73" s="10" t="str">
        <f t="shared" ref="CG73" si="387">CONCATENATE("DO",REPLACE($AH73,1,3,""),"-",AL73)</f>
        <v>DO1-1B</v>
      </c>
      <c r="CH73" s="10" t="str">
        <f t="shared" ref="CH73" si="388">CONCATENATE("DO",REPLACE($AH73,1,3,""),"-",BP73)</f>
        <v>DO1-2A</v>
      </c>
      <c r="CI73" s="10" t="str">
        <f t="shared" ref="CI73" si="389">CONCATENATE("DO",REPLACE($AH73,1,3,""),"-",BQ73)</f>
        <v>DO1-2B</v>
      </c>
      <c r="CJ73" s="10" t="str">
        <f t="shared" ref="CJ73" si="390">CONCATENATE("DO",REPLACE($AH73,1,3,""),"-",BR73)</f>
        <v>DO1-3A</v>
      </c>
      <c r="CK73" s="10" t="str">
        <f t="shared" ref="CK73" si="391">CONCATENATE("DO",REPLACE($AH73,1,3,""),"-",BS73)</f>
        <v>DO1-3B</v>
      </c>
      <c r="CL73" s="10" t="str">
        <f t="shared" ref="CL73:CL115" si="392">CONCATENATE("K",$U73,"-10")</f>
        <v>K6-10</v>
      </c>
      <c r="CM73" s="10" t="str">
        <f t="shared" ref="CM73:CM115" si="393">CONCATENATE("K",$U73,"-03")</f>
        <v>K6-03</v>
      </c>
      <c r="CN73" s="10" t="str">
        <f t="shared" ref="CN73:CN115" si="394">CONCATENATE("K",$U73,"-04")</f>
        <v>K6-04</v>
      </c>
      <c r="CO73" s="10" t="str">
        <f t="shared" ref="CO73:CO115" si="395">CONCATENATE("K",$U73,"-01")</f>
        <v>K6-01</v>
      </c>
      <c r="CP73" s="10" t="str">
        <f t="shared" ref="CP73:CP115" si="396">CONCATENATE("K",$U73,"-08")</f>
        <v>K6-08</v>
      </c>
      <c r="CQ73" s="10" t="str">
        <f t="shared" ref="CQ73:CQ115" si="397">CONCATENATE("K",$U73,"-02")</f>
        <v>K6-02</v>
      </c>
      <c r="CR73" s="10" t="str">
        <f t="shared" ref="CR73:CR115" si="398">CONCATENATE("K",$U73,"-09")</f>
        <v>K6-09</v>
      </c>
      <c r="CS73" s="10" t="str">
        <f t="shared" ref="CS73:CS115" si="399">CONCATENATE("K",$U73,"-05")</f>
        <v>K6-05</v>
      </c>
      <c r="CT73" s="10" t="str">
        <f t="shared" ref="CT73:CT115" si="400">CONCATENATE("K",$U73,"-11")</f>
        <v>K6-11</v>
      </c>
      <c r="CU73" s="10" t="str">
        <f t="shared" ref="CU73:CU115" si="401">CONCATENATE($T73,"-M",$U73,"-A9")</f>
        <v>N1-M6-A9</v>
      </c>
      <c r="CV73" s="10" t="str">
        <f t="shared" ref="CV73:CV115" si="402">CONCATENATE($T73,"-M",$U73,"-A7")</f>
        <v>N1-M6-A7</v>
      </c>
      <c r="CW73" s="10" t="str">
        <f t="shared" ref="CW73:CW115" si="403">CONCATENATE($T73,"-M",$U73,"-A8")</f>
        <v>N1-M6-A8</v>
      </c>
      <c r="CX73" s="10" t="str">
        <f t="shared" ref="CX73:CX115" si="404">CONCATENATE($T73,"-M",$U73,"-A6")</f>
        <v>N1-M6-A6</v>
      </c>
      <c r="CY73" s="10" t="str">
        <f t="shared" ref="CY73:CY115" si="405">CONCATENATE($T73,"-M",$U73,"-A30")</f>
        <v>N1-M6-A30</v>
      </c>
      <c r="CZ73" s="10" t="str">
        <f t="shared" ref="CZ73:CZ115" si="406">CONCATENATE($T73,"-M",$U73,"-N")</f>
        <v>N1-M6-N</v>
      </c>
      <c r="DA73" s="10" t="str">
        <f t="shared" ref="DA73" si="407">CONCATENATE($T73,"-A220-M",U73)</f>
        <v>N1-A220-M6</v>
      </c>
      <c r="DB73" s="10" t="str">
        <f t="shared" ref="DB73:DB115" si="408">CONCATENATE($T73,"-M",$U73,"-XM01")</f>
        <v>N1-M6-XM01</v>
      </c>
      <c r="DC73" s="10" t="str">
        <f t="shared" ref="DC73:DC115" si="409">CONCATENATE($T73,"-M",$U73,"-A1")</f>
        <v>N1-M6-A1</v>
      </c>
      <c r="DD73" s="10" t="str">
        <f t="shared" ref="DD73:DD115" si="410">CONCATENATE($T73,"-M",$U73,"-A5")</f>
        <v>N1-M6-A5</v>
      </c>
      <c r="DE73" s="10" t="str">
        <f t="shared" ref="DE73:DE115" si="411">CONCATENATE($T73,"-M",$U73,"-A11")</f>
        <v>N1-M6-A11</v>
      </c>
      <c r="DF73" s="10" t="str">
        <f t="shared" ref="DF73:DF115" si="412">CONCATENATE($T73,"-M",$U73,"-A12")</f>
        <v>N1-M6-A12</v>
      </c>
      <c r="DG73" s="10" t="str">
        <f t="shared" ref="DG73:DG115" si="413">CONCATENATE($T73,"-M",$U73,"-A19")</f>
        <v>N1-M6-A19</v>
      </c>
      <c r="DH73" s="10" t="str">
        <f t="shared" ref="DH73:DH115" si="414">CONCATENATE($T73,"-M",$U73,"-A20")</f>
        <v>N1-M6-A20</v>
      </c>
      <c r="DI73" s="10" t="s">
        <v>135</v>
      </c>
      <c r="DJ73" s="10" t="s">
        <v>136</v>
      </c>
      <c r="DK73" s="10">
        <v>11</v>
      </c>
      <c r="DL73" s="10">
        <v>14</v>
      </c>
      <c r="DM73" s="10">
        <v>12</v>
      </c>
      <c r="DN73" s="10" t="s">
        <v>137</v>
      </c>
      <c r="DO73" s="10" t="s">
        <v>138</v>
      </c>
      <c r="DP73" s="10">
        <v>1</v>
      </c>
      <c r="DQ73" s="10">
        <v>2</v>
      </c>
      <c r="DR73" s="10">
        <v>3</v>
      </c>
      <c r="DS73" s="10">
        <v>4</v>
      </c>
      <c r="DT73" s="10">
        <v>5</v>
      </c>
      <c r="DU73" s="10">
        <v>6</v>
      </c>
      <c r="DV73" s="10">
        <v>7</v>
      </c>
      <c r="DW73" s="10">
        <v>8</v>
      </c>
      <c r="DX73" s="10">
        <v>9</v>
      </c>
      <c r="DY73" s="10">
        <v>10</v>
      </c>
      <c r="DZ73" s="10">
        <v>11</v>
      </c>
      <c r="EA73" s="10">
        <v>12</v>
      </c>
      <c r="EB73" s="10">
        <v>13</v>
      </c>
      <c r="EC73" s="10">
        <v>14</v>
      </c>
      <c r="ED73" s="10">
        <v>1</v>
      </c>
      <c r="EE73" s="10">
        <v>3</v>
      </c>
      <c r="EF73" s="10">
        <v>4</v>
      </c>
      <c r="EG73" s="10">
        <v>7</v>
      </c>
      <c r="EH73" s="10">
        <v>8</v>
      </c>
      <c r="EI73" s="10">
        <v>9</v>
      </c>
      <c r="EJ73" s="10">
        <v>10</v>
      </c>
      <c r="EK73" s="10">
        <v>13</v>
      </c>
      <c r="EL73" s="10">
        <v>14</v>
      </c>
      <c r="EM73" s="10">
        <v>15</v>
      </c>
      <c r="EN73" s="10">
        <v>16</v>
      </c>
      <c r="EO73" s="10">
        <v>22</v>
      </c>
      <c r="EP73" s="10">
        <v>23</v>
      </c>
      <c r="EQ73" s="11">
        <v>24</v>
      </c>
    </row>
    <row r="74" spans="1:550" x14ac:dyDescent="0.25">
      <c r="A74" s="44" t="s">
        <v>988</v>
      </c>
      <c r="B74" t="s">
        <v>745</v>
      </c>
      <c r="C74" s="3"/>
      <c r="O74" s="2"/>
      <c r="P74" t="s">
        <v>126</v>
      </c>
      <c r="Q74" s="1"/>
      <c r="S74" s="1" t="s">
        <v>127</v>
      </c>
      <c r="T74" s="12" t="s">
        <v>487</v>
      </c>
      <c r="U74" s="40">
        <v>7</v>
      </c>
      <c r="V74" s="13" t="s">
        <v>746</v>
      </c>
      <c r="W74" s="13"/>
      <c r="AC74" t="str">
        <f t="shared" ref="AC74:AC112" si="415">IF(AD73+AE73&gt;25,REPLACE(AC73,LEN(AC73),1,VALUE(RIGHT(AC73,1))+1),AC73)</f>
        <v>A5.1</v>
      </c>
      <c r="AD74" s="36" cm="1">
        <f t="array" ref="AD74">IF(COUNTIFS(AC$2:AC74,AC74)=1,"1",VALUE(SUBSTITUTE(INDEX(AD:AD,_xlfn.XMATCH(AC74,AC$1:AC73,0,-1)),"A",""))+INDEX(AE:AE,_xlfn.XMATCH(AC74,AC$1:AC73,0,-1))+1)</f>
        <v>7</v>
      </c>
      <c r="AE74" s="36" cm="1">
        <f t="array" ref="AE74">SUM(IF(ISNUMBER(FIND("TmDi",$BE$1:$AAL$1)),IF(IFERROR(ISNUMBER(VALUE(SUBSTITUTE($BE74:$AAL74,"B",""))),FALSE),IF(ISNUMBER(VALUE(SUBSTITUTE($BE74:$AAL74,"B",""))),1,0),0)))</f>
        <v>5</v>
      </c>
      <c r="AF74" t="str">
        <f t="shared" si="355"/>
        <v>C7</v>
      </c>
      <c r="AG74" t="str">
        <f t="shared" si="356"/>
        <v>B7</v>
      </c>
      <c r="AH74" t="str">
        <f t="shared" ref="AH74:AH80" si="416">IF(AI73+AJ73&gt;25,REPLACE(AH73,LEN(AH73),1,VALUE(RIGHT(AH73,1))+1),AH73)</f>
        <v>A6.1</v>
      </c>
      <c r="AI74" s="47" cm="1">
        <f t="array" ref="AI74">IF(COUNTIFS(AH$2:AH74,AH74)=1,"1",VALUE(SUBSTITUTE(INDEX(AI:AI,_xlfn.XMATCH(AH74,AH$1:AH73,0,-1)),"A",""))+INDEX(AJ:AJ,_xlfn.XMATCH(AH74,AH$1:AH73,0,-1))+1)</f>
        <v>4</v>
      </c>
      <c r="AJ74" s="41" cm="1">
        <f t="array" ref="AJ74">SUM(IF(ISNUMBER(FIND("TmDo",$BE$1:$AAL$1)),IF(IFERROR(ISNUMBER(VALUE(SUBSTITUTE($BE74:$AAL74,"B",""))),FALSE),IF(ISNUMBER(VALUE(SUBSTITUTE($BE74:$AAL74,"B",""))),1,0),0)))</f>
        <v>2</v>
      </c>
      <c r="AK74" t="str">
        <f t="shared" si="357"/>
        <v>4A</v>
      </c>
      <c r="AL74" t="str">
        <f t="shared" si="358"/>
        <v>4B</v>
      </c>
      <c r="AM74" t="s">
        <v>139</v>
      </c>
      <c r="AP74" t="s">
        <v>489</v>
      </c>
      <c r="AQ74" t="s">
        <v>744</v>
      </c>
      <c r="AT74" t="s">
        <v>132</v>
      </c>
      <c r="AU74" t="s">
        <v>133</v>
      </c>
      <c r="BD74" s="14"/>
      <c r="BE74" s="22" t="str">
        <f t="shared" ref="BE74" si="417">CONCATENATE("XT",U74)</f>
        <v>XT7</v>
      </c>
      <c r="BF74" t="str">
        <f t="shared" ref="BF74" si="418">CONCATENATE("C",REPLACE(AF74,1,1,"")+1)</f>
        <v>C8</v>
      </c>
      <c r="BG74" t="str">
        <f t="shared" ref="BG74" si="419">CONCATENATE("B",REPLACE(AG74,1,1,"")+1)</f>
        <v>B8</v>
      </c>
      <c r="BH74" t="str">
        <f t="shared" ref="BH74" si="420">CONCATENATE("C",REPLACE(BF74,1,1,"")+1)</f>
        <v>C9</v>
      </c>
      <c r="BI74" t="str">
        <f t="shared" ref="BI74" si="421">CONCATENATE("B",REPLACE(BG74,1,1,"")+1)</f>
        <v>B9</v>
      </c>
      <c r="BJ74" t="str">
        <f t="shared" ref="BJ74" si="422">CONCATENATE("C",REPLACE(BH74,1,1,"")+1)</f>
        <v>C10</v>
      </c>
      <c r="BK74" t="str">
        <f t="shared" ref="BK74" si="423">CONCATENATE("B",REPLACE(BI74,1,1,"")+1)</f>
        <v>B10</v>
      </c>
      <c r="BL74" t="str">
        <f t="shared" ref="BL74" si="424">CONCATENATE("C",REPLACE(BJ74,1,1,"")+1)</f>
        <v>C11</v>
      </c>
      <c r="BM74" t="str">
        <f t="shared" ref="BM74" si="425">CONCATENATE("B",REPLACE(BK74,1,1,"")+1)</f>
        <v>B11</v>
      </c>
      <c r="BN74" t="str">
        <f t="shared" ref="BN74" si="426">CONCATENATE("C",REPLACE(BL74,1,1,"")+1)</f>
        <v>C12</v>
      </c>
      <c r="BO74" t="str">
        <f t="shared" ref="BO74" si="427">CONCATENATE("B",REPLACE(BM74,1,1,"")+1)</f>
        <v>B12</v>
      </c>
      <c r="BP74" t="str">
        <f t="shared" si="370"/>
        <v>5A</v>
      </c>
      <c r="BQ74" t="str">
        <f t="shared" si="371"/>
        <v>5B</v>
      </c>
      <c r="BR74" t="str">
        <f t="shared" si="372"/>
        <v>6A</v>
      </c>
      <c r="BS74" t="str">
        <f t="shared" si="373"/>
        <v>6B</v>
      </c>
      <c r="BT74" t="str">
        <f t="shared" ref="BT74" si="428">CONCATENATE("DI",REPLACE($AC74,1,3,""),"-",AF74)</f>
        <v>DI1-C7</v>
      </c>
      <c r="BU74" t="str">
        <f t="shared" ref="BU74" si="429">CONCATENATE("DI",REPLACE($AC74,1,3,""),"-",AG74)</f>
        <v>DI1-B7</v>
      </c>
      <c r="BV74" t="str">
        <f t="shared" ref="BV74" si="430">CONCATENATE("DI",REPLACE($AC74,1,3,""),"-",BF74)</f>
        <v>DI1-C8</v>
      </c>
      <c r="BW74" t="str">
        <f t="shared" ref="BW74" si="431">CONCATENATE("DI",REPLACE($AC74,1,3,""),"-",BG74)</f>
        <v>DI1-B8</v>
      </c>
      <c r="BX74" t="str">
        <f t="shared" ref="BX74" si="432">CONCATENATE("DI",REPLACE($AC74,1,3,""),"-",BH74)</f>
        <v>DI1-C9</v>
      </c>
      <c r="BY74" t="str">
        <f t="shared" ref="BY74" si="433">CONCATENATE("DI",REPLACE($AC74,1,3,""),"-",BI74)</f>
        <v>DI1-B9</v>
      </c>
      <c r="BZ74" t="str">
        <f t="shared" ref="BZ74" si="434">CONCATENATE("DI",REPLACE($AC74,1,3,""),"-",BJ74)</f>
        <v>DI1-C10</v>
      </c>
      <c r="CA74" t="str">
        <f t="shared" ref="CA74" si="435">CONCATENATE("DI",REPLACE($AC74,1,3,""),"-",BK74)</f>
        <v>DI1-B10</v>
      </c>
      <c r="CB74" t="str">
        <f t="shared" ref="CB74" si="436">CONCATENATE("DI",REPLACE($AC74,1,3,""),"-",BL74)</f>
        <v>DI1-C11</v>
      </c>
      <c r="CC74" t="str">
        <f t="shared" ref="CC74" si="437">CONCATENATE("DI",REPLACE($AC74,1,3,""),"-",BM74)</f>
        <v>DI1-B11</v>
      </c>
      <c r="CD74" t="str">
        <f t="shared" ref="CD74" si="438">CONCATENATE("DI",REPLACE($AC74,1,3,""),"-",BN74)</f>
        <v>DI1-C12</v>
      </c>
      <c r="CE74" t="str">
        <f t="shared" ref="CE74" si="439">CONCATENATE("DI",REPLACE($AC74,1,3,""),"-",BO74)</f>
        <v>DI1-B12</v>
      </c>
      <c r="CF74" t="str">
        <f t="shared" ref="CF74" si="440">CONCATENATE("DO",REPLACE($AH74,1,3,""),"-",AK74)</f>
        <v>DO1-4A</v>
      </c>
      <c r="CG74" t="str">
        <f t="shared" ref="CG74" si="441">CONCATENATE("DO",REPLACE($AH74,1,3,""),"-",AL74)</f>
        <v>DO1-4B</v>
      </c>
      <c r="CH74" t="str">
        <f t="shared" ref="CH74" si="442">CONCATENATE("DO",REPLACE($AH74,1,3,""),"-",BP74)</f>
        <v>DO1-5A</v>
      </c>
      <c r="CI74" t="str">
        <f t="shared" ref="CI74" si="443">CONCATENATE("DO",REPLACE($AH74,1,3,""),"-",BQ74)</f>
        <v>DO1-5B</v>
      </c>
      <c r="CJ74" t="str">
        <f t="shared" ref="CJ74" si="444">CONCATENATE("DO",REPLACE($AH74,1,3,""),"-",BR74)</f>
        <v>DO1-6A</v>
      </c>
      <c r="CK74" t="str">
        <f t="shared" ref="CK74" si="445">CONCATENATE("DO",REPLACE($AH74,1,3,""),"-",BS74)</f>
        <v>DO1-6B</v>
      </c>
      <c r="CL74" t="str">
        <f t="shared" si="392"/>
        <v>K7-10</v>
      </c>
      <c r="CM74" t="str">
        <f t="shared" si="393"/>
        <v>K7-03</v>
      </c>
      <c r="CN74" t="str">
        <f t="shared" si="394"/>
        <v>K7-04</v>
      </c>
      <c r="CO74" t="str">
        <f t="shared" si="395"/>
        <v>K7-01</v>
      </c>
      <c r="CP74" t="str">
        <f t="shared" si="396"/>
        <v>K7-08</v>
      </c>
      <c r="CQ74" t="str">
        <f t="shared" si="397"/>
        <v>K7-02</v>
      </c>
      <c r="CR74" t="str">
        <f t="shared" si="398"/>
        <v>K7-09</v>
      </c>
      <c r="CS74" t="str">
        <f t="shared" si="399"/>
        <v>K7-05</v>
      </c>
      <c r="CT74" t="str">
        <f t="shared" si="400"/>
        <v>K7-11</v>
      </c>
      <c r="CU74" t="str">
        <f t="shared" si="401"/>
        <v>N1-M7-A9</v>
      </c>
      <c r="CV74" t="str">
        <f t="shared" si="402"/>
        <v>N1-M7-A7</v>
      </c>
      <c r="CW74" t="str">
        <f t="shared" si="403"/>
        <v>N1-M7-A8</v>
      </c>
      <c r="CX74" t="str">
        <f t="shared" si="404"/>
        <v>N1-M7-A6</v>
      </c>
      <c r="CY74" t="str">
        <f t="shared" si="405"/>
        <v>N1-M7-A30</v>
      </c>
      <c r="CZ74" t="str">
        <f t="shared" si="406"/>
        <v>N1-M7-N</v>
      </c>
      <c r="DA74" t="str">
        <f t="shared" ref="DA74" si="446">CONCATENATE($T74,"-A220-M",U74)</f>
        <v>N1-A220-M7</v>
      </c>
      <c r="DB74" t="str">
        <f t="shared" si="408"/>
        <v>N1-M7-XM01</v>
      </c>
      <c r="DC74" t="str">
        <f t="shared" si="409"/>
        <v>N1-M7-A1</v>
      </c>
      <c r="DD74" t="str">
        <f t="shared" si="410"/>
        <v>N1-M7-A5</v>
      </c>
      <c r="DE74" t="str">
        <f t="shared" si="411"/>
        <v>N1-M7-A11</v>
      </c>
      <c r="DF74" t="str">
        <f t="shared" si="412"/>
        <v>N1-M7-A12</v>
      </c>
      <c r="DG74" t="str">
        <f t="shared" si="413"/>
        <v>N1-M7-A19</v>
      </c>
      <c r="DH74" t="str">
        <f t="shared" si="414"/>
        <v>N1-M7-A20</v>
      </c>
      <c r="DI74" t="s">
        <v>135</v>
      </c>
      <c r="DJ74" t="s">
        <v>136</v>
      </c>
      <c r="DK74">
        <v>11</v>
      </c>
      <c r="DL74">
        <v>14</v>
      </c>
      <c r="DM74">
        <v>12</v>
      </c>
      <c r="DN74" t="s">
        <v>137</v>
      </c>
      <c r="DO74" t="s">
        <v>138</v>
      </c>
      <c r="DP74">
        <v>1</v>
      </c>
      <c r="DQ74">
        <v>2</v>
      </c>
      <c r="DR74">
        <v>3</v>
      </c>
      <c r="DS74">
        <v>4</v>
      </c>
      <c r="DT74">
        <v>5</v>
      </c>
      <c r="DU74">
        <v>6</v>
      </c>
      <c r="DV74">
        <v>7</v>
      </c>
      <c r="DW74">
        <v>8</v>
      </c>
      <c r="DX74">
        <v>9</v>
      </c>
      <c r="DY74">
        <v>10</v>
      </c>
      <c r="DZ74">
        <v>11</v>
      </c>
      <c r="EA74">
        <v>12</v>
      </c>
      <c r="EB74">
        <v>13</v>
      </c>
      <c r="EC74">
        <v>14</v>
      </c>
      <c r="ED74">
        <v>1</v>
      </c>
      <c r="EE74">
        <v>3</v>
      </c>
      <c r="EF74">
        <v>4</v>
      </c>
      <c r="EG74">
        <v>7</v>
      </c>
      <c r="EH74">
        <v>8</v>
      </c>
      <c r="EI74">
        <v>9</v>
      </c>
      <c r="EJ74">
        <v>10</v>
      </c>
      <c r="EK74">
        <v>13</v>
      </c>
      <c r="EL74">
        <v>14</v>
      </c>
      <c r="EM74">
        <v>15</v>
      </c>
      <c r="EN74">
        <v>16</v>
      </c>
      <c r="EO74">
        <v>22</v>
      </c>
      <c r="EP74">
        <v>23</v>
      </c>
      <c r="EQ74" s="14">
        <v>24</v>
      </c>
    </row>
    <row r="75" spans="1:550" x14ac:dyDescent="0.25">
      <c r="A75" s="44" t="s">
        <v>989</v>
      </c>
      <c r="B75" t="s">
        <v>747</v>
      </c>
      <c r="C75" s="3"/>
      <c r="O75" s="2"/>
      <c r="P75" t="s">
        <v>126</v>
      </c>
      <c r="Q75" s="1"/>
      <c r="S75" s="1" t="s">
        <v>127</v>
      </c>
      <c r="T75" s="12" t="s">
        <v>487</v>
      </c>
      <c r="U75" s="40">
        <v>8</v>
      </c>
      <c r="V75" s="13" t="s">
        <v>748</v>
      </c>
      <c r="W75" s="13"/>
      <c r="AC75" t="str">
        <f t="shared" si="415"/>
        <v>A5.1</v>
      </c>
      <c r="AD75" s="36" cm="1">
        <f t="array" ref="AD75">IF(COUNTIFS(AC$2:AC75,AC75)=1,"1",VALUE(SUBSTITUTE(INDEX(AD:AD,_xlfn.XMATCH(AC75,AC$1:AC74,0,-1)),"A",""))+INDEX(AE:AE,_xlfn.XMATCH(AC75,AC$1:AC74,0,-1))+1)</f>
        <v>13</v>
      </c>
      <c r="AE75" s="36" cm="1">
        <f t="array" ref="AE75">SUM(IF(ISNUMBER(FIND("TmDi",$BE$1:$AAL$1)),IF(IFERROR(ISNUMBER(VALUE(SUBSTITUTE($BE75:$AAL75,"B",""))),FALSE),IF(ISNUMBER(VALUE(SUBSTITUTE($BE75:$AAL75,"B",""))),1,0),0)))</f>
        <v>5</v>
      </c>
      <c r="AF75" t="str">
        <f t="shared" si="355"/>
        <v>C13</v>
      </c>
      <c r="AG75" t="str">
        <f t="shared" si="356"/>
        <v>B13</v>
      </c>
      <c r="AH75" t="str">
        <f t="shared" si="416"/>
        <v>A6.1</v>
      </c>
      <c r="AI75" s="47" cm="1">
        <f t="array" ref="AI75">IF(COUNTIFS(AH$2:AH75,AH75)=1,"1",VALUE(SUBSTITUTE(INDEX(AI:AI,_xlfn.XMATCH(AH75,AH$1:AH74,0,-1)),"A",""))+INDEX(AJ:AJ,_xlfn.XMATCH(AH75,AH$1:AH74,0,-1))+1)</f>
        <v>7</v>
      </c>
      <c r="AJ75" s="41" cm="1">
        <f t="array" ref="AJ75">SUM(IF(ISNUMBER(FIND("TmDo",$BE$1:$AAL$1)),IF(IFERROR(ISNUMBER(VALUE(SUBSTITUTE($BE75:$AAL75,"B",""))),FALSE),IF(ISNUMBER(VALUE(SUBSTITUTE($BE75:$AAL75,"B",""))),1,0),0)))</f>
        <v>2</v>
      </c>
      <c r="AK75" t="str">
        <f t="shared" si="357"/>
        <v>7A</v>
      </c>
      <c r="AL75" t="str">
        <f t="shared" si="358"/>
        <v>7B</v>
      </c>
      <c r="AM75" t="s">
        <v>140</v>
      </c>
      <c r="AP75" t="s">
        <v>489</v>
      </c>
      <c r="AQ75" t="s">
        <v>744</v>
      </c>
      <c r="AT75" t="s">
        <v>132</v>
      </c>
      <c r="AU75" t="s">
        <v>133</v>
      </c>
      <c r="BD75" s="14"/>
      <c r="BE75" s="22" t="str">
        <f t="shared" ref="BE75:BE77" si="447">CONCATENATE("XT",U75)</f>
        <v>XT8</v>
      </c>
      <c r="BF75" t="str">
        <f t="shared" ref="BF75:BF77" si="448">CONCATENATE("C",REPLACE(AF75,1,1,"")+1)</f>
        <v>C14</v>
      </c>
      <c r="BG75" t="str">
        <f t="shared" ref="BG75:BG77" si="449">CONCATENATE("B",REPLACE(AG75,1,1,"")+1)</f>
        <v>B14</v>
      </c>
      <c r="BH75" t="str">
        <f t="shared" ref="BH75:BH77" si="450">CONCATENATE("C",REPLACE(BF75,1,1,"")+1)</f>
        <v>C15</v>
      </c>
      <c r="BI75" t="str">
        <f t="shared" ref="BI75:BI77" si="451">CONCATENATE("B",REPLACE(BG75,1,1,"")+1)</f>
        <v>B15</v>
      </c>
      <c r="BJ75" t="str">
        <f t="shared" ref="BJ75:BJ77" si="452">CONCATENATE("C",REPLACE(BH75,1,1,"")+1)</f>
        <v>C16</v>
      </c>
      <c r="BK75" t="str">
        <f t="shared" ref="BK75:BK77" si="453">CONCATENATE("B",REPLACE(BI75,1,1,"")+1)</f>
        <v>B16</v>
      </c>
      <c r="BL75" t="str">
        <f t="shared" ref="BL75:BL77" si="454">CONCATENATE("C",REPLACE(BJ75,1,1,"")+1)</f>
        <v>C17</v>
      </c>
      <c r="BM75" t="str">
        <f t="shared" ref="BM75:BM77" si="455">CONCATENATE("B",REPLACE(BK75,1,1,"")+1)</f>
        <v>B17</v>
      </c>
      <c r="BN75" t="str">
        <f t="shared" ref="BN75:BN77" si="456">CONCATENATE("C",REPLACE(BL75,1,1,"")+1)</f>
        <v>C18</v>
      </c>
      <c r="BO75" t="str">
        <f t="shared" ref="BO75:BO77" si="457">CONCATENATE("B",REPLACE(BM75,1,1,"")+1)</f>
        <v>B18</v>
      </c>
      <c r="BP75" t="str">
        <f t="shared" si="370"/>
        <v>8A</v>
      </c>
      <c r="BQ75" t="str">
        <f t="shared" si="371"/>
        <v>8B</v>
      </c>
      <c r="BR75" t="str">
        <f t="shared" si="372"/>
        <v>9A</v>
      </c>
      <c r="BS75" t="str">
        <f t="shared" si="373"/>
        <v>9B</v>
      </c>
      <c r="BT75" t="str">
        <f t="shared" ref="BT75:BT77" si="458">CONCATENATE("DI",REPLACE($AC75,1,3,""),"-",AF75)</f>
        <v>DI1-C13</v>
      </c>
      <c r="BU75" t="str">
        <f t="shared" ref="BU75:BU77" si="459">CONCATENATE("DI",REPLACE($AC75,1,3,""),"-",AG75)</f>
        <v>DI1-B13</v>
      </c>
      <c r="BV75" t="str">
        <f t="shared" ref="BV75:BV77" si="460">CONCATENATE("DI",REPLACE($AC75,1,3,""),"-",BF75)</f>
        <v>DI1-C14</v>
      </c>
      <c r="BW75" t="str">
        <f t="shared" ref="BW75:BW77" si="461">CONCATENATE("DI",REPLACE($AC75,1,3,""),"-",BG75)</f>
        <v>DI1-B14</v>
      </c>
      <c r="BX75" t="str">
        <f t="shared" ref="BX75:BX77" si="462">CONCATENATE("DI",REPLACE($AC75,1,3,""),"-",BH75)</f>
        <v>DI1-C15</v>
      </c>
      <c r="BY75" t="str">
        <f t="shared" ref="BY75:BY77" si="463">CONCATENATE("DI",REPLACE($AC75,1,3,""),"-",BI75)</f>
        <v>DI1-B15</v>
      </c>
      <c r="BZ75" t="str">
        <f t="shared" ref="BZ75:BZ77" si="464">CONCATENATE("DI",REPLACE($AC75,1,3,""),"-",BJ75)</f>
        <v>DI1-C16</v>
      </c>
      <c r="CA75" t="str">
        <f t="shared" ref="CA75:CA77" si="465">CONCATENATE("DI",REPLACE($AC75,1,3,""),"-",BK75)</f>
        <v>DI1-B16</v>
      </c>
      <c r="CB75" t="str">
        <f t="shared" ref="CB75:CB77" si="466">CONCATENATE("DI",REPLACE($AC75,1,3,""),"-",BL75)</f>
        <v>DI1-C17</v>
      </c>
      <c r="CC75" t="str">
        <f t="shared" ref="CC75:CC77" si="467">CONCATENATE("DI",REPLACE($AC75,1,3,""),"-",BM75)</f>
        <v>DI1-B17</v>
      </c>
      <c r="CD75" t="str">
        <f t="shared" ref="CD75:CD77" si="468">CONCATENATE("DI",REPLACE($AC75,1,3,""),"-",BN75)</f>
        <v>DI1-C18</v>
      </c>
      <c r="CE75" t="str">
        <f t="shared" ref="CE75:CE77" si="469">CONCATENATE("DI",REPLACE($AC75,1,3,""),"-",BO75)</f>
        <v>DI1-B18</v>
      </c>
      <c r="CF75" t="str">
        <f t="shared" ref="CF75:CF77" si="470">CONCATENATE("DO",REPLACE($AH75,1,3,""),"-",AK75)</f>
        <v>DO1-7A</v>
      </c>
      <c r="CG75" t="str">
        <f t="shared" ref="CG75:CG77" si="471">CONCATENATE("DO",REPLACE($AH75,1,3,""),"-",AL75)</f>
        <v>DO1-7B</v>
      </c>
      <c r="CH75" t="str">
        <f t="shared" ref="CH75:CH77" si="472">CONCATENATE("DO",REPLACE($AH75,1,3,""),"-",BP75)</f>
        <v>DO1-8A</v>
      </c>
      <c r="CI75" t="str">
        <f t="shared" ref="CI75:CI77" si="473">CONCATENATE("DO",REPLACE($AH75,1,3,""),"-",BQ75)</f>
        <v>DO1-8B</v>
      </c>
      <c r="CJ75" t="str">
        <f t="shared" ref="CJ75:CJ77" si="474">CONCATENATE("DO",REPLACE($AH75,1,3,""),"-",BR75)</f>
        <v>DO1-9A</v>
      </c>
      <c r="CK75" t="str">
        <f t="shared" ref="CK75:CK77" si="475">CONCATENATE("DO",REPLACE($AH75,1,3,""),"-",BS75)</f>
        <v>DO1-9B</v>
      </c>
      <c r="CL75" t="str">
        <f t="shared" si="392"/>
        <v>K8-10</v>
      </c>
      <c r="CM75" t="str">
        <f t="shared" si="393"/>
        <v>K8-03</v>
      </c>
      <c r="CN75" t="str">
        <f t="shared" si="394"/>
        <v>K8-04</v>
      </c>
      <c r="CO75" t="str">
        <f t="shared" si="395"/>
        <v>K8-01</v>
      </c>
      <c r="CP75" t="str">
        <f t="shared" si="396"/>
        <v>K8-08</v>
      </c>
      <c r="CQ75" t="str">
        <f t="shared" si="397"/>
        <v>K8-02</v>
      </c>
      <c r="CR75" t="str">
        <f t="shared" si="398"/>
        <v>K8-09</v>
      </c>
      <c r="CS75" t="str">
        <f t="shared" si="399"/>
        <v>K8-05</v>
      </c>
      <c r="CT75" t="str">
        <f t="shared" si="400"/>
        <v>K8-11</v>
      </c>
      <c r="CU75" t="str">
        <f t="shared" si="401"/>
        <v>N1-M8-A9</v>
      </c>
      <c r="CV75" t="str">
        <f t="shared" si="402"/>
        <v>N1-M8-A7</v>
      </c>
      <c r="CW75" t="str">
        <f t="shared" si="403"/>
        <v>N1-M8-A8</v>
      </c>
      <c r="CX75" t="str">
        <f t="shared" si="404"/>
        <v>N1-M8-A6</v>
      </c>
      <c r="CY75" t="str">
        <f t="shared" si="405"/>
        <v>N1-M8-A30</v>
      </c>
      <c r="CZ75" t="str">
        <f t="shared" si="406"/>
        <v>N1-M8-N</v>
      </c>
      <c r="DA75" t="str">
        <f t="shared" ref="DA75:DA77" si="476">CONCATENATE($T75,"-A220-M",U75)</f>
        <v>N1-A220-M8</v>
      </c>
      <c r="DB75" t="str">
        <f t="shared" si="408"/>
        <v>N1-M8-XM01</v>
      </c>
      <c r="DC75" t="str">
        <f t="shared" si="409"/>
        <v>N1-M8-A1</v>
      </c>
      <c r="DD75" t="str">
        <f t="shared" si="410"/>
        <v>N1-M8-A5</v>
      </c>
      <c r="DE75" t="str">
        <f t="shared" si="411"/>
        <v>N1-M8-A11</v>
      </c>
      <c r="DF75" t="str">
        <f t="shared" si="412"/>
        <v>N1-M8-A12</v>
      </c>
      <c r="DG75" t="str">
        <f t="shared" si="413"/>
        <v>N1-M8-A19</v>
      </c>
      <c r="DH75" t="str">
        <f t="shared" si="414"/>
        <v>N1-M8-A20</v>
      </c>
      <c r="DI75" t="s">
        <v>135</v>
      </c>
      <c r="DJ75" t="s">
        <v>136</v>
      </c>
      <c r="DK75">
        <v>11</v>
      </c>
      <c r="DL75">
        <v>14</v>
      </c>
      <c r="DM75">
        <v>12</v>
      </c>
      <c r="DN75" t="s">
        <v>137</v>
      </c>
      <c r="DO75" t="s">
        <v>138</v>
      </c>
      <c r="DP75">
        <v>1</v>
      </c>
      <c r="DQ75">
        <v>2</v>
      </c>
      <c r="DR75">
        <v>3</v>
      </c>
      <c r="DS75">
        <v>4</v>
      </c>
      <c r="DT75">
        <v>5</v>
      </c>
      <c r="DU75">
        <v>6</v>
      </c>
      <c r="DV75">
        <v>7</v>
      </c>
      <c r="DW75">
        <v>8</v>
      </c>
      <c r="DX75">
        <v>9</v>
      </c>
      <c r="DY75">
        <v>10</v>
      </c>
      <c r="DZ75">
        <v>11</v>
      </c>
      <c r="EA75">
        <v>12</v>
      </c>
      <c r="EB75">
        <v>13</v>
      </c>
      <c r="EC75">
        <v>14</v>
      </c>
      <c r="ED75">
        <v>1</v>
      </c>
      <c r="EE75">
        <v>3</v>
      </c>
      <c r="EF75">
        <v>4</v>
      </c>
      <c r="EG75">
        <v>7</v>
      </c>
      <c r="EH75">
        <v>8</v>
      </c>
      <c r="EI75">
        <v>9</v>
      </c>
      <c r="EJ75">
        <v>10</v>
      </c>
      <c r="EK75">
        <v>13</v>
      </c>
      <c r="EL75">
        <v>14</v>
      </c>
      <c r="EM75">
        <v>15</v>
      </c>
      <c r="EN75">
        <v>16</v>
      </c>
      <c r="EO75">
        <v>22</v>
      </c>
      <c r="EP75">
        <v>23</v>
      </c>
      <c r="EQ75" s="14">
        <v>24</v>
      </c>
    </row>
    <row r="76" spans="1:550" x14ac:dyDescent="0.25">
      <c r="A76" s="44" t="s">
        <v>990</v>
      </c>
      <c r="B76" t="s">
        <v>749</v>
      </c>
      <c r="C76" s="3"/>
      <c r="O76" s="2"/>
      <c r="P76" t="s">
        <v>126</v>
      </c>
      <c r="Q76" s="1"/>
      <c r="S76" s="1" t="s">
        <v>127</v>
      </c>
      <c r="T76" s="12" t="s">
        <v>487</v>
      </c>
      <c r="U76" s="40">
        <v>9</v>
      </c>
      <c r="V76" s="13" t="s">
        <v>753</v>
      </c>
      <c r="W76" s="13"/>
      <c r="AC76" t="str">
        <f t="shared" si="415"/>
        <v>A5.1</v>
      </c>
      <c r="AD76" s="36" cm="1">
        <f t="array" ref="AD76">IF(COUNTIFS(AC$2:AC76,AC76)=1,"1",VALUE(SUBSTITUTE(INDEX(AD:AD,_xlfn.XMATCH(AC76,AC$1:AC75,0,-1)),"A",""))+INDEX(AE:AE,_xlfn.XMATCH(AC76,AC$1:AC75,0,-1))+1)</f>
        <v>19</v>
      </c>
      <c r="AE76" s="36" cm="1">
        <f t="array" ref="AE76">SUM(IF(ISNUMBER(FIND("TmDi",$BE$1:$AAL$1)),IF(IFERROR(ISNUMBER(VALUE(SUBSTITUTE($BE76:$AAL76,"B",""))),FALSE),IF(ISNUMBER(VALUE(SUBSTITUTE($BE76:$AAL76,"B",""))),1,0),0)))</f>
        <v>5</v>
      </c>
      <c r="AF76" t="str">
        <f t="shared" si="355"/>
        <v>C19</v>
      </c>
      <c r="AG76" t="str">
        <f t="shared" si="356"/>
        <v>B19</v>
      </c>
      <c r="AH76" t="str">
        <f t="shared" si="416"/>
        <v>A6.1</v>
      </c>
      <c r="AI76" s="47" cm="1">
        <f t="array" ref="AI76">IF(COUNTIFS(AH$2:AH76,AH76)=1,"1",VALUE(SUBSTITUTE(INDEX(AI:AI,_xlfn.XMATCH(AH76,AH$1:AH75,0,-1)),"A",""))+INDEX(AJ:AJ,_xlfn.XMATCH(AH76,AH$1:AH75,0,-1))+1)</f>
        <v>10</v>
      </c>
      <c r="AJ76" s="41" cm="1">
        <f t="array" ref="AJ76">SUM(IF(ISNUMBER(FIND("TmDo",$BE$1:$AAL$1)),IF(IFERROR(ISNUMBER(VALUE(SUBSTITUTE($BE76:$AAL76,"B",""))),FALSE),IF(ISNUMBER(VALUE(SUBSTITUTE($BE76:$AAL76,"B",""))),1,0),0)))</f>
        <v>2</v>
      </c>
      <c r="AK76" t="str">
        <f t="shared" si="357"/>
        <v>10A</v>
      </c>
      <c r="AL76" t="str">
        <f t="shared" si="358"/>
        <v>10B</v>
      </c>
      <c r="AM76" t="s">
        <v>141</v>
      </c>
      <c r="AP76" t="s">
        <v>489</v>
      </c>
      <c r="AQ76" t="s">
        <v>744</v>
      </c>
      <c r="AT76" t="s">
        <v>132</v>
      </c>
      <c r="AU76" t="s">
        <v>133</v>
      </c>
      <c r="BD76" s="14"/>
      <c r="BE76" s="22" t="str">
        <f t="shared" si="447"/>
        <v>XT9</v>
      </c>
      <c r="BF76" t="str">
        <f t="shared" si="448"/>
        <v>C20</v>
      </c>
      <c r="BG76" t="str">
        <f t="shared" si="449"/>
        <v>B20</v>
      </c>
      <c r="BH76" t="str">
        <f t="shared" si="450"/>
        <v>C21</v>
      </c>
      <c r="BI76" t="str">
        <f t="shared" si="451"/>
        <v>B21</v>
      </c>
      <c r="BJ76" t="str">
        <f t="shared" si="452"/>
        <v>C22</v>
      </c>
      <c r="BK76" t="str">
        <f t="shared" si="453"/>
        <v>B22</v>
      </c>
      <c r="BL76" t="str">
        <f t="shared" si="454"/>
        <v>C23</v>
      </c>
      <c r="BM76" t="str">
        <f t="shared" si="455"/>
        <v>B23</v>
      </c>
      <c r="BN76" t="str">
        <f t="shared" si="456"/>
        <v>C24</v>
      </c>
      <c r="BO76" t="str">
        <f t="shared" si="457"/>
        <v>B24</v>
      </c>
      <c r="BP76" t="str">
        <f t="shared" si="370"/>
        <v>11A</v>
      </c>
      <c r="BQ76" t="str">
        <f t="shared" si="371"/>
        <v>11B</v>
      </c>
      <c r="BR76" t="str">
        <f t="shared" si="372"/>
        <v>12A</v>
      </c>
      <c r="BS76" t="str">
        <f t="shared" si="373"/>
        <v>12B</v>
      </c>
      <c r="BT76" t="str">
        <f t="shared" si="458"/>
        <v>DI1-C19</v>
      </c>
      <c r="BU76" t="str">
        <f t="shared" si="459"/>
        <v>DI1-B19</v>
      </c>
      <c r="BV76" t="str">
        <f t="shared" si="460"/>
        <v>DI1-C20</v>
      </c>
      <c r="BW76" t="str">
        <f t="shared" si="461"/>
        <v>DI1-B20</v>
      </c>
      <c r="BX76" t="str">
        <f t="shared" si="462"/>
        <v>DI1-C21</v>
      </c>
      <c r="BY76" t="str">
        <f t="shared" si="463"/>
        <v>DI1-B21</v>
      </c>
      <c r="BZ76" t="str">
        <f t="shared" si="464"/>
        <v>DI1-C22</v>
      </c>
      <c r="CA76" t="str">
        <f t="shared" si="465"/>
        <v>DI1-B22</v>
      </c>
      <c r="CB76" t="str">
        <f t="shared" si="466"/>
        <v>DI1-C23</v>
      </c>
      <c r="CC76" t="str">
        <f t="shared" si="467"/>
        <v>DI1-B23</v>
      </c>
      <c r="CD76" t="str">
        <f t="shared" si="468"/>
        <v>DI1-C24</v>
      </c>
      <c r="CE76" t="str">
        <f t="shared" si="469"/>
        <v>DI1-B24</v>
      </c>
      <c r="CF76" t="str">
        <f t="shared" si="470"/>
        <v>DO1-10A</v>
      </c>
      <c r="CG76" t="str">
        <f t="shared" si="471"/>
        <v>DO1-10B</v>
      </c>
      <c r="CH76" t="str">
        <f t="shared" si="472"/>
        <v>DO1-11A</v>
      </c>
      <c r="CI76" t="str">
        <f t="shared" si="473"/>
        <v>DO1-11B</v>
      </c>
      <c r="CJ76" t="str">
        <f t="shared" si="474"/>
        <v>DO1-12A</v>
      </c>
      <c r="CK76" t="str">
        <f t="shared" si="475"/>
        <v>DO1-12B</v>
      </c>
      <c r="CL76" t="str">
        <f t="shared" si="392"/>
        <v>K9-10</v>
      </c>
      <c r="CM76" t="str">
        <f t="shared" si="393"/>
        <v>K9-03</v>
      </c>
      <c r="CN76" t="str">
        <f t="shared" si="394"/>
        <v>K9-04</v>
      </c>
      <c r="CO76" t="str">
        <f t="shared" si="395"/>
        <v>K9-01</v>
      </c>
      <c r="CP76" t="str">
        <f t="shared" si="396"/>
        <v>K9-08</v>
      </c>
      <c r="CQ76" t="str">
        <f t="shared" si="397"/>
        <v>K9-02</v>
      </c>
      <c r="CR76" t="str">
        <f t="shared" si="398"/>
        <v>K9-09</v>
      </c>
      <c r="CS76" t="str">
        <f t="shared" si="399"/>
        <v>K9-05</v>
      </c>
      <c r="CT76" t="str">
        <f t="shared" si="400"/>
        <v>K9-11</v>
      </c>
      <c r="CU76" t="str">
        <f t="shared" si="401"/>
        <v>N1-M9-A9</v>
      </c>
      <c r="CV76" t="str">
        <f t="shared" si="402"/>
        <v>N1-M9-A7</v>
      </c>
      <c r="CW76" t="str">
        <f t="shared" si="403"/>
        <v>N1-M9-A8</v>
      </c>
      <c r="CX76" t="str">
        <f t="shared" si="404"/>
        <v>N1-M9-A6</v>
      </c>
      <c r="CY76" t="str">
        <f t="shared" si="405"/>
        <v>N1-M9-A30</v>
      </c>
      <c r="CZ76" t="str">
        <f t="shared" si="406"/>
        <v>N1-M9-N</v>
      </c>
      <c r="DA76" t="str">
        <f t="shared" si="476"/>
        <v>N1-A220-M9</v>
      </c>
      <c r="DB76" t="str">
        <f t="shared" si="408"/>
        <v>N1-M9-XM01</v>
      </c>
      <c r="DC76" t="str">
        <f t="shared" si="409"/>
        <v>N1-M9-A1</v>
      </c>
      <c r="DD76" t="str">
        <f t="shared" si="410"/>
        <v>N1-M9-A5</v>
      </c>
      <c r="DE76" t="str">
        <f t="shared" si="411"/>
        <v>N1-M9-A11</v>
      </c>
      <c r="DF76" t="str">
        <f t="shared" si="412"/>
        <v>N1-M9-A12</v>
      </c>
      <c r="DG76" t="str">
        <f t="shared" si="413"/>
        <v>N1-M9-A19</v>
      </c>
      <c r="DH76" t="str">
        <f t="shared" si="414"/>
        <v>N1-M9-A20</v>
      </c>
      <c r="DI76" t="s">
        <v>135</v>
      </c>
      <c r="DJ76" t="s">
        <v>136</v>
      </c>
      <c r="DK76">
        <v>11</v>
      </c>
      <c r="DL76">
        <v>14</v>
      </c>
      <c r="DM76">
        <v>12</v>
      </c>
      <c r="DN76" t="s">
        <v>137</v>
      </c>
      <c r="DO76" t="s">
        <v>138</v>
      </c>
      <c r="DP76">
        <v>1</v>
      </c>
      <c r="DQ76">
        <v>2</v>
      </c>
      <c r="DR76">
        <v>3</v>
      </c>
      <c r="DS76">
        <v>4</v>
      </c>
      <c r="DT76">
        <v>5</v>
      </c>
      <c r="DU76">
        <v>6</v>
      </c>
      <c r="DV76">
        <v>7</v>
      </c>
      <c r="DW76">
        <v>8</v>
      </c>
      <c r="DX76">
        <v>9</v>
      </c>
      <c r="DY76">
        <v>10</v>
      </c>
      <c r="DZ76">
        <v>11</v>
      </c>
      <c r="EA76">
        <v>12</v>
      </c>
      <c r="EB76">
        <v>13</v>
      </c>
      <c r="EC76">
        <v>14</v>
      </c>
      <c r="ED76">
        <v>1</v>
      </c>
      <c r="EE76">
        <v>3</v>
      </c>
      <c r="EF76">
        <v>4</v>
      </c>
      <c r="EG76">
        <v>7</v>
      </c>
      <c r="EH76">
        <v>8</v>
      </c>
      <c r="EI76">
        <v>9</v>
      </c>
      <c r="EJ76">
        <v>10</v>
      </c>
      <c r="EK76">
        <v>13</v>
      </c>
      <c r="EL76">
        <v>14</v>
      </c>
      <c r="EM76">
        <v>15</v>
      </c>
      <c r="EN76">
        <v>16</v>
      </c>
      <c r="EO76">
        <v>22</v>
      </c>
      <c r="EP76">
        <v>23</v>
      </c>
      <c r="EQ76" s="14">
        <v>24</v>
      </c>
    </row>
    <row r="77" spans="1:550" x14ac:dyDescent="0.25">
      <c r="A77" s="44" t="s">
        <v>991</v>
      </c>
      <c r="B77" t="s">
        <v>750</v>
      </c>
      <c r="C77" s="3"/>
      <c r="O77" s="2"/>
      <c r="P77" t="s">
        <v>126</v>
      </c>
      <c r="Q77" s="1"/>
      <c r="S77" s="1" t="s">
        <v>127</v>
      </c>
      <c r="T77" s="12" t="s">
        <v>487</v>
      </c>
      <c r="U77" s="40">
        <v>10</v>
      </c>
      <c r="V77" s="13" t="s">
        <v>754</v>
      </c>
      <c r="W77" s="13"/>
      <c r="AC77" t="str">
        <f t="shared" si="415"/>
        <v>A5.1</v>
      </c>
      <c r="AD77" s="36" cm="1">
        <f t="array" ref="AD77">IF(COUNTIFS(AC$2:AC77,AC77)=1,"1",VALUE(SUBSTITUTE(INDEX(AD:AD,_xlfn.XMATCH(AC77,AC$1:AC76,0,-1)),"A",""))+INDEX(AE:AE,_xlfn.XMATCH(AC77,AC$1:AC76,0,-1))+1)</f>
        <v>25</v>
      </c>
      <c r="AE77" s="36" cm="1">
        <f t="array" ref="AE77">SUM(IF(ISNUMBER(FIND("TmDi",$BE$1:$AAL$1)),IF(IFERROR(ISNUMBER(VALUE(SUBSTITUTE($BE77:$AAL77,"B",""))),FALSE),IF(ISNUMBER(VALUE(SUBSTITUTE($BE77:$AAL77,"B",""))),1,0),0)))</f>
        <v>5</v>
      </c>
      <c r="AF77" t="str">
        <f t="shared" si="355"/>
        <v>C25</v>
      </c>
      <c r="AG77" t="str">
        <f t="shared" si="356"/>
        <v>B25</v>
      </c>
      <c r="AH77" t="str">
        <f t="shared" si="416"/>
        <v>A6.1</v>
      </c>
      <c r="AI77" s="47" cm="1">
        <f t="array" ref="AI77">IF(COUNTIFS(AH$2:AH77,AH77)=1,"1",VALUE(SUBSTITUTE(INDEX(AI:AI,_xlfn.XMATCH(AH77,AH$1:AH76,0,-1)),"A",""))+INDEX(AJ:AJ,_xlfn.XMATCH(AH77,AH$1:AH76,0,-1))+1)</f>
        <v>13</v>
      </c>
      <c r="AJ77" s="41" cm="1">
        <f t="array" ref="AJ77">SUM(IF(ISNUMBER(FIND("TmDo",$BE$1:$AAL$1)),IF(IFERROR(ISNUMBER(VALUE(SUBSTITUTE($BE77:$AAL77,"B",""))),FALSE),IF(ISNUMBER(VALUE(SUBSTITUTE($BE77:$AAL77,"B",""))),1,0),0)))</f>
        <v>2</v>
      </c>
      <c r="AK77" t="str">
        <f t="shared" si="357"/>
        <v>13A</v>
      </c>
      <c r="AL77" t="str">
        <f t="shared" si="358"/>
        <v>13B</v>
      </c>
      <c r="AM77" t="s">
        <v>142</v>
      </c>
      <c r="AP77" t="s">
        <v>489</v>
      </c>
      <c r="AQ77" t="s">
        <v>744</v>
      </c>
      <c r="AT77" t="s">
        <v>132</v>
      </c>
      <c r="AU77" t="s">
        <v>133</v>
      </c>
      <c r="BD77" s="14"/>
      <c r="BE77" s="22" t="str">
        <f t="shared" si="447"/>
        <v>XT10</v>
      </c>
      <c r="BF77" t="str">
        <f t="shared" si="448"/>
        <v>C26</v>
      </c>
      <c r="BG77" t="str">
        <f t="shared" si="449"/>
        <v>B26</v>
      </c>
      <c r="BH77" t="str">
        <f t="shared" si="450"/>
        <v>C27</v>
      </c>
      <c r="BI77" t="str">
        <f t="shared" si="451"/>
        <v>B27</v>
      </c>
      <c r="BJ77" t="str">
        <f t="shared" si="452"/>
        <v>C28</v>
      </c>
      <c r="BK77" t="str">
        <f t="shared" si="453"/>
        <v>B28</v>
      </c>
      <c r="BL77" t="str">
        <f t="shared" si="454"/>
        <v>C29</v>
      </c>
      <c r="BM77" t="str">
        <f t="shared" si="455"/>
        <v>B29</v>
      </c>
      <c r="BN77" t="str">
        <f t="shared" si="456"/>
        <v>C30</v>
      </c>
      <c r="BO77" t="str">
        <f t="shared" si="457"/>
        <v>B30</v>
      </c>
      <c r="BP77" t="str">
        <f t="shared" si="370"/>
        <v>14A</v>
      </c>
      <c r="BQ77" t="str">
        <f t="shared" si="371"/>
        <v>14B</v>
      </c>
      <c r="BR77" t="str">
        <f t="shared" si="372"/>
        <v>15A</v>
      </c>
      <c r="BS77" t="str">
        <f t="shared" si="373"/>
        <v>15B</v>
      </c>
      <c r="BT77" t="str">
        <f t="shared" si="458"/>
        <v>DI1-C25</v>
      </c>
      <c r="BU77" t="str">
        <f t="shared" si="459"/>
        <v>DI1-B25</v>
      </c>
      <c r="BV77" t="str">
        <f t="shared" si="460"/>
        <v>DI1-C26</v>
      </c>
      <c r="BW77" t="str">
        <f t="shared" si="461"/>
        <v>DI1-B26</v>
      </c>
      <c r="BX77" t="str">
        <f t="shared" si="462"/>
        <v>DI1-C27</v>
      </c>
      <c r="BY77" t="str">
        <f t="shared" si="463"/>
        <v>DI1-B27</v>
      </c>
      <c r="BZ77" t="str">
        <f t="shared" si="464"/>
        <v>DI1-C28</v>
      </c>
      <c r="CA77" t="str">
        <f t="shared" si="465"/>
        <v>DI1-B28</v>
      </c>
      <c r="CB77" t="str">
        <f t="shared" si="466"/>
        <v>DI1-C29</v>
      </c>
      <c r="CC77" t="str">
        <f t="shared" si="467"/>
        <v>DI1-B29</v>
      </c>
      <c r="CD77" t="str">
        <f t="shared" si="468"/>
        <v>DI1-C30</v>
      </c>
      <c r="CE77" t="str">
        <f t="shared" si="469"/>
        <v>DI1-B30</v>
      </c>
      <c r="CF77" t="str">
        <f t="shared" si="470"/>
        <v>DO1-13A</v>
      </c>
      <c r="CG77" t="str">
        <f t="shared" si="471"/>
        <v>DO1-13B</v>
      </c>
      <c r="CH77" t="str">
        <f t="shared" si="472"/>
        <v>DO1-14A</v>
      </c>
      <c r="CI77" t="str">
        <f t="shared" si="473"/>
        <v>DO1-14B</v>
      </c>
      <c r="CJ77" t="str">
        <f t="shared" si="474"/>
        <v>DO1-15A</v>
      </c>
      <c r="CK77" t="str">
        <f t="shared" si="475"/>
        <v>DO1-15B</v>
      </c>
      <c r="CL77" t="str">
        <f t="shared" si="392"/>
        <v>K10-10</v>
      </c>
      <c r="CM77" t="str">
        <f t="shared" si="393"/>
        <v>K10-03</v>
      </c>
      <c r="CN77" t="str">
        <f t="shared" si="394"/>
        <v>K10-04</v>
      </c>
      <c r="CO77" t="str">
        <f t="shared" si="395"/>
        <v>K10-01</v>
      </c>
      <c r="CP77" t="str">
        <f t="shared" si="396"/>
        <v>K10-08</v>
      </c>
      <c r="CQ77" t="str">
        <f t="shared" si="397"/>
        <v>K10-02</v>
      </c>
      <c r="CR77" t="str">
        <f t="shared" si="398"/>
        <v>K10-09</v>
      </c>
      <c r="CS77" t="str">
        <f t="shared" si="399"/>
        <v>K10-05</v>
      </c>
      <c r="CT77" t="str">
        <f t="shared" si="400"/>
        <v>K10-11</v>
      </c>
      <c r="CU77" t="str">
        <f t="shared" si="401"/>
        <v>N1-M10-A9</v>
      </c>
      <c r="CV77" t="str">
        <f t="shared" si="402"/>
        <v>N1-M10-A7</v>
      </c>
      <c r="CW77" t="str">
        <f t="shared" si="403"/>
        <v>N1-M10-A8</v>
      </c>
      <c r="CX77" t="str">
        <f t="shared" si="404"/>
        <v>N1-M10-A6</v>
      </c>
      <c r="CY77" t="str">
        <f t="shared" si="405"/>
        <v>N1-M10-A30</v>
      </c>
      <c r="CZ77" t="str">
        <f t="shared" si="406"/>
        <v>N1-M10-N</v>
      </c>
      <c r="DA77" t="str">
        <f t="shared" si="476"/>
        <v>N1-A220-M10</v>
      </c>
      <c r="DB77" t="str">
        <f t="shared" si="408"/>
        <v>N1-M10-XM01</v>
      </c>
      <c r="DC77" t="str">
        <f t="shared" si="409"/>
        <v>N1-M10-A1</v>
      </c>
      <c r="DD77" t="str">
        <f t="shared" si="410"/>
        <v>N1-M10-A5</v>
      </c>
      <c r="DE77" t="str">
        <f t="shared" si="411"/>
        <v>N1-M10-A11</v>
      </c>
      <c r="DF77" t="str">
        <f t="shared" si="412"/>
        <v>N1-M10-A12</v>
      </c>
      <c r="DG77" t="str">
        <f t="shared" si="413"/>
        <v>N1-M10-A19</v>
      </c>
      <c r="DH77" t="str">
        <f t="shared" si="414"/>
        <v>N1-M10-A20</v>
      </c>
      <c r="DI77" t="s">
        <v>135</v>
      </c>
      <c r="DJ77" t="s">
        <v>136</v>
      </c>
      <c r="DK77">
        <v>11</v>
      </c>
      <c r="DL77">
        <v>14</v>
      </c>
      <c r="DM77">
        <v>12</v>
      </c>
      <c r="DN77" t="s">
        <v>137</v>
      </c>
      <c r="DO77" t="s">
        <v>138</v>
      </c>
      <c r="DP77">
        <v>1</v>
      </c>
      <c r="DQ77">
        <v>2</v>
      </c>
      <c r="DR77">
        <v>3</v>
      </c>
      <c r="DS77">
        <v>4</v>
      </c>
      <c r="DT77">
        <v>5</v>
      </c>
      <c r="DU77">
        <v>6</v>
      </c>
      <c r="DV77">
        <v>7</v>
      </c>
      <c r="DW77">
        <v>8</v>
      </c>
      <c r="DX77">
        <v>9</v>
      </c>
      <c r="DY77">
        <v>10</v>
      </c>
      <c r="DZ77">
        <v>11</v>
      </c>
      <c r="EA77">
        <v>12</v>
      </c>
      <c r="EB77">
        <v>13</v>
      </c>
      <c r="EC77">
        <v>14</v>
      </c>
      <c r="ED77">
        <v>1</v>
      </c>
      <c r="EE77">
        <v>3</v>
      </c>
      <c r="EF77">
        <v>4</v>
      </c>
      <c r="EG77">
        <v>7</v>
      </c>
      <c r="EH77">
        <v>8</v>
      </c>
      <c r="EI77">
        <v>9</v>
      </c>
      <c r="EJ77">
        <v>10</v>
      </c>
      <c r="EK77">
        <v>13</v>
      </c>
      <c r="EL77">
        <v>14</v>
      </c>
      <c r="EM77">
        <v>15</v>
      </c>
      <c r="EN77">
        <v>16</v>
      </c>
      <c r="EO77">
        <v>22</v>
      </c>
      <c r="EP77">
        <v>23</v>
      </c>
      <c r="EQ77" s="14">
        <v>24</v>
      </c>
    </row>
    <row r="78" spans="1:550" x14ac:dyDescent="0.25">
      <c r="A78" s="44" t="s">
        <v>992</v>
      </c>
      <c r="B78" t="s">
        <v>751</v>
      </c>
      <c r="C78" s="3"/>
      <c r="O78" s="2"/>
      <c r="P78" t="s">
        <v>126</v>
      </c>
      <c r="Q78" s="1"/>
      <c r="S78" s="1" t="s">
        <v>127</v>
      </c>
      <c r="T78" s="12" t="s">
        <v>487</v>
      </c>
      <c r="U78" s="40">
        <v>11</v>
      </c>
      <c r="V78" s="13" t="s">
        <v>755</v>
      </c>
      <c r="W78" s="13"/>
      <c r="AC78" t="str">
        <f t="shared" si="415"/>
        <v>A5.2</v>
      </c>
      <c r="AD78" s="36" t="str" cm="1">
        <f t="array" ref="AD78">IF(COUNTIFS(AC$2:AC78,AC78)=1,"1",VALUE(SUBSTITUTE(INDEX(AD:AD,_xlfn.XMATCH(AC78,AC$1:AC77,0,-1)),"A",""))+INDEX(AE:AE,_xlfn.XMATCH(AC78,AC$1:AC77,0,-1))+1)</f>
        <v>1</v>
      </c>
      <c r="AE78" s="36" cm="1">
        <f t="array" ref="AE78">SUM(IF(ISNUMBER(FIND("TmDi",$BE$1:$AAL$1)),IF(IFERROR(ISNUMBER(VALUE(SUBSTITUTE($BE78:$AAL78,"B",""))),FALSE),IF(ISNUMBER(VALUE(SUBSTITUTE($BE78:$AAL78,"B",""))),1,0),0)))</f>
        <v>5</v>
      </c>
      <c r="AF78" t="str">
        <f t="shared" si="355"/>
        <v>C1</v>
      </c>
      <c r="AG78" t="str">
        <f t="shared" si="356"/>
        <v>B1</v>
      </c>
      <c r="AH78" t="str">
        <f t="shared" si="416"/>
        <v>A6.1</v>
      </c>
      <c r="AI78" s="47" cm="1">
        <f t="array" ref="AI78">IF(COUNTIFS(AH$2:AH78,AH78)=1,"1",VALUE(SUBSTITUTE(INDEX(AI:AI,_xlfn.XMATCH(AH78,AH$1:AH77,0,-1)),"A",""))+INDEX(AJ:AJ,_xlfn.XMATCH(AH78,AH$1:AH77,0,-1))+1)</f>
        <v>16</v>
      </c>
      <c r="AJ78" s="41" cm="1">
        <f t="array" ref="AJ78">SUM(IF(ISNUMBER(FIND("TmDo",$BE$1:$AAL$1)),IF(IFERROR(ISNUMBER(VALUE(SUBSTITUTE($BE78:$AAL78,"B",""))),FALSE),IF(ISNUMBER(VALUE(SUBSTITUTE($BE78:$AAL78,"B",""))),1,0),0)))</f>
        <v>2</v>
      </c>
      <c r="AK78" t="str">
        <f t="shared" si="357"/>
        <v>16A</v>
      </c>
      <c r="AL78" t="str">
        <f t="shared" si="358"/>
        <v>16B</v>
      </c>
      <c r="AM78" t="s">
        <v>143</v>
      </c>
      <c r="AP78" t="s">
        <v>489</v>
      </c>
      <c r="AQ78" t="s">
        <v>744</v>
      </c>
      <c r="AT78" t="s">
        <v>132</v>
      </c>
      <c r="AU78" t="s">
        <v>133</v>
      </c>
      <c r="BD78" s="14"/>
      <c r="BE78" s="22" t="str">
        <f t="shared" ref="BE78" si="477">CONCATENATE("XT",U78)</f>
        <v>XT11</v>
      </c>
      <c r="BF78" t="str">
        <f t="shared" ref="BF78" si="478">CONCATENATE("C",REPLACE(AF78,1,1,"")+1)</f>
        <v>C2</v>
      </c>
      <c r="BG78" t="str">
        <f t="shared" ref="BG78" si="479">CONCATENATE("B",REPLACE(AG78,1,1,"")+1)</f>
        <v>B2</v>
      </c>
      <c r="BH78" t="str">
        <f t="shared" ref="BH78" si="480">CONCATENATE("C",REPLACE(BF78,1,1,"")+1)</f>
        <v>C3</v>
      </c>
      <c r="BI78" t="str">
        <f t="shared" ref="BI78" si="481">CONCATENATE("B",REPLACE(BG78,1,1,"")+1)</f>
        <v>B3</v>
      </c>
      <c r="BJ78" t="str">
        <f t="shared" ref="BJ78" si="482">CONCATENATE("C",REPLACE(BH78,1,1,"")+1)</f>
        <v>C4</v>
      </c>
      <c r="BK78" t="str">
        <f t="shared" ref="BK78" si="483">CONCATENATE("B",REPLACE(BI78,1,1,"")+1)</f>
        <v>B4</v>
      </c>
      <c r="BL78" t="str">
        <f t="shared" ref="BL78" si="484">CONCATENATE("C",REPLACE(BJ78,1,1,"")+1)</f>
        <v>C5</v>
      </c>
      <c r="BM78" t="str">
        <f t="shared" ref="BM78" si="485">CONCATENATE("B",REPLACE(BK78,1,1,"")+1)</f>
        <v>B5</v>
      </c>
      <c r="BN78" t="str">
        <f t="shared" ref="BN78" si="486">CONCATENATE("C",REPLACE(BL78,1,1,"")+1)</f>
        <v>C6</v>
      </c>
      <c r="BO78" t="str">
        <f t="shared" ref="BO78" si="487">CONCATENATE("B",REPLACE(BM78,1,1,"")+1)</f>
        <v>B6</v>
      </c>
      <c r="BP78" t="str">
        <f t="shared" si="370"/>
        <v>17A</v>
      </c>
      <c r="BQ78" t="str">
        <f t="shared" si="371"/>
        <v>17B</v>
      </c>
      <c r="BR78" t="str">
        <f t="shared" si="372"/>
        <v>18A</v>
      </c>
      <c r="BS78" t="str">
        <f t="shared" si="373"/>
        <v>18B</v>
      </c>
      <c r="BT78" t="str">
        <f t="shared" ref="BT78" si="488">CONCATENATE("DI",REPLACE($AC78,1,3,""),"-",AF78)</f>
        <v>DI2-C1</v>
      </c>
      <c r="BU78" t="str">
        <f t="shared" ref="BU78" si="489">CONCATENATE("DI",REPLACE($AC78,1,3,""),"-",AG78)</f>
        <v>DI2-B1</v>
      </c>
      <c r="BV78" t="str">
        <f t="shared" ref="BV78" si="490">CONCATENATE("DI",REPLACE($AC78,1,3,""),"-",BF78)</f>
        <v>DI2-C2</v>
      </c>
      <c r="BW78" t="str">
        <f t="shared" ref="BW78" si="491">CONCATENATE("DI",REPLACE($AC78,1,3,""),"-",BG78)</f>
        <v>DI2-B2</v>
      </c>
      <c r="BX78" t="str">
        <f t="shared" ref="BX78" si="492">CONCATENATE("DI",REPLACE($AC78,1,3,""),"-",BH78)</f>
        <v>DI2-C3</v>
      </c>
      <c r="BY78" t="str">
        <f t="shared" ref="BY78" si="493">CONCATENATE("DI",REPLACE($AC78,1,3,""),"-",BI78)</f>
        <v>DI2-B3</v>
      </c>
      <c r="BZ78" t="str">
        <f t="shared" ref="BZ78" si="494">CONCATENATE("DI",REPLACE($AC78,1,3,""),"-",BJ78)</f>
        <v>DI2-C4</v>
      </c>
      <c r="CA78" t="str">
        <f t="shared" ref="CA78" si="495">CONCATENATE("DI",REPLACE($AC78,1,3,""),"-",BK78)</f>
        <v>DI2-B4</v>
      </c>
      <c r="CB78" t="str">
        <f t="shared" ref="CB78" si="496">CONCATENATE("DI",REPLACE($AC78,1,3,""),"-",BL78)</f>
        <v>DI2-C5</v>
      </c>
      <c r="CC78" t="str">
        <f t="shared" ref="CC78" si="497">CONCATENATE("DI",REPLACE($AC78,1,3,""),"-",BM78)</f>
        <v>DI2-B5</v>
      </c>
      <c r="CD78" t="str">
        <f t="shared" ref="CD78" si="498">CONCATENATE("DI",REPLACE($AC78,1,3,""),"-",BN78)</f>
        <v>DI2-C6</v>
      </c>
      <c r="CE78" t="str">
        <f t="shared" ref="CE78" si="499">CONCATENATE("DI",REPLACE($AC78,1,3,""),"-",BO78)</f>
        <v>DI2-B6</v>
      </c>
      <c r="CF78" t="str">
        <f t="shared" ref="CF78" si="500">CONCATENATE("DO",REPLACE($AH78,1,3,""),"-",AK78)</f>
        <v>DO1-16A</v>
      </c>
      <c r="CG78" t="str">
        <f t="shared" ref="CG78" si="501">CONCATENATE("DO",REPLACE($AH78,1,3,""),"-",AL78)</f>
        <v>DO1-16B</v>
      </c>
      <c r="CH78" t="str">
        <f t="shared" ref="CH78" si="502">CONCATENATE("DO",REPLACE($AH78,1,3,""),"-",BP78)</f>
        <v>DO1-17A</v>
      </c>
      <c r="CI78" t="str">
        <f t="shared" ref="CI78" si="503">CONCATENATE("DO",REPLACE($AH78,1,3,""),"-",BQ78)</f>
        <v>DO1-17B</v>
      </c>
      <c r="CJ78" t="str">
        <f t="shared" ref="CJ78" si="504">CONCATENATE("DO",REPLACE($AH78,1,3,""),"-",BR78)</f>
        <v>DO1-18A</v>
      </c>
      <c r="CK78" t="str">
        <f t="shared" ref="CK78" si="505">CONCATENATE("DO",REPLACE($AH78,1,3,""),"-",BS78)</f>
        <v>DO1-18B</v>
      </c>
      <c r="CL78" t="str">
        <f t="shared" si="392"/>
        <v>K11-10</v>
      </c>
      <c r="CM78" t="str">
        <f t="shared" si="393"/>
        <v>K11-03</v>
      </c>
      <c r="CN78" t="str">
        <f t="shared" si="394"/>
        <v>K11-04</v>
      </c>
      <c r="CO78" t="str">
        <f t="shared" si="395"/>
        <v>K11-01</v>
      </c>
      <c r="CP78" t="str">
        <f t="shared" si="396"/>
        <v>K11-08</v>
      </c>
      <c r="CQ78" t="str">
        <f t="shared" si="397"/>
        <v>K11-02</v>
      </c>
      <c r="CR78" t="str">
        <f t="shared" si="398"/>
        <v>K11-09</v>
      </c>
      <c r="CS78" t="str">
        <f t="shared" si="399"/>
        <v>K11-05</v>
      </c>
      <c r="CT78" t="str">
        <f t="shared" si="400"/>
        <v>K11-11</v>
      </c>
      <c r="CU78" t="str">
        <f t="shared" si="401"/>
        <v>N1-M11-A9</v>
      </c>
      <c r="CV78" t="str">
        <f t="shared" si="402"/>
        <v>N1-M11-A7</v>
      </c>
      <c r="CW78" t="str">
        <f t="shared" si="403"/>
        <v>N1-M11-A8</v>
      </c>
      <c r="CX78" t="str">
        <f t="shared" si="404"/>
        <v>N1-M11-A6</v>
      </c>
      <c r="CY78" t="str">
        <f t="shared" si="405"/>
        <v>N1-M11-A30</v>
      </c>
      <c r="CZ78" t="str">
        <f t="shared" si="406"/>
        <v>N1-M11-N</v>
      </c>
      <c r="DA78" t="str">
        <f t="shared" ref="DA78" si="506">CONCATENATE($T78,"-A220-M",U78)</f>
        <v>N1-A220-M11</v>
      </c>
      <c r="DB78" t="str">
        <f t="shared" si="408"/>
        <v>N1-M11-XM01</v>
      </c>
      <c r="DC78" t="str">
        <f t="shared" si="409"/>
        <v>N1-M11-A1</v>
      </c>
      <c r="DD78" t="str">
        <f t="shared" si="410"/>
        <v>N1-M11-A5</v>
      </c>
      <c r="DE78" t="str">
        <f t="shared" si="411"/>
        <v>N1-M11-A11</v>
      </c>
      <c r="DF78" t="str">
        <f t="shared" si="412"/>
        <v>N1-M11-A12</v>
      </c>
      <c r="DG78" t="str">
        <f t="shared" si="413"/>
        <v>N1-M11-A19</v>
      </c>
      <c r="DH78" t="str">
        <f t="shared" si="414"/>
        <v>N1-M11-A20</v>
      </c>
      <c r="DI78" t="s">
        <v>135</v>
      </c>
      <c r="DJ78" t="s">
        <v>136</v>
      </c>
      <c r="DK78">
        <v>11</v>
      </c>
      <c r="DL78">
        <v>14</v>
      </c>
      <c r="DM78">
        <v>12</v>
      </c>
      <c r="DN78" t="s">
        <v>137</v>
      </c>
      <c r="DO78" t="s">
        <v>138</v>
      </c>
      <c r="DP78">
        <v>1</v>
      </c>
      <c r="DQ78">
        <v>2</v>
      </c>
      <c r="DR78">
        <v>3</v>
      </c>
      <c r="DS78">
        <v>4</v>
      </c>
      <c r="DT78">
        <v>5</v>
      </c>
      <c r="DU78">
        <v>6</v>
      </c>
      <c r="DV78">
        <v>7</v>
      </c>
      <c r="DW78">
        <v>8</v>
      </c>
      <c r="DX78">
        <v>9</v>
      </c>
      <c r="DY78">
        <v>10</v>
      </c>
      <c r="DZ78">
        <v>11</v>
      </c>
      <c r="EA78">
        <v>12</v>
      </c>
      <c r="EB78">
        <v>13</v>
      </c>
      <c r="EC78">
        <v>14</v>
      </c>
      <c r="ED78">
        <v>1</v>
      </c>
      <c r="EE78">
        <v>3</v>
      </c>
      <c r="EF78">
        <v>4</v>
      </c>
      <c r="EG78">
        <v>7</v>
      </c>
      <c r="EH78">
        <v>8</v>
      </c>
      <c r="EI78">
        <v>9</v>
      </c>
      <c r="EJ78">
        <v>10</v>
      </c>
      <c r="EK78">
        <v>13</v>
      </c>
      <c r="EL78">
        <v>14</v>
      </c>
      <c r="EM78">
        <v>15</v>
      </c>
      <c r="EN78">
        <v>16</v>
      </c>
      <c r="EO78">
        <v>22</v>
      </c>
      <c r="EP78">
        <v>23</v>
      </c>
      <c r="EQ78" s="14">
        <v>24</v>
      </c>
    </row>
    <row r="79" spans="1:550" x14ac:dyDescent="0.25">
      <c r="A79" s="44" t="s">
        <v>993</v>
      </c>
      <c r="B79" t="s">
        <v>752</v>
      </c>
      <c r="C79" s="3"/>
      <c r="O79" s="2"/>
      <c r="P79" t="s">
        <v>126</v>
      </c>
      <c r="Q79" s="1"/>
      <c r="S79" s="1" t="s">
        <v>127</v>
      </c>
      <c r="T79" s="12" t="s">
        <v>487</v>
      </c>
      <c r="U79" s="40">
        <v>12</v>
      </c>
      <c r="V79" s="13" t="s">
        <v>756</v>
      </c>
      <c r="W79" s="13"/>
      <c r="AC79" t="str">
        <f t="shared" si="415"/>
        <v>A5.2</v>
      </c>
      <c r="AD79" s="36" cm="1">
        <f t="array" ref="AD79">IF(COUNTIFS(AC$2:AC79,AC79)=1,"1",VALUE(SUBSTITUTE(INDEX(AD:AD,_xlfn.XMATCH(AC79,AC$1:AC78,0,-1)),"A",""))+INDEX(AE:AE,_xlfn.XMATCH(AC79,AC$1:AC78,0,-1))+1)</f>
        <v>7</v>
      </c>
      <c r="AE79" s="36" cm="1">
        <f t="array" ref="AE79">SUM(IF(ISNUMBER(FIND("TmDi",$BE$1:$AAL$1)),IF(IFERROR(ISNUMBER(VALUE(SUBSTITUTE($BE79:$AAL79,"B",""))),FALSE),IF(ISNUMBER(VALUE(SUBSTITUTE($BE79:$AAL79,"B",""))),1,0),0)))</f>
        <v>5</v>
      </c>
      <c r="AF79" t="str">
        <f t="shared" si="355"/>
        <v>C7</v>
      </c>
      <c r="AG79" t="str">
        <f t="shared" si="356"/>
        <v>B7</v>
      </c>
      <c r="AH79" t="str">
        <f t="shared" si="416"/>
        <v>A6.1</v>
      </c>
      <c r="AI79" s="47" cm="1">
        <f t="array" ref="AI79">IF(COUNTIFS(AH$2:AH79,AH79)=1,"1",VALUE(SUBSTITUTE(INDEX(AI:AI,_xlfn.XMATCH(AH79,AH$1:AH78,0,-1)),"A",""))+INDEX(AJ:AJ,_xlfn.XMATCH(AH79,AH$1:AH78,0,-1))+1)</f>
        <v>19</v>
      </c>
      <c r="AJ79" s="41" cm="1">
        <f t="array" ref="AJ79">SUM(IF(ISNUMBER(FIND("TmDo",$BE$1:$AAL$1)),IF(IFERROR(ISNUMBER(VALUE(SUBSTITUTE($BE79:$AAL79,"B",""))),FALSE),IF(ISNUMBER(VALUE(SUBSTITUTE($BE79:$AAL79,"B",""))),1,0),0)))</f>
        <v>2</v>
      </c>
      <c r="AK79" t="str">
        <f t="shared" si="357"/>
        <v>19A</v>
      </c>
      <c r="AL79" t="str">
        <f t="shared" si="358"/>
        <v>19B</v>
      </c>
      <c r="AM79" t="s">
        <v>144</v>
      </c>
      <c r="AP79" t="s">
        <v>489</v>
      </c>
      <c r="AQ79" t="s">
        <v>744</v>
      </c>
      <c r="AT79" t="s">
        <v>132</v>
      </c>
      <c r="AU79" t="s">
        <v>133</v>
      </c>
      <c r="BD79" s="14"/>
      <c r="BE79" s="22" t="str">
        <f t="shared" ref="BE79:BE82" si="507">CONCATENATE("XT",U79)</f>
        <v>XT12</v>
      </c>
      <c r="BF79" t="str">
        <f t="shared" ref="BF79:BF82" si="508">CONCATENATE("C",REPLACE(AF79,1,1,"")+1)</f>
        <v>C8</v>
      </c>
      <c r="BG79" t="str">
        <f t="shared" ref="BG79:BG82" si="509">CONCATENATE("B",REPLACE(AG79,1,1,"")+1)</f>
        <v>B8</v>
      </c>
      <c r="BH79" t="str">
        <f t="shared" ref="BH79:BH82" si="510">CONCATENATE("C",REPLACE(BF79,1,1,"")+1)</f>
        <v>C9</v>
      </c>
      <c r="BI79" t="str">
        <f t="shared" ref="BI79:BI82" si="511">CONCATENATE("B",REPLACE(BG79,1,1,"")+1)</f>
        <v>B9</v>
      </c>
      <c r="BJ79" t="str">
        <f t="shared" ref="BJ79:BJ82" si="512">CONCATENATE("C",REPLACE(BH79,1,1,"")+1)</f>
        <v>C10</v>
      </c>
      <c r="BK79" t="str">
        <f t="shared" ref="BK79:BK82" si="513">CONCATENATE("B",REPLACE(BI79,1,1,"")+1)</f>
        <v>B10</v>
      </c>
      <c r="BL79" t="str">
        <f t="shared" ref="BL79:BL82" si="514">CONCATENATE("C",REPLACE(BJ79,1,1,"")+1)</f>
        <v>C11</v>
      </c>
      <c r="BM79" t="str">
        <f t="shared" ref="BM79:BM82" si="515">CONCATENATE("B",REPLACE(BK79,1,1,"")+1)</f>
        <v>B11</v>
      </c>
      <c r="BN79" t="str">
        <f t="shared" ref="BN79:BN82" si="516">CONCATENATE("C",REPLACE(BL79,1,1,"")+1)</f>
        <v>C12</v>
      </c>
      <c r="BO79" t="str">
        <f t="shared" ref="BO79:BO82" si="517">CONCATENATE("B",REPLACE(BM79,1,1,"")+1)</f>
        <v>B12</v>
      </c>
      <c r="BP79" t="str">
        <f t="shared" si="370"/>
        <v>20A</v>
      </c>
      <c r="BQ79" t="str">
        <f t="shared" si="371"/>
        <v>20B</v>
      </c>
      <c r="BR79" t="str">
        <f t="shared" si="372"/>
        <v>21A</v>
      </c>
      <c r="BS79" t="str">
        <f t="shared" si="373"/>
        <v>21B</v>
      </c>
      <c r="BT79" t="str">
        <f t="shared" ref="BT79:BT82" si="518">CONCATENATE("DI",REPLACE($AC79,1,3,""),"-",AF79)</f>
        <v>DI2-C7</v>
      </c>
      <c r="BU79" t="str">
        <f t="shared" ref="BU79:BU82" si="519">CONCATENATE("DI",REPLACE($AC79,1,3,""),"-",AG79)</f>
        <v>DI2-B7</v>
      </c>
      <c r="BV79" t="str">
        <f t="shared" ref="BV79:BV82" si="520">CONCATENATE("DI",REPLACE($AC79,1,3,""),"-",BF79)</f>
        <v>DI2-C8</v>
      </c>
      <c r="BW79" t="str">
        <f t="shared" ref="BW79:BW82" si="521">CONCATENATE("DI",REPLACE($AC79,1,3,""),"-",BG79)</f>
        <v>DI2-B8</v>
      </c>
      <c r="BX79" t="str">
        <f t="shared" ref="BX79:BX82" si="522">CONCATENATE("DI",REPLACE($AC79,1,3,""),"-",BH79)</f>
        <v>DI2-C9</v>
      </c>
      <c r="BY79" t="str">
        <f t="shared" ref="BY79:BY82" si="523">CONCATENATE("DI",REPLACE($AC79,1,3,""),"-",BI79)</f>
        <v>DI2-B9</v>
      </c>
      <c r="BZ79" t="str">
        <f t="shared" ref="BZ79:BZ82" si="524">CONCATENATE("DI",REPLACE($AC79,1,3,""),"-",BJ79)</f>
        <v>DI2-C10</v>
      </c>
      <c r="CA79" t="str">
        <f t="shared" ref="CA79:CA82" si="525">CONCATENATE("DI",REPLACE($AC79,1,3,""),"-",BK79)</f>
        <v>DI2-B10</v>
      </c>
      <c r="CB79" t="str">
        <f t="shared" ref="CB79:CB82" si="526">CONCATENATE("DI",REPLACE($AC79,1,3,""),"-",BL79)</f>
        <v>DI2-C11</v>
      </c>
      <c r="CC79" t="str">
        <f t="shared" ref="CC79:CC82" si="527">CONCATENATE("DI",REPLACE($AC79,1,3,""),"-",BM79)</f>
        <v>DI2-B11</v>
      </c>
      <c r="CD79" t="str">
        <f t="shared" ref="CD79:CD82" si="528">CONCATENATE("DI",REPLACE($AC79,1,3,""),"-",BN79)</f>
        <v>DI2-C12</v>
      </c>
      <c r="CE79" t="str">
        <f t="shared" ref="CE79:CE82" si="529">CONCATENATE("DI",REPLACE($AC79,1,3,""),"-",BO79)</f>
        <v>DI2-B12</v>
      </c>
      <c r="CF79" t="str">
        <f t="shared" ref="CF79:CF82" si="530">CONCATENATE("DO",REPLACE($AH79,1,3,""),"-",AK79)</f>
        <v>DO1-19A</v>
      </c>
      <c r="CG79" t="str">
        <f t="shared" ref="CG79:CG82" si="531">CONCATENATE("DO",REPLACE($AH79,1,3,""),"-",AL79)</f>
        <v>DO1-19B</v>
      </c>
      <c r="CH79" t="str">
        <f t="shared" ref="CH79:CH82" si="532">CONCATENATE("DO",REPLACE($AH79,1,3,""),"-",BP79)</f>
        <v>DO1-20A</v>
      </c>
      <c r="CI79" t="str">
        <f t="shared" ref="CI79:CI82" si="533">CONCATENATE("DO",REPLACE($AH79,1,3,""),"-",BQ79)</f>
        <v>DO1-20B</v>
      </c>
      <c r="CJ79" t="str">
        <f t="shared" ref="CJ79:CJ82" si="534">CONCATENATE("DO",REPLACE($AH79,1,3,""),"-",BR79)</f>
        <v>DO1-21A</v>
      </c>
      <c r="CK79" t="str">
        <f t="shared" ref="CK79:CK82" si="535">CONCATENATE("DO",REPLACE($AH79,1,3,""),"-",BS79)</f>
        <v>DO1-21B</v>
      </c>
      <c r="CL79" t="str">
        <f t="shared" si="392"/>
        <v>K12-10</v>
      </c>
      <c r="CM79" t="str">
        <f t="shared" si="393"/>
        <v>K12-03</v>
      </c>
      <c r="CN79" t="str">
        <f t="shared" si="394"/>
        <v>K12-04</v>
      </c>
      <c r="CO79" t="str">
        <f t="shared" si="395"/>
        <v>K12-01</v>
      </c>
      <c r="CP79" t="str">
        <f t="shared" si="396"/>
        <v>K12-08</v>
      </c>
      <c r="CQ79" t="str">
        <f t="shared" si="397"/>
        <v>K12-02</v>
      </c>
      <c r="CR79" t="str">
        <f t="shared" si="398"/>
        <v>K12-09</v>
      </c>
      <c r="CS79" t="str">
        <f t="shared" si="399"/>
        <v>K12-05</v>
      </c>
      <c r="CT79" t="str">
        <f t="shared" si="400"/>
        <v>K12-11</v>
      </c>
      <c r="CU79" t="str">
        <f t="shared" si="401"/>
        <v>N1-M12-A9</v>
      </c>
      <c r="CV79" t="str">
        <f t="shared" si="402"/>
        <v>N1-M12-A7</v>
      </c>
      <c r="CW79" t="str">
        <f t="shared" si="403"/>
        <v>N1-M12-A8</v>
      </c>
      <c r="CX79" t="str">
        <f t="shared" si="404"/>
        <v>N1-M12-A6</v>
      </c>
      <c r="CY79" t="str">
        <f t="shared" si="405"/>
        <v>N1-M12-A30</v>
      </c>
      <c r="CZ79" t="str">
        <f t="shared" si="406"/>
        <v>N1-M12-N</v>
      </c>
      <c r="DA79" t="str">
        <f t="shared" ref="DA79:DA82" si="536">CONCATENATE($T79,"-A220-M",U79)</f>
        <v>N1-A220-M12</v>
      </c>
      <c r="DB79" t="str">
        <f t="shared" si="408"/>
        <v>N1-M12-XM01</v>
      </c>
      <c r="DC79" t="str">
        <f t="shared" si="409"/>
        <v>N1-M12-A1</v>
      </c>
      <c r="DD79" t="str">
        <f t="shared" si="410"/>
        <v>N1-M12-A5</v>
      </c>
      <c r="DE79" t="str">
        <f t="shared" si="411"/>
        <v>N1-M12-A11</v>
      </c>
      <c r="DF79" t="str">
        <f t="shared" si="412"/>
        <v>N1-M12-A12</v>
      </c>
      <c r="DG79" t="str">
        <f t="shared" si="413"/>
        <v>N1-M12-A19</v>
      </c>
      <c r="DH79" t="str">
        <f t="shared" si="414"/>
        <v>N1-M12-A20</v>
      </c>
      <c r="DI79" t="s">
        <v>135</v>
      </c>
      <c r="DJ79" t="s">
        <v>136</v>
      </c>
      <c r="DK79">
        <v>11</v>
      </c>
      <c r="DL79">
        <v>14</v>
      </c>
      <c r="DM79">
        <v>12</v>
      </c>
      <c r="DN79" t="s">
        <v>137</v>
      </c>
      <c r="DO79" t="s">
        <v>138</v>
      </c>
      <c r="DP79">
        <v>1</v>
      </c>
      <c r="DQ79">
        <v>2</v>
      </c>
      <c r="DR79">
        <v>3</v>
      </c>
      <c r="DS79">
        <v>4</v>
      </c>
      <c r="DT79">
        <v>5</v>
      </c>
      <c r="DU79">
        <v>6</v>
      </c>
      <c r="DV79">
        <v>7</v>
      </c>
      <c r="DW79">
        <v>8</v>
      </c>
      <c r="DX79">
        <v>9</v>
      </c>
      <c r="DY79">
        <v>10</v>
      </c>
      <c r="DZ79">
        <v>11</v>
      </c>
      <c r="EA79">
        <v>12</v>
      </c>
      <c r="EB79">
        <v>13</v>
      </c>
      <c r="EC79">
        <v>14</v>
      </c>
      <c r="ED79">
        <v>1</v>
      </c>
      <c r="EE79">
        <v>3</v>
      </c>
      <c r="EF79">
        <v>4</v>
      </c>
      <c r="EG79">
        <v>7</v>
      </c>
      <c r="EH79">
        <v>8</v>
      </c>
      <c r="EI79">
        <v>9</v>
      </c>
      <c r="EJ79">
        <v>10</v>
      </c>
      <c r="EK79">
        <v>13</v>
      </c>
      <c r="EL79">
        <v>14</v>
      </c>
      <c r="EM79">
        <v>15</v>
      </c>
      <c r="EN79">
        <v>16</v>
      </c>
      <c r="EO79">
        <v>22</v>
      </c>
      <c r="EP79">
        <v>23</v>
      </c>
      <c r="EQ79" s="14">
        <v>24</v>
      </c>
    </row>
    <row r="80" spans="1:550" x14ac:dyDescent="0.25">
      <c r="A80" s="44" t="s">
        <v>994</v>
      </c>
      <c r="B80" t="s">
        <v>769</v>
      </c>
      <c r="C80" s="3"/>
      <c r="O80" s="2"/>
      <c r="P80" t="s">
        <v>126</v>
      </c>
      <c r="Q80" s="1"/>
      <c r="S80" s="1" t="s">
        <v>127</v>
      </c>
      <c r="T80" s="12" t="s">
        <v>487</v>
      </c>
      <c r="U80" s="40">
        <v>13</v>
      </c>
      <c r="V80" s="13" t="s">
        <v>757</v>
      </c>
      <c r="W80" s="13"/>
      <c r="AC80" t="str">
        <f t="shared" si="415"/>
        <v>A5.2</v>
      </c>
      <c r="AD80" s="36" cm="1">
        <f t="array" ref="AD80">IF(COUNTIFS(AC$2:AC80,AC80)=1,"1",VALUE(SUBSTITUTE(INDEX(AD:AD,_xlfn.XMATCH(AC80,AC$1:AC79,0,-1)),"A",""))+INDEX(AE:AE,_xlfn.XMATCH(AC80,AC$1:AC79,0,-1))+1)</f>
        <v>13</v>
      </c>
      <c r="AE80" s="36" cm="1">
        <f t="array" ref="AE80">SUM(IF(ISNUMBER(FIND("TmDi",$BE$1:$AAL$1)),IF(IFERROR(ISNUMBER(VALUE(SUBSTITUTE($BE80:$AAL80,"B",""))),FALSE),IF(ISNUMBER(VALUE(SUBSTITUTE($BE80:$AAL80,"B",""))),1,0),0)))</f>
        <v>5</v>
      </c>
      <c r="AF80" t="str">
        <f t="shared" si="355"/>
        <v>C13</v>
      </c>
      <c r="AG80" t="str">
        <f t="shared" si="356"/>
        <v>B13</v>
      </c>
      <c r="AH80" t="str">
        <f t="shared" si="416"/>
        <v>A6.1</v>
      </c>
      <c r="AI80" s="47" cm="1">
        <f t="array" ref="AI80">IF(COUNTIFS(AH$2:AH80,AH80)=1,"1",VALUE(SUBSTITUTE(INDEX(AI:AI,_xlfn.XMATCH(AH80,AH$1:AH79,0,-1)),"A",""))+INDEX(AJ:AJ,_xlfn.XMATCH(AH80,AH$1:AH79,0,-1))+1)</f>
        <v>22</v>
      </c>
      <c r="AJ80" s="41" cm="1">
        <f t="array" ref="AJ80">SUM(IF(ISNUMBER(FIND("TmDo",$BE$1:$AAL$1)),IF(IFERROR(ISNUMBER(VALUE(SUBSTITUTE($BE80:$AAL80,"B",""))),FALSE),IF(ISNUMBER(VALUE(SUBSTITUTE($BE80:$AAL80,"B",""))),1,0),0)))</f>
        <v>2</v>
      </c>
      <c r="AK80" t="str">
        <f t="shared" si="357"/>
        <v>22A</v>
      </c>
      <c r="AL80" t="str">
        <f t="shared" si="358"/>
        <v>22B</v>
      </c>
      <c r="AM80" t="s">
        <v>145</v>
      </c>
      <c r="AP80" t="s">
        <v>489</v>
      </c>
      <c r="AQ80" t="s">
        <v>744</v>
      </c>
      <c r="AT80" t="s">
        <v>132</v>
      </c>
      <c r="AU80" t="s">
        <v>133</v>
      </c>
      <c r="BD80" s="14"/>
      <c r="BE80" s="22" t="str">
        <f t="shared" si="507"/>
        <v>XT13</v>
      </c>
      <c r="BF80" t="str">
        <f t="shared" si="508"/>
        <v>C14</v>
      </c>
      <c r="BG80" t="str">
        <f t="shared" si="509"/>
        <v>B14</v>
      </c>
      <c r="BH80" t="str">
        <f t="shared" si="510"/>
        <v>C15</v>
      </c>
      <c r="BI80" t="str">
        <f t="shared" si="511"/>
        <v>B15</v>
      </c>
      <c r="BJ80" t="str">
        <f t="shared" si="512"/>
        <v>C16</v>
      </c>
      <c r="BK80" t="str">
        <f t="shared" si="513"/>
        <v>B16</v>
      </c>
      <c r="BL80" t="str">
        <f t="shared" si="514"/>
        <v>C17</v>
      </c>
      <c r="BM80" t="str">
        <f t="shared" si="515"/>
        <v>B17</v>
      </c>
      <c r="BN80" t="str">
        <f t="shared" si="516"/>
        <v>C18</v>
      </c>
      <c r="BO80" t="str">
        <f t="shared" si="517"/>
        <v>B18</v>
      </c>
      <c r="BP80" t="str">
        <f t="shared" si="370"/>
        <v>23A</v>
      </c>
      <c r="BQ80" t="str">
        <f t="shared" si="371"/>
        <v>23B</v>
      </c>
      <c r="BR80" t="str">
        <f t="shared" si="372"/>
        <v>24A</v>
      </c>
      <c r="BS80" t="str">
        <f t="shared" si="373"/>
        <v>24B</v>
      </c>
      <c r="BT80" t="str">
        <f t="shared" si="518"/>
        <v>DI2-C13</v>
      </c>
      <c r="BU80" t="str">
        <f t="shared" si="519"/>
        <v>DI2-B13</v>
      </c>
      <c r="BV80" t="str">
        <f t="shared" si="520"/>
        <v>DI2-C14</v>
      </c>
      <c r="BW80" t="str">
        <f t="shared" si="521"/>
        <v>DI2-B14</v>
      </c>
      <c r="BX80" t="str">
        <f t="shared" si="522"/>
        <v>DI2-C15</v>
      </c>
      <c r="BY80" t="str">
        <f t="shared" si="523"/>
        <v>DI2-B15</v>
      </c>
      <c r="BZ80" t="str">
        <f t="shared" si="524"/>
        <v>DI2-C16</v>
      </c>
      <c r="CA80" t="str">
        <f t="shared" si="525"/>
        <v>DI2-B16</v>
      </c>
      <c r="CB80" t="str">
        <f t="shared" si="526"/>
        <v>DI2-C17</v>
      </c>
      <c r="CC80" t="str">
        <f t="shared" si="527"/>
        <v>DI2-B17</v>
      </c>
      <c r="CD80" t="str">
        <f t="shared" si="528"/>
        <v>DI2-C18</v>
      </c>
      <c r="CE80" t="str">
        <f t="shared" si="529"/>
        <v>DI2-B18</v>
      </c>
      <c r="CF80" t="str">
        <f t="shared" si="530"/>
        <v>DO1-22A</v>
      </c>
      <c r="CG80" t="str">
        <f t="shared" si="531"/>
        <v>DO1-22B</v>
      </c>
      <c r="CH80" t="str">
        <f t="shared" si="532"/>
        <v>DO1-23A</v>
      </c>
      <c r="CI80" t="str">
        <f t="shared" si="533"/>
        <v>DO1-23B</v>
      </c>
      <c r="CJ80" t="str">
        <f t="shared" si="534"/>
        <v>DO1-24A</v>
      </c>
      <c r="CK80" t="str">
        <f t="shared" si="535"/>
        <v>DO1-24B</v>
      </c>
      <c r="CL80" t="str">
        <f t="shared" si="392"/>
        <v>K13-10</v>
      </c>
      <c r="CM80" t="str">
        <f t="shared" si="393"/>
        <v>K13-03</v>
      </c>
      <c r="CN80" t="str">
        <f t="shared" si="394"/>
        <v>K13-04</v>
      </c>
      <c r="CO80" t="str">
        <f t="shared" si="395"/>
        <v>K13-01</v>
      </c>
      <c r="CP80" t="str">
        <f t="shared" si="396"/>
        <v>K13-08</v>
      </c>
      <c r="CQ80" t="str">
        <f t="shared" si="397"/>
        <v>K13-02</v>
      </c>
      <c r="CR80" t="str">
        <f t="shared" si="398"/>
        <v>K13-09</v>
      </c>
      <c r="CS80" t="str">
        <f t="shared" si="399"/>
        <v>K13-05</v>
      </c>
      <c r="CT80" t="str">
        <f t="shared" si="400"/>
        <v>K13-11</v>
      </c>
      <c r="CU80" t="str">
        <f t="shared" si="401"/>
        <v>N1-M13-A9</v>
      </c>
      <c r="CV80" t="str">
        <f t="shared" si="402"/>
        <v>N1-M13-A7</v>
      </c>
      <c r="CW80" t="str">
        <f t="shared" si="403"/>
        <v>N1-M13-A8</v>
      </c>
      <c r="CX80" t="str">
        <f t="shared" si="404"/>
        <v>N1-M13-A6</v>
      </c>
      <c r="CY80" t="str">
        <f t="shared" si="405"/>
        <v>N1-M13-A30</v>
      </c>
      <c r="CZ80" t="str">
        <f t="shared" si="406"/>
        <v>N1-M13-N</v>
      </c>
      <c r="DA80" t="str">
        <f t="shared" si="536"/>
        <v>N1-A220-M13</v>
      </c>
      <c r="DB80" t="str">
        <f t="shared" si="408"/>
        <v>N1-M13-XM01</v>
      </c>
      <c r="DC80" t="str">
        <f t="shared" si="409"/>
        <v>N1-M13-A1</v>
      </c>
      <c r="DD80" t="str">
        <f t="shared" si="410"/>
        <v>N1-M13-A5</v>
      </c>
      <c r="DE80" t="str">
        <f t="shared" si="411"/>
        <v>N1-M13-A11</v>
      </c>
      <c r="DF80" t="str">
        <f t="shared" si="412"/>
        <v>N1-M13-A12</v>
      </c>
      <c r="DG80" t="str">
        <f t="shared" si="413"/>
        <v>N1-M13-A19</v>
      </c>
      <c r="DH80" t="str">
        <f t="shared" si="414"/>
        <v>N1-M13-A20</v>
      </c>
      <c r="DI80" t="s">
        <v>135</v>
      </c>
      <c r="DJ80" t="s">
        <v>136</v>
      </c>
      <c r="DK80">
        <v>11</v>
      </c>
      <c r="DL80">
        <v>14</v>
      </c>
      <c r="DM80">
        <v>12</v>
      </c>
      <c r="DN80" t="s">
        <v>137</v>
      </c>
      <c r="DO80" t="s">
        <v>138</v>
      </c>
      <c r="DP80">
        <v>1</v>
      </c>
      <c r="DQ80">
        <v>2</v>
      </c>
      <c r="DR80">
        <v>3</v>
      </c>
      <c r="DS80">
        <v>4</v>
      </c>
      <c r="DT80">
        <v>5</v>
      </c>
      <c r="DU80">
        <v>6</v>
      </c>
      <c r="DV80">
        <v>7</v>
      </c>
      <c r="DW80">
        <v>8</v>
      </c>
      <c r="DX80">
        <v>9</v>
      </c>
      <c r="DY80">
        <v>10</v>
      </c>
      <c r="DZ80">
        <v>11</v>
      </c>
      <c r="EA80">
        <v>12</v>
      </c>
      <c r="EB80">
        <v>13</v>
      </c>
      <c r="EC80">
        <v>14</v>
      </c>
      <c r="ED80">
        <v>1</v>
      </c>
      <c r="EE80">
        <v>3</v>
      </c>
      <c r="EF80">
        <v>4</v>
      </c>
      <c r="EG80">
        <v>7</v>
      </c>
      <c r="EH80">
        <v>8</v>
      </c>
      <c r="EI80">
        <v>9</v>
      </c>
      <c r="EJ80">
        <v>10</v>
      </c>
      <c r="EK80">
        <v>13</v>
      </c>
      <c r="EL80">
        <v>14</v>
      </c>
      <c r="EM80">
        <v>15</v>
      </c>
      <c r="EN80">
        <v>16</v>
      </c>
      <c r="EO80">
        <v>22</v>
      </c>
      <c r="EP80">
        <v>23</v>
      </c>
      <c r="EQ80" s="14">
        <v>24</v>
      </c>
    </row>
    <row r="81" spans="1:147" x14ac:dyDescent="0.25">
      <c r="A81" s="44" t="s">
        <v>995</v>
      </c>
      <c r="B81" t="s">
        <v>770</v>
      </c>
      <c r="C81" s="3"/>
      <c r="O81" s="2"/>
      <c r="P81" t="s">
        <v>126</v>
      </c>
      <c r="Q81" s="1"/>
      <c r="S81" s="1" t="s">
        <v>127</v>
      </c>
      <c r="T81" s="12" t="s">
        <v>487</v>
      </c>
      <c r="U81" s="40">
        <v>14</v>
      </c>
      <c r="V81" s="13" t="s">
        <v>758</v>
      </c>
      <c r="W81" s="13"/>
      <c r="AC81" t="str">
        <f t="shared" si="415"/>
        <v>A5.2</v>
      </c>
      <c r="AD81" s="36" cm="1">
        <f t="array" ref="AD81">IF(COUNTIFS(AC$2:AC81,AC81)=1,"1",VALUE(SUBSTITUTE(INDEX(AD:AD,_xlfn.XMATCH(AC81,AC$1:AC80,0,-1)),"A",""))+INDEX(AE:AE,_xlfn.XMATCH(AC81,AC$1:AC80,0,-1))+1)</f>
        <v>19</v>
      </c>
      <c r="AE81" s="36" cm="1">
        <f t="array" ref="AE81">SUM(IF(ISNUMBER(FIND("TmDi",$BE$1:$AAL$1)),IF(IFERROR(ISNUMBER(VALUE(SUBSTITUTE($BE81:$AAL81,"B",""))),FALSE),IF(ISNUMBER(VALUE(SUBSTITUTE($BE81:$AAL81,"B",""))),1,0),0)))</f>
        <v>5</v>
      </c>
      <c r="AF81" t="str">
        <f t="shared" si="355"/>
        <v>C19</v>
      </c>
      <c r="AG81" t="str">
        <f t="shared" si="356"/>
        <v>B19</v>
      </c>
      <c r="AH81" t="str">
        <f>IF(AI80+AJ80&gt;25,REPLACE(AH80,LEN(AH80),1,VALUE(RIGHT(AH80,1))+1),AH80)</f>
        <v>A6.1</v>
      </c>
      <c r="AI81" s="47" cm="1">
        <f t="array" ref="AI81">IF(COUNTIFS(AH$2:AH81,AH81)=1,"1",VALUE(SUBSTITUTE(INDEX(AI:AI,_xlfn.XMATCH(AH81,AH$1:AH80,0,-1)),"A",""))+INDEX(AJ:AJ,_xlfn.XMATCH(AH81,AH$1:AH80,0,-1))+1)</f>
        <v>25</v>
      </c>
      <c r="AJ81" s="41" cm="1">
        <f t="array" ref="AJ81">SUM(IF(ISNUMBER(FIND("TmDo",$BE$1:$AAL$1)),IF(IFERROR(ISNUMBER(VALUE(SUBSTITUTE($BE81:$AAL81,"B",""))),FALSE),IF(ISNUMBER(VALUE(SUBSTITUTE($BE81:$AAL81,"B",""))),1,0),0)))</f>
        <v>2</v>
      </c>
      <c r="AK81" t="str">
        <f t="shared" si="357"/>
        <v>25A</v>
      </c>
      <c r="AL81" t="str">
        <f t="shared" si="358"/>
        <v>25B</v>
      </c>
      <c r="AM81" t="s">
        <v>146</v>
      </c>
      <c r="AP81" t="s">
        <v>489</v>
      </c>
      <c r="AQ81" t="s">
        <v>744</v>
      </c>
      <c r="AT81" t="s">
        <v>132</v>
      </c>
      <c r="AU81" t="s">
        <v>133</v>
      </c>
      <c r="BD81" s="14"/>
      <c r="BE81" s="22" t="str">
        <f t="shared" si="507"/>
        <v>XT14</v>
      </c>
      <c r="BF81" t="str">
        <f t="shared" si="508"/>
        <v>C20</v>
      </c>
      <c r="BG81" t="str">
        <f t="shared" si="509"/>
        <v>B20</v>
      </c>
      <c r="BH81" t="str">
        <f t="shared" si="510"/>
        <v>C21</v>
      </c>
      <c r="BI81" t="str">
        <f t="shared" si="511"/>
        <v>B21</v>
      </c>
      <c r="BJ81" t="str">
        <f t="shared" si="512"/>
        <v>C22</v>
      </c>
      <c r="BK81" t="str">
        <f t="shared" si="513"/>
        <v>B22</v>
      </c>
      <c r="BL81" t="str">
        <f t="shared" si="514"/>
        <v>C23</v>
      </c>
      <c r="BM81" t="str">
        <f t="shared" si="515"/>
        <v>B23</v>
      </c>
      <c r="BN81" t="str">
        <f t="shared" si="516"/>
        <v>C24</v>
      </c>
      <c r="BO81" t="str">
        <f t="shared" si="517"/>
        <v>B24</v>
      </c>
      <c r="BP81" t="str">
        <f t="shared" si="370"/>
        <v>26A</v>
      </c>
      <c r="BQ81" t="str">
        <f t="shared" si="371"/>
        <v>26B</v>
      </c>
      <c r="BR81" t="str">
        <f t="shared" si="372"/>
        <v>27A</v>
      </c>
      <c r="BS81" t="str">
        <f t="shared" si="373"/>
        <v>27B</v>
      </c>
      <c r="BT81" t="str">
        <f t="shared" si="518"/>
        <v>DI2-C19</v>
      </c>
      <c r="BU81" t="str">
        <f t="shared" si="519"/>
        <v>DI2-B19</v>
      </c>
      <c r="BV81" t="str">
        <f t="shared" si="520"/>
        <v>DI2-C20</v>
      </c>
      <c r="BW81" t="str">
        <f t="shared" si="521"/>
        <v>DI2-B20</v>
      </c>
      <c r="BX81" t="str">
        <f t="shared" si="522"/>
        <v>DI2-C21</v>
      </c>
      <c r="BY81" t="str">
        <f t="shared" si="523"/>
        <v>DI2-B21</v>
      </c>
      <c r="BZ81" t="str">
        <f t="shared" si="524"/>
        <v>DI2-C22</v>
      </c>
      <c r="CA81" t="str">
        <f t="shared" si="525"/>
        <v>DI2-B22</v>
      </c>
      <c r="CB81" t="str">
        <f t="shared" si="526"/>
        <v>DI2-C23</v>
      </c>
      <c r="CC81" t="str">
        <f t="shared" si="527"/>
        <v>DI2-B23</v>
      </c>
      <c r="CD81" t="str">
        <f t="shared" si="528"/>
        <v>DI2-C24</v>
      </c>
      <c r="CE81" t="str">
        <f t="shared" si="529"/>
        <v>DI2-B24</v>
      </c>
      <c r="CF81" t="str">
        <f t="shared" si="530"/>
        <v>DO1-25A</v>
      </c>
      <c r="CG81" t="str">
        <f t="shared" si="531"/>
        <v>DO1-25B</v>
      </c>
      <c r="CH81" t="str">
        <f t="shared" si="532"/>
        <v>DO1-26A</v>
      </c>
      <c r="CI81" t="str">
        <f t="shared" si="533"/>
        <v>DO1-26B</v>
      </c>
      <c r="CJ81" t="str">
        <f t="shared" si="534"/>
        <v>DO1-27A</v>
      </c>
      <c r="CK81" t="str">
        <f t="shared" si="535"/>
        <v>DO1-27B</v>
      </c>
      <c r="CL81" t="str">
        <f t="shared" si="392"/>
        <v>K14-10</v>
      </c>
      <c r="CM81" t="str">
        <f t="shared" si="393"/>
        <v>K14-03</v>
      </c>
      <c r="CN81" t="str">
        <f t="shared" si="394"/>
        <v>K14-04</v>
      </c>
      <c r="CO81" t="str">
        <f t="shared" si="395"/>
        <v>K14-01</v>
      </c>
      <c r="CP81" t="str">
        <f t="shared" si="396"/>
        <v>K14-08</v>
      </c>
      <c r="CQ81" t="str">
        <f t="shared" si="397"/>
        <v>K14-02</v>
      </c>
      <c r="CR81" t="str">
        <f t="shared" si="398"/>
        <v>K14-09</v>
      </c>
      <c r="CS81" t="str">
        <f t="shared" si="399"/>
        <v>K14-05</v>
      </c>
      <c r="CT81" t="str">
        <f t="shared" si="400"/>
        <v>K14-11</v>
      </c>
      <c r="CU81" t="str">
        <f t="shared" si="401"/>
        <v>N1-M14-A9</v>
      </c>
      <c r="CV81" t="str">
        <f t="shared" si="402"/>
        <v>N1-M14-A7</v>
      </c>
      <c r="CW81" t="str">
        <f t="shared" si="403"/>
        <v>N1-M14-A8</v>
      </c>
      <c r="CX81" t="str">
        <f t="shared" si="404"/>
        <v>N1-M14-A6</v>
      </c>
      <c r="CY81" t="str">
        <f t="shared" si="405"/>
        <v>N1-M14-A30</v>
      </c>
      <c r="CZ81" t="str">
        <f t="shared" si="406"/>
        <v>N1-M14-N</v>
      </c>
      <c r="DA81" t="str">
        <f t="shared" si="536"/>
        <v>N1-A220-M14</v>
      </c>
      <c r="DB81" t="str">
        <f t="shared" si="408"/>
        <v>N1-M14-XM01</v>
      </c>
      <c r="DC81" t="str">
        <f t="shared" si="409"/>
        <v>N1-M14-A1</v>
      </c>
      <c r="DD81" t="str">
        <f t="shared" si="410"/>
        <v>N1-M14-A5</v>
      </c>
      <c r="DE81" t="str">
        <f t="shared" si="411"/>
        <v>N1-M14-A11</v>
      </c>
      <c r="DF81" t="str">
        <f t="shared" si="412"/>
        <v>N1-M14-A12</v>
      </c>
      <c r="DG81" t="str">
        <f t="shared" si="413"/>
        <v>N1-M14-A19</v>
      </c>
      <c r="DH81" t="str">
        <f t="shared" si="414"/>
        <v>N1-M14-A20</v>
      </c>
      <c r="DI81" t="s">
        <v>135</v>
      </c>
      <c r="DJ81" t="s">
        <v>136</v>
      </c>
      <c r="DK81">
        <v>11</v>
      </c>
      <c r="DL81">
        <v>14</v>
      </c>
      <c r="DM81">
        <v>12</v>
      </c>
      <c r="DN81" t="s">
        <v>137</v>
      </c>
      <c r="DO81" t="s">
        <v>138</v>
      </c>
      <c r="DP81">
        <v>1</v>
      </c>
      <c r="DQ81">
        <v>2</v>
      </c>
      <c r="DR81">
        <v>3</v>
      </c>
      <c r="DS81">
        <v>4</v>
      </c>
      <c r="DT81">
        <v>5</v>
      </c>
      <c r="DU81">
        <v>6</v>
      </c>
      <c r="DV81">
        <v>7</v>
      </c>
      <c r="DW81">
        <v>8</v>
      </c>
      <c r="DX81">
        <v>9</v>
      </c>
      <c r="DY81">
        <v>10</v>
      </c>
      <c r="DZ81">
        <v>11</v>
      </c>
      <c r="EA81">
        <v>12</v>
      </c>
      <c r="EB81">
        <v>13</v>
      </c>
      <c r="EC81">
        <v>14</v>
      </c>
      <c r="ED81">
        <v>1</v>
      </c>
      <c r="EE81">
        <v>3</v>
      </c>
      <c r="EF81">
        <v>4</v>
      </c>
      <c r="EG81">
        <v>7</v>
      </c>
      <c r="EH81">
        <v>8</v>
      </c>
      <c r="EI81">
        <v>9</v>
      </c>
      <c r="EJ81">
        <v>10</v>
      </c>
      <c r="EK81">
        <v>13</v>
      </c>
      <c r="EL81">
        <v>14</v>
      </c>
      <c r="EM81">
        <v>15</v>
      </c>
      <c r="EN81">
        <v>16</v>
      </c>
      <c r="EO81">
        <v>22</v>
      </c>
      <c r="EP81">
        <v>23</v>
      </c>
      <c r="EQ81" s="14">
        <v>24</v>
      </c>
    </row>
    <row r="82" spans="1:147" x14ac:dyDescent="0.25">
      <c r="A82" s="44" t="s">
        <v>996</v>
      </c>
      <c r="B82" t="s">
        <v>771</v>
      </c>
      <c r="C82" s="3"/>
      <c r="O82" s="2"/>
      <c r="P82" t="s">
        <v>126</v>
      </c>
      <c r="Q82" s="1"/>
      <c r="S82" s="1" t="s">
        <v>127</v>
      </c>
      <c r="T82" s="12" t="s">
        <v>487</v>
      </c>
      <c r="U82" s="40">
        <v>15</v>
      </c>
      <c r="V82" s="13" t="s">
        <v>759</v>
      </c>
      <c r="W82" s="13"/>
      <c r="AC82" t="str">
        <f t="shared" si="415"/>
        <v>A5.2</v>
      </c>
      <c r="AD82" s="36" cm="1">
        <f t="array" ref="AD82">IF(COUNTIFS(AC$2:AC82,AC82)=1,"1",VALUE(SUBSTITUTE(INDEX(AD:AD,_xlfn.XMATCH(AC82,AC$1:AC81,0,-1)),"A",""))+INDEX(AE:AE,_xlfn.XMATCH(AC82,AC$1:AC81,0,-1))+1)</f>
        <v>25</v>
      </c>
      <c r="AE82" s="36" cm="1">
        <f t="array" ref="AE82">SUM(IF(ISNUMBER(FIND("TmDi",$BE$1:$AAL$1)),IF(IFERROR(ISNUMBER(VALUE(SUBSTITUTE($BE82:$AAL82,"B",""))),FALSE),IF(ISNUMBER(VALUE(SUBSTITUTE($BE82:$AAL82,"B",""))),1,0),0)))</f>
        <v>5</v>
      </c>
      <c r="AF82" t="str">
        <f t="shared" si="355"/>
        <v>C25</v>
      </c>
      <c r="AG82" t="str">
        <f t="shared" si="356"/>
        <v>B25</v>
      </c>
      <c r="AH82" t="str">
        <f t="shared" ref="AH82:AH112" si="537">IF(AI81+AJ81&gt;25,REPLACE(AH81,LEN(AH81),1,VALUE(RIGHT(AH81,1))+1),AH81)</f>
        <v>A6.2</v>
      </c>
      <c r="AI82" s="47" t="str" cm="1">
        <f t="array" ref="AI82">IF(COUNTIFS(AH$2:AH82,AH82)=1,"1",VALUE(SUBSTITUTE(INDEX(AI:AI,_xlfn.XMATCH(AH82,AH$1:AH81,0,-1)),"A",""))+INDEX(AJ:AJ,_xlfn.XMATCH(AH82,AH$1:AH81,0,-1))+1)</f>
        <v>1</v>
      </c>
      <c r="AJ82" s="41" cm="1">
        <f t="array" ref="AJ82">SUM(IF(ISNUMBER(FIND("TmDo",$BE$1:$AAL$1)),IF(IFERROR(ISNUMBER(VALUE(SUBSTITUTE($BE82:$AAL82,"B",""))),FALSE),IF(ISNUMBER(VALUE(SUBSTITUTE($BE82:$AAL82,"B",""))),1,0),0)))</f>
        <v>2</v>
      </c>
      <c r="AK82" t="str">
        <f t="shared" si="357"/>
        <v>1A</v>
      </c>
      <c r="AL82" t="str">
        <f t="shared" si="358"/>
        <v>1B</v>
      </c>
      <c r="AM82" t="s">
        <v>147</v>
      </c>
      <c r="AP82" t="s">
        <v>489</v>
      </c>
      <c r="AQ82" t="s">
        <v>744</v>
      </c>
      <c r="AT82" t="s">
        <v>132</v>
      </c>
      <c r="AU82" t="s">
        <v>133</v>
      </c>
      <c r="BD82" s="14"/>
      <c r="BE82" s="22" t="str">
        <f t="shared" si="507"/>
        <v>XT15</v>
      </c>
      <c r="BF82" t="str">
        <f t="shared" si="508"/>
        <v>C26</v>
      </c>
      <c r="BG82" t="str">
        <f t="shared" si="509"/>
        <v>B26</v>
      </c>
      <c r="BH82" t="str">
        <f t="shared" si="510"/>
        <v>C27</v>
      </c>
      <c r="BI82" t="str">
        <f t="shared" si="511"/>
        <v>B27</v>
      </c>
      <c r="BJ82" t="str">
        <f t="shared" si="512"/>
        <v>C28</v>
      </c>
      <c r="BK82" t="str">
        <f t="shared" si="513"/>
        <v>B28</v>
      </c>
      <c r="BL82" t="str">
        <f t="shared" si="514"/>
        <v>C29</v>
      </c>
      <c r="BM82" t="str">
        <f t="shared" si="515"/>
        <v>B29</v>
      </c>
      <c r="BN82" t="str">
        <f t="shared" si="516"/>
        <v>C30</v>
      </c>
      <c r="BO82" t="str">
        <f t="shared" si="517"/>
        <v>B30</v>
      </c>
      <c r="BP82" t="str">
        <f t="shared" si="370"/>
        <v>2A</v>
      </c>
      <c r="BQ82" t="str">
        <f t="shared" si="371"/>
        <v>2B</v>
      </c>
      <c r="BR82" t="str">
        <f t="shared" si="372"/>
        <v>3A</v>
      </c>
      <c r="BS82" t="str">
        <f t="shared" si="373"/>
        <v>3B</v>
      </c>
      <c r="BT82" t="str">
        <f t="shared" si="518"/>
        <v>DI2-C25</v>
      </c>
      <c r="BU82" t="str">
        <f t="shared" si="519"/>
        <v>DI2-B25</v>
      </c>
      <c r="BV82" t="str">
        <f t="shared" si="520"/>
        <v>DI2-C26</v>
      </c>
      <c r="BW82" t="str">
        <f t="shared" si="521"/>
        <v>DI2-B26</v>
      </c>
      <c r="BX82" t="str">
        <f t="shared" si="522"/>
        <v>DI2-C27</v>
      </c>
      <c r="BY82" t="str">
        <f t="shared" si="523"/>
        <v>DI2-B27</v>
      </c>
      <c r="BZ82" t="str">
        <f t="shared" si="524"/>
        <v>DI2-C28</v>
      </c>
      <c r="CA82" t="str">
        <f t="shared" si="525"/>
        <v>DI2-B28</v>
      </c>
      <c r="CB82" t="str">
        <f t="shared" si="526"/>
        <v>DI2-C29</v>
      </c>
      <c r="CC82" t="str">
        <f t="shared" si="527"/>
        <v>DI2-B29</v>
      </c>
      <c r="CD82" t="str">
        <f t="shared" si="528"/>
        <v>DI2-C30</v>
      </c>
      <c r="CE82" t="str">
        <f t="shared" si="529"/>
        <v>DI2-B30</v>
      </c>
      <c r="CF82" t="str">
        <f t="shared" si="530"/>
        <v>DO2-1A</v>
      </c>
      <c r="CG82" t="str">
        <f t="shared" si="531"/>
        <v>DO2-1B</v>
      </c>
      <c r="CH82" t="str">
        <f t="shared" si="532"/>
        <v>DO2-2A</v>
      </c>
      <c r="CI82" t="str">
        <f t="shared" si="533"/>
        <v>DO2-2B</v>
      </c>
      <c r="CJ82" t="str">
        <f t="shared" si="534"/>
        <v>DO2-3A</v>
      </c>
      <c r="CK82" t="str">
        <f t="shared" si="535"/>
        <v>DO2-3B</v>
      </c>
      <c r="CL82" t="str">
        <f t="shared" si="392"/>
        <v>K15-10</v>
      </c>
      <c r="CM82" t="str">
        <f t="shared" si="393"/>
        <v>K15-03</v>
      </c>
      <c r="CN82" t="str">
        <f t="shared" si="394"/>
        <v>K15-04</v>
      </c>
      <c r="CO82" t="str">
        <f t="shared" si="395"/>
        <v>K15-01</v>
      </c>
      <c r="CP82" t="str">
        <f t="shared" si="396"/>
        <v>K15-08</v>
      </c>
      <c r="CQ82" t="str">
        <f t="shared" si="397"/>
        <v>K15-02</v>
      </c>
      <c r="CR82" t="str">
        <f t="shared" si="398"/>
        <v>K15-09</v>
      </c>
      <c r="CS82" t="str">
        <f t="shared" si="399"/>
        <v>K15-05</v>
      </c>
      <c r="CT82" t="str">
        <f t="shared" si="400"/>
        <v>K15-11</v>
      </c>
      <c r="CU82" t="str">
        <f t="shared" si="401"/>
        <v>N1-M15-A9</v>
      </c>
      <c r="CV82" t="str">
        <f t="shared" si="402"/>
        <v>N1-M15-A7</v>
      </c>
      <c r="CW82" t="str">
        <f t="shared" si="403"/>
        <v>N1-M15-A8</v>
      </c>
      <c r="CX82" t="str">
        <f t="shared" si="404"/>
        <v>N1-M15-A6</v>
      </c>
      <c r="CY82" t="str">
        <f t="shared" si="405"/>
        <v>N1-M15-A30</v>
      </c>
      <c r="CZ82" t="str">
        <f t="shared" si="406"/>
        <v>N1-M15-N</v>
      </c>
      <c r="DA82" t="str">
        <f t="shared" si="536"/>
        <v>N1-A220-M15</v>
      </c>
      <c r="DB82" t="str">
        <f t="shared" si="408"/>
        <v>N1-M15-XM01</v>
      </c>
      <c r="DC82" t="str">
        <f t="shared" si="409"/>
        <v>N1-M15-A1</v>
      </c>
      <c r="DD82" t="str">
        <f t="shared" si="410"/>
        <v>N1-M15-A5</v>
      </c>
      <c r="DE82" t="str">
        <f t="shared" si="411"/>
        <v>N1-M15-A11</v>
      </c>
      <c r="DF82" t="str">
        <f t="shared" si="412"/>
        <v>N1-M15-A12</v>
      </c>
      <c r="DG82" t="str">
        <f t="shared" si="413"/>
        <v>N1-M15-A19</v>
      </c>
      <c r="DH82" t="str">
        <f t="shared" si="414"/>
        <v>N1-M15-A20</v>
      </c>
      <c r="DI82" t="s">
        <v>135</v>
      </c>
      <c r="DJ82" t="s">
        <v>136</v>
      </c>
      <c r="DK82">
        <v>11</v>
      </c>
      <c r="DL82">
        <v>14</v>
      </c>
      <c r="DM82">
        <v>12</v>
      </c>
      <c r="DN82" t="s">
        <v>137</v>
      </c>
      <c r="DO82" t="s">
        <v>138</v>
      </c>
      <c r="DP82">
        <v>1</v>
      </c>
      <c r="DQ82">
        <v>2</v>
      </c>
      <c r="DR82">
        <v>3</v>
      </c>
      <c r="DS82">
        <v>4</v>
      </c>
      <c r="DT82">
        <v>5</v>
      </c>
      <c r="DU82">
        <v>6</v>
      </c>
      <c r="DV82">
        <v>7</v>
      </c>
      <c r="DW82">
        <v>8</v>
      </c>
      <c r="DX82">
        <v>9</v>
      </c>
      <c r="DY82">
        <v>10</v>
      </c>
      <c r="DZ82">
        <v>11</v>
      </c>
      <c r="EA82">
        <v>12</v>
      </c>
      <c r="EB82">
        <v>13</v>
      </c>
      <c r="EC82">
        <v>14</v>
      </c>
      <c r="ED82">
        <v>1</v>
      </c>
      <c r="EE82">
        <v>3</v>
      </c>
      <c r="EF82">
        <v>4</v>
      </c>
      <c r="EG82">
        <v>7</v>
      </c>
      <c r="EH82">
        <v>8</v>
      </c>
      <c r="EI82">
        <v>9</v>
      </c>
      <c r="EJ82">
        <v>10</v>
      </c>
      <c r="EK82">
        <v>13</v>
      </c>
      <c r="EL82">
        <v>14</v>
      </c>
      <c r="EM82">
        <v>15</v>
      </c>
      <c r="EN82">
        <v>16</v>
      </c>
      <c r="EO82">
        <v>22</v>
      </c>
      <c r="EP82">
        <v>23</v>
      </c>
      <c r="EQ82" s="14">
        <v>24</v>
      </c>
    </row>
    <row r="83" spans="1:147" x14ac:dyDescent="0.25">
      <c r="A83" s="44" t="s">
        <v>997</v>
      </c>
      <c r="B83" t="s">
        <v>772</v>
      </c>
      <c r="C83" s="3"/>
      <c r="O83" s="2"/>
      <c r="P83" t="s">
        <v>126</v>
      </c>
      <c r="Q83" s="1"/>
      <c r="S83" s="1" t="s">
        <v>127</v>
      </c>
      <c r="T83" s="12" t="s">
        <v>487</v>
      </c>
      <c r="U83" s="40">
        <v>16</v>
      </c>
      <c r="V83" s="13" t="s">
        <v>760</v>
      </c>
      <c r="W83" s="13"/>
      <c r="AC83" t="str">
        <f t="shared" si="415"/>
        <v>A5.3</v>
      </c>
      <c r="AD83" s="36" t="str" cm="1">
        <f t="array" ref="AD83">IF(COUNTIFS(AC$2:AC83,AC83)=1,"1",VALUE(SUBSTITUTE(INDEX(AD:AD,_xlfn.XMATCH(AC83,AC$1:AC82,0,-1)),"A",""))+INDEX(AE:AE,_xlfn.XMATCH(AC83,AC$1:AC82,0,-1))+1)</f>
        <v>1</v>
      </c>
      <c r="AE83" s="36" cm="1">
        <f t="array" ref="AE83">SUM(IF(ISNUMBER(FIND("TmDi",$BE$1:$AAL$1)),IF(IFERROR(ISNUMBER(VALUE(SUBSTITUTE($BE83:$AAL83,"B",""))),FALSE),IF(ISNUMBER(VALUE(SUBSTITUTE($BE83:$AAL83,"B",""))),1,0),0)))</f>
        <v>5</v>
      </c>
      <c r="AF83" t="str">
        <f t="shared" si="355"/>
        <v>C1</v>
      </c>
      <c r="AG83" t="str">
        <f t="shared" si="356"/>
        <v>B1</v>
      </c>
      <c r="AH83" t="str">
        <f t="shared" si="537"/>
        <v>A6.2</v>
      </c>
      <c r="AI83" s="47" cm="1">
        <f t="array" ref="AI83">IF(COUNTIFS(AH$2:AH83,AH83)=1,"1",VALUE(SUBSTITUTE(INDEX(AI:AI,_xlfn.XMATCH(AH83,AH$1:AH82,0,-1)),"A",""))+INDEX(AJ:AJ,_xlfn.XMATCH(AH83,AH$1:AH82,0,-1))+1)</f>
        <v>4</v>
      </c>
      <c r="AJ83" s="41" cm="1">
        <f t="array" ref="AJ83">SUM(IF(ISNUMBER(FIND("TmDo",$BE$1:$AAL$1)),IF(IFERROR(ISNUMBER(VALUE(SUBSTITUTE($BE83:$AAL83,"B",""))),FALSE),IF(ISNUMBER(VALUE(SUBSTITUTE($BE83:$AAL83,"B",""))),1,0),0)))</f>
        <v>2</v>
      </c>
      <c r="AK83" t="str">
        <f t="shared" si="357"/>
        <v>4A</v>
      </c>
      <c r="AL83" t="str">
        <f t="shared" si="358"/>
        <v>4B</v>
      </c>
      <c r="AM83" t="s">
        <v>148</v>
      </c>
      <c r="AP83" t="s">
        <v>489</v>
      </c>
      <c r="AQ83" t="s">
        <v>744</v>
      </c>
      <c r="AT83" t="s">
        <v>132</v>
      </c>
      <c r="AU83" t="s">
        <v>133</v>
      </c>
      <c r="BD83" s="14"/>
      <c r="BE83" s="22" t="str">
        <f t="shared" ref="BE83:BE91" si="538">CONCATENATE("XT",U83)</f>
        <v>XT16</v>
      </c>
      <c r="BF83" t="str">
        <f t="shared" ref="BF83:BF91" si="539">CONCATENATE("C",REPLACE(AF83,1,1,"")+1)</f>
        <v>C2</v>
      </c>
      <c r="BG83" t="str">
        <f t="shared" ref="BG83:BG91" si="540">CONCATENATE("B",REPLACE(AG83,1,1,"")+1)</f>
        <v>B2</v>
      </c>
      <c r="BH83" t="str">
        <f t="shared" ref="BH83:BH91" si="541">CONCATENATE("C",REPLACE(BF83,1,1,"")+1)</f>
        <v>C3</v>
      </c>
      <c r="BI83" t="str">
        <f t="shared" ref="BI83:BI91" si="542">CONCATENATE("B",REPLACE(BG83,1,1,"")+1)</f>
        <v>B3</v>
      </c>
      <c r="BJ83" t="str">
        <f t="shared" ref="BJ83:BJ91" si="543">CONCATENATE("C",REPLACE(BH83,1,1,"")+1)</f>
        <v>C4</v>
      </c>
      <c r="BK83" t="str">
        <f t="shared" ref="BK83:BK91" si="544">CONCATENATE("B",REPLACE(BI83,1,1,"")+1)</f>
        <v>B4</v>
      </c>
      <c r="BL83" t="str">
        <f t="shared" ref="BL83:BL91" si="545">CONCATENATE("C",REPLACE(BJ83,1,1,"")+1)</f>
        <v>C5</v>
      </c>
      <c r="BM83" t="str">
        <f t="shared" ref="BM83:BM91" si="546">CONCATENATE("B",REPLACE(BK83,1,1,"")+1)</f>
        <v>B5</v>
      </c>
      <c r="BN83" t="str">
        <f t="shared" ref="BN83:BN91" si="547">CONCATENATE("C",REPLACE(BL83,1,1,"")+1)</f>
        <v>C6</v>
      </c>
      <c r="BO83" t="str">
        <f t="shared" ref="BO83:BO91" si="548">CONCATENATE("B",REPLACE(BM83,1,1,"")+1)</f>
        <v>B6</v>
      </c>
      <c r="BP83" t="str">
        <f t="shared" si="370"/>
        <v>5A</v>
      </c>
      <c r="BQ83" t="str">
        <f t="shared" si="371"/>
        <v>5B</v>
      </c>
      <c r="BR83" t="str">
        <f t="shared" si="372"/>
        <v>6A</v>
      </c>
      <c r="BS83" t="str">
        <f t="shared" si="373"/>
        <v>6B</v>
      </c>
      <c r="BT83" t="str">
        <f t="shared" ref="BT83:BT91" si="549">CONCATENATE("DI",REPLACE($AC83,1,3,""),"-",AF83)</f>
        <v>DI3-C1</v>
      </c>
      <c r="BU83" t="str">
        <f t="shared" ref="BU83:BU91" si="550">CONCATENATE("DI",REPLACE($AC83,1,3,""),"-",AG83)</f>
        <v>DI3-B1</v>
      </c>
      <c r="BV83" t="str">
        <f t="shared" ref="BV83:BV91" si="551">CONCATENATE("DI",REPLACE($AC83,1,3,""),"-",BF83)</f>
        <v>DI3-C2</v>
      </c>
      <c r="BW83" t="str">
        <f t="shared" ref="BW83:BW91" si="552">CONCATENATE("DI",REPLACE($AC83,1,3,""),"-",BG83)</f>
        <v>DI3-B2</v>
      </c>
      <c r="BX83" t="str">
        <f t="shared" ref="BX83:BX91" si="553">CONCATENATE("DI",REPLACE($AC83,1,3,""),"-",BH83)</f>
        <v>DI3-C3</v>
      </c>
      <c r="BY83" t="str">
        <f t="shared" ref="BY83:BY91" si="554">CONCATENATE("DI",REPLACE($AC83,1,3,""),"-",BI83)</f>
        <v>DI3-B3</v>
      </c>
      <c r="BZ83" t="str">
        <f t="shared" ref="BZ83:BZ91" si="555">CONCATENATE("DI",REPLACE($AC83,1,3,""),"-",BJ83)</f>
        <v>DI3-C4</v>
      </c>
      <c r="CA83" t="str">
        <f t="shared" ref="CA83:CA91" si="556">CONCATENATE("DI",REPLACE($AC83,1,3,""),"-",BK83)</f>
        <v>DI3-B4</v>
      </c>
      <c r="CB83" t="str">
        <f t="shared" ref="CB83:CB91" si="557">CONCATENATE("DI",REPLACE($AC83,1,3,""),"-",BL83)</f>
        <v>DI3-C5</v>
      </c>
      <c r="CC83" t="str">
        <f t="shared" ref="CC83:CC91" si="558">CONCATENATE("DI",REPLACE($AC83,1,3,""),"-",BM83)</f>
        <v>DI3-B5</v>
      </c>
      <c r="CD83" t="str">
        <f t="shared" ref="CD83:CD91" si="559">CONCATENATE("DI",REPLACE($AC83,1,3,""),"-",BN83)</f>
        <v>DI3-C6</v>
      </c>
      <c r="CE83" t="str">
        <f t="shared" ref="CE83:CE91" si="560">CONCATENATE("DI",REPLACE($AC83,1,3,""),"-",BO83)</f>
        <v>DI3-B6</v>
      </c>
      <c r="CF83" t="str">
        <f t="shared" ref="CF83:CF91" si="561">CONCATENATE("DO",REPLACE($AH83,1,3,""),"-",AK83)</f>
        <v>DO2-4A</v>
      </c>
      <c r="CG83" t="str">
        <f t="shared" ref="CG83:CG91" si="562">CONCATENATE("DO",REPLACE($AH83,1,3,""),"-",AL83)</f>
        <v>DO2-4B</v>
      </c>
      <c r="CH83" t="str">
        <f t="shared" ref="CH83:CH91" si="563">CONCATENATE("DO",REPLACE($AH83,1,3,""),"-",BP83)</f>
        <v>DO2-5A</v>
      </c>
      <c r="CI83" t="str">
        <f t="shared" ref="CI83:CI91" si="564">CONCATENATE("DO",REPLACE($AH83,1,3,""),"-",BQ83)</f>
        <v>DO2-5B</v>
      </c>
      <c r="CJ83" t="str">
        <f t="shared" ref="CJ83:CJ91" si="565">CONCATENATE("DO",REPLACE($AH83,1,3,""),"-",BR83)</f>
        <v>DO2-6A</v>
      </c>
      <c r="CK83" t="str">
        <f t="shared" ref="CK83:CK91" si="566">CONCATENATE("DO",REPLACE($AH83,1,3,""),"-",BS83)</f>
        <v>DO2-6B</v>
      </c>
      <c r="CL83" t="str">
        <f t="shared" si="392"/>
        <v>K16-10</v>
      </c>
      <c r="CM83" t="str">
        <f t="shared" si="393"/>
        <v>K16-03</v>
      </c>
      <c r="CN83" t="str">
        <f t="shared" si="394"/>
        <v>K16-04</v>
      </c>
      <c r="CO83" t="str">
        <f t="shared" si="395"/>
        <v>K16-01</v>
      </c>
      <c r="CP83" t="str">
        <f t="shared" si="396"/>
        <v>K16-08</v>
      </c>
      <c r="CQ83" t="str">
        <f t="shared" si="397"/>
        <v>K16-02</v>
      </c>
      <c r="CR83" t="str">
        <f t="shared" si="398"/>
        <v>K16-09</v>
      </c>
      <c r="CS83" t="str">
        <f t="shared" si="399"/>
        <v>K16-05</v>
      </c>
      <c r="CT83" t="str">
        <f t="shared" si="400"/>
        <v>K16-11</v>
      </c>
      <c r="CU83" t="str">
        <f t="shared" si="401"/>
        <v>N1-M16-A9</v>
      </c>
      <c r="CV83" t="str">
        <f t="shared" si="402"/>
        <v>N1-M16-A7</v>
      </c>
      <c r="CW83" t="str">
        <f t="shared" si="403"/>
        <v>N1-M16-A8</v>
      </c>
      <c r="CX83" t="str">
        <f t="shared" si="404"/>
        <v>N1-M16-A6</v>
      </c>
      <c r="CY83" t="str">
        <f t="shared" si="405"/>
        <v>N1-M16-A30</v>
      </c>
      <c r="CZ83" t="str">
        <f t="shared" si="406"/>
        <v>N1-M16-N</v>
      </c>
      <c r="DA83" t="str">
        <f t="shared" ref="DA83:DA91" si="567">CONCATENATE($T83,"-A220-M",U83)</f>
        <v>N1-A220-M16</v>
      </c>
      <c r="DB83" t="str">
        <f t="shared" si="408"/>
        <v>N1-M16-XM01</v>
      </c>
      <c r="DC83" t="str">
        <f t="shared" si="409"/>
        <v>N1-M16-A1</v>
      </c>
      <c r="DD83" t="str">
        <f t="shared" si="410"/>
        <v>N1-M16-A5</v>
      </c>
      <c r="DE83" t="str">
        <f t="shared" si="411"/>
        <v>N1-M16-A11</v>
      </c>
      <c r="DF83" t="str">
        <f t="shared" si="412"/>
        <v>N1-M16-A12</v>
      </c>
      <c r="DG83" t="str">
        <f t="shared" si="413"/>
        <v>N1-M16-A19</v>
      </c>
      <c r="DH83" t="str">
        <f t="shared" si="414"/>
        <v>N1-M16-A20</v>
      </c>
      <c r="DI83" t="s">
        <v>135</v>
      </c>
      <c r="DJ83" t="s">
        <v>136</v>
      </c>
      <c r="DK83">
        <v>11</v>
      </c>
      <c r="DL83">
        <v>14</v>
      </c>
      <c r="DM83">
        <v>12</v>
      </c>
      <c r="DN83" t="s">
        <v>137</v>
      </c>
      <c r="DO83" t="s">
        <v>138</v>
      </c>
      <c r="DP83">
        <v>1</v>
      </c>
      <c r="DQ83">
        <v>2</v>
      </c>
      <c r="DR83">
        <v>3</v>
      </c>
      <c r="DS83">
        <v>4</v>
      </c>
      <c r="DT83">
        <v>5</v>
      </c>
      <c r="DU83">
        <v>6</v>
      </c>
      <c r="DV83">
        <v>7</v>
      </c>
      <c r="DW83">
        <v>8</v>
      </c>
      <c r="DX83">
        <v>9</v>
      </c>
      <c r="DY83">
        <v>10</v>
      </c>
      <c r="DZ83">
        <v>11</v>
      </c>
      <c r="EA83">
        <v>12</v>
      </c>
      <c r="EB83">
        <v>13</v>
      </c>
      <c r="EC83">
        <v>14</v>
      </c>
      <c r="ED83">
        <v>1</v>
      </c>
      <c r="EE83">
        <v>3</v>
      </c>
      <c r="EF83">
        <v>4</v>
      </c>
      <c r="EG83">
        <v>7</v>
      </c>
      <c r="EH83">
        <v>8</v>
      </c>
      <c r="EI83">
        <v>9</v>
      </c>
      <c r="EJ83">
        <v>10</v>
      </c>
      <c r="EK83">
        <v>13</v>
      </c>
      <c r="EL83">
        <v>14</v>
      </c>
      <c r="EM83">
        <v>15</v>
      </c>
      <c r="EN83">
        <v>16</v>
      </c>
      <c r="EO83">
        <v>22</v>
      </c>
      <c r="EP83">
        <v>23</v>
      </c>
      <c r="EQ83" s="14">
        <v>24</v>
      </c>
    </row>
    <row r="84" spans="1:147" x14ac:dyDescent="0.25">
      <c r="A84" s="44" t="s">
        <v>998</v>
      </c>
      <c r="B84" t="s">
        <v>773</v>
      </c>
      <c r="C84" s="3"/>
      <c r="O84" s="2"/>
      <c r="P84" t="s">
        <v>126</v>
      </c>
      <c r="Q84" s="1"/>
      <c r="S84" s="1" t="s">
        <v>127</v>
      </c>
      <c r="T84" s="12" t="s">
        <v>487</v>
      </c>
      <c r="U84" s="40">
        <v>17</v>
      </c>
      <c r="V84" s="13" t="s">
        <v>761</v>
      </c>
      <c r="W84" s="13"/>
      <c r="AC84" t="str">
        <f t="shared" si="415"/>
        <v>A5.3</v>
      </c>
      <c r="AD84" s="36" cm="1">
        <f t="array" ref="AD84">IF(COUNTIFS(AC$2:AC84,AC84)=1,"1",VALUE(SUBSTITUTE(INDEX(AD:AD,_xlfn.XMATCH(AC84,AC$1:AC83,0,-1)),"A",""))+INDEX(AE:AE,_xlfn.XMATCH(AC84,AC$1:AC83,0,-1))+1)</f>
        <v>7</v>
      </c>
      <c r="AE84" s="36" cm="1">
        <f t="array" ref="AE84">SUM(IF(ISNUMBER(FIND("TmDi",$BE$1:$AAL$1)),IF(IFERROR(ISNUMBER(VALUE(SUBSTITUTE($BE84:$AAL84,"B",""))),FALSE),IF(ISNUMBER(VALUE(SUBSTITUTE($BE84:$AAL84,"B",""))),1,0),0)))</f>
        <v>5</v>
      </c>
      <c r="AF84" t="str">
        <f t="shared" si="355"/>
        <v>C7</v>
      </c>
      <c r="AG84" t="str">
        <f t="shared" si="356"/>
        <v>B7</v>
      </c>
      <c r="AH84" t="str">
        <f t="shared" si="537"/>
        <v>A6.2</v>
      </c>
      <c r="AI84" s="47" cm="1">
        <f t="array" ref="AI84">IF(COUNTIFS(AH$2:AH84,AH84)=1,"1",VALUE(SUBSTITUTE(INDEX(AI:AI,_xlfn.XMATCH(AH84,AH$1:AH83,0,-1)),"A",""))+INDEX(AJ:AJ,_xlfn.XMATCH(AH84,AH$1:AH83,0,-1))+1)</f>
        <v>7</v>
      </c>
      <c r="AJ84" s="41" cm="1">
        <f t="array" ref="AJ84">SUM(IF(ISNUMBER(FIND("TmDo",$BE$1:$AAL$1)),IF(IFERROR(ISNUMBER(VALUE(SUBSTITUTE($BE84:$AAL84,"B",""))),FALSE),IF(ISNUMBER(VALUE(SUBSTITUTE($BE84:$AAL84,"B",""))),1,0),0)))</f>
        <v>2</v>
      </c>
      <c r="AK84" t="str">
        <f t="shared" si="357"/>
        <v>7A</v>
      </c>
      <c r="AL84" t="str">
        <f t="shared" si="358"/>
        <v>7B</v>
      </c>
      <c r="AM84" t="s">
        <v>149</v>
      </c>
      <c r="AP84" t="s">
        <v>489</v>
      </c>
      <c r="AQ84" t="s">
        <v>744</v>
      </c>
      <c r="AT84" t="s">
        <v>132</v>
      </c>
      <c r="AU84" t="s">
        <v>133</v>
      </c>
      <c r="BD84" s="14"/>
      <c r="BE84" s="22" t="str">
        <f t="shared" si="538"/>
        <v>XT17</v>
      </c>
      <c r="BF84" t="str">
        <f t="shared" si="539"/>
        <v>C8</v>
      </c>
      <c r="BG84" t="str">
        <f t="shared" si="540"/>
        <v>B8</v>
      </c>
      <c r="BH84" t="str">
        <f t="shared" si="541"/>
        <v>C9</v>
      </c>
      <c r="BI84" t="str">
        <f t="shared" si="542"/>
        <v>B9</v>
      </c>
      <c r="BJ84" t="str">
        <f t="shared" si="543"/>
        <v>C10</v>
      </c>
      <c r="BK84" t="str">
        <f t="shared" si="544"/>
        <v>B10</v>
      </c>
      <c r="BL84" t="str">
        <f t="shared" si="545"/>
        <v>C11</v>
      </c>
      <c r="BM84" t="str">
        <f t="shared" si="546"/>
        <v>B11</v>
      </c>
      <c r="BN84" t="str">
        <f t="shared" si="547"/>
        <v>C12</v>
      </c>
      <c r="BO84" t="str">
        <f t="shared" si="548"/>
        <v>B12</v>
      </c>
      <c r="BP84" t="str">
        <f t="shared" si="370"/>
        <v>8A</v>
      </c>
      <c r="BQ84" t="str">
        <f t="shared" si="371"/>
        <v>8B</v>
      </c>
      <c r="BR84" t="str">
        <f t="shared" si="372"/>
        <v>9A</v>
      </c>
      <c r="BS84" t="str">
        <f t="shared" si="373"/>
        <v>9B</v>
      </c>
      <c r="BT84" t="str">
        <f t="shared" si="549"/>
        <v>DI3-C7</v>
      </c>
      <c r="BU84" t="str">
        <f t="shared" si="550"/>
        <v>DI3-B7</v>
      </c>
      <c r="BV84" t="str">
        <f t="shared" si="551"/>
        <v>DI3-C8</v>
      </c>
      <c r="BW84" t="str">
        <f t="shared" si="552"/>
        <v>DI3-B8</v>
      </c>
      <c r="BX84" t="str">
        <f t="shared" si="553"/>
        <v>DI3-C9</v>
      </c>
      <c r="BY84" t="str">
        <f t="shared" si="554"/>
        <v>DI3-B9</v>
      </c>
      <c r="BZ84" t="str">
        <f t="shared" si="555"/>
        <v>DI3-C10</v>
      </c>
      <c r="CA84" t="str">
        <f t="shared" si="556"/>
        <v>DI3-B10</v>
      </c>
      <c r="CB84" t="str">
        <f t="shared" si="557"/>
        <v>DI3-C11</v>
      </c>
      <c r="CC84" t="str">
        <f t="shared" si="558"/>
        <v>DI3-B11</v>
      </c>
      <c r="CD84" t="str">
        <f t="shared" si="559"/>
        <v>DI3-C12</v>
      </c>
      <c r="CE84" t="str">
        <f t="shared" si="560"/>
        <v>DI3-B12</v>
      </c>
      <c r="CF84" t="str">
        <f t="shared" si="561"/>
        <v>DO2-7A</v>
      </c>
      <c r="CG84" t="str">
        <f t="shared" si="562"/>
        <v>DO2-7B</v>
      </c>
      <c r="CH84" t="str">
        <f t="shared" si="563"/>
        <v>DO2-8A</v>
      </c>
      <c r="CI84" t="str">
        <f t="shared" si="564"/>
        <v>DO2-8B</v>
      </c>
      <c r="CJ84" t="str">
        <f t="shared" si="565"/>
        <v>DO2-9A</v>
      </c>
      <c r="CK84" t="str">
        <f t="shared" si="566"/>
        <v>DO2-9B</v>
      </c>
      <c r="CL84" t="str">
        <f t="shared" si="392"/>
        <v>K17-10</v>
      </c>
      <c r="CM84" t="str">
        <f t="shared" si="393"/>
        <v>K17-03</v>
      </c>
      <c r="CN84" t="str">
        <f t="shared" si="394"/>
        <v>K17-04</v>
      </c>
      <c r="CO84" t="str">
        <f t="shared" si="395"/>
        <v>K17-01</v>
      </c>
      <c r="CP84" t="str">
        <f t="shared" si="396"/>
        <v>K17-08</v>
      </c>
      <c r="CQ84" t="str">
        <f t="shared" si="397"/>
        <v>K17-02</v>
      </c>
      <c r="CR84" t="str">
        <f t="shared" si="398"/>
        <v>K17-09</v>
      </c>
      <c r="CS84" t="str">
        <f t="shared" si="399"/>
        <v>K17-05</v>
      </c>
      <c r="CT84" t="str">
        <f t="shared" si="400"/>
        <v>K17-11</v>
      </c>
      <c r="CU84" t="str">
        <f t="shared" si="401"/>
        <v>N1-M17-A9</v>
      </c>
      <c r="CV84" t="str">
        <f t="shared" si="402"/>
        <v>N1-M17-A7</v>
      </c>
      <c r="CW84" t="str">
        <f t="shared" si="403"/>
        <v>N1-M17-A8</v>
      </c>
      <c r="CX84" t="str">
        <f t="shared" si="404"/>
        <v>N1-M17-A6</v>
      </c>
      <c r="CY84" t="str">
        <f t="shared" si="405"/>
        <v>N1-M17-A30</v>
      </c>
      <c r="CZ84" t="str">
        <f t="shared" si="406"/>
        <v>N1-M17-N</v>
      </c>
      <c r="DA84" t="str">
        <f t="shared" si="567"/>
        <v>N1-A220-M17</v>
      </c>
      <c r="DB84" t="str">
        <f t="shared" si="408"/>
        <v>N1-M17-XM01</v>
      </c>
      <c r="DC84" t="str">
        <f t="shared" si="409"/>
        <v>N1-M17-A1</v>
      </c>
      <c r="DD84" t="str">
        <f t="shared" si="410"/>
        <v>N1-M17-A5</v>
      </c>
      <c r="DE84" t="str">
        <f t="shared" si="411"/>
        <v>N1-M17-A11</v>
      </c>
      <c r="DF84" t="str">
        <f t="shared" si="412"/>
        <v>N1-M17-A12</v>
      </c>
      <c r="DG84" t="str">
        <f t="shared" si="413"/>
        <v>N1-M17-A19</v>
      </c>
      <c r="DH84" t="str">
        <f t="shared" si="414"/>
        <v>N1-M17-A20</v>
      </c>
      <c r="DI84" t="s">
        <v>135</v>
      </c>
      <c r="DJ84" t="s">
        <v>136</v>
      </c>
      <c r="DK84">
        <v>11</v>
      </c>
      <c r="DL84">
        <v>14</v>
      </c>
      <c r="DM84">
        <v>12</v>
      </c>
      <c r="DN84" t="s">
        <v>137</v>
      </c>
      <c r="DO84" t="s">
        <v>138</v>
      </c>
      <c r="DP84">
        <v>1</v>
      </c>
      <c r="DQ84">
        <v>2</v>
      </c>
      <c r="DR84">
        <v>3</v>
      </c>
      <c r="DS84">
        <v>4</v>
      </c>
      <c r="DT84">
        <v>5</v>
      </c>
      <c r="DU84">
        <v>6</v>
      </c>
      <c r="DV84">
        <v>7</v>
      </c>
      <c r="DW84">
        <v>8</v>
      </c>
      <c r="DX84">
        <v>9</v>
      </c>
      <c r="DY84">
        <v>10</v>
      </c>
      <c r="DZ84">
        <v>11</v>
      </c>
      <c r="EA84">
        <v>12</v>
      </c>
      <c r="EB84">
        <v>13</v>
      </c>
      <c r="EC84">
        <v>14</v>
      </c>
      <c r="ED84">
        <v>1</v>
      </c>
      <c r="EE84">
        <v>3</v>
      </c>
      <c r="EF84">
        <v>4</v>
      </c>
      <c r="EG84">
        <v>7</v>
      </c>
      <c r="EH84">
        <v>8</v>
      </c>
      <c r="EI84">
        <v>9</v>
      </c>
      <c r="EJ84">
        <v>10</v>
      </c>
      <c r="EK84">
        <v>13</v>
      </c>
      <c r="EL84">
        <v>14</v>
      </c>
      <c r="EM84">
        <v>15</v>
      </c>
      <c r="EN84">
        <v>16</v>
      </c>
      <c r="EO84">
        <v>22</v>
      </c>
      <c r="EP84">
        <v>23</v>
      </c>
      <c r="EQ84" s="14">
        <v>24</v>
      </c>
    </row>
    <row r="85" spans="1:147" x14ac:dyDescent="0.25">
      <c r="A85" s="44" t="s">
        <v>999</v>
      </c>
      <c r="B85" t="s">
        <v>774</v>
      </c>
      <c r="C85" s="3"/>
      <c r="O85" s="2"/>
      <c r="P85" t="s">
        <v>126</v>
      </c>
      <c r="Q85" s="1"/>
      <c r="S85" s="1" t="s">
        <v>127</v>
      </c>
      <c r="T85" s="12" t="s">
        <v>487</v>
      </c>
      <c r="U85" s="40">
        <v>18</v>
      </c>
      <c r="V85" s="13" t="s">
        <v>762</v>
      </c>
      <c r="W85" s="13"/>
      <c r="AC85" t="str">
        <f t="shared" si="415"/>
        <v>A5.3</v>
      </c>
      <c r="AD85" s="36" cm="1">
        <f t="array" ref="AD85">IF(COUNTIFS(AC$2:AC85,AC85)=1,"1",VALUE(SUBSTITUTE(INDEX(AD:AD,_xlfn.XMATCH(AC85,AC$1:AC84,0,-1)),"A",""))+INDEX(AE:AE,_xlfn.XMATCH(AC85,AC$1:AC84,0,-1))+1)</f>
        <v>13</v>
      </c>
      <c r="AE85" s="36" cm="1">
        <f t="array" ref="AE85">SUM(IF(ISNUMBER(FIND("TmDi",$BE$1:$AAL$1)),IF(IFERROR(ISNUMBER(VALUE(SUBSTITUTE($BE85:$AAL85,"B",""))),FALSE),IF(ISNUMBER(VALUE(SUBSTITUTE($BE85:$AAL85,"B",""))),1,0),0)))</f>
        <v>5</v>
      </c>
      <c r="AF85" t="str">
        <f t="shared" si="355"/>
        <v>C13</v>
      </c>
      <c r="AG85" t="str">
        <f t="shared" si="356"/>
        <v>B13</v>
      </c>
      <c r="AH85" t="str">
        <f t="shared" si="537"/>
        <v>A6.2</v>
      </c>
      <c r="AI85" s="47" cm="1">
        <f t="array" ref="AI85">IF(COUNTIFS(AH$2:AH85,AH85)=1,"1",VALUE(SUBSTITUTE(INDEX(AI:AI,_xlfn.XMATCH(AH85,AH$1:AH84,0,-1)),"A",""))+INDEX(AJ:AJ,_xlfn.XMATCH(AH85,AH$1:AH84,0,-1))+1)</f>
        <v>10</v>
      </c>
      <c r="AJ85" s="41" cm="1">
        <f t="array" ref="AJ85">SUM(IF(ISNUMBER(FIND("TmDo",$BE$1:$AAL$1)),IF(IFERROR(ISNUMBER(VALUE(SUBSTITUTE($BE85:$AAL85,"B",""))),FALSE),IF(ISNUMBER(VALUE(SUBSTITUTE($BE85:$AAL85,"B",""))),1,0),0)))</f>
        <v>2</v>
      </c>
      <c r="AK85" t="str">
        <f t="shared" si="357"/>
        <v>10A</v>
      </c>
      <c r="AL85" t="str">
        <f t="shared" si="358"/>
        <v>10B</v>
      </c>
      <c r="AM85" t="s">
        <v>150</v>
      </c>
      <c r="AP85" t="s">
        <v>489</v>
      </c>
      <c r="AQ85" t="s">
        <v>744</v>
      </c>
      <c r="AT85" t="s">
        <v>132</v>
      </c>
      <c r="AU85" t="s">
        <v>133</v>
      </c>
      <c r="BD85" s="14"/>
      <c r="BE85" s="22" t="str">
        <f t="shared" si="538"/>
        <v>XT18</v>
      </c>
      <c r="BF85" t="str">
        <f t="shared" si="539"/>
        <v>C14</v>
      </c>
      <c r="BG85" t="str">
        <f t="shared" si="540"/>
        <v>B14</v>
      </c>
      <c r="BH85" t="str">
        <f t="shared" si="541"/>
        <v>C15</v>
      </c>
      <c r="BI85" t="str">
        <f t="shared" si="542"/>
        <v>B15</v>
      </c>
      <c r="BJ85" t="str">
        <f t="shared" si="543"/>
        <v>C16</v>
      </c>
      <c r="BK85" t="str">
        <f t="shared" si="544"/>
        <v>B16</v>
      </c>
      <c r="BL85" t="str">
        <f t="shared" si="545"/>
        <v>C17</v>
      </c>
      <c r="BM85" t="str">
        <f t="shared" si="546"/>
        <v>B17</v>
      </c>
      <c r="BN85" t="str">
        <f t="shared" si="547"/>
        <v>C18</v>
      </c>
      <c r="BO85" t="str">
        <f t="shared" si="548"/>
        <v>B18</v>
      </c>
      <c r="BP85" t="str">
        <f t="shared" si="370"/>
        <v>11A</v>
      </c>
      <c r="BQ85" t="str">
        <f t="shared" si="371"/>
        <v>11B</v>
      </c>
      <c r="BR85" t="str">
        <f t="shared" si="372"/>
        <v>12A</v>
      </c>
      <c r="BS85" t="str">
        <f t="shared" si="373"/>
        <v>12B</v>
      </c>
      <c r="BT85" t="str">
        <f t="shared" si="549"/>
        <v>DI3-C13</v>
      </c>
      <c r="BU85" t="str">
        <f t="shared" si="550"/>
        <v>DI3-B13</v>
      </c>
      <c r="BV85" t="str">
        <f t="shared" si="551"/>
        <v>DI3-C14</v>
      </c>
      <c r="BW85" t="str">
        <f t="shared" si="552"/>
        <v>DI3-B14</v>
      </c>
      <c r="BX85" t="str">
        <f t="shared" si="553"/>
        <v>DI3-C15</v>
      </c>
      <c r="BY85" t="str">
        <f t="shared" si="554"/>
        <v>DI3-B15</v>
      </c>
      <c r="BZ85" t="str">
        <f t="shared" si="555"/>
        <v>DI3-C16</v>
      </c>
      <c r="CA85" t="str">
        <f t="shared" si="556"/>
        <v>DI3-B16</v>
      </c>
      <c r="CB85" t="str">
        <f t="shared" si="557"/>
        <v>DI3-C17</v>
      </c>
      <c r="CC85" t="str">
        <f t="shared" si="558"/>
        <v>DI3-B17</v>
      </c>
      <c r="CD85" t="str">
        <f t="shared" si="559"/>
        <v>DI3-C18</v>
      </c>
      <c r="CE85" t="str">
        <f t="shared" si="560"/>
        <v>DI3-B18</v>
      </c>
      <c r="CF85" t="str">
        <f t="shared" si="561"/>
        <v>DO2-10A</v>
      </c>
      <c r="CG85" t="str">
        <f t="shared" si="562"/>
        <v>DO2-10B</v>
      </c>
      <c r="CH85" t="str">
        <f t="shared" si="563"/>
        <v>DO2-11A</v>
      </c>
      <c r="CI85" t="str">
        <f t="shared" si="564"/>
        <v>DO2-11B</v>
      </c>
      <c r="CJ85" t="str">
        <f t="shared" si="565"/>
        <v>DO2-12A</v>
      </c>
      <c r="CK85" t="str">
        <f t="shared" si="566"/>
        <v>DO2-12B</v>
      </c>
      <c r="CL85" t="str">
        <f t="shared" si="392"/>
        <v>K18-10</v>
      </c>
      <c r="CM85" t="str">
        <f t="shared" si="393"/>
        <v>K18-03</v>
      </c>
      <c r="CN85" t="str">
        <f t="shared" si="394"/>
        <v>K18-04</v>
      </c>
      <c r="CO85" t="str">
        <f t="shared" si="395"/>
        <v>K18-01</v>
      </c>
      <c r="CP85" t="str">
        <f t="shared" si="396"/>
        <v>K18-08</v>
      </c>
      <c r="CQ85" t="str">
        <f t="shared" si="397"/>
        <v>K18-02</v>
      </c>
      <c r="CR85" t="str">
        <f t="shared" si="398"/>
        <v>K18-09</v>
      </c>
      <c r="CS85" t="str">
        <f t="shared" si="399"/>
        <v>K18-05</v>
      </c>
      <c r="CT85" t="str">
        <f t="shared" si="400"/>
        <v>K18-11</v>
      </c>
      <c r="CU85" t="str">
        <f t="shared" si="401"/>
        <v>N1-M18-A9</v>
      </c>
      <c r="CV85" t="str">
        <f t="shared" si="402"/>
        <v>N1-M18-A7</v>
      </c>
      <c r="CW85" t="str">
        <f t="shared" si="403"/>
        <v>N1-M18-A8</v>
      </c>
      <c r="CX85" t="str">
        <f t="shared" si="404"/>
        <v>N1-M18-A6</v>
      </c>
      <c r="CY85" t="str">
        <f t="shared" si="405"/>
        <v>N1-M18-A30</v>
      </c>
      <c r="CZ85" t="str">
        <f t="shared" si="406"/>
        <v>N1-M18-N</v>
      </c>
      <c r="DA85" t="str">
        <f t="shared" si="567"/>
        <v>N1-A220-M18</v>
      </c>
      <c r="DB85" t="str">
        <f t="shared" si="408"/>
        <v>N1-M18-XM01</v>
      </c>
      <c r="DC85" t="str">
        <f t="shared" si="409"/>
        <v>N1-M18-A1</v>
      </c>
      <c r="DD85" t="str">
        <f t="shared" si="410"/>
        <v>N1-M18-A5</v>
      </c>
      <c r="DE85" t="str">
        <f t="shared" si="411"/>
        <v>N1-M18-A11</v>
      </c>
      <c r="DF85" t="str">
        <f t="shared" si="412"/>
        <v>N1-M18-A12</v>
      </c>
      <c r="DG85" t="str">
        <f t="shared" si="413"/>
        <v>N1-M18-A19</v>
      </c>
      <c r="DH85" t="str">
        <f t="shared" si="414"/>
        <v>N1-M18-A20</v>
      </c>
      <c r="DI85" t="s">
        <v>135</v>
      </c>
      <c r="DJ85" t="s">
        <v>136</v>
      </c>
      <c r="DK85">
        <v>11</v>
      </c>
      <c r="DL85">
        <v>14</v>
      </c>
      <c r="DM85">
        <v>12</v>
      </c>
      <c r="DN85" t="s">
        <v>137</v>
      </c>
      <c r="DO85" t="s">
        <v>138</v>
      </c>
      <c r="DP85">
        <v>1</v>
      </c>
      <c r="DQ85">
        <v>2</v>
      </c>
      <c r="DR85">
        <v>3</v>
      </c>
      <c r="DS85">
        <v>4</v>
      </c>
      <c r="DT85">
        <v>5</v>
      </c>
      <c r="DU85">
        <v>6</v>
      </c>
      <c r="DV85">
        <v>7</v>
      </c>
      <c r="DW85">
        <v>8</v>
      </c>
      <c r="DX85">
        <v>9</v>
      </c>
      <c r="DY85">
        <v>10</v>
      </c>
      <c r="DZ85">
        <v>11</v>
      </c>
      <c r="EA85">
        <v>12</v>
      </c>
      <c r="EB85">
        <v>13</v>
      </c>
      <c r="EC85">
        <v>14</v>
      </c>
      <c r="ED85">
        <v>1</v>
      </c>
      <c r="EE85">
        <v>3</v>
      </c>
      <c r="EF85">
        <v>4</v>
      </c>
      <c r="EG85">
        <v>7</v>
      </c>
      <c r="EH85">
        <v>8</v>
      </c>
      <c r="EI85">
        <v>9</v>
      </c>
      <c r="EJ85">
        <v>10</v>
      </c>
      <c r="EK85">
        <v>13</v>
      </c>
      <c r="EL85">
        <v>14</v>
      </c>
      <c r="EM85">
        <v>15</v>
      </c>
      <c r="EN85">
        <v>16</v>
      </c>
      <c r="EO85">
        <v>22</v>
      </c>
      <c r="EP85">
        <v>23</v>
      </c>
      <c r="EQ85" s="14">
        <v>24</v>
      </c>
    </row>
    <row r="86" spans="1:147" x14ac:dyDescent="0.25">
      <c r="A86" s="44" t="s">
        <v>1000</v>
      </c>
      <c r="B86" t="s">
        <v>775</v>
      </c>
      <c r="C86" s="3"/>
      <c r="O86" s="2"/>
      <c r="P86" t="s">
        <v>126</v>
      </c>
      <c r="Q86" s="1"/>
      <c r="S86" s="1" t="s">
        <v>127</v>
      </c>
      <c r="T86" s="12" t="s">
        <v>487</v>
      </c>
      <c r="U86" s="40">
        <v>19</v>
      </c>
      <c r="V86" s="13" t="s">
        <v>763</v>
      </c>
      <c r="W86" s="13"/>
      <c r="AC86" t="str">
        <f t="shared" si="415"/>
        <v>A5.3</v>
      </c>
      <c r="AD86" s="36" cm="1">
        <f t="array" ref="AD86">IF(COUNTIFS(AC$2:AC86,AC86)=1,"1",VALUE(SUBSTITUTE(INDEX(AD:AD,_xlfn.XMATCH(AC86,AC$1:AC85,0,-1)),"A",""))+INDEX(AE:AE,_xlfn.XMATCH(AC86,AC$1:AC85,0,-1))+1)</f>
        <v>19</v>
      </c>
      <c r="AE86" s="36" cm="1">
        <f t="array" ref="AE86">SUM(IF(ISNUMBER(FIND("TmDi",$BE$1:$AAL$1)),IF(IFERROR(ISNUMBER(VALUE(SUBSTITUTE($BE86:$AAL86,"B",""))),FALSE),IF(ISNUMBER(VALUE(SUBSTITUTE($BE86:$AAL86,"B",""))),1,0),0)))</f>
        <v>5</v>
      </c>
      <c r="AF86" t="str">
        <f t="shared" si="355"/>
        <v>C19</v>
      </c>
      <c r="AG86" t="str">
        <f t="shared" si="356"/>
        <v>B19</v>
      </c>
      <c r="AH86" t="str">
        <f t="shared" si="537"/>
        <v>A6.2</v>
      </c>
      <c r="AI86" s="47" cm="1">
        <f t="array" ref="AI86">IF(COUNTIFS(AH$2:AH86,AH86)=1,"1",VALUE(SUBSTITUTE(INDEX(AI:AI,_xlfn.XMATCH(AH86,AH$1:AH85,0,-1)),"A",""))+INDEX(AJ:AJ,_xlfn.XMATCH(AH86,AH$1:AH85,0,-1))+1)</f>
        <v>13</v>
      </c>
      <c r="AJ86" s="41" cm="1">
        <f t="array" ref="AJ86">SUM(IF(ISNUMBER(FIND("TmDo",$BE$1:$AAL$1)),IF(IFERROR(ISNUMBER(VALUE(SUBSTITUTE($BE86:$AAL86,"B",""))),FALSE),IF(ISNUMBER(VALUE(SUBSTITUTE($BE86:$AAL86,"B",""))),1,0),0)))</f>
        <v>2</v>
      </c>
      <c r="AK86" t="str">
        <f t="shared" si="357"/>
        <v>13A</v>
      </c>
      <c r="AL86" t="str">
        <f t="shared" si="358"/>
        <v>13B</v>
      </c>
      <c r="AM86" t="s">
        <v>151</v>
      </c>
      <c r="AP86" t="s">
        <v>489</v>
      </c>
      <c r="AQ86" t="s">
        <v>744</v>
      </c>
      <c r="AT86" t="s">
        <v>132</v>
      </c>
      <c r="AU86" t="s">
        <v>133</v>
      </c>
      <c r="BD86" s="14"/>
      <c r="BE86" s="22" t="str">
        <f t="shared" si="538"/>
        <v>XT19</v>
      </c>
      <c r="BF86" t="str">
        <f t="shared" si="539"/>
        <v>C20</v>
      </c>
      <c r="BG86" t="str">
        <f t="shared" si="540"/>
        <v>B20</v>
      </c>
      <c r="BH86" t="str">
        <f t="shared" si="541"/>
        <v>C21</v>
      </c>
      <c r="BI86" t="str">
        <f t="shared" si="542"/>
        <v>B21</v>
      </c>
      <c r="BJ86" t="str">
        <f t="shared" si="543"/>
        <v>C22</v>
      </c>
      <c r="BK86" t="str">
        <f t="shared" si="544"/>
        <v>B22</v>
      </c>
      <c r="BL86" t="str">
        <f t="shared" si="545"/>
        <v>C23</v>
      </c>
      <c r="BM86" t="str">
        <f t="shared" si="546"/>
        <v>B23</v>
      </c>
      <c r="BN86" t="str">
        <f t="shared" si="547"/>
        <v>C24</v>
      </c>
      <c r="BO86" t="str">
        <f t="shared" si="548"/>
        <v>B24</v>
      </c>
      <c r="BP86" t="str">
        <f t="shared" si="370"/>
        <v>14A</v>
      </c>
      <c r="BQ86" t="str">
        <f t="shared" si="371"/>
        <v>14B</v>
      </c>
      <c r="BR86" t="str">
        <f t="shared" si="372"/>
        <v>15A</v>
      </c>
      <c r="BS86" t="str">
        <f t="shared" si="373"/>
        <v>15B</v>
      </c>
      <c r="BT86" t="str">
        <f t="shared" si="549"/>
        <v>DI3-C19</v>
      </c>
      <c r="BU86" t="str">
        <f t="shared" si="550"/>
        <v>DI3-B19</v>
      </c>
      <c r="BV86" t="str">
        <f t="shared" si="551"/>
        <v>DI3-C20</v>
      </c>
      <c r="BW86" t="str">
        <f t="shared" si="552"/>
        <v>DI3-B20</v>
      </c>
      <c r="BX86" t="str">
        <f t="shared" si="553"/>
        <v>DI3-C21</v>
      </c>
      <c r="BY86" t="str">
        <f t="shared" si="554"/>
        <v>DI3-B21</v>
      </c>
      <c r="BZ86" t="str">
        <f t="shared" si="555"/>
        <v>DI3-C22</v>
      </c>
      <c r="CA86" t="str">
        <f t="shared" si="556"/>
        <v>DI3-B22</v>
      </c>
      <c r="CB86" t="str">
        <f t="shared" si="557"/>
        <v>DI3-C23</v>
      </c>
      <c r="CC86" t="str">
        <f t="shared" si="558"/>
        <v>DI3-B23</v>
      </c>
      <c r="CD86" t="str">
        <f t="shared" si="559"/>
        <v>DI3-C24</v>
      </c>
      <c r="CE86" t="str">
        <f t="shared" si="560"/>
        <v>DI3-B24</v>
      </c>
      <c r="CF86" t="str">
        <f t="shared" si="561"/>
        <v>DO2-13A</v>
      </c>
      <c r="CG86" t="str">
        <f t="shared" si="562"/>
        <v>DO2-13B</v>
      </c>
      <c r="CH86" t="str">
        <f t="shared" si="563"/>
        <v>DO2-14A</v>
      </c>
      <c r="CI86" t="str">
        <f t="shared" si="564"/>
        <v>DO2-14B</v>
      </c>
      <c r="CJ86" t="str">
        <f t="shared" si="565"/>
        <v>DO2-15A</v>
      </c>
      <c r="CK86" t="str">
        <f t="shared" si="566"/>
        <v>DO2-15B</v>
      </c>
      <c r="CL86" t="str">
        <f t="shared" si="392"/>
        <v>K19-10</v>
      </c>
      <c r="CM86" t="str">
        <f t="shared" si="393"/>
        <v>K19-03</v>
      </c>
      <c r="CN86" t="str">
        <f t="shared" si="394"/>
        <v>K19-04</v>
      </c>
      <c r="CO86" t="str">
        <f t="shared" si="395"/>
        <v>K19-01</v>
      </c>
      <c r="CP86" t="str">
        <f t="shared" si="396"/>
        <v>K19-08</v>
      </c>
      <c r="CQ86" t="str">
        <f t="shared" si="397"/>
        <v>K19-02</v>
      </c>
      <c r="CR86" t="str">
        <f t="shared" si="398"/>
        <v>K19-09</v>
      </c>
      <c r="CS86" t="str">
        <f t="shared" si="399"/>
        <v>K19-05</v>
      </c>
      <c r="CT86" t="str">
        <f t="shared" si="400"/>
        <v>K19-11</v>
      </c>
      <c r="CU86" t="str">
        <f t="shared" si="401"/>
        <v>N1-M19-A9</v>
      </c>
      <c r="CV86" t="str">
        <f t="shared" si="402"/>
        <v>N1-M19-A7</v>
      </c>
      <c r="CW86" t="str">
        <f t="shared" si="403"/>
        <v>N1-M19-A8</v>
      </c>
      <c r="CX86" t="str">
        <f t="shared" si="404"/>
        <v>N1-M19-A6</v>
      </c>
      <c r="CY86" t="str">
        <f t="shared" si="405"/>
        <v>N1-M19-A30</v>
      </c>
      <c r="CZ86" t="str">
        <f t="shared" si="406"/>
        <v>N1-M19-N</v>
      </c>
      <c r="DA86" t="str">
        <f t="shared" si="567"/>
        <v>N1-A220-M19</v>
      </c>
      <c r="DB86" t="str">
        <f t="shared" si="408"/>
        <v>N1-M19-XM01</v>
      </c>
      <c r="DC86" t="str">
        <f t="shared" si="409"/>
        <v>N1-M19-A1</v>
      </c>
      <c r="DD86" t="str">
        <f t="shared" si="410"/>
        <v>N1-M19-A5</v>
      </c>
      <c r="DE86" t="str">
        <f t="shared" si="411"/>
        <v>N1-M19-A11</v>
      </c>
      <c r="DF86" t="str">
        <f t="shared" si="412"/>
        <v>N1-M19-A12</v>
      </c>
      <c r="DG86" t="str">
        <f t="shared" si="413"/>
        <v>N1-M19-A19</v>
      </c>
      <c r="DH86" t="str">
        <f t="shared" si="414"/>
        <v>N1-M19-A20</v>
      </c>
      <c r="DI86" t="s">
        <v>135</v>
      </c>
      <c r="DJ86" t="s">
        <v>136</v>
      </c>
      <c r="DK86">
        <v>11</v>
      </c>
      <c r="DL86">
        <v>14</v>
      </c>
      <c r="DM86">
        <v>12</v>
      </c>
      <c r="DN86" t="s">
        <v>137</v>
      </c>
      <c r="DO86" t="s">
        <v>138</v>
      </c>
      <c r="DP86">
        <v>1</v>
      </c>
      <c r="DQ86">
        <v>2</v>
      </c>
      <c r="DR86">
        <v>3</v>
      </c>
      <c r="DS86">
        <v>4</v>
      </c>
      <c r="DT86">
        <v>5</v>
      </c>
      <c r="DU86">
        <v>6</v>
      </c>
      <c r="DV86">
        <v>7</v>
      </c>
      <c r="DW86">
        <v>8</v>
      </c>
      <c r="DX86">
        <v>9</v>
      </c>
      <c r="DY86">
        <v>10</v>
      </c>
      <c r="DZ86">
        <v>11</v>
      </c>
      <c r="EA86">
        <v>12</v>
      </c>
      <c r="EB86">
        <v>13</v>
      </c>
      <c r="EC86">
        <v>14</v>
      </c>
      <c r="ED86">
        <v>1</v>
      </c>
      <c r="EE86">
        <v>3</v>
      </c>
      <c r="EF86">
        <v>4</v>
      </c>
      <c r="EG86">
        <v>7</v>
      </c>
      <c r="EH86">
        <v>8</v>
      </c>
      <c r="EI86">
        <v>9</v>
      </c>
      <c r="EJ86">
        <v>10</v>
      </c>
      <c r="EK86">
        <v>13</v>
      </c>
      <c r="EL86">
        <v>14</v>
      </c>
      <c r="EM86">
        <v>15</v>
      </c>
      <c r="EN86">
        <v>16</v>
      </c>
      <c r="EO86">
        <v>22</v>
      </c>
      <c r="EP86">
        <v>23</v>
      </c>
      <c r="EQ86" s="14">
        <v>24</v>
      </c>
    </row>
    <row r="87" spans="1:147" x14ac:dyDescent="0.25">
      <c r="A87" s="44" t="s">
        <v>1001</v>
      </c>
      <c r="B87" t="s">
        <v>776</v>
      </c>
      <c r="C87" s="3"/>
      <c r="O87" s="2"/>
      <c r="P87" t="s">
        <v>126</v>
      </c>
      <c r="Q87" s="1"/>
      <c r="S87" s="1" t="s">
        <v>127</v>
      </c>
      <c r="T87" s="12" t="s">
        <v>487</v>
      </c>
      <c r="U87" s="40">
        <v>20</v>
      </c>
      <c r="V87" s="13" t="s">
        <v>764</v>
      </c>
      <c r="W87" s="13"/>
      <c r="AC87" t="str">
        <f t="shared" si="415"/>
        <v>A5.3</v>
      </c>
      <c r="AD87" s="36" cm="1">
        <f t="array" ref="AD87">IF(COUNTIFS(AC$2:AC87,AC87)=1,"1",VALUE(SUBSTITUTE(INDEX(AD:AD,_xlfn.XMATCH(AC87,AC$1:AC86,0,-1)),"A",""))+INDEX(AE:AE,_xlfn.XMATCH(AC87,AC$1:AC86,0,-1))+1)</f>
        <v>25</v>
      </c>
      <c r="AE87" s="36" cm="1">
        <f t="array" ref="AE87">SUM(IF(ISNUMBER(FIND("TmDi",$BE$1:$AAL$1)),IF(IFERROR(ISNUMBER(VALUE(SUBSTITUTE($BE87:$AAL87,"B",""))),FALSE),IF(ISNUMBER(VALUE(SUBSTITUTE($BE87:$AAL87,"B",""))),1,0),0)))</f>
        <v>5</v>
      </c>
      <c r="AF87" t="str">
        <f t="shared" si="355"/>
        <v>C25</v>
      </c>
      <c r="AG87" t="str">
        <f t="shared" si="356"/>
        <v>B25</v>
      </c>
      <c r="AH87" t="str">
        <f t="shared" si="537"/>
        <v>A6.2</v>
      </c>
      <c r="AI87" s="47" cm="1">
        <f t="array" ref="AI87">IF(COUNTIFS(AH$2:AH87,AH87)=1,"1",VALUE(SUBSTITUTE(INDEX(AI:AI,_xlfn.XMATCH(AH87,AH$1:AH86,0,-1)),"A",""))+INDEX(AJ:AJ,_xlfn.XMATCH(AH87,AH$1:AH86,0,-1))+1)</f>
        <v>16</v>
      </c>
      <c r="AJ87" s="41" cm="1">
        <f t="array" ref="AJ87">SUM(IF(ISNUMBER(FIND("TmDo",$BE$1:$AAL$1)),IF(IFERROR(ISNUMBER(VALUE(SUBSTITUTE($BE87:$AAL87,"B",""))),FALSE),IF(ISNUMBER(VALUE(SUBSTITUTE($BE87:$AAL87,"B",""))),1,0),0)))</f>
        <v>2</v>
      </c>
      <c r="AK87" t="str">
        <f t="shared" si="357"/>
        <v>16A</v>
      </c>
      <c r="AL87" t="str">
        <f t="shared" si="358"/>
        <v>16B</v>
      </c>
      <c r="AM87" t="s">
        <v>152</v>
      </c>
      <c r="AP87" t="s">
        <v>489</v>
      </c>
      <c r="AQ87" t="s">
        <v>744</v>
      </c>
      <c r="AT87" t="s">
        <v>132</v>
      </c>
      <c r="AU87" t="s">
        <v>133</v>
      </c>
      <c r="BD87" s="14"/>
      <c r="BE87" s="22" t="str">
        <f t="shared" si="538"/>
        <v>XT20</v>
      </c>
      <c r="BF87" t="str">
        <f t="shared" si="539"/>
        <v>C26</v>
      </c>
      <c r="BG87" t="str">
        <f t="shared" si="540"/>
        <v>B26</v>
      </c>
      <c r="BH87" t="str">
        <f t="shared" si="541"/>
        <v>C27</v>
      </c>
      <c r="BI87" t="str">
        <f t="shared" si="542"/>
        <v>B27</v>
      </c>
      <c r="BJ87" t="str">
        <f t="shared" si="543"/>
        <v>C28</v>
      </c>
      <c r="BK87" t="str">
        <f t="shared" si="544"/>
        <v>B28</v>
      </c>
      <c r="BL87" t="str">
        <f t="shared" si="545"/>
        <v>C29</v>
      </c>
      <c r="BM87" t="str">
        <f t="shared" si="546"/>
        <v>B29</v>
      </c>
      <c r="BN87" t="str">
        <f t="shared" si="547"/>
        <v>C30</v>
      </c>
      <c r="BO87" t="str">
        <f t="shared" si="548"/>
        <v>B30</v>
      </c>
      <c r="BP87" t="str">
        <f t="shared" si="370"/>
        <v>17A</v>
      </c>
      <c r="BQ87" t="str">
        <f t="shared" si="371"/>
        <v>17B</v>
      </c>
      <c r="BR87" t="str">
        <f t="shared" si="372"/>
        <v>18A</v>
      </c>
      <c r="BS87" t="str">
        <f t="shared" si="373"/>
        <v>18B</v>
      </c>
      <c r="BT87" t="str">
        <f t="shared" si="549"/>
        <v>DI3-C25</v>
      </c>
      <c r="BU87" t="str">
        <f t="shared" si="550"/>
        <v>DI3-B25</v>
      </c>
      <c r="BV87" t="str">
        <f t="shared" si="551"/>
        <v>DI3-C26</v>
      </c>
      <c r="BW87" t="str">
        <f t="shared" si="552"/>
        <v>DI3-B26</v>
      </c>
      <c r="BX87" t="str">
        <f t="shared" si="553"/>
        <v>DI3-C27</v>
      </c>
      <c r="BY87" t="str">
        <f t="shared" si="554"/>
        <v>DI3-B27</v>
      </c>
      <c r="BZ87" t="str">
        <f t="shared" si="555"/>
        <v>DI3-C28</v>
      </c>
      <c r="CA87" t="str">
        <f t="shared" si="556"/>
        <v>DI3-B28</v>
      </c>
      <c r="CB87" t="str">
        <f t="shared" si="557"/>
        <v>DI3-C29</v>
      </c>
      <c r="CC87" t="str">
        <f t="shared" si="558"/>
        <v>DI3-B29</v>
      </c>
      <c r="CD87" t="str">
        <f t="shared" si="559"/>
        <v>DI3-C30</v>
      </c>
      <c r="CE87" t="str">
        <f t="shared" si="560"/>
        <v>DI3-B30</v>
      </c>
      <c r="CF87" t="str">
        <f t="shared" si="561"/>
        <v>DO2-16A</v>
      </c>
      <c r="CG87" t="str">
        <f t="shared" si="562"/>
        <v>DO2-16B</v>
      </c>
      <c r="CH87" t="str">
        <f t="shared" si="563"/>
        <v>DO2-17A</v>
      </c>
      <c r="CI87" t="str">
        <f t="shared" si="564"/>
        <v>DO2-17B</v>
      </c>
      <c r="CJ87" t="str">
        <f t="shared" si="565"/>
        <v>DO2-18A</v>
      </c>
      <c r="CK87" t="str">
        <f t="shared" si="566"/>
        <v>DO2-18B</v>
      </c>
      <c r="CL87" t="str">
        <f t="shared" si="392"/>
        <v>K20-10</v>
      </c>
      <c r="CM87" t="str">
        <f t="shared" si="393"/>
        <v>K20-03</v>
      </c>
      <c r="CN87" t="str">
        <f t="shared" si="394"/>
        <v>K20-04</v>
      </c>
      <c r="CO87" t="str">
        <f t="shared" si="395"/>
        <v>K20-01</v>
      </c>
      <c r="CP87" t="str">
        <f t="shared" si="396"/>
        <v>K20-08</v>
      </c>
      <c r="CQ87" t="str">
        <f t="shared" si="397"/>
        <v>K20-02</v>
      </c>
      <c r="CR87" t="str">
        <f t="shared" si="398"/>
        <v>K20-09</v>
      </c>
      <c r="CS87" t="str">
        <f t="shared" si="399"/>
        <v>K20-05</v>
      </c>
      <c r="CT87" t="str">
        <f t="shared" si="400"/>
        <v>K20-11</v>
      </c>
      <c r="CU87" t="str">
        <f t="shared" si="401"/>
        <v>N1-M20-A9</v>
      </c>
      <c r="CV87" t="str">
        <f t="shared" si="402"/>
        <v>N1-M20-A7</v>
      </c>
      <c r="CW87" t="str">
        <f t="shared" si="403"/>
        <v>N1-M20-A8</v>
      </c>
      <c r="CX87" t="str">
        <f t="shared" si="404"/>
        <v>N1-M20-A6</v>
      </c>
      <c r="CY87" t="str">
        <f t="shared" si="405"/>
        <v>N1-M20-A30</v>
      </c>
      <c r="CZ87" t="str">
        <f t="shared" si="406"/>
        <v>N1-M20-N</v>
      </c>
      <c r="DA87" t="str">
        <f t="shared" si="567"/>
        <v>N1-A220-M20</v>
      </c>
      <c r="DB87" t="str">
        <f t="shared" si="408"/>
        <v>N1-M20-XM01</v>
      </c>
      <c r="DC87" t="str">
        <f t="shared" si="409"/>
        <v>N1-M20-A1</v>
      </c>
      <c r="DD87" t="str">
        <f t="shared" si="410"/>
        <v>N1-M20-A5</v>
      </c>
      <c r="DE87" t="str">
        <f t="shared" si="411"/>
        <v>N1-M20-A11</v>
      </c>
      <c r="DF87" t="str">
        <f t="shared" si="412"/>
        <v>N1-M20-A12</v>
      </c>
      <c r="DG87" t="str">
        <f t="shared" si="413"/>
        <v>N1-M20-A19</v>
      </c>
      <c r="DH87" t="str">
        <f t="shared" si="414"/>
        <v>N1-M20-A20</v>
      </c>
      <c r="DI87" t="s">
        <v>135</v>
      </c>
      <c r="DJ87" t="s">
        <v>136</v>
      </c>
      <c r="DK87">
        <v>11</v>
      </c>
      <c r="DL87">
        <v>14</v>
      </c>
      <c r="DM87">
        <v>12</v>
      </c>
      <c r="DN87" t="s">
        <v>137</v>
      </c>
      <c r="DO87" t="s">
        <v>138</v>
      </c>
      <c r="DP87">
        <v>1</v>
      </c>
      <c r="DQ87">
        <v>2</v>
      </c>
      <c r="DR87">
        <v>3</v>
      </c>
      <c r="DS87">
        <v>4</v>
      </c>
      <c r="DT87">
        <v>5</v>
      </c>
      <c r="DU87">
        <v>6</v>
      </c>
      <c r="DV87">
        <v>7</v>
      </c>
      <c r="DW87">
        <v>8</v>
      </c>
      <c r="DX87">
        <v>9</v>
      </c>
      <c r="DY87">
        <v>10</v>
      </c>
      <c r="DZ87">
        <v>11</v>
      </c>
      <c r="EA87">
        <v>12</v>
      </c>
      <c r="EB87">
        <v>13</v>
      </c>
      <c r="EC87">
        <v>14</v>
      </c>
      <c r="ED87">
        <v>1</v>
      </c>
      <c r="EE87">
        <v>3</v>
      </c>
      <c r="EF87">
        <v>4</v>
      </c>
      <c r="EG87">
        <v>7</v>
      </c>
      <c r="EH87">
        <v>8</v>
      </c>
      <c r="EI87">
        <v>9</v>
      </c>
      <c r="EJ87">
        <v>10</v>
      </c>
      <c r="EK87">
        <v>13</v>
      </c>
      <c r="EL87">
        <v>14</v>
      </c>
      <c r="EM87">
        <v>15</v>
      </c>
      <c r="EN87">
        <v>16</v>
      </c>
      <c r="EO87">
        <v>22</v>
      </c>
      <c r="EP87">
        <v>23</v>
      </c>
      <c r="EQ87" s="14">
        <v>24</v>
      </c>
    </row>
    <row r="88" spans="1:147" x14ac:dyDescent="0.25">
      <c r="A88" s="44" t="s">
        <v>1002</v>
      </c>
      <c r="B88" t="s">
        <v>777</v>
      </c>
      <c r="C88" s="3"/>
      <c r="O88" s="2"/>
      <c r="P88" t="s">
        <v>126</v>
      </c>
      <c r="Q88" s="1"/>
      <c r="S88" s="1" t="s">
        <v>127</v>
      </c>
      <c r="T88" s="12" t="s">
        <v>487</v>
      </c>
      <c r="U88" s="40">
        <v>21</v>
      </c>
      <c r="V88" s="13" t="s">
        <v>765</v>
      </c>
      <c r="W88" s="13"/>
      <c r="AC88" t="str">
        <f t="shared" si="415"/>
        <v>A5.4</v>
      </c>
      <c r="AD88" s="36" t="str" cm="1">
        <f t="array" ref="AD88">IF(COUNTIFS(AC$2:AC88,AC88)=1,"1",VALUE(SUBSTITUTE(INDEX(AD:AD,_xlfn.XMATCH(AC88,AC$1:AC87,0,-1)),"A",""))+INDEX(AE:AE,_xlfn.XMATCH(AC88,AC$1:AC87,0,-1))+1)</f>
        <v>1</v>
      </c>
      <c r="AE88" s="36" cm="1">
        <f t="array" ref="AE88">SUM(IF(ISNUMBER(FIND("TmDi",$BE$1:$AAL$1)),IF(IFERROR(ISNUMBER(VALUE(SUBSTITUTE($BE88:$AAL88,"B",""))),FALSE),IF(ISNUMBER(VALUE(SUBSTITUTE($BE88:$AAL88,"B",""))),1,0),0)))</f>
        <v>5</v>
      </c>
      <c r="AF88" t="str">
        <f t="shared" si="355"/>
        <v>C1</v>
      </c>
      <c r="AG88" t="str">
        <f t="shared" si="356"/>
        <v>B1</v>
      </c>
      <c r="AH88" t="str">
        <f t="shared" si="537"/>
        <v>A6.2</v>
      </c>
      <c r="AI88" s="47" cm="1">
        <f t="array" ref="AI88">IF(COUNTIFS(AH$2:AH88,AH88)=1,"1",VALUE(SUBSTITUTE(INDEX(AI:AI,_xlfn.XMATCH(AH88,AH$1:AH87,0,-1)),"A",""))+INDEX(AJ:AJ,_xlfn.XMATCH(AH88,AH$1:AH87,0,-1))+1)</f>
        <v>19</v>
      </c>
      <c r="AJ88" s="41" cm="1">
        <f t="array" ref="AJ88">SUM(IF(ISNUMBER(FIND("TmDo",$BE$1:$AAL$1)),IF(IFERROR(ISNUMBER(VALUE(SUBSTITUTE($BE88:$AAL88,"B",""))),FALSE),IF(ISNUMBER(VALUE(SUBSTITUTE($BE88:$AAL88,"B",""))),1,0),0)))</f>
        <v>2</v>
      </c>
      <c r="AK88" t="str">
        <f t="shared" si="357"/>
        <v>19A</v>
      </c>
      <c r="AL88" t="str">
        <f t="shared" si="358"/>
        <v>19B</v>
      </c>
      <c r="AM88" t="s">
        <v>153</v>
      </c>
      <c r="AP88" t="s">
        <v>489</v>
      </c>
      <c r="AQ88" t="s">
        <v>744</v>
      </c>
      <c r="AT88" t="s">
        <v>132</v>
      </c>
      <c r="AU88" t="s">
        <v>133</v>
      </c>
      <c r="BD88" s="14"/>
      <c r="BE88" s="22" t="str">
        <f t="shared" si="538"/>
        <v>XT21</v>
      </c>
      <c r="BF88" t="str">
        <f t="shared" si="539"/>
        <v>C2</v>
      </c>
      <c r="BG88" t="str">
        <f t="shared" si="540"/>
        <v>B2</v>
      </c>
      <c r="BH88" t="str">
        <f t="shared" si="541"/>
        <v>C3</v>
      </c>
      <c r="BI88" t="str">
        <f t="shared" si="542"/>
        <v>B3</v>
      </c>
      <c r="BJ88" t="str">
        <f t="shared" si="543"/>
        <v>C4</v>
      </c>
      <c r="BK88" t="str">
        <f t="shared" si="544"/>
        <v>B4</v>
      </c>
      <c r="BL88" t="str">
        <f t="shared" si="545"/>
        <v>C5</v>
      </c>
      <c r="BM88" t="str">
        <f t="shared" si="546"/>
        <v>B5</v>
      </c>
      <c r="BN88" t="str">
        <f t="shared" si="547"/>
        <v>C6</v>
      </c>
      <c r="BO88" t="str">
        <f t="shared" si="548"/>
        <v>B6</v>
      </c>
      <c r="BP88" t="str">
        <f t="shared" si="370"/>
        <v>20A</v>
      </c>
      <c r="BQ88" t="str">
        <f t="shared" si="371"/>
        <v>20B</v>
      </c>
      <c r="BR88" t="str">
        <f t="shared" si="372"/>
        <v>21A</v>
      </c>
      <c r="BS88" t="str">
        <f t="shared" si="373"/>
        <v>21B</v>
      </c>
      <c r="BT88" t="str">
        <f t="shared" si="549"/>
        <v>DI4-C1</v>
      </c>
      <c r="BU88" t="str">
        <f t="shared" si="550"/>
        <v>DI4-B1</v>
      </c>
      <c r="BV88" t="str">
        <f t="shared" si="551"/>
        <v>DI4-C2</v>
      </c>
      <c r="BW88" t="str">
        <f t="shared" si="552"/>
        <v>DI4-B2</v>
      </c>
      <c r="BX88" t="str">
        <f t="shared" si="553"/>
        <v>DI4-C3</v>
      </c>
      <c r="BY88" t="str">
        <f t="shared" si="554"/>
        <v>DI4-B3</v>
      </c>
      <c r="BZ88" t="str">
        <f t="shared" si="555"/>
        <v>DI4-C4</v>
      </c>
      <c r="CA88" t="str">
        <f t="shared" si="556"/>
        <v>DI4-B4</v>
      </c>
      <c r="CB88" t="str">
        <f t="shared" si="557"/>
        <v>DI4-C5</v>
      </c>
      <c r="CC88" t="str">
        <f t="shared" si="558"/>
        <v>DI4-B5</v>
      </c>
      <c r="CD88" t="str">
        <f t="shared" si="559"/>
        <v>DI4-C6</v>
      </c>
      <c r="CE88" t="str">
        <f t="shared" si="560"/>
        <v>DI4-B6</v>
      </c>
      <c r="CF88" t="str">
        <f t="shared" si="561"/>
        <v>DO2-19A</v>
      </c>
      <c r="CG88" t="str">
        <f t="shared" si="562"/>
        <v>DO2-19B</v>
      </c>
      <c r="CH88" t="str">
        <f t="shared" si="563"/>
        <v>DO2-20A</v>
      </c>
      <c r="CI88" t="str">
        <f t="shared" si="564"/>
        <v>DO2-20B</v>
      </c>
      <c r="CJ88" t="str">
        <f t="shared" si="565"/>
        <v>DO2-21A</v>
      </c>
      <c r="CK88" t="str">
        <f t="shared" si="566"/>
        <v>DO2-21B</v>
      </c>
      <c r="CL88" t="str">
        <f t="shared" si="392"/>
        <v>K21-10</v>
      </c>
      <c r="CM88" t="str">
        <f t="shared" si="393"/>
        <v>K21-03</v>
      </c>
      <c r="CN88" t="str">
        <f t="shared" si="394"/>
        <v>K21-04</v>
      </c>
      <c r="CO88" t="str">
        <f t="shared" si="395"/>
        <v>K21-01</v>
      </c>
      <c r="CP88" t="str">
        <f t="shared" si="396"/>
        <v>K21-08</v>
      </c>
      <c r="CQ88" t="str">
        <f t="shared" si="397"/>
        <v>K21-02</v>
      </c>
      <c r="CR88" t="str">
        <f t="shared" si="398"/>
        <v>K21-09</v>
      </c>
      <c r="CS88" t="str">
        <f t="shared" si="399"/>
        <v>K21-05</v>
      </c>
      <c r="CT88" t="str">
        <f t="shared" si="400"/>
        <v>K21-11</v>
      </c>
      <c r="CU88" t="str">
        <f t="shared" si="401"/>
        <v>N1-M21-A9</v>
      </c>
      <c r="CV88" t="str">
        <f t="shared" si="402"/>
        <v>N1-M21-A7</v>
      </c>
      <c r="CW88" t="str">
        <f t="shared" si="403"/>
        <v>N1-M21-A8</v>
      </c>
      <c r="CX88" t="str">
        <f t="shared" si="404"/>
        <v>N1-M21-A6</v>
      </c>
      <c r="CY88" t="str">
        <f t="shared" si="405"/>
        <v>N1-M21-A30</v>
      </c>
      <c r="CZ88" t="str">
        <f t="shared" si="406"/>
        <v>N1-M21-N</v>
      </c>
      <c r="DA88" t="str">
        <f t="shared" si="567"/>
        <v>N1-A220-M21</v>
      </c>
      <c r="DB88" t="str">
        <f t="shared" si="408"/>
        <v>N1-M21-XM01</v>
      </c>
      <c r="DC88" t="str">
        <f t="shared" si="409"/>
        <v>N1-M21-A1</v>
      </c>
      <c r="DD88" t="str">
        <f t="shared" si="410"/>
        <v>N1-M21-A5</v>
      </c>
      <c r="DE88" t="str">
        <f t="shared" si="411"/>
        <v>N1-M21-A11</v>
      </c>
      <c r="DF88" t="str">
        <f t="shared" si="412"/>
        <v>N1-M21-A12</v>
      </c>
      <c r="DG88" t="str">
        <f t="shared" si="413"/>
        <v>N1-M21-A19</v>
      </c>
      <c r="DH88" t="str">
        <f t="shared" si="414"/>
        <v>N1-M21-A20</v>
      </c>
      <c r="DI88" t="s">
        <v>135</v>
      </c>
      <c r="DJ88" t="s">
        <v>136</v>
      </c>
      <c r="DK88">
        <v>11</v>
      </c>
      <c r="DL88">
        <v>14</v>
      </c>
      <c r="DM88">
        <v>12</v>
      </c>
      <c r="DN88" t="s">
        <v>137</v>
      </c>
      <c r="DO88" t="s">
        <v>138</v>
      </c>
      <c r="DP88">
        <v>1</v>
      </c>
      <c r="DQ88">
        <v>2</v>
      </c>
      <c r="DR88">
        <v>3</v>
      </c>
      <c r="DS88">
        <v>4</v>
      </c>
      <c r="DT88">
        <v>5</v>
      </c>
      <c r="DU88">
        <v>6</v>
      </c>
      <c r="DV88">
        <v>7</v>
      </c>
      <c r="DW88">
        <v>8</v>
      </c>
      <c r="DX88">
        <v>9</v>
      </c>
      <c r="DY88">
        <v>10</v>
      </c>
      <c r="DZ88">
        <v>11</v>
      </c>
      <c r="EA88">
        <v>12</v>
      </c>
      <c r="EB88">
        <v>13</v>
      </c>
      <c r="EC88">
        <v>14</v>
      </c>
      <c r="ED88">
        <v>1</v>
      </c>
      <c r="EE88">
        <v>3</v>
      </c>
      <c r="EF88">
        <v>4</v>
      </c>
      <c r="EG88">
        <v>7</v>
      </c>
      <c r="EH88">
        <v>8</v>
      </c>
      <c r="EI88">
        <v>9</v>
      </c>
      <c r="EJ88">
        <v>10</v>
      </c>
      <c r="EK88">
        <v>13</v>
      </c>
      <c r="EL88">
        <v>14</v>
      </c>
      <c r="EM88">
        <v>15</v>
      </c>
      <c r="EN88">
        <v>16</v>
      </c>
      <c r="EO88">
        <v>22</v>
      </c>
      <c r="EP88">
        <v>23</v>
      </c>
      <c r="EQ88" s="14">
        <v>24</v>
      </c>
    </row>
    <row r="89" spans="1:147" x14ac:dyDescent="0.25">
      <c r="A89" s="44" t="s">
        <v>1003</v>
      </c>
      <c r="B89" t="s">
        <v>778</v>
      </c>
      <c r="C89" s="3"/>
      <c r="O89" s="2"/>
      <c r="P89" t="s">
        <v>126</v>
      </c>
      <c r="Q89" s="1"/>
      <c r="S89" s="1" t="s">
        <v>127</v>
      </c>
      <c r="T89" s="12" t="s">
        <v>487</v>
      </c>
      <c r="U89" s="40">
        <v>22</v>
      </c>
      <c r="V89" s="13" t="s">
        <v>766</v>
      </c>
      <c r="W89" s="13"/>
      <c r="AC89" t="str">
        <f t="shared" si="415"/>
        <v>A5.4</v>
      </c>
      <c r="AD89" s="36" cm="1">
        <f t="array" ref="AD89">IF(COUNTIFS(AC$2:AC89,AC89)=1,"1",VALUE(SUBSTITUTE(INDEX(AD:AD,_xlfn.XMATCH(AC89,AC$1:AC88,0,-1)),"A",""))+INDEX(AE:AE,_xlfn.XMATCH(AC89,AC$1:AC88,0,-1))+1)</f>
        <v>7</v>
      </c>
      <c r="AE89" s="36" cm="1">
        <f t="array" ref="AE89">SUM(IF(ISNUMBER(FIND("TmDi",$BE$1:$AAL$1)),IF(IFERROR(ISNUMBER(VALUE(SUBSTITUTE($BE89:$AAL89,"B",""))),FALSE),IF(ISNUMBER(VALUE(SUBSTITUTE($BE89:$AAL89,"B",""))),1,0),0)))</f>
        <v>5</v>
      </c>
      <c r="AF89" t="str">
        <f t="shared" si="355"/>
        <v>C7</v>
      </c>
      <c r="AG89" t="str">
        <f t="shared" si="356"/>
        <v>B7</v>
      </c>
      <c r="AH89" t="str">
        <f t="shared" si="537"/>
        <v>A6.2</v>
      </c>
      <c r="AI89" s="47" cm="1">
        <f t="array" ref="AI89">IF(COUNTIFS(AH$2:AH89,AH89)=1,"1",VALUE(SUBSTITUTE(INDEX(AI:AI,_xlfn.XMATCH(AH89,AH$1:AH88,0,-1)),"A",""))+INDEX(AJ:AJ,_xlfn.XMATCH(AH89,AH$1:AH88,0,-1))+1)</f>
        <v>22</v>
      </c>
      <c r="AJ89" s="41" cm="1">
        <f t="array" ref="AJ89">SUM(IF(ISNUMBER(FIND("TmDo",$BE$1:$AAL$1)),IF(IFERROR(ISNUMBER(VALUE(SUBSTITUTE($BE89:$AAL89,"B",""))),FALSE),IF(ISNUMBER(VALUE(SUBSTITUTE($BE89:$AAL89,"B",""))),1,0),0)))</f>
        <v>2</v>
      </c>
      <c r="AK89" t="str">
        <f t="shared" si="357"/>
        <v>22A</v>
      </c>
      <c r="AL89" t="str">
        <f t="shared" si="358"/>
        <v>22B</v>
      </c>
      <c r="AM89" t="s">
        <v>154</v>
      </c>
      <c r="AP89" t="s">
        <v>489</v>
      </c>
      <c r="AQ89" t="s">
        <v>744</v>
      </c>
      <c r="AT89" t="s">
        <v>132</v>
      </c>
      <c r="AU89" t="s">
        <v>133</v>
      </c>
      <c r="BD89" s="14"/>
      <c r="BE89" s="22" t="str">
        <f t="shared" si="538"/>
        <v>XT22</v>
      </c>
      <c r="BF89" t="str">
        <f t="shared" si="539"/>
        <v>C8</v>
      </c>
      <c r="BG89" t="str">
        <f t="shared" si="540"/>
        <v>B8</v>
      </c>
      <c r="BH89" t="str">
        <f t="shared" si="541"/>
        <v>C9</v>
      </c>
      <c r="BI89" t="str">
        <f t="shared" si="542"/>
        <v>B9</v>
      </c>
      <c r="BJ89" t="str">
        <f t="shared" si="543"/>
        <v>C10</v>
      </c>
      <c r="BK89" t="str">
        <f t="shared" si="544"/>
        <v>B10</v>
      </c>
      <c r="BL89" t="str">
        <f t="shared" si="545"/>
        <v>C11</v>
      </c>
      <c r="BM89" t="str">
        <f t="shared" si="546"/>
        <v>B11</v>
      </c>
      <c r="BN89" t="str">
        <f t="shared" si="547"/>
        <v>C12</v>
      </c>
      <c r="BO89" t="str">
        <f t="shared" si="548"/>
        <v>B12</v>
      </c>
      <c r="BP89" t="str">
        <f t="shared" si="370"/>
        <v>23A</v>
      </c>
      <c r="BQ89" t="str">
        <f t="shared" si="371"/>
        <v>23B</v>
      </c>
      <c r="BR89" t="str">
        <f t="shared" si="372"/>
        <v>24A</v>
      </c>
      <c r="BS89" t="str">
        <f t="shared" si="373"/>
        <v>24B</v>
      </c>
      <c r="BT89" t="str">
        <f t="shared" si="549"/>
        <v>DI4-C7</v>
      </c>
      <c r="BU89" t="str">
        <f t="shared" si="550"/>
        <v>DI4-B7</v>
      </c>
      <c r="BV89" t="str">
        <f t="shared" si="551"/>
        <v>DI4-C8</v>
      </c>
      <c r="BW89" t="str">
        <f t="shared" si="552"/>
        <v>DI4-B8</v>
      </c>
      <c r="BX89" t="str">
        <f t="shared" si="553"/>
        <v>DI4-C9</v>
      </c>
      <c r="BY89" t="str">
        <f t="shared" si="554"/>
        <v>DI4-B9</v>
      </c>
      <c r="BZ89" t="str">
        <f t="shared" si="555"/>
        <v>DI4-C10</v>
      </c>
      <c r="CA89" t="str">
        <f t="shared" si="556"/>
        <v>DI4-B10</v>
      </c>
      <c r="CB89" t="str">
        <f t="shared" si="557"/>
        <v>DI4-C11</v>
      </c>
      <c r="CC89" t="str">
        <f t="shared" si="558"/>
        <v>DI4-B11</v>
      </c>
      <c r="CD89" t="str">
        <f t="shared" si="559"/>
        <v>DI4-C12</v>
      </c>
      <c r="CE89" t="str">
        <f t="shared" si="560"/>
        <v>DI4-B12</v>
      </c>
      <c r="CF89" t="str">
        <f t="shared" si="561"/>
        <v>DO2-22A</v>
      </c>
      <c r="CG89" t="str">
        <f t="shared" si="562"/>
        <v>DO2-22B</v>
      </c>
      <c r="CH89" t="str">
        <f t="shared" si="563"/>
        <v>DO2-23A</v>
      </c>
      <c r="CI89" t="str">
        <f t="shared" si="564"/>
        <v>DO2-23B</v>
      </c>
      <c r="CJ89" t="str">
        <f t="shared" si="565"/>
        <v>DO2-24A</v>
      </c>
      <c r="CK89" t="str">
        <f t="shared" si="566"/>
        <v>DO2-24B</v>
      </c>
      <c r="CL89" t="str">
        <f t="shared" si="392"/>
        <v>K22-10</v>
      </c>
      <c r="CM89" t="str">
        <f t="shared" si="393"/>
        <v>K22-03</v>
      </c>
      <c r="CN89" t="str">
        <f t="shared" si="394"/>
        <v>K22-04</v>
      </c>
      <c r="CO89" t="str">
        <f t="shared" si="395"/>
        <v>K22-01</v>
      </c>
      <c r="CP89" t="str">
        <f t="shared" si="396"/>
        <v>K22-08</v>
      </c>
      <c r="CQ89" t="str">
        <f t="shared" si="397"/>
        <v>K22-02</v>
      </c>
      <c r="CR89" t="str">
        <f t="shared" si="398"/>
        <v>K22-09</v>
      </c>
      <c r="CS89" t="str">
        <f t="shared" si="399"/>
        <v>K22-05</v>
      </c>
      <c r="CT89" t="str">
        <f t="shared" si="400"/>
        <v>K22-11</v>
      </c>
      <c r="CU89" t="str">
        <f t="shared" si="401"/>
        <v>N1-M22-A9</v>
      </c>
      <c r="CV89" t="str">
        <f t="shared" si="402"/>
        <v>N1-M22-A7</v>
      </c>
      <c r="CW89" t="str">
        <f t="shared" si="403"/>
        <v>N1-M22-A8</v>
      </c>
      <c r="CX89" t="str">
        <f t="shared" si="404"/>
        <v>N1-M22-A6</v>
      </c>
      <c r="CY89" t="str">
        <f t="shared" si="405"/>
        <v>N1-M22-A30</v>
      </c>
      <c r="CZ89" t="str">
        <f t="shared" si="406"/>
        <v>N1-M22-N</v>
      </c>
      <c r="DA89" t="str">
        <f t="shared" si="567"/>
        <v>N1-A220-M22</v>
      </c>
      <c r="DB89" t="str">
        <f t="shared" si="408"/>
        <v>N1-M22-XM01</v>
      </c>
      <c r="DC89" t="str">
        <f t="shared" si="409"/>
        <v>N1-M22-A1</v>
      </c>
      <c r="DD89" t="str">
        <f t="shared" si="410"/>
        <v>N1-M22-A5</v>
      </c>
      <c r="DE89" t="str">
        <f t="shared" si="411"/>
        <v>N1-M22-A11</v>
      </c>
      <c r="DF89" t="str">
        <f t="shared" si="412"/>
        <v>N1-M22-A12</v>
      </c>
      <c r="DG89" t="str">
        <f t="shared" si="413"/>
        <v>N1-M22-A19</v>
      </c>
      <c r="DH89" t="str">
        <f t="shared" si="414"/>
        <v>N1-M22-A20</v>
      </c>
      <c r="DI89" t="s">
        <v>135</v>
      </c>
      <c r="DJ89" t="s">
        <v>136</v>
      </c>
      <c r="DK89">
        <v>11</v>
      </c>
      <c r="DL89">
        <v>14</v>
      </c>
      <c r="DM89">
        <v>12</v>
      </c>
      <c r="DN89" t="s">
        <v>137</v>
      </c>
      <c r="DO89" t="s">
        <v>138</v>
      </c>
      <c r="DP89">
        <v>1</v>
      </c>
      <c r="DQ89">
        <v>2</v>
      </c>
      <c r="DR89">
        <v>3</v>
      </c>
      <c r="DS89">
        <v>4</v>
      </c>
      <c r="DT89">
        <v>5</v>
      </c>
      <c r="DU89">
        <v>6</v>
      </c>
      <c r="DV89">
        <v>7</v>
      </c>
      <c r="DW89">
        <v>8</v>
      </c>
      <c r="DX89">
        <v>9</v>
      </c>
      <c r="DY89">
        <v>10</v>
      </c>
      <c r="DZ89">
        <v>11</v>
      </c>
      <c r="EA89">
        <v>12</v>
      </c>
      <c r="EB89">
        <v>13</v>
      </c>
      <c r="EC89">
        <v>14</v>
      </c>
      <c r="ED89">
        <v>1</v>
      </c>
      <c r="EE89">
        <v>3</v>
      </c>
      <c r="EF89">
        <v>4</v>
      </c>
      <c r="EG89">
        <v>7</v>
      </c>
      <c r="EH89">
        <v>8</v>
      </c>
      <c r="EI89">
        <v>9</v>
      </c>
      <c r="EJ89">
        <v>10</v>
      </c>
      <c r="EK89">
        <v>13</v>
      </c>
      <c r="EL89">
        <v>14</v>
      </c>
      <c r="EM89">
        <v>15</v>
      </c>
      <c r="EN89">
        <v>16</v>
      </c>
      <c r="EO89">
        <v>22</v>
      </c>
      <c r="EP89">
        <v>23</v>
      </c>
      <c r="EQ89" s="14">
        <v>24</v>
      </c>
    </row>
    <row r="90" spans="1:147" x14ac:dyDescent="0.25">
      <c r="A90" s="44" t="s">
        <v>1004</v>
      </c>
      <c r="B90" t="s">
        <v>779</v>
      </c>
      <c r="C90" s="3"/>
      <c r="O90" s="2"/>
      <c r="P90" t="s">
        <v>126</v>
      </c>
      <c r="Q90" s="1"/>
      <c r="S90" s="1" t="s">
        <v>127</v>
      </c>
      <c r="T90" s="12" t="s">
        <v>487</v>
      </c>
      <c r="U90" s="40">
        <v>23</v>
      </c>
      <c r="V90" s="13" t="s">
        <v>767</v>
      </c>
      <c r="W90" s="13"/>
      <c r="AC90" t="str">
        <f t="shared" si="415"/>
        <v>A5.4</v>
      </c>
      <c r="AD90" s="36" cm="1">
        <f t="array" ref="AD90">IF(COUNTIFS(AC$2:AC90,AC90)=1,"1",VALUE(SUBSTITUTE(INDEX(AD:AD,_xlfn.XMATCH(AC90,AC$1:AC89,0,-1)),"A",""))+INDEX(AE:AE,_xlfn.XMATCH(AC90,AC$1:AC89,0,-1))+1)</f>
        <v>13</v>
      </c>
      <c r="AE90" s="36" cm="1">
        <f t="array" ref="AE90">SUM(IF(ISNUMBER(FIND("TmDi",$BE$1:$AAL$1)),IF(IFERROR(ISNUMBER(VALUE(SUBSTITUTE($BE90:$AAL90,"B",""))),FALSE),IF(ISNUMBER(VALUE(SUBSTITUTE($BE90:$AAL90,"B",""))),1,0),0)))</f>
        <v>5</v>
      </c>
      <c r="AF90" t="str">
        <f t="shared" si="355"/>
        <v>C13</v>
      </c>
      <c r="AG90" t="str">
        <f t="shared" si="356"/>
        <v>B13</v>
      </c>
      <c r="AH90" t="str">
        <f t="shared" si="537"/>
        <v>A6.2</v>
      </c>
      <c r="AI90" s="47" cm="1">
        <f t="array" ref="AI90">IF(COUNTIFS(AH$2:AH90,AH90)=1,"1",VALUE(SUBSTITUTE(INDEX(AI:AI,_xlfn.XMATCH(AH90,AH$1:AH89,0,-1)),"A",""))+INDEX(AJ:AJ,_xlfn.XMATCH(AH90,AH$1:AH89,0,-1))+1)</f>
        <v>25</v>
      </c>
      <c r="AJ90" s="41" cm="1">
        <f t="array" ref="AJ90">SUM(IF(ISNUMBER(FIND("TmDo",$BE$1:$AAL$1)),IF(IFERROR(ISNUMBER(VALUE(SUBSTITUTE($BE90:$AAL90,"B",""))),FALSE),IF(ISNUMBER(VALUE(SUBSTITUTE($BE90:$AAL90,"B",""))),1,0),0)))</f>
        <v>2</v>
      </c>
      <c r="AK90" t="str">
        <f t="shared" si="357"/>
        <v>25A</v>
      </c>
      <c r="AL90" t="str">
        <f t="shared" si="358"/>
        <v>25B</v>
      </c>
      <c r="AM90" t="s">
        <v>155</v>
      </c>
      <c r="AP90" t="s">
        <v>489</v>
      </c>
      <c r="AQ90" t="s">
        <v>744</v>
      </c>
      <c r="AT90" t="s">
        <v>132</v>
      </c>
      <c r="AU90" t="s">
        <v>133</v>
      </c>
      <c r="BD90" s="14"/>
      <c r="BE90" s="22" t="str">
        <f t="shared" si="538"/>
        <v>XT23</v>
      </c>
      <c r="BF90" t="str">
        <f t="shared" si="539"/>
        <v>C14</v>
      </c>
      <c r="BG90" t="str">
        <f t="shared" si="540"/>
        <v>B14</v>
      </c>
      <c r="BH90" t="str">
        <f t="shared" si="541"/>
        <v>C15</v>
      </c>
      <c r="BI90" t="str">
        <f t="shared" si="542"/>
        <v>B15</v>
      </c>
      <c r="BJ90" t="str">
        <f t="shared" si="543"/>
        <v>C16</v>
      </c>
      <c r="BK90" t="str">
        <f t="shared" si="544"/>
        <v>B16</v>
      </c>
      <c r="BL90" t="str">
        <f t="shared" si="545"/>
        <v>C17</v>
      </c>
      <c r="BM90" t="str">
        <f t="shared" si="546"/>
        <v>B17</v>
      </c>
      <c r="BN90" t="str">
        <f t="shared" si="547"/>
        <v>C18</v>
      </c>
      <c r="BO90" t="str">
        <f t="shared" si="548"/>
        <v>B18</v>
      </c>
      <c r="BP90" t="str">
        <f t="shared" si="370"/>
        <v>26A</v>
      </c>
      <c r="BQ90" t="str">
        <f t="shared" si="371"/>
        <v>26B</v>
      </c>
      <c r="BR90" t="str">
        <f t="shared" si="372"/>
        <v>27A</v>
      </c>
      <c r="BS90" t="str">
        <f t="shared" si="373"/>
        <v>27B</v>
      </c>
      <c r="BT90" t="str">
        <f t="shared" si="549"/>
        <v>DI4-C13</v>
      </c>
      <c r="BU90" t="str">
        <f t="shared" si="550"/>
        <v>DI4-B13</v>
      </c>
      <c r="BV90" t="str">
        <f t="shared" si="551"/>
        <v>DI4-C14</v>
      </c>
      <c r="BW90" t="str">
        <f t="shared" si="552"/>
        <v>DI4-B14</v>
      </c>
      <c r="BX90" t="str">
        <f t="shared" si="553"/>
        <v>DI4-C15</v>
      </c>
      <c r="BY90" t="str">
        <f t="shared" si="554"/>
        <v>DI4-B15</v>
      </c>
      <c r="BZ90" t="str">
        <f t="shared" si="555"/>
        <v>DI4-C16</v>
      </c>
      <c r="CA90" t="str">
        <f t="shared" si="556"/>
        <v>DI4-B16</v>
      </c>
      <c r="CB90" t="str">
        <f t="shared" si="557"/>
        <v>DI4-C17</v>
      </c>
      <c r="CC90" t="str">
        <f t="shared" si="558"/>
        <v>DI4-B17</v>
      </c>
      <c r="CD90" t="str">
        <f t="shared" si="559"/>
        <v>DI4-C18</v>
      </c>
      <c r="CE90" t="str">
        <f t="shared" si="560"/>
        <v>DI4-B18</v>
      </c>
      <c r="CF90" t="str">
        <f t="shared" si="561"/>
        <v>DO2-25A</v>
      </c>
      <c r="CG90" t="str">
        <f t="shared" si="562"/>
        <v>DO2-25B</v>
      </c>
      <c r="CH90" t="str">
        <f t="shared" si="563"/>
        <v>DO2-26A</v>
      </c>
      <c r="CI90" t="str">
        <f t="shared" si="564"/>
        <v>DO2-26B</v>
      </c>
      <c r="CJ90" t="str">
        <f t="shared" si="565"/>
        <v>DO2-27A</v>
      </c>
      <c r="CK90" t="str">
        <f t="shared" si="566"/>
        <v>DO2-27B</v>
      </c>
      <c r="CL90" t="str">
        <f t="shared" si="392"/>
        <v>K23-10</v>
      </c>
      <c r="CM90" t="str">
        <f t="shared" si="393"/>
        <v>K23-03</v>
      </c>
      <c r="CN90" t="str">
        <f t="shared" si="394"/>
        <v>K23-04</v>
      </c>
      <c r="CO90" t="str">
        <f t="shared" si="395"/>
        <v>K23-01</v>
      </c>
      <c r="CP90" t="str">
        <f t="shared" si="396"/>
        <v>K23-08</v>
      </c>
      <c r="CQ90" t="str">
        <f t="shared" si="397"/>
        <v>K23-02</v>
      </c>
      <c r="CR90" t="str">
        <f t="shared" si="398"/>
        <v>K23-09</v>
      </c>
      <c r="CS90" t="str">
        <f t="shared" si="399"/>
        <v>K23-05</v>
      </c>
      <c r="CT90" t="str">
        <f t="shared" si="400"/>
        <v>K23-11</v>
      </c>
      <c r="CU90" t="str">
        <f t="shared" si="401"/>
        <v>N1-M23-A9</v>
      </c>
      <c r="CV90" t="str">
        <f t="shared" si="402"/>
        <v>N1-M23-A7</v>
      </c>
      <c r="CW90" t="str">
        <f t="shared" si="403"/>
        <v>N1-M23-A8</v>
      </c>
      <c r="CX90" t="str">
        <f t="shared" si="404"/>
        <v>N1-M23-A6</v>
      </c>
      <c r="CY90" t="str">
        <f t="shared" si="405"/>
        <v>N1-M23-A30</v>
      </c>
      <c r="CZ90" t="str">
        <f t="shared" si="406"/>
        <v>N1-M23-N</v>
      </c>
      <c r="DA90" t="str">
        <f t="shared" si="567"/>
        <v>N1-A220-M23</v>
      </c>
      <c r="DB90" t="str">
        <f t="shared" si="408"/>
        <v>N1-M23-XM01</v>
      </c>
      <c r="DC90" t="str">
        <f t="shared" si="409"/>
        <v>N1-M23-A1</v>
      </c>
      <c r="DD90" t="str">
        <f t="shared" si="410"/>
        <v>N1-M23-A5</v>
      </c>
      <c r="DE90" t="str">
        <f t="shared" si="411"/>
        <v>N1-M23-A11</v>
      </c>
      <c r="DF90" t="str">
        <f t="shared" si="412"/>
        <v>N1-M23-A12</v>
      </c>
      <c r="DG90" t="str">
        <f t="shared" si="413"/>
        <v>N1-M23-A19</v>
      </c>
      <c r="DH90" t="str">
        <f t="shared" si="414"/>
        <v>N1-M23-A20</v>
      </c>
      <c r="DI90" t="s">
        <v>135</v>
      </c>
      <c r="DJ90" t="s">
        <v>136</v>
      </c>
      <c r="DK90">
        <v>11</v>
      </c>
      <c r="DL90">
        <v>14</v>
      </c>
      <c r="DM90">
        <v>12</v>
      </c>
      <c r="DN90" t="s">
        <v>137</v>
      </c>
      <c r="DO90" t="s">
        <v>138</v>
      </c>
      <c r="DP90">
        <v>1</v>
      </c>
      <c r="DQ90">
        <v>2</v>
      </c>
      <c r="DR90">
        <v>3</v>
      </c>
      <c r="DS90">
        <v>4</v>
      </c>
      <c r="DT90">
        <v>5</v>
      </c>
      <c r="DU90">
        <v>6</v>
      </c>
      <c r="DV90">
        <v>7</v>
      </c>
      <c r="DW90">
        <v>8</v>
      </c>
      <c r="DX90">
        <v>9</v>
      </c>
      <c r="DY90">
        <v>10</v>
      </c>
      <c r="DZ90">
        <v>11</v>
      </c>
      <c r="EA90">
        <v>12</v>
      </c>
      <c r="EB90">
        <v>13</v>
      </c>
      <c r="EC90">
        <v>14</v>
      </c>
      <c r="ED90">
        <v>1</v>
      </c>
      <c r="EE90">
        <v>3</v>
      </c>
      <c r="EF90">
        <v>4</v>
      </c>
      <c r="EG90">
        <v>7</v>
      </c>
      <c r="EH90">
        <v>8</v>
      </c>
      <c r="EI90">
        <v>9</v>
      </c>
      <c r="EJ90">
        <v>10</v>
      </c>
      <c r="EK90">
        <v>13</v>
      </c>
      <c r="EL90">
        <v>14</v>
      </c>
      <c r="EM90">
        <v>15</v>
      </c>
      <c r="EN90">
        <v>16</v>
      </c>
      <c r="EO90">
        <v>22</v>
      </c>
      <c r="EP90">
        <v>23</v>
      </c>
      <c r="EQ90" s="14">
        <v>24</v>
      </c>
    </row>
    <row r="91" spans="1:147" x14ac:dyDescent="0.25">
      <c r="A91" s="44" t="s">
        <v>1005</v>
      </c>
      <c r="B91" t="s">
        <v>780</v>
      </c>
      <c r="C91" s="3"/>
      <c r="O91" s="2"/>
      <c r="P91" t="s">
        <v>126</v>
      </c>
      <c r="Q91" s="1"/>
      <c r="S91" s="1" t="s">
        <v>127</v>
      </c>
      <c r="T91" s="12" t="s">
        <v>487</v>
      </c>
      <c r="U91" s="40">
        <v>24</v>
      </c>
      <c r="V91" s="13" t="s">
        <v>768</v>
      </c>
      <c r="W91" s="13"/>
      <c r="AC91" t="str">
        <f t="shared" si="415"/>
        <v>A5.4</v>
      </c>
      <c r="AD91" s="36" cm="1">
        <f t="array" ref="AD91">IF(COUNTIFS(AC$2:AC91,AC91)=1,"1",VALUE(SUBSTITUTE(INDEX(AD:AD,_xlfn.XMATCH(AC91,AC$1:AC90,0,-1)),"A",""))+INDEX(AE:AE,_xlfn.XMATCH(AC91,AC$1:AC90,0,-1))+1)</f>
        <v>19</v>
      </c>
      <c r="AE91" s="36" cm="1">
        <f t="array" ref="AE91">SUM(IF(ISNUMBER(FIND("TmDi",$BE$1:$AAL$1)),IF(IFERROR(ISNUMBER(VALUE(SUBSTITUTE($BE91:$AAL91,"B",""))),FALSE),IF(ISNUMBER(VALUE(SUBSTITUTE($BE91:$AAL91,"B",""))),1,0),0)))</f>
        <v>5</v>
      </c>
      <c r="AF91" t="str">
        <f t="shared" si="355"/>
        <v>C19</v>
      </c>
      <c r="AG91" t="str">
        <f t="shared" si="356"/>
        <v>B19</v>
      </c>
      <c r="AH91" t="str">
        <f t="shared" si="537"/>
        <v>A6.3</v>
      </c>
      <c r="AI91" s="47" t="str" cm="1">
        <f t="array" ref="AI91">IF(COUNTIFS(AH$2:AH91,AH91)=1,"1",VALUE(SUBSTITUTE(INDEX(AI:AI,_xlfn.XMATCH(AH91,AH$1:AH90,0,-1)),"A",""))+INDEX(AJ:AJ,_xlfn.XMATCH(AH91,AH$1:AH90,0,-1))+1)</f>
        <v>1</v>
      </c>
      <c r="AJ91" s="41" cm="1">
        <f t="array" ref="AJ91">SUM(IF(ISNUMBER(FIND("TmDo",$BE$1:$AAL$1)),IF(IFERROR(ISNUMBER(VALUE(SUBSTITUTE($BE91:$AAL91,"B",""))),FALSE),IF(ISNUMBER(VALUE(SUBSTITUTE($BE91:$AAL91,"B",""))),1,0),0)))</f>
        <v>2</v>
      </c>
      <c r="AK91" t="str">
        <f t="shared" si="357"/>
        <v>1A</v>
      </c>
      <c r="AL91" t="str">
        <f t="shared" si="358"/>
        <v>1B</v>
      </c>
      <c r="AM91" t="s">
        <v>156</v>
      </c>
      <c r="AP91" t="s">
        <v>489</v>
      </c>
      <c r="AQ91" t="s">
        <v>744</v>
      </c>
      <c r="AT91" t="s">
        <v>132</v>
      </c>
      <c r="AU91" t="s">
        <v>133</v>
      </c>
      <c r="BD91" s="14"/>
      <c r="BE91" s="22" t="str">
        <f t="shared" si="538"/>
        <v>XT24</v>
      </c>
      <c r="BF91" t="str">
        <f t="shared" si="539"/>
        <v>C20</v>
      </c>
      <c r="BG91" t="str">
        <f t="shared" si="540"/>
        <v>B20</v>
      </c>
      <c r="BH91" t="str">
        <f t="shared" si="541"/>
        <v>C21</v>
      </c>
      <c r="BI91" t="str">
        <f t="shared" si="542"/>
        <v>B21</v>
      </c>
      <c r="BJ91" t="str">
        <f t="shared" si="543"/>
        <v>C22</v>
      </c>
      <c r="BK91" t="str">
        <f t="shared" si="544"/>
        <v>B22</v>
      </c>
      <c r="BL91" t="str">
        <f t="shared" si="545"/>
        <v>C23</v>
      </c>
      <c r="BM91" t="str">
        <f t="shared" si="546"/>
        <v>B23</v>
      </c>
      <c r="BN91" t="str">
        <f t="shared" si="547"/>
        <v>C24</v>
      </c>
      <c r="BO91" t="str">
        <f t="shared" si="548"/>
        <v>B24</v>
      </c>
      <c r="BP91" t="str">
        <f t="shared" si="370"/>
        <v>2A</v>
      </c>
      <c r="BQ91" t="str">
        <f t="shared" si="371"/>
        <v>2B</v>
      </c>
      <c r="BR91" t="str">
        <f t="shared" si="372"/>
        <v>3A</v>
      </c>
      <c r="BS91" t="str">
        <f t="shared" si="373"/>
        <v>3B</v>
      </c>
      <c r="BT91" t="str">
        <f t="shared" si="549"/>
        <v>DI4-C19</v>
      </c>
      <c r="BU91" t="str">
        <f t="shared" si="550"/>
        <v>DI4-B19</v>
      </c>
      <c r="BV91" t="str">
        <f t="shared" si="551"/>
        <v>DI4-C20</v>
      </c>
      <c r="BW91" t="str">
        <f t="shared" si="552"/>
        <v>DI4-B20</v>
      </c>
      <c r="BX91" t="str">
        <f t="shared" si="553"/>
        <v>DI4-C21</v>
      </c>
      <c r="BY91" t="str">
        <f t="shared" si="554"/>
        <v>DI4-B21</v>
      </c>
      <c r="BZ91" t="str">
        <f t="shared" si="555"/>
        <v>DI4-C22</v>
      </c>
      <c r="CA91" t="str">
        <f t="shared" si="556"/>
        <v>DI4-B22</v>
      </c>
      <c r="CB91" t="str">
        <f t="shared" si="557"/>
        <v>DI4-C23</v>
      </c>
      <c r="CC91" t="str">
        <f t="shared" si="558"/>
        <v>DI4-B23</v>
      </c>
      <c r="CD91" t="str">
        <f t="shared" si="559"/>
        <v>DI4-C24</v>
      </c>
      <c r="CE91" t="str">
        <f t="shared" si="560"/>
        <v>DI4-B24</v>
      </c>
      <c r="CF91" t="str">
        <f t="shared" si="561"/>
        <v>DO3-1A</v>
      </c>
      <c r="CG91" t="str">
        <f t="shared" si="562"/>
        <v>DO3-1B</v>
      </c>
      <c r="CH91" t="str">
        <f t="shared" si="563"/>
        <v>DO3-2A</v>
      </c>
      <c r="CI91" t="str">
        <f t="shared" si="564"/>
        <v>DO3-2B</v>
      </c>
      <c r="CJ91" t="str">
        <f t="shared" si="565"/>
        <v>DO3-3A</v>
      </c>
      <c r="CK91" t="str">
        <f t="shared" si="566"/>
        <v>DO3-3B</v>
      </c>
      <c r="CL91" t="str">
        <f t="shared" si="392"/>
        <v>K24-10</v>
      </c>
      <c r="CM91" t="str">
        <f t="shared" si="393"/>
        <v>K24-03</v>
      </c>
      <c r="CN91" t="str">
        <f t="shared" si="394"/>
        <v>K24-04</v>
      </c>
      <c r="CO91" t="str">
        <f t="shared" si="395"/>
        <v>K24-01</v>
      </c>
      <c r="CP91" t="str">
        <f t="shared" si="396"/>
        <v>K24-08</v>
      </c>
      <c r="CQ91" t="str">
        <f t="shared" si="397"/>
        <v>K24-02</v>
      </c>
      <c r="CR91" t="str">
        <f t="shared" si="398"/>
        <v>K24-09</v>
      </c>
      <c r="CS91" t="str">
        <f t="shared" si="399"/>
        <v>K24-05</v>
      </c>
      <c r="CT91" t="str">
        <f t="shared" si="400"/>
        <v>K24-11</v>
      </c>
      <c r="CU91" t="str">
        <f t="shared" si="401"/>
        <v>N1-M24-A9</v>
      </c>
      <c r="CV91" t="str">
        <f t="shared" si="402"/>
        <v>N1-M24-A7</v>
      </c>
      <c r="CW91" t="str">
        <f t="shared" si="403"/>
        <v>N1-M24-A8</v>
      </c>
      <c r="CX91" t="str">
        <f t="shared" si="404"/>
        <v>N1-M24-A6</v>
      </c>
      <c r="CY91" t="str">
        <f t="shared" si="405"/>
        <v>N1-M24-A30</v>
      </c>
      <c r="CZ91" t="str">
        <f t="shared" si="406"/>
        <v>N1-M24-N</v>
      </c>
      <c r="DA91" t="str">
        <f t="shared" si="567"/>
        <v>N1-A220-M24</v>
      </c>
      <c r="DB91" t="str">
        <f t="shared" si="408"/>
        <v>N1-M24-XM01</v>
      </c>
      <c r="DC91" t="str">
        <f t="shared" si="409"/>
        <v>N1-M24-A1</v>
      </c>
      <c r="DD91" t="str">
        <f t="shared" si="410"/>
        <v>N1-M24-A5</v>
      </c>
      <c r="DE91" t="str">
        <f t="shared" si="411"/>
        <v>N1-M24-A11</v>
      </c>
      <c r="DF91" t="str">
        <f t="shared" si="412"/>
        <v>N1-M24-A12</v>
      </c>
      <c r="DG91" t="str">
        <f t="shared" si="413"/>
        <v>N1-M24-A19</v>
      </c>
      <c r="DH91" t="str">
        <f t="shared" si="414"/>
        <v>N1-M24-A20</v>
      </c>
      <c r="DI91" t="s">
        <v>135</v>
      </c>
      <c r="DJ91" t="s">
        <v>136</v>
      </c>
      <c r="DK91">
        <v>11</v>
      </c>
      <c r="DL91">
        <v>14</v>
      </c>
      <c r="DM91">
        <v>12</v>
      </c>
      <c r="DN91" t="s">
        <v>137</v>
      </c>
      <c r="DO91" t="s">
        <v>138</v>
      </c>
      <c r="DP91">
        <v>1</v>
      </c>
      <c r="DQ91">
        <v>2</v>
      </c>
      <c r="DR91">
        <v>3</v>
      </c>
      <c r="DS91">
        <v>4</v>
      </c>
      <c r="DT91">
        <v>5</v>
      </c>
      <c r="DU91">
        <v>6</v>
      </c>
      <c r="DV91">
        <v>7</v>
      </c>
      <c r="DW91">
        <v>8</v>
      </c>
      <c r="DX91">
        <v>9</v>
      </c>
      <c r="DY91">
        <v>10</v>
      </c>
      <c r="DZ91">
        <v>11</v>
      </c>
      <c r="EA91">
        <v>12</v>
      </c>
      <c r="EB91">
        <v>13</v>
      </c>
      <c r="EC91">
        <v>14</v>
      </c>
      <c r="ED91">
        <v>1</v>
      </c>
      <c r="EE91">
        <v>3</v>
      </c>
      <c r="EF91">
        <v>4</v>
      </c>
      <c r="EG91">
        <v>7</v>
      </c>
      <c r="EH91">
        <v>8</v>
      </c>
      <c r="EI91">
        <v>9</v>
      </c>
      <c r="EJ91">
        <v>10</v>
      </c>
      <c r="EK91">
        <v>13</v>
      </c>
      <c r="EL91">
        <v>14</v>
      </c>
      <c r="EM91">
        <v>15</v>
      </c>
      <c r="EN91">
        <v>16</v>
      </c>
      <c r="EO91">
        <v>22</v>
      </c>
      <c r="EP91">
        <v>23</v>
      </c>
      <c r="EQ91" s="14">
        <v>24</v>
      </c>
    </row>
    <row r="92" spans="1:147" x14ac:dyDescent="0.25">
      <c r="A92" s="44" t="s">
        <v>1006</v>
      </c>
      <c r="B92" t="s">
        <v>781</v>
      </c>
      <c r="C92" s="3"/>
      <c r="O92" s="2"/>
      <c r="P92" t="s">
        <v>126</v>
      </c>
      <c r="Q92" s="1"/>
      <c r="S92" s="1" t="s">
        <v>127</v>
      </c>
      <c r="T92" s="12" t="s">
        <v>487</v>
      </c>
      <c r="U92" s="40">
        <v>25</v>
      </c>
      <c r="V92" s="13" t="s">
        <v>782</v>
      </c>
      <c r="W92" s="13"/>
      <c r="AC92" t="str">
        <f t="shared" si="415"/>
        <v>A5.4</v>
      </c>
      <c r="AD92" s="36" cm="1">
        <f t="array" ref="AD92">IF(COUNTIFS(AC$2:AC92,AC92)=1,"1",VALUE(SUBSTITUTE(INDEX(AD:AD,_xlfn.XMATCH(AC92,AC$1:AC91,0,-1)),"A",""))+INDEX(AE:AE,_xlfn.XMATCH(AC92,AC$1:AC91,0,-1))+1)</f>
        <v>25</v>
      </c>
      <c r="AE92" s="36" cm="1">
        <f t="array" ref="AE92">SUM(IF(ISNUMBER(FIND("TmDi",$BE$1:$AAL$1)),IF(IFERROR(ISNUMBER(VALUE(SUBSTITUTE($BE92:$AAL92,"B",""))),FALSE),IF(ISNUMBER(VALUE(SUBSTITUTE($BE92:$AAL92,"B",""))),1,0),0)))</f>
        <v>5</v>
      </c>
      <c r="AF92" t="str">
        <f t="shared" si="355"/>
        <v>C25</v>
      </c>
      <c r="AG92" t="str">
        <f t="shared" si="356"/>
        <v>B25</v>
      </c>
      <c r="AH92" t="str">
        <f t="shared" si="537"/>
        <v>A6.3</v>
      </c>
      <c r="AI92" s="47" cm="1">
        <f t="array" ref="AI92">IF(COUNTIFS(AH$2:AH92,AH92)=1,"1",VALUE(SUBSTITUTE(INDEX(AI:AI,_xlfn.XMATCH(AH92,AH$1:AH91,0,-1)),"A",""))+INDEX(AJ:AJ,_xlfn.XMATCH(AH92,AH$1:AH91,0,-1))+1)</f>
        <v>4</v>
      </c>
      <c r="AJ92" s="41" cm="1">
        <f t="array" ref="AJ92">SUM(IF(ISNUMBER(FIND("TmDo",$BE$1:$AAL$1)),IF(IFERROR(ISNUMBER(VALUE(SUBSTITUTE($BE92:$AAL92,"B",""))),FALSE),IF(ISNUMBER(VALUE(SUBSTITUTE($BE92:$AAL92,"B",""))),1,0),0)))</f>
        <v>2</v>
      </c>
      <c r="AK92" t="str">
        <f t="shared" si="357"/>
        <v>4A</v>
      </c>
      <c r="AL92" t="str">
        <f t="shared" si="358"/>
        <v>4B</v>
      </c>
      <c r="AM92" t="s">
        <v>157</v>
      </c>
      <c r="AP92" t="s">
        <v>489</v>
      </c>
      <c r="AQ92" t="s">
        <v>744</v>
      </c>
      <c r="AT92" t="s">
        <v>132</v>
      </c>
      <c r="AU92" t="s">
        <v>133</v>
      </c>
      <c r="BD92" s="14"/>
      <c r="BE92" s="22" t="str">
        <f t="shared" ref="BE92:BE100" si="568">CONCATENATE("XT",U92)</f>
        <v>XT25</v>
      </c>
      <c r="BF92" t="str">
        <f t="shared" ref="BF92:BF100" si="569">CONCATENATE("C",REPLACE(AF92,1,1,"")+1)</f>
        <v>C26</v>
      </c>
      <c r="BG92" t="str">
        <f t="shared" ref="BG92:BG100" si="570">CONCATENATE("B",REPLACE(AG92,1,1,"")+1)</f>
        <v>B26</v>
      </c>
      <c r="BH92" t="str">
        <f t="shared" ref="BH92:BH100" si="571">CONCATENATE("C",REPLACE(BF92,1,1,"")+1)</f>
        <v>C27</v>
      </c>
      <c r="BI92" t="str">
        <f t="shared" ref="BI92:BI100" si="572">CONCATENATE("B",REPLACE(BG92,1,1,"")+1)</f>
        <v>B27</v>
      </c>
      <c r="BJ92" t="str">
        <f t="shared" ref="BJ92:BJ100" si="573">CONCATENATE("C",REPLACE(BH92,1,1,"")+1)</f>
        <v>C28</v>
      </c>
      <c r="BK92" t="str">
        <f t="shared" ref="BK92:BK100" si="574">CONCATENATE("B",REPLACE(BI92,1,1,"")+1)</f>
        <v>B28</v>
      </c>
      <c r="BL92" t="str">
        <f t="shared" ref="BL92:BL100" si="575">CONCATENATE("C",REPLACE(BJ92,1,1,"")+1)</f>
        <v>C29</v>
      </c>
      <c r="BM92" t="str">
        <f t="shared" ref="BM92:BM100" si="576">CONCATENATE("B",REPLACE(BK92,1,1,"")+1)</f>
        <v>B29</v>
      </c>
      <c r="BN92" t="str">
        <f t="shared" ref="BN92:BN100" si="577">CONCATENATE("C",REPLACE(BL92,1,1,"")+1)</f>
        <v>C30</v>
      </c>
      <c r="BO92" t="str">
        <f t="shared" ref="BO92:BO100" si="578">CONCATENATE("B",REPLACE(BM92,1,1,"")+1)</f>
        <v>B30</v>
      </c>
      <c r="BP92" t="str">
        <f t="shared" si="370"/>
        <v>5A</v>
      </c>
      <c r="BQ92" t="str">
        <f t="shared" si="371"/>
        <v>5B</v>
      </c>
      <c r="BR92" t="str">
        <f t="shared" si="372"/>
        <v>6A</v>
      </c>
      <c r="BS92" t="str">
        <f t="shared" si="373"/>
        <v>6B</v>
      </c>
      <c r="BT92" t="str">
        <f t="shared" ref="BT92:BT100" si="579">CONCATENATE("DI",REPLACE($AC92,1,3,""),"-",AF92)</f>
        <v>DI4-C25</v>
      </c>
      <c r="BU92" t="str">
        <f t="shared" ref="BU92:BU100" si="580">CONCATENATE("DI",REPLACE($AC92,1,3,""),"-",AG92)</f>
        <v>DI4-B25</v>
      </c>
      <c r="BV92" t="str">
        <f t="shared" ref="BV92:BV100" si="581">CONCATENATE("DI",REPLACE($AC92,1,3,""),"-",BF92)</f>
        <v>DI4-C26</v>
      </c>
      <c r="BW92" t="str">
        <f t="shared" ref="BW92:BW100" si="582">CONCATENATE("DI",REPLACE($AC92,1,3,""),"-",BG92)</f>
        <v>DI4-B26</v>
      </c>
      <c r="BX92" t="str">
        <f t="shared" ref="BX92:BX100" si="583">CONCATENATE("DI",REPLACE($AC92,1,3,""),"-",BH92)</f>
        <v>DI4-C27</v>
      </c>
      <c r="BY92" t="str">
        <f t="shared" ref="BY92:BY100" si="584">CONCATENATE("DI",REPLACE($AC92,1,3,""),"-",BI92)</f>
        <v>DI4-B27</v>
      </c>
      <c r="BZ92" t="str">
        <f t="shared" ref="BZ92:BZ100" si="585">CONCATENATE("DI",REPLACE($AC92,1,3,""),"-",BJ92)</f>
        <v>DI4-C28</v>
      </c>
      <c r="CA92" t="str">
        <f t="shared" ref="CA92:CA100" si="586">CONCATENATE("DI",REPLACE($AC92,1,3,""),"-",BK92)</f>
        <v>DI4-B28</v>
      </c>
      <c r="CB92" t="str">
        <f t="shared" ref="CB92:CB100" si="587">CONCATENATE("DI",REPLACE($AC92,1,3,""),"-",BL92)</f>
        <v>DI4-C29</v>
      </c>
      <c r="CC92" t="str">
        <f t="shared" ref="CC92:CC100" si="588">CONCATENATE("DI",REPLACE($AC92,1,3,""),"-",BM92)</f>
        <v>DI4-B29</v>
      </c>
      <c r="CD92" t="str">
        <f t="shared" ref="CD92:CD100" si="589">CONCATENATE("DI",REPLACE($AC92,1,3,""),"-",BN92)</f>
        <v>DI4-C30</v>
      </c>
      <c r="CE92" t="str">
        <f t="shared" ref="CE92:CE100" si="590">CONCATENATE("DI",REPLACE($AC92,1,3,""),"-",BO92)</f>
        <v>DI4-B30</v>
      </c>
      <c r="CF92" t="str">
        <f t="shared" ref="CF92:CF100" si="591">CONCATENATE("DO",REPLACE($AH92,1,3,""),"-",AK92)</f>
        <v>DO3-4A</v>
      </c>
      <c r="CG92" t="str">
        <f t="shared" ref="CG92:CG100" si="592">CONCATENATE("DO",REPLACE($AH92,1,3,""),"-",AL92)</f>
        <v>DO3-4B</v>
      </c>
      <c r="CH92" t="str">
        <f t="shared" ref="CH92:CH100" si="593">CONCATENATE("DO",REPLACE($AH92,1,3,""),"-",BP92)</f>
        <v>DO3-5A</v>
      </c>
      <c r="CI92" t="str">
        <f t="shared" ref="CI92:CI100" si="594">CONCATENATE("DO",REPLACE($AH92,1,3,""),"-",BQ92)</f>
        <v>DO3-5B</v>
      </c>
      <c r="CJ92" t="str">
        <f t="shared" ref="CJ92:CJ100" si="595">CONCATENATE("DO",REPLACE($AH92,1,3,""),"-",BR92)</f>
        <v>DO3-6A</v>
      </c>
      <c r="CK92" t="str">
        <f t="shared" ref="CK92:CK100" si="596">CONCATENATE("DO",REPLACE($AH92,1,3,""),"-",BS92)</f>
        <v>DO3-6B</v>
      </c>
      <c r="CL92" t="str">
        <f t="shared" si="392"/>
        <v>K25-10</v>
      </c>
      <c r="CM92" t="str">
        <f t="shared" si="393"/>
        <v>K25-03</v>
      </c>
      <c r="CN92" t="str">
        <f t="shared" si="394"/>
        <v>K25-04</v>
      </c>
      <c r="CO92" t="str">
        <f t="shared" si="395"/>
        <v>K25-01</v>
      </c>
      <c r="CP92" t="str">
        <f t="shared" si="396"/>
        <v>K25-08</v>
      </c>
      <c r="CQ92" t="str">
        <f t="shared" si="397"/>
        <v>K25-02</v>
      </c>
      <c r="CR92" t="str">
        <f t="shared" si="398"/>
        <v>K25-09</v>
      </c>
      <c r="CS92" t="str">
        <f t="shared" si="399"/>
        <v>K25-05</v>
      </c>
      <c r="CT92" t="str">
        <f t="shared" si="400"/>
        <v>K25-11</v>
      </c>
      <c r="CU92" t="str">
        <f t="shared" si="401"/>
        <v>N1-M25-A9</v>
      </c>
      <c r="CV92" t="str">
        <f t="shared" si="402"/>
        <v>N1-M25-A7</v>
      </c>
      <c r="CW92" t="str">
        <f t="shared" si="403"/>
        <v>N1-M25-A8</v>
      </c>
      <c r="CX92" t="str">
        <f t="shared" si="404"/>
        <v>N1-M25-A6</v>
      </c>
      <c r="CY92" t="str">
        <f t="shared" si="405"/>
        <v>N1-M25-A30</v>
      </c>
      <c r="CZ92" t="str">
        <f t="shared" si="406"/>
        <v>N1-M25-N</v>
      </c>
      <c r="DA92" t="str">
        <f t="shared" ref="DA92:DA100" si="597">CONCATENATE($T92,"-A220-M",U92)</f>
        <v>N1-A220-M25</v>
      </c>
      <c r="DB92" t="str">
        <f t="shared" si="408"/>
        <v>N1-M25-XM01</v>
      </c>
      <c r="DC92" t="str">
        <f t="shared" si="409"/>
        <v>N1-M25-A1</v>
      </c>
      <c r="DD92" t="str">
        <f t="shared" si="410"/>
        <v>N1-M25-A5</v>
      </c>
      <c r="DE92" t="str">
        <f t="shared" si="411"/>
        <v>N1-M25-A11</v>
      </c>
      <c r="DF92" t="str">
        <f t="shared" si="412"/>
        <v>N1-M25-A12</v>
      </c>
      <c r="DG92" t="str">
        <f t="shared" si="413"/>
        <v>N1-M25-A19</v>
      </c>
      <c r="DH92" t="str">
        <f t="shared" si="414"/>
        <v>N1-M25-A20</v>
      </c>
      <c r="DI92" t="s">
        <v>135</v>
      </c>
      <c r="DJ92" t="s">
        <v>136</v>
      </c>
      <c r="DK92">
        <v>11</v>
      </c>
      <c r="DL92">
        <v>14</v>
      </c>
      <c r="DM92">
        <v>12</v>
      </c>
      <c r="DN92" t="s">
        <v>137</v>
      </c>
      <c r="DO92" t="s">
        <v>138</v>
      </c>
      <c r="DP92">
        <v>1</v>
      </c>
      <c r="DQ92">
        <v>2</v>
      </c>
      <c r="DR92">
        <v>3</v>
      </c>
      <c r="DS92">
        <v>4</v>
      </c>
      <c r="DT92">
        <v>5</v>
      </c>
      <c r="DU92">
        <v>6</v>
      </c>
      <c r="DV92">
        <v>7</v>
      </c>
      <c r="DW92">
        <v>8</v>
      </c>
      <c r="DX92">
        <v>9</v>
      </c>
      <c r="DY92">
        <v>10</v>
      </c>
      <c r="DZ92">
        <v>11</v>
      </c>
      <c r="EA92">
        <v>12</v>
      </c>
      <c r="EB92">
        <v>13</v>
      </c>
      <c r="EC92">
        <v>14</v>
      </c>
      <c r="ED92">
        <v>1</v>
      </c>
      <c r="EE92">
        <v>3</v>
      </c>
      <c r="EF92">
        <v>4</v>
      </c>
      <c r="EG92">
        <v>7</v>
      </c>
      <c r="EH92">
        <v>8</v>
      </c>
      <c r="EI92">
        <v>9</v>
      </c>
      <c r="EJ92">
        <v>10</v>
      </c>
      <c r="EK92">
        <v>13</v>
      </c>
      <c r="EL92">
        <v>14</v>
      </c>
      <c r="EM92">
        <v>15</v>
      </c>
      <c r="EN92">
        <v>16</v>
      </c>
      <c r="EO92">
        <v>22</v>
      </c>
      <c r="EP92">
        <v>23</v>
      </c>
      <c r="EQ92" s="14">
        <v>24</v>
      </c>
    </row>
    <row r="93" spans="1:147" x14ac:dyDescent="0.25">
      <c r="A93" s="44" t="s">
        <v>1007</v>
      </c>
      <c r="B93" t="s">
        <v>791</v>
      </c>
      <c r="C93" s="3"/>
      <c r="O93" s="2"/>
      <c r="P93" t="s">
        <v>126</v>
      </c>
      <c r="Q93" s="1"/>
      <c r="S93" s="1" t="s">
        <v>127</v>
      </c>
      <c r="T93" s="12" t="s">
        <v>487</v>
      </c>
      <c r="U93" s="40">
        <v>26</v>
      </c>
      <c r="V93" s="13" t="s">
        <v>783</v>
      </c>
      <c r="W93" s="13"/>
      <c r="AC93" t="str">
        <f t="shared" si="415"/>
        <v>A5.5</v>
      </c>
      <c r="AD93" s="36" t="str" cm="1">
        <f t="array" ref="AD93">IF(COUNTIFS(AC$2:AC93,AC93)=1,"1",VALUE(SUBSTITUTE(INDEX(AD:AD,_xlfn.XMATCH(AC93,AC$1:AC92,0,-1)),"A",""))+INDEX(AE:AE,_xlfn.XMATCH(AC93,AC$1:AC92,0,-1))+1)</f>
        <v>1</v>
      </c>
      <c r="AE93" s="36" cm="1">
        <f t="array" ref="AE93">SUM(IF(ISNUMBER(FIND("TmDi",$BE$1:$AAL$1)),IF(IFERROR(ISNUMBER(VALUE(SUBSTITUTE($BE93:$AAL93,"B",""))),FALSE),IF(ISNUMBER(VALUE(SUBSTITUTE($BE93:$AAL93,"B",""))),1,0),0)))</f>
        <v>5</v>
      </c>
      <c r="AF93" t="str">
        <f t="shared" si="355"/>
        <v>C1</v>
      </c>
      <c r="AG93" t="str">
        <f t="shared" si="356"/>
        <v>B1</v>
      </c>
      <c r="AH93" t="str">
        <f t="shared" si="537"/>
        <v>A6.3</v>
      </c>
      <c r="AI93" s="47" cm="1">
        <f t="array" ref="AI93">IF(COUNTIFS(AH$2:AH93,AH93)=1,"1",VALUE(SUBSTITUTE(INDEX(AI:AI,_xlfn.XMATCH(AH93,AH$1:AH92,0,-1)),"A",""))+INDEX(AJ:AJ,_xlfn.XMATCH(AH93,AH$1:AH92,0,-1))+1)</f>
        <v>7</v>
      </c>
      <c r="AJ93" s="41" cm="1">
        <f t="array" ref="AJ93">SUM(IF(ISNUMBER(FIND("TmDo",$BE$1:$AAL$1)),IF(IFERROR(ISNUMBER(VALUE(SUBSTITUTE($BE93:$AAL93,"B",""))),FALSE),IF(ISNUMBER(VALUE(SUBSTITUTE($BE93:$AAL93,"B",""))),1,0),0)))</f>
        <v>2</v>
      </c>
      <c r="AK93" t="str">
        <f t="shared" si="357"/>
        <v>7A</v>
      </c>
      <c r="AL93" t="str">
        <f t="shared" si="358"/>
        <v>7B</v>
      </c>
      <c r="AM93" t="s">
        <v>158</v>
      </c>
      <c r="AP93" t="s">
        <v>489</v>
      </c>
      <c r="AQ93" t="s">
        <v>744</v>
      </c>
      <c r="AT93" t="s">
        <v>132</v>
      </c>
      <c r="AU93" t="s">
        <v>133</v>
      </c>
      <c r="BD93" s="14"/>
      <c r="BE93" s="22" t="str">
        <f t="shared" si="568"/>
        <v>XT26</v>
      </c>
      <c r="BF93" t="str">
        <f t="shared" si="569"/>
        <v>C2</v>
      </c>
      <c r="BG93" t="str">
        <f t="shared" si="570"/>
        <v>B2</v>
      </c>
      <c r="BH93" t="str">
        <f t="shared" si="571"/>
        <v>C3</v>
      </c>
      <c r="BI93" t="str">
        <f t="shared" si="572"/>
        <v>B3</v>
      </c>
      <c r="BJ93" t="str">
        <f t="shared" si="573"/>
        <v>C4</v>
      </c>
      <c r="BK93" t="str">
        <f t="shared" si="574"/>
        <v>B4</v>
      </c>
      <c r="BL93" t="str">
        <f t="shared" si="575"/>
        <v>C5</v>
      </c>
      <c r="BM93" t="str">
        <f t="shared" si="576"/>
        <v>B5</v>
      </c>
      <c r="BN93" t="str">
        <f t="shared" si="577"/>
        <v>C6</v>
      </c>
      <c r="BO93" t="str">
        <f t="shared" si="578"/>
        <v>B6</v>
      </c>
      <c r="BP93" t="str">
        <f t="shared" si="370"/>
        <v>8A</v>
      </c>
      <c r="BQ93" t="str">
        <f t="shared" si="371"/>
        <v>8B</v>
      </c>
      <c r="BR93" t="str">
        <f t="shared" si="372"/>
        <v>9A</v>
      </c>
      <c r="BS93" t="str">
        <f t="shared" si="373"/>
        <v>9B</v>
      </c>
      <c r="BT93" t="str">
        <f t="shared" si="579"/>
        <v>DI5-C1</v>
      </c>
      <c r="BU93" t="str">
        <f t="shared" si="580"/>
        <v>DI5-B1</v>
      </c>
      <c r="BV93" t="str">
        <f t="shared" si="581"/>
        <v>DI5-C2</v>
      </c>
      <c r="BW93" t="str">
        <f t="shared" si="582"/>
        <v>DI5-B2</v>
      </c>
      <c r="BX93" t="str">
        <f t="shared" si="583"/>
        <v>DI5-C3</v>
      </c>
      <c r="BY93" t="str">
        <f t="shared" si="584"/>
        <v>DI5-B3</v>
      </c>
      <c r="BZ93" t="str">
        <f t="shared" si="585"/>
        <v>DI5-C4</v>
      </c>
      <c r="CA93" t="str">
        <f t="shared" si="586"/>
        <v>DI5-B4</v>
      </c>
      <c r="CB93" t="str">
        <f t="shared" si="587"/>
        <v>DI5-C5</v>
      </c>
      <c r="CC93" t="str">
        <f t="shared" si="588"/>
        <v>DI5-B5</v>
      </c>
      <c r="CD93" t="str">
        <f t="shared" si="589"/>
        <v>DI5-C6</v>
      </c>
      <c r="CE93" t="str">
        <f t="shared" si="590"/>
        <v>DI5-B6</v>
      </c>
      <c r="CF93" t="str">
        <f t="shared" si="591"/>
        <v>DO3-7A</v>
      </c>
      <c r="CG93" t="str">
        <f t="shared" si="592"/>
        <v>DO3-7B</v>
      </c>
      <c r="CH93" t="str">
        <f t="shared" si="593"/>
        <v>DO3-8A</v>
      </c>
      <c r="CI93" t="str">
        <f t="shared" si="594"/>
        <v>DO3-8B</v>
      </c>
      <c r="CJ93" t="str">
        <f t="shared" si="595"/>
        <v>DO3-9A</v>
      </c>
      <c r="CK93" t="str">
        <f t="shared" si="596"/>
        <v>DO3-9B</v>
      </c>
      <c r="CL93" t="str">
        <f t="shared" si="392"/>
        <v>K26-10</v>
      </c>
      <c r="CM93" t="str">
        <f t="shared" si="393"/>
        <v>K26-03</v>
      </c>
      <c r="CN93" t="str">
        <f t="shared" si="394"/>
        <v>K26-04</v>
      </c>
      <c r="CO93" t="str">
        <f t="shared" si="395"/>
        <v>K26-01</v>
      </c>
      <c r="CP93" t="str">
        <f t="shared" si="396"/>
        <v>K26-08</v>
      </c>
      <c r="CQ93" t="str">
        <f t="shared" si="397"/>
        <v>K26-02</v>
      </c>
      <c r="CR93" t="str">
        <f t="shared" si="398"/>
        <v>K26-09</v>
      </c>
      <c r="CS93" t="str">
        <f t="shared" si="399"/>
        <v>K26-05</v>
      </c>
      <c r="CT93" t="str">
        <f t="shared" si="400"/>
        <v>K26-11</v>
      </c>
      <c r="CU93" t="str">
        <f t="shared" si="401"/>
        <v>N1-M26-A9</v>
      </c>
      <c r="CV93" t="str">
        <f t="shared" si="402"/>
        <v>N1-M26-A7</v>
      </c>
      <c r="CW93" t="str">
        <f t="shared" si="403"/>
        <v>N1-M26-A8</v>
      </c>
      <c r="CX93" t="str">
        <f t="shared" si="404"/>
        <v>N1-M26-A6</v>
      </c>
      <c r="CY93" t="str">
        <f t="shared" si="405"/>
        <v>N1-M26-A30</v>
      </c>
      <c r="CZ93" t="str">
        <f t="shared" si="406"/>
        <v>N1-M26-N</v>
      </c>
      <c r="DA93" t="str">
        <f t="shared" si="597"/>
        <v>N1-A220-M26</v>
      </c>
      <c r="DB93" t="str">
        <f t="shared" si="408"/>
        <v>N1-M26-XM01</v>
      </c>
      <c r="DC93" t="str">
        <f t="shared" si="409"/>
        <v>N1-M26-A1</v>
      </c>
      <c r="DD93" t="str">
        <f t="shared" si="410"/>
        <v>N1-M26-A5</v>
      </c>
      <c r="DE93" t="str">
        <f t="shared" si="411"/>
        <v>N1-M26-A11</v>
      </c>
      <c r="DF93" t="str">
        <f t="shared" si="412"/>
        <v>N1-M26-A12</v>
      </c>
      <c r="DG93" t="str">
        <f t="shared" si="413"/>
        <v>N1-M26-A19</v>
      </c>
      <c r="DH93" t="str">
        <f t="shared" si="414"/>
        <v>N1-M26-A20</v>
      </c>
      <c r="DI93" t="s">
        <v>135</v>
      </c>
      <c r="DJ93" t="s">
        <v>136</v>
      </c>
      <c r="DK93">
        <v>11</v>
      </c>
      <c r="DL93">
        <v>14</v>
      </c>
      <c r="DM93">
        <v>12</v>
      </c>
      <c r="DN93" t="s">
        <v>137</v>
      </c>
      <c r="DO93" t="s">
        <v>138</v>
      </c>
      <c r="DP93">
        <v>1</v>
      </c>
      <c r="DQ93">
        <v>2</v>
      </c>
      <c r="DR93">
        <v>3</v>
      </c>
      <c r="DS93">
        <v>4</v>
      </c>
      <c r="DT93">
        <v>5</v>
      </c>
      <c r="DU93">
        <v>6</v>
      </c>
      <c r="DV93">
        <v>7</v>
      </c>
      <c r="DW93">
        <v>8</v>
      </c>
      <c r="DX93">
        <v>9</v>
      </c>
      <c r="DY93">
        <v>10</v>
      </c>
      <c r="DZ93">
        <v>11</v>
      </c>
      <c r="EA93">
        <v>12</v>
      </c>
      <c r="EB93">
        <v>13</v>
      </c>
      <c r="EC93">
        <v>14</v>
      </c>
      <c r="ED93">
        <v>1</v>
      </c>
      <c r="EE93">
        <v>3</v>
      </c>
      <c r="EF93">
        <v>4</v>
      </c>
      <c r="EG93">
        <v>7</v>
      </c>
      <c r="EH93">
        <v>8</v>
      </c>
      <c r="EI93">
        <v>9</v>
      </c>
      <c r="EJ93">
        <v>10</v>
      </c>
      <c r="EK93">
        <v>13</v>
      </c>
      <c r="EL93">
        <v>14</v>
      </c>
      <c r="EM93">
        <v>15</v>
      </c>
      <c r="EN93">
        <v>16</v>
      </c>
      <c r="EO93">
        <v>22</v>
      </c>
      <c r="EP93">
        <v>23</v>
      </c>
      <c r="EQ93" s="14">
        <v>24</v>
      </c>
    </row>
    <row r="94" spans="1:147" x14ac:dyDescent="0.25">
      <c r="A94" s="44" t="s">
        <v>1008</v>
      </c>
      <c r="B94" t="s">
        <v>792</v>
      </c>
      <c r="C94" s="3"/>
      <c r="O94" s="2"/>
      <c r="P94" t="s">
        <v>126</v>
      </c>
      <c r="Q94" s="1"/>
      <c r="S94" s="1" t="s">
        <v>127</v>
      </c>
      <c r="T94" s="12" t="s">
        <v>487</v>
      </c>
      <c r="U94" s="40">
        <v>27</v>
      </c>
      <c r="V94" s="13" t="s">
        <v>784</v>
      </c>
      <c r="W94" s="13"/>
      <c r="AC94" t="str">
        <f t="shared" si="415"/>
        <v>A5.5</v>
      </c>
      <c r="AD94" s="36" cm="1">
        <f t="array" ref="AD94">IF(COUNTIFS(AC$2:AC94,AC94)=1,"1",VALUE(SUBSTITUTE(INDEX(AD:AD,_xlfn.XMATCH(AC94,AC$1:AC93,0,-1)),"A",""))+INDEX(AE:AE,_xlfn.XMATCH(AC94,AC$1:AC93,0,-1))+1)</f>
        <v>7</v>
      </c>
      <c r="AE94" s="36" cm="1">
        <f t="array" ref="AE94">SUM(IF(ISNUMBER(FIND("TmDi",$BE$1:$AAL$1)),IF(IFERROR(ISNUMBER(VALUE(SUBSTITUTE($BE94:$AAL94,"B",""))),FALSE),IF(ISNUMBER(VALUE(SUBSTITUTE($BE94:$AAL94,"B",""))),1,0),0)))</f>
        <v>5</v>
      </c>
      <c r="AF94" t="str">
        <f t="shared" si="355"/>
        <v>C7</v>
      </c>
      <c r="AG94" t="str">
        <f t="shared" si="356"/>
        <v>B7</v>
      </c>
      <c r="AH94" t="str">
        <f t="shared" si="537"/>
        <v>A6.3</v>
      </c>
      <c r="AI94" s="47" cm="1">
        <f t="array" ref="AI94">IF(COUNTIFS(AH$2:AH94,AH94)=1,"1",VALUE(SUBSTITUTE(INDEX(AI:AI,_xlfn.XMATCH(AH94,AH$1:AH93,0,-1)),"A",""))+INDEX(AJ:AJ,_xlfn.XMATCH(AH94,AH$1:AH93,0,-1))+1)</f>
        <v>10</v>
      </c>
      <c r="AJ94" s="41" cm="1">
        <f t="array" ref="AJ94">SUM(IF(ISNUMBER(FIND("TmDo",$BE$1:$AAL$1)),IF(IFERROR(ISNUMBER(VALUE(SUBSTITUTE($BE94:$AAL94,"B",""))),FALSE),IF(ISNUMBER(VALUE(SUBSTITUTE($BE94:$AAL94,"B",""))),1,0),0)))</f>
        <v>2</v>
      </c>
      <c r="AK94" t="str">
        <f t="shared" si="357"/>
        <v>10A</v>
      </c>
      <c r="AL94" t="str">
        <f t="shared" si="358"/>
        <v>10B</v>
      </c>
      <c r="AM94" t="s">
        <v>159</v>
      </c>
      <c r="AP94" t="s">
        <v>489</v>
      </c>
      <c r="AQ94" t="s">
        <v>744</v>
      </c>
      <c r="AT94" t="s">
        <v>132</v>
      </c>
      <c r="AU94" t="s">
        <v>133</v>
      </c>
      <c r="BD94" s="14"/>
      <c r="BE94" s="22" t="str">
        <f t="shared" si="568"/>
        <v>XT27</v>
      </c>
      <c r="BF94" t="str">
        <f t="shared" si="569"/>
        <v>C8</v>
      </c>
      <c r="BG94" t="str">
        <f t="shared" si="570"/>
        <v>B8</v>
      </c>
      <c r="BH94" t="str">
        <f t="shared" si="571"/>
        <v>C9</v>
      </c>
      <c r="BI94" t="str">
        <f t="shared" si="572"/>
        <v>B9</v>
      </c>
      <c r="BJ94" t="str">
        <f t="shared" si="573"/>
        <v>C10</v>
      </c>
      <c r="BK94" t="str">
        <f t="shared" si="574"/>
        <v>B10</v>
      </c>
      <c r="BL94" t="str">
        <f t="shared" si="575"/>
        <v>C11</v>
      </c>
      <c r="BM94" t="str">
        <f t="shared" si="576"/>
        <v>B11</v>
      </c>
      <c r="BN94" t="str">
        <f t="shared" si="577"/>
        <v>C12</v>
      </c>
      <c r="BO94" t="str">
        <f t="shared" si="578"/>
        <v>B12</v>
      </c>
      <c r="BP94" t="str">
        <f t="shared" si="370"/>
        <v>11A</v>
      </c>
      <c r="BQ94" t="str">
        <f t="shared" si="371"/>
        <v>11B</v>
      </c>
      <c r="BR94" t="str">
        <f t="shared" si="372"/>
        <v>12A</v>
      </c>
      <c r="BS94" t="str">
        <f t="shared" si="373"/>
        <v>12B</v>
      </c>
      <c r="BT94" t="str">
        <f t="shared" si="579"/>
        <v>DI5-C7</v>
      </c>
      <c r="BU94" t="str">
        <f t="shared" si="580"/>
        <v>DI5-B7</v>
      </c>
      <c r="BV94" t="str">
        <f t="shared" si="581"/>
        <v>DI5-C8</v>
      </c>
      <c r="BW94" t="str">
        <f t="shared" si="582"/>
        <v>DI5-B8</v>
      </c>
      <c r="BX94" t="str">
        <f t="shared" si="583"/>
        <v>DI5-C9</v>
      </c>
      <c r="BY94" t="str">
        <f t="shared" si="584"/>
        <v>DI5-B9</v>
      </c>
      <c r="BZ94" t="str">
        <f t="shared" si="585"/>
        <v>DI5-C10</v>
      </c>
      <c r="CA94" t="str">
        <f t="shared" si="586"/>
        <v>DI5-B10</v>
      </c>
      <c r="CB94" t="str">
        <f t="shared" si="587"/>
        <v>DI5-C11</v>
      </c>
      <c r="CC94" t="str">
        <f t="shared" si="588"/>
        <v>DI5-B11</v>
      </c>
      <c r="CD94" t="str">
        <f t="shared" si="589"/>
        <v>DI5-C12</v>
      </c>
      <c r="CE94" t="str">
        <f t="shared" si="590"/>
        <v>DI5-B12</v>
      </c>
      <c r="CF94" t="str">
        <f t="shared" si="591"/>
        <v>DO3-10A</v>
      </c>
      <c r="CG94" t="str">
        <f t="shared" si="592"/>
        <v>DO3-10B</v>
      </c>
      <c r="CH94" t="str">
        <f t="shared" si="593"/>
        <v>DO3-11A</v>
      </c>
      <c r="CI94" t="str">
        <f t="shared" si="594"/>
        <v>DO3-11B</v>
      </c>
      <c r="CJ94" t="str">
        <f t="shared" si="595"/>
        <v>DO3-12A</v>
      </c>
      <c r="CK94" t="str">
        <f t="shared" si="596"/>
        <v>DO3-12B</v>
      </c>
      <c r="CL94" t="str">
        <f t="shared" si="392"/>
        <v>K27-10</v>
      </c>
      <c r="CM94" t="str">
        <f t="shared" si="393"/>
        <v>K27-03</v>
      </c>
      <c r="CN94" t="str">
        <f t="shared" si="394"/>
        <v>K27-04</v>
      </c>
      <c r="CO94" t="str">
        <f t="shared" si="395"/>
        <v>K27-01</v>
      </c>
      <c r="CP94" t="str">
        <f t="shared" si="396"/>
        <v>K27-08</v>
      </c>
      <c r="CQ94" t="str">
        <f t="shared" si="397"/>
        <v>K27-02</v>
      </c>
      <c r="CR94" t="str">
        <f t="shared" si="398"/>
        <v>K27-09</v>
      </c>
      <c r="CS94" t="str">
        <f t="shared" si="399"/>
        <v>K27-05</v>
      </c>
      <c r="CT94" t="str">
        <f t="shared" si="400"/>
        <v>K27-11</v>
      </c>
      <c r="CU94" t="str">
        <f t="shared" si="401"/>
        <v>N1-M27-A9</v>
      </c>
      <c r="CV94" t="str">
        <f t="shared" si="402"/>
        <v>N1-M27-A7</v>
      </c>
      <c r="CW94" t="str">
        <f t="shared" si="403"/>
        <v>N1-M27-A8</v>
      </c>
      <c r="CX94" t="str">
        <f t="shared" si="404"/>
        <v>N1-M27-A6</v>
      </c>
      <c r="CY94" t="str">
        <f t="shared" si="405"/>
        <v>N1-M27-A30</v>
      </c>
      <c r="CZ94" t="str">
        <f t="shared" si="406"/>
        <v>N1-M27-N</v>
      </c>
      <c r="DA94" t="str">
        <f t="shared" si="597"/>
        <v>N1-A220-M27</v>
      </c>
      <c r="DB94" t="str">
        <f t="shared" si="408"/>
        <v>N1-M27-XM01</v>
      </c>
      <c r="DC94" t="str">
        <f t="shared" si="409"/>
        <v>N1-M27-A1</v>
      </c>
      <c r="DD94" t="str">
        <f t="shared" si="410"/>
        <v>N1-M27-A5</v>
      </c>
      <c r="DE94" t="str">
        <f t="shared" si="411"/>
        <v>N1-M27-A11</v>
      </c>
      <c r="DF94" t="str">
        <f t="shared" si="412"/>
        <v>N1-M27-A12</v>
      </c>
      <c r="DG94" t="str">
        <f t="shared" si="413"/>
        <v>N1-M27-A19</v>
      </c>
      <c r="DH94" t="str">
        <f t="shared" si="414"/>
        <v>N1-M27-A20</v>
      </c>
      <c r="DI94" t="s">
        <v>135</v>
      </c>
      <c r="DJ94" t="s">
        <v>136</v>
      </c>
      <c r="DK94">
        <v>11</v>
      </c>
      <c r="DL94">
        <v>14</v>
      </c>
      <c r="DM94">
        <v>12</v>
      </c>
      <c r="DN94" t="s">
        <v>137</v>
      </c>
      <c r="DO94" t="s">
        <v>138</v>
      </c>
      <c r="DP94">
        <v>1</v>
      </c>
      <c r="DQ94">
        <v>2</v>
      </c>
      <c r="DR94">
        <v>3</v>
      </c>
      <c r="DS94">
        <v>4</v>
      </c>
      <c r="DT94">
        <v>5</v>
      </c>
      <c r="DU94">
        <v>6</v>
      </c>
      <c r="DV94">
        <v>7</v>
      </c>
      <c r="DW94">
        <v>8</v>
      </c>
      <c r="DX94">
        <v>9</v>
      </c>
      <c r="DY94">
        <v>10</v>
      </c>
      <c r="DZ94">
        <v>11</v>
      </c>
      <c r="EA94">
        <v>12</v>
      </c>
      <c r="EB94">
        <v>13</v>
      </c>
      <c r="EC94">
        <v>14</v>
      </c>
      <c r="ED94">
        <v>1</v>
      </c>
      <c r="EE94">
        <v>3</v>
      </c>
      <c r="EF94">
        <v>4</v>
      </c>
      <c r="EG94">
        <v>7</v>
      </c>
      <c r="EH94">
        <v>8</v>
      </c>
      <c r="EI94">
        <v>9</v>
      </c>
      <c r="EJ94">
        <v>10</v>
      </c>
      <c r="EK94">
        <v>13</v>
      </c>
      <c r="EL94">
        <v>14</v>
      </c>
      <c r="EM94">
        <v>15</v>
      </c>
      <c r="EN94">
        <v>16</v>
      </c>
      <c r="EO94">
        <v>22</v>
      </c>
      <c r="EP94">
        <v>23</v>
      </c>
      <c r="EQ94" s="14">
        <v>24</v>
      </c>
    </row>
    <row r="95" spans="1:147" x14ac:dyDescent="0.25">
      <c r="A95" s="44" t="s">
        <v>1009</v>
      </c>
      <c r="B95" t="s">
        <v>793</v>
      </c>
      <c r="C95" s="3"/>
      <c r="O95" s="2"/>
      <c r="P95" t="s">
        <v>126</v>
      </c>
      <c r="Q95" s="1"/>
      <c r="S95" s="1" t="s">
        <v>127</v>
      </c>
      <c r="T95" s="12" t="s">
        <v>487</v>
      </c>
      <c r="U95" s="40">
        <v>28</v>
      </c>
      <c r="V95" s="13" t="s">
        <v>785</v>
      </c>
      <c r="W95" s="13"/>
      <c r="AC95" t="str">
        <f t="shared" si="415"/>
        <v>A5.5</v>
      </c>
      <c r="AD95" s="36" cm="1">
        <f t="array" ref="AD95">IF(COUNTIFS(AC$2:AC95,AC95)=1,"1",VALUE(SUBSTITUTE(INDEX(AD:AD,_xlfn.XMATCH(AC95,AC$1:AC94,0,-1)),"A",""))+INDEX(AE:AE,_xlfn.XMATCH(AC95,AC$1:AC94,0,-1))+1)</f>
        <v>13</v>
      </c>
      <c r="AE95" s="36" cm="1">
        <f t="array" ref="AE95">SUM(IF(ISNUMBER(FIND("TmDi",$BE$1:$AAL$1)),IF(IFERROR(ISNUMBER(VALUE(SUBSTITUTE($BE95:$AAL95,"B",""))),FALSE),IF(ISNUMBER(VALUE(SUBSTITUTE($BE95:$AAL95,"B",""))),1,0),0)))</f>
        <v>5</v>
      </c>
      <c r="AF95" t="str">
        <f t="shared" si="355"/>
        <v>C13</v>
      </c>
      <c r="AG95" t="str">
        <f t="shared" si="356"/>
        <v>B13</v>
      </c>
      <c r="AH95" t="str">
        <f t="shared" si="537"/>
        <v>A6.3</v>
      </c>
      <c r="AI95" s="47" cm="1">
        <f t="array" ref="AI95">IF(COUNTIFS(AH$2:AH95,AH95)=1,"1",VALUE(SUBSTITUTE(INDEX(AI:AI,_xlfn.XMATCH(AH95,AH$1:AH94,0,-1)),"A",""))+INDEX(AJ:AJ,_xlfn.XMATCH(AH95,AH$1:AH94,0,-1))+1)</f>
        <v>13</v>
      </c>
      <c r="AJ95" s="41" cm="1">
        <f t="array" ref="AJ95">SUM(IF(ISNUMBER(FIND("TmDo",$BE$1:$AAL$1)),IF(IFERROR(ISNUMBER(VALUE(SUBSTITUTE($BE95:$AAL95,"B",""))),FALSE),IF(ISNUMBER(VALUE(SUBSTITUTE($BE95:$AAL95,"B",""))),1,0),0)))</f>
        <v>2</v>
      </c>
      <c r="AK95" t="str">
        <f t="shared" si="357"/>
        <v>13A</v>
      </c>
      <c r="AL95" t="str">
        <f t="shared" si="358"/>
        <v>13B</v>
      </c>
      <c r="AM95" t="s">
        <v>160</v>
      </c>
      <c r="AP95" t="s">
        <v>489</v>
      </c>
      <c r="AQ95" t="s">
        <v>744</v>
      </c>
      <c r="AT95" t="s">
        <v>132</v>
      </c>
      <c r="AU95" t="s">
        <v>133</v>
      </c>
      <c r="BD95" s="14"/>
      <c r="BE95" s="22" t="str">
        <f t="shared" si="568"/>
        <v>XT28</v>
      </c>
      <c r="BF95" t="str">
        <f t="shared" si="569"/>
        <v>C14</v>
      </c>
      <c r="BG95" t="str">
        <f t="shared" si="570"/>
        <v>B14</v>
      </c>
      <c r="BH95" t="str">
        <f t="shared" si="571"/>
        <v>C15</v>
      </c>
      <c r="BI95" t="str">
        <f t="shared" si="572"/>
        <v>B15</v>
      </c>
      <c r="BJ95" t="str">
        <f t="shared" si="573"/>
        <v>C16</v>
      </c>
      <c r="BK95" t="str">
        <f t="shared" si="574"/>
        <v>B16</v>
      </c>
      <c r="BL95" t="str">
        <f t="shared" si="575"/>
        <v>C17</v>
      </c>
      <c r="BM95" t="str">
        <f t="shared" si="576"/>
        <v>B17</v>
      </c>
      <c r="BN95" t="str">
        <f t="shared" si="577"/>
        <v>C18</v>
      </c>
      <c r="BO95" t="str">
        <f t="shared" si="578"/>
        <v>B18</v>
      </c>
      <c r="BP95" t="str">
        <f t="shared" si="370"/>
        <v>14A</v>
      </c>
      <c r="BQ95" t="str">
        <f t="shared" si="371"/>
        <v>14B</v>
      </c>
      <c r="BR95" t="str">
        <f t="shared" si="372"/>
        <v>15A</v>
      </c>
      <c r="BS95" t="str">
        <f t="shared" si="373"/>
        <v>15B</v>
      </c>
      <c r="BT95" t="str">
        <f t="shared" si="579"/>
        <v>DI5-C13</v>
      </c>
      <c r="BU95" t="str">
        <f t="shared" si="580"/>
        <v>DI5-B13</v>
      </c>
      <c r="BV95" t="str">
        <f t="shared" si="581"/>
        <v>DI5-C14</v>
      </c>
      <c r="BW95" t="str">
        <f t="shared" si="582"/>
        <v>DI5-B14</v>
      </c>
      <c r="BX95" t="str">
        <f t="shared" si="583"/>
        <v>DI5-C15</v>
      </c>
      <c r="BY95" t="str">
        <f t="shared" si="584"/>
        <v>DI5-B15</v>
      </c>
      <c r="BZ95" t="str">
        <f t="shared" si="585"/>
        <v>DI5-C16</v>
      </c>
      <c r="CA95" t="str">
        <f t="shared" si="586"/>
        <v>DI5-B16</v>
      </c>
      <c r="CB95" t="str">
        <f t="shared" si="587"/>
        <v>DI5-C17</v>
      </c>
      <c r="CC95" t="str">
        <f t="shared" si="588"/>
        <v>DI5-B17</v>
      </c>
      <c r="CD95" t="str">
        <f t="shared" si="589"/>
        <v>DI5-C18</v>
      </c>
      <c r="CE95" t="str">
        <f t="shared" si="590"/>
        <v>DI5-B18</v>
      </c>
      <c r="CF95" t="str">
        <f t="shared" si="591"/>
        <v>DO3-13A</v>
      </c>
      <c r="CG95" t="str">
        <f t="shared" si="592"/>
        <v>DO3-13B</v>
      </c>
      <c r="CH95" t="str">
        <f t="shared" si="593"/>
        <v>DO3-14A</v>
      </c>
      <c r="CI95" t="str">
        <f t="shared" si="594"/>
        <v>DO3-14B</v>
      </c>
      <c r="CJ95" t="str">
        <f t="shared" si="595"/>
        <v>DO3-15A</v>
      </c>
      <c r="CK95" t="str">
        <f t="shared" si="596"/>
        <v>DO3-15B</v>
      </c>
      <c r="CL95" t="str">
        <f t="shared" si="392"/>
        <v>K28-10</v>
      </c>
      <c r="CM95" t="str">
        <f t="shared" si="393"/>
        <v>K28-03</v>
      </c>
      <c r="CN95" t="str">
        <f t="shared" si="394"/>
        <v>K28-04</v>
      </c>
      <c r="CO95" t="str">
        <f t="shared" si="395"/>
        <v>K28-01</v>
      </c>
      <c r="CP95" t="str">
        <f t="shared" si="396"/>
        <v>K28-08</v>
      </c>
      <c r="CQ95" t="str">
        <f t="shared" si="397"/>
        <v>K28-02</v>
      </c>
      <c r="CR95" t="str">
        <f t="shared" si="398"/>
        <v>K28-09</v>
      </c>
      <c r="CS95" t="str">
        <f t="shared" si="399"/>
        <v>K28-05</v>
      </c>
      <c r="CT95" t="str">
        <f t="shared" si="400"/>
        <v>K28-11</v>
      </c>
      <c r="CU95" t="str">
        <f t="shared" si="401"/>
        <v>N1-M28-A9</v>
      </c>
      <c r="CV95" t="str">
        <f t="shared" si="402"/>
        <v>N1-M28-A7</v>
      </c>
      <c r="CW95" t="str">
        <f t="shared" si="403"/>
        <v>N1-M28-A8</v>
      </c>
      <c r="CX95" t="str">
        <f t="shared" si="404"/>
        <v>N1-M28-A6</v>
      </c>
      <c r="CY95" t="str">
        <f t="shared" si="405"/>
        <v>N1-M28-A30</v>
      </c>
      <c r="CZ95" t="str">
        <f t="shared" si="406"/>
        <v>N1-M28-N</v>
      </c>
      <c r="DA95" t="str">
        <f t="shared" si="597"/>
        <v>N1-A220-M28</v>
      </c>
      <c r="DB95" t="str">
        <f t="shared" si="408"/>
        <v>N1-M28-XM01</v>
      </c>
      <c r="DC95" t="str">
        <f t="shared" si="409"/>
        <v>N1-M28-A1</v>
      </c>
      <c r="DD95" t="str">
        <f t="shared" si="410"/>
        <v>N1-M28-A5</v>
      </c>
      <c r="DE95" t="str">
        <f t="shared" si="411"/>
        <v>N1-M28-A11</v>
      </c>
      <c r="DF95" t="str">
        <f t="shared" si="412"/>
        <v>N1-M28-A12</v>
      </c>
      <c r="DG95" t="str">
        <f t="shared" si="413"/>
        <v>N1-M28-A19</v>
      </c>
      <c r="DH95" t="str">
        <f t="shared" si="414"/>
        <v>N1-M28-A20</v>
      </c>
      <c r="DI95" t="s">
        <v>135</v>
      </c>
      <c r="DJ95" t="s">
        <v>136</v>
      </c>
      <c r="DK95">
        <v>11</v>
      </c>
      <c r="DL95">
        <v>14</v>
      </c>
      <c r="DM95">
        <v>12</v>
      </c>
      <c r="DN95" t="s">
        <v>137</v>
      </c>
      <c r="DO95" t="s">
        <v>138</v>
      </c>
      <c r="DP95">
        <v>1</v>
      </c>
      <c r="DQ95">
        <v>2</v>
      </c>
      <c r="DR95">
        <v>3</v>
      </c>
      <c r="DS95">
        <v>4</v>
      </c>
      <c r="DT95">
        <v>5</v>
      </c>
      <c r="DU95">
        <v>6</v>
      </c>
      <c r="DV95">
        <v>7</v>
      </c>
      <c r="DW95">
        <v>8</v>
      </c>
      <c r="DX95">
        <v>9</v>
      </c>
      <c r="DY95">
        <v>10</v>
      </c>
      <c r="DZ95">
        <v>11</v>
      </c>
      <c r="EA95">
        <v>12</v>
      </c>
      <c r="EB95">
        <v>13</v>
      </c>
      <c r="EC95">
        <v>14</v>
      </c>
      <c r="ED95">
        <v>1</v>
      </c>
      <c r="EE95">
        <v>3</v>
      </c>
      <c r="EF95">
        <v>4</v>
      </c>
      <c r="EG95">
        <v>7</v>
      </c>
      <c r="EH95">
        <v>8</v>
      </c>
      <c r="EI95">
        <v>9</v>
      </c>
      <c r="EJ95">
        <v>10</v>
      </c>
      <c r="EK95">
        <v>13</v>
      </c>
      <c r="EL95">
        <v>14</v>
      </c>
      <c r="EM95">
        <v>15</v>
      </c>
      <c r="EN95">
        <v>16</v>
      </c>
      <c r="EO95">
        <v>22</v>
      </c>
      <c r="EP95">
        <v>23</v>
      </c>
      <c r="EQ95" s="14">
        <v>24</v>
      </c>
    </row>
    <row r="96" spans="1:147" x14ac:dyDescent="0.25">
      <c r="A96" s="44" t="s">
        <v>1010</v>
      </c>
      <c r="B96" t="s">
        <v>794</v>
      </c>
      <c r="C96" s="3"/>
      <c r="O96" s="2"/>
      <c r="P96" t="s">
        <v>126</v>
      </c>
      <c r="Q96" s="1"/>
      <c r="S96" s="1" t="s">
        <v>127</v>
      </c>
      <c r="T96" s="12" t="s">
        <v>487</v>
      </c>
      <c r="U96" s="40">
        <v>29</v>
      </c>
      <c r="V96" s="13" t="s">
        <v>786</v>
      </c>
      <c r="W96" s="13"/>
      <c r="AC96" t="str">
        <f t="shared" si="415"/>
        <v>A5.5</v>
      </c>
      <c r="AD96" s="36" cm="1">
        <f t="array" ref="AD96">IF(COUNTIFS(AC$2:AC96,AC96)=1,"1",VALUE(SUBSTITUTE(INDEX(AD:AD,_xlfn.XMATCH(AC96,AC$1:AC95,0,-1)),"A",""))+INDEX(AE:AE,_xlfn.XMATCH(AC96,AC$1:AC95,0,-1))+1)</f>
        <v>19</v>
      </c>
      <c r="AE96" s="36" cm="1">
        <f t="array" ref="AE96">SUM(IF(ISNUMBER(FIND("TmDi",$BE$1:$AAL$1)),IF(IFERROR(ISNUMBER(VALUE(SUBSTITUTE($BE96:$AAL96,"B",""))),FALSE),IF(ISNUMBER(VALUE(SUBSTITUTE($BE96:$AAL96,"B",""))),1,0),0)))</f>
        <v>5</v>
      </c>
      <c r="AF96" t="str">
        <f t="shared" si="355"/>
        <v>C19</v>
      </c>
      <c r="AG96" t="str">
        <f t="shared" si="356"/>
        <v>B19</v>
      </c>
      <c r="AH96" t="str">
        <f t="shared" si="537"/>
        <v>A6.3</v>
      </c>
      <c r="AI96" s="47" cm="1">
        <f t="array" ref="AI96">IF(COUNTIFS(AH$2:AH96,AH96)=1,"1",VALUE(SUBSTITUTE(INDEX(AI:AI,_xlfn.XMATCH(AH96,AH$1:AH95,0,-1)),"A",""))+INDEX(AJ:AJ,_xlfn.XMATCH(AH96,AH$1:AH95,0,-1))+1)</f>
        <v>16</v>
      </c>
      <c r="AJ96" s="41" cm="1">
        <f t="array" ref="AJ96">SUM(IF(ISNUMBER(FIND("TmDo",$BE$1:$AAL$1)),IF(IFERROR(ISNUMBER(VALUE(SUBSTITUTE($BE96:$AAL96,"B",""))),FALSE),IF(ISNUMBER(VALUE(SUBSTITUTE($BE96:$AAL96,"B",""))),1,0),0)))</f>
        <v>2</v>
      </c>
      <c r="AK96" t="str">
        <f t="shared" si="357"/>
        <v>16A</v>
      </c>
      <c r="AL96" t="str">
        <f t="shared" si="358"/>
        <v>16B</v>
      </c>
      <c r="AM96" t="s">
        <v>161</v>
      </c>
      <c r="AP96" t="s">
        <v>489</v>
      </c>
      <c r="AQ96" t="s">
        <v>744</v>
      </c>
      <c r="AT96" t="s">
        <v>132</v>
      </c>
      <c r="AU96" t="s">
        <v>133</v>
      </c>
      <c r="BD96" s="14"/>
      <c r="BE96" s="22" t="str">
        <f t="shared" si="568"/>
        <v>XT29</v>
      </c>
      <c r="BF96" t="str">
        <f t="shared" si="569"/>
        <v>C20</v>
      </c>
      <c r="BG96" t="str">
        <f t="shared" si="570"/>
        <v>B20</v>
      </c>
      <c r="BH96" t="str">
        <f t="shared" si="571"/>
        <v>C21</v>
      </c>
      <c r="BI96" t="str">
        <f t="shared" si="572"/>
        <v>B21</v>
      </c>
      <c r="BJ96" t="str">
        <f t="shared" si="573"/>
        <v>C22</v>
      </c>
      <c r="BK96" t="str">
        <f t="shared" si="574"/>
        <v>B22</v>
      </c>
      <c r="BL96" t="str">
        <f t="shared" si="575"/>
        <v>C23</v>
      </c>
      <c r="BM96" t="str">
        <f t="shared" si="576"/>
        <v>B23</v>
      </c>
      <c r="BN96" t="str">
        <f t="shared" si="577"/>
        <v>C24</v>
      </c>
      <c r="BO96" t="str">
        <f t="shared" si="578"/>
        <v>B24</v>
      </c>
      <c r="BP96" t="str">
        <f t="shared" si="370"/>
        <v>17A</v>
      </c>
      <c r="BQ96" t="str">
        <f t="shared" si="371"/>
        <v>17B</v>
      </c>
      <c r="BR96" t="str">
        <f t="shared" si="372"/>
        <v>18A</v>
      </c>
      <c r="BS96" t="str">
        <f t="shared" si="373"/>
        <v>18B</v>
      </c>
      <c r="BT96" t="str">
        <f t="shared" si="579"/>
        <v>DI5-C19</v>
      </c>
      <c r="BU96" t="str">
        <f t="shared" si="580"/>
        <v>DI5-B19</v>
      </c>
      <c r="BV96" t="str">
        <f t="shared" si="581"/>
        <v>DI5-C20</v>
      </c>
      <c r="BW96" t="str">
        <f t="shared" si="582"/>
        <v>DI5-B20</v>
      </c>
      <c r="BX96" t="str">
        <f t="shared" si="583"/>
        <v>DI5-C21</v>
      </c>
      <c r="BY96" t="str">
        <f t="shared" si="584"/>
        <v>DI5-B21</v>
      </c>
      <c r="BZ96" t="str">
        <f t="shared" si="585"/>
        <v>DI5-C22</v>
      </c>
      <c r="CA96" t="str">
        <f t="shared" si="586"/>
        <v>DI5-B22</v>
      </c>
      <c r="CB96" t="str">
        <f t="shared" si="587"/>
        <v>DI5-C23</v>
      </c>
      <c r="CC96" t="str">
        <f t="shared" si="588"/>
        <v>DI5-B23</v>
      </c>
      <c r="CD96" t="str">
        <f t="shared" si="589"/>
        <v>DI5-C24</v>
      </c>
      <c r="CE96" t="str">
        <f t="shared" si="590"/>
        <v>DI5-B24</v>
      </c>
      <c r="CF96" t="str">
        <f t="shared" si="591"/>
        <v>DO3-16A</v>
      </c>
      <c r="CG96" t="str">
        <f t="shared" si="592"/>
        <v>DO3-16B</v>
      </c>
      <c r="CH96" t="str">
        <f t="shared" si="593"/>
        <v>DO3-17A</v>
      </c>
      <c r="CI96" t="str">
        <f t="shared" si="594"/>
        <v>DO3-17B</v>
      </c>
      <c r="CJ96" t="str">
        <f t="shared" si="595"/>
        <v>DO3-18A</v>
      </c>
      <c r="CK96" t="str">
        <f t="shared" si="596"/>
        <v>DO3-18B</v>
      </c>
      <c r="CL96" t="str">
        <f t="shared" si="392"/>
        <v>K29-10</v>
      </c>
      <c r="CM96" t="str">
        <f t="shared" si="393"/>
        <v>K29-03</v>
      </c>
      <c r="CN96" t="str">
        <f t="shared" si="394"/>
        <v>K29-04</v>
      </c>
      <c r="CO96" t="str">
        <f t="shared" si="395"/>
        <v>K29-01</v>
      </c>
      <c r="CP96" t="str">
        <f t="shared" si="396"/>
        <v>K29-08</v>
      </c>
      <c r="CQ96" t="str">
        <f t="shared" si="397"/>
        <v>K29-02</v>
      </c>
      <c r="CR96" t="str">
        <f t="shared" si="398"/>
        <v>K29-09</v>
      </c>
      <c r="CS96" t="str">
        <f t="shared" si="399"/>
        <v>K29-05</v>
      </c>
      <c r="CT96" t="str">
        <f t="shared" si="400"/>
        <v>K29-11</v>
      </c>
      <c r="CU96" t="str">
        <f t="shared" si="401"/>
        <v>N1-M29-A9</v>
      </c>
      <c r="CV96" t="str">
        <f t="shared" si="402"/>
        <v>N1-M29-A7</v>
      </c>
      <c r="CW96" t="str">
        <f t="shared" si="403"/>
        <v>N1-M29-A8</v>
      </c>
      <c r="CX96" t="str">
        <f t="shared" si="404"/>
        <v>N1-M29-A6</v>
      </c>
      <c r="CY96" t="str">
        <f t="shared" si="405"/>
        <v>N1-M29-A30</v>
      </c>
      <c r="CZ96" t="str">
        <f t="shared" si="406"/>
        <v>N1-M29-N</v>
      </c>
      <c r="DA96" t="str">
        <f t="shared" si="597"/>
        <v>N1-A220-M29</v>
      </c>
      <c r="DB96" t="str">
        <f t="shared" si="408"/>
        <v>N1-M29-XM01</v>
      </c>
      <c r="DC96" t="str">
        <f t="shared" si="409"/>
        <v>N1-M29-A1</v>
      </c>
      <c r="DD96" t="str">
        <f t="shared" si="410"/>
        <v>N1-M29-A5</v>
      </c>
      <c r="DE96" t="str">
        <f t="shared" si="411"/>
        <v>N1-M29-A11</v>
      </c>
      <c r="DF96" t="str">
        <f t="shared" si="412"/>
        <v>N1-M29-A12</v>
      </c>
      <c r="DG96" t="str">
        <f t="shared" si="413"/>
        <v>N1-M29-A19</v>
      </c>
      <c r="DH96" t="str">
        <f t="shared" si="414"/>
        <v>N1-M29-A20</v>
      </c>
      <c r="DI96" t="s">
        <v>135</v>
      </c>
      <c r="DJ96" t="s">
        <v>136</v>
      </c>
      <c r="DK96">
        <v>11</v>
      </c>
      <c r="DL96">
        <v>14</v>
      </c>
      <c r="DM96">
        <v>12</v>
      </c>
      <c r="DN96" t="s">
        <v>137</v>
      </c>
      <c r="DO96" t="s">
        <v>138</v>
      </c>
      <c r="DP96">
        <v>1</v>
      </c>
      <c r="DQ96">
        <v>2</v>
      </c>
      <c r="DR96">
        <v>3</v>
      </c>
      <c r="DS96">
        <v>4</v>
      </c>
      <c r="DT96">
        <v>5</v>
      </c>
      <c r="DU96">
        <v>6</v>
      </c>
      <c r="DV96">
        <v>7</v>
      </c>
      <c r="DW96">
        <v>8</v>
      </c>
      <c r="DX96">
        <v>9</v>
      </c>
      <c r="DY96">
        <v>10</v>
      </c>
      <c r="DZ96">
        <v>11</v>
      </c>
      <c r="EA96">
        <v>12</v>
      </c>
      <c r="EB96">
        <v>13</v>
      </c>
      <c r="EC96">
        <v>14</v>
      </c>
      <c r="ED96">
        <v>1</v>
      </c>
      <c r="EE96">
        <v>3</v>
      </c>
      <c r="EF96">
        <v>4</v>
      </c>
      <c r="EG96">
        <v>7</v>
      </c>
      <c r="EH96">
        <v>8</v>
      </c>
      <c r="EI96">
        <v>9</v>
      </c>
      <c r="EJ96">
        <v>10</v>
      </c>
      <c r="EK96">
        <v>13</v>
      </c>
      <c r="EL96">
        <v>14</v>
      </c>
      <c r="EM96">
        <v>15</v>
      </c>
      <c r="EN96">
        <v>16</v>
      </c>
      <c r="EO96">
        <v>22</v>
      </c>
      <c r="EP96">
        <v>23</v>
      </c>
      <c r="EQ96" s="14">
        <v>24</v>
      </c>
    </row>
    <row r="97" spans="1:147" x14ac:dyDescent="0.25">
      <c r="A97" s="44" t="s">
        <v>1011</v>
      </c>
      <c r="B97" t="s">
        <v>795</v>
      </c>
      <c r="C97" s="3"/>
      <c r="O97" s="2"/>
      <c r="P97" t="s">
        <v>126</v>
      </c>
      <c r="Q97" s="1"/>
      <c r="S97" s="1" t="s">
        <v>127</v>
      </c>
      <c r="T97" s="12" t="s">
        <v>487</v>
      </c>
      <c r="U97" s="40">
        <v>30</v>
      </c>
      <c r="V97" s="13" t="s">
        <v>787</v>
      </c>
      <c r="W97" s="13"/>
      <c r="AC97" t="str">
        <f t="shared" si="415"/>
        <v>A5.5</v>
      </c>
      <c r="AD97" s="36" cm="1">
        <f t="array" ref="AD97">IF(COUNTIFS(AC$2:AC97,AC97)=1,"1",VALUE(SUBSTITUTE(INDEX(AD:AD,_xlfn.XMATCH(AC97,AC$1:AC96,0,-1)),"A",""))+INDEX(AE:AE,_xlfn.XMATCH(AC97,AC$1:AC96,0,-1))+1)</f>
        <v>25</v>
      </c>
      <c r="AE97" s="36" cm="1">
        <f t="array" ref="AE97">SUM(IF(ISNUMBER(FIND("TmDi",$BE$1:$AAL$1)),IF(IFERROR(ISNUMBER(VALUE(SUBSTITUTE($BE97:$AAL97,"B",""))),FALSE),IF(ISNUMBER(VALUE(SUBSTITUTE($BE97:$AAL97,"B",""))),1,0),0)))</f>
        <v>5</v>
      </c>
      <c r="AF97" t="str">
        <f t="shared" si="355"/>
        <v>C25</v>
      </c>
      <c r="AG97" t="str">
        <f t="shared" si="356"/>
        <v>B25</v>
      </c>
      <c r="AH97" t="str">
        <f t="shared" si="537"/>
        <v>A6.3</v>
      </c>
      <c r="AI97" s="47" cm="1">
        <f t="array" ref="AI97">IF(COUNTIFS(AH$2:AH97,AH97)=1,"1",VALUE(SUBSTITUTE(INDEX(AI:AI,_xlfn.XMATCH(AH97,AH$1:AH96,0,-1)),"A",""))+INDEX(AJ:AJ,_xlfn.XMATCH(AH97,AH$1:AH96,0,-1))+1)</f>
        <v>19</v>
      </c>
      <c r="AJ97" s="41" cm="1">
        <f t="array" ref="AJ97">SUM(IF(ISNUMBER(FIND("TmDo",$BE$1:$AAL$1)),IF(IFERROR(ISNUMBER(VALUE(SUBSTITUTE($BE97:$AAL97,"B",""))),FALSE),IF(ISNUMBER(VALUE(SUBSTITUTE($BE97:$AAL97,"B",""))),1,0),0)))</f>
        <v>2</v>
      </c>
      <c r="AK97" t="str">
        <f t="shared" si="357"/>
        <v>19A</v>
      </c>
      <c r="AL97" t="str">
        <f t="shared" si="358"/>
        <v>19B</v>
      </c>
      <c r="AM97" t="s">
        <v>162</v>
      </c>
      <c r="AP97" t="s">
        <v>489</v>
      </c>
      <c r="AQ97" t="s">
        <v>744</v>
      </c>
      <c r="AT97" t="s">
        <v>132</v>
      </c>
      <c r="AU97" t="s">
        <v>133</v>
      </c>
      <c r="BD97" s="14"/>
      <c r="BE97" s="22" t="str">
        <f t="shared" si="568"/>
        <v>XT30</v>
      </c>
      <c r="BF97" t="str">
        <f t="shared" si="569"/>
        <v>C26</v>
      </c>
      <c r="BG97" t="str">
        <f t="shared" si="570"/>
        <v>B26</v>
      </c>
      <c r="BH97" t="str">
        <f t="shared" si="571"/>
        <v>C27</v>
      </c>
      <c r="BI97" t="str">
        <f t="shared" si="572"/>
        <v>B27</v>
      </c>
      <c r="BJ97" t="str">
        <f t="shared" si="573"/>
        <v>C28</v>
      </c>
      <c r="BK97" t="str">
        <f t="shared" si="574"/>
        <v>B28</v>
      </c>
      <c r="BL97" t="str">
        <f t="shared" si="575"/>
        <v>C29</v>
      </c>
      <c r="BM97" t="str">
        <f t="shared" si="576"/>
        <v>B29</v>
      </c>
      <c r="BN97" t="str">
        <f t="shared" si="577"/>
        <v>C30</v>
      </c>
      <c r="BO97" t="str">
        <f t="shared" si="578"/>
        <v>B30</v>
      </c>
      <c r="BP97" t="str">
        <f t="shared" si="370"/>
        <v>20A</v>
      </c>
      <c r="BQ97" t="str">
        <f t="shared" si="371"/>
        <v>20B</v>
      </c>
      <c r="BR97" t="str">
        <f t="shared" si="372"/>
        <v>21A</v>
      </c>
      <c r="BS97" t="str">
        <f t="shared" si="373"/>
        <v>21B</v>
      </c>
      <c r="BT97" t="str">
        <f t="shared" si="579"/>
        <v>DI5-C25</v>
      </c>
      <c r="BU97" t="str">
        <f t="shared" si="580"/>
        <v>DI5-B25</v>
      </c>
      <c r="BV97" t="str">
        <f t="shared" si="581"/>
        <v>DI5-C26</v>
      </c>
      <c r="BW97" t="str">
        <f t="shared" si="582"/>
        <v>DI5-B26</v>
      </c>
      <c r="BX97" t="str">
        <f t="shared" si="583"/>
        <v>DI5-C27</v>
      </c>
      <c r="BY97" t="str">
        <f t="shared" si="584"/>
        <v>DI5-B27</v>
      </c>
      <c r="BZ97" t="str">
        <f t="shared" si="585"/>
        <v>DI5-C28</v>
      </c>
      <c r="CA97" t="str">
        <f t="shared" si="586"/>
        <v>DI5-B28</v>
      </c>
      <c r="CB97" t="str">
        <f t="shared" si="587"/>
        <v>DI5-C29</v>
      </c>
      <c r="CC97" t="str">
        <f t="shared" si="588"/>
        <v>DI5-B29</v>
      </c>
      <c r="CD97" t="str">
        <f t="shared" si="589"/>
        <v>DI5-C30</v>
      </c>
      <c r="CE97" t="str">
        <f t="shared" si="590"/>
        <v>DI5-B30</v>
      </c>
      <c r="CF97" t="str">
        <f t="shared" si="591"/>
        <v>DO3-19A</v>
      </c>
      <c r="CG97" t="str">
        <f t="shared" si="592"/>
        <v>DO3-19B</v>
      </c>
      <c r="CH97" t="str">
        <f t="shared" si="593"/>
        <v>DO3-20A</v>
      </c>
      <c r="CI97" t="str">
        <f t="shared" si="594"/>
        <v>DO3-20B</v>
      </c>
      <c r="CJ97" t="str">
        <f t="shared" si="595"/>
        <v>DO3-21A</v>
      </c>
      <c r="CK97" t="str">
        <f t="shared" si="596"/>
        <v>DO3-21B</v>
      </c>
      <c r="CL97" t="str">
        <f t="shared" si="392"/>
        <v>K30-10</v>
      </c>
      <c r="CM97" t="str">
        <f t="shared" si="393"/>
        <v>K30-03</v>
      </c>
      <c r="CN97" t="str">
        <f t="shared" si="394"/>
        <v>K30-04</v>
      </c>
      <c r="CO97" t="str">
        <f t="shared" si="395"/>
        <v>K30-01</v>
      </c>
      <c r="CP97" t="str">
        <f t="shared" si="396"/>
        <v>K30-08</v>
      </c>
      <c r="CQ97" t="str">
        <f t="shared" si="397"/>
        <v>K30-02</v>
      </c>
      <c r="CR97" t="str">
        <f t="shared" si="398"/>
        <v>K30-09</v>
      </c>
      <c r="CS97" t="str">
        <f t="shared" si="399"/>
        <v>K30-05</v>
      </c>
      <c r="CT97" t="str">
        <f t="shared" si="400"/>
        <v>K30-11</v>
      </c>
      <c r="CU97" t="str">
        <f t="shared" si="401"/>
        <v>N1-M30-A9</v>
      </c>
      <c r="CV97" t="str">
        <f t="shared" si="402"/>
        <v>N1-M30-A7</v>
      </c>
      <c r="CW97" t="str">
        <f t="shared" si="403"/>
        <v>N1-M30-A8</v>
      </c>
      <c r="CX97" t="str">
        <f t="shared" si="404"/>
        <v>N1-M30-A6</v>
      </c>
      <c r="CY97" t="str">
        <f t="shared" si="405"/>
        <v>N1-M30-A30</v>
      </c>
      <c r="CZ97" t="str">
        <f t="shared" si="406"/>
        <v>N1-M30-N</v>
      </c>
      <c r="DA97" t="str">
        <f t="shared" si="597"/>
        <v>N1-A220-M30</v>
      </c>
      <c r="DB97" t="str">
        <f t="shared" si="408"/>
        <v>N1-M30-XM01</v>
      </c>
      <c r="DC97" t="str">
        <f t="shared" si="409"/>
        <v>N1-M30-A1</v>
      </c>
      <c r="DD97" t="str">
        <f t="shared" si="410"/>
        <v>N1-M30-A5</v>
      </c>
      <c r="DE97" t="str">
        <f t="shared" si="411"/>
        <v>N1-M30-A11</v>
      </c>
      <c r="DF97" t="str">
        <f t="shared" si="412"/>
        <v>N1-M30-A12</v>
      </c>
      <c r="DG97" t="str">
        <f t="shared" si="413"/>
        <v>N1-M30-A19</v>
      </c>
      <c r="DH97" t="str">
        <f t="shared" si="414"/>
        <v>N1-M30-A20</v>
      </c>
      <c r="DI97" t="s">
        <v>135</v>
      </c>
      <c r="DJ97" t="s">
        <v>136</v>
      </c>
      <c r="DK97">
        <v>11</v>
      </c>
      <c r="DL97">
        <v>14</v>
      </c>
      <c r="DM97">
        <v>12</v>
      </c>
      <c r="DN97" t="s">
        <v>137</v>
      </c>
      <c r="DO97" t="s">
        <v>138</v>
      </c>
      <c r="DP97">
        <v>1</v>
      </c>
      <c r="DQ97">
        <v>2</v>
      </c>
      <c r="DR97">
        <v>3</v>
      </c>
      <c r="DS97">
        <v>4</v>
      </c>
      <c r="DT97">
        <v>5</v>
      </c>
      <c r="DU97">
        <v>6</v>
      </c>
      <c r="DV97">
        <v>7</v>
      </c>
      <c r="DW97">
        <v>8</v>
      </c>
      <c r="DX97">
        <v>9</v>
      </c>
      <c r="DY97">
        <v>10</v>
      </c>
      <c r="DZ97">
        <v>11</v>
      </c>
      <c r="EA97">
        <v>12</v>
      </c>
      <c r="EB97">
        <v>13</v>
      </c>
      <c r="EC97">
        <v>14</v>
      </c>
      <c r="ED97">
        <v>1</v>
      </c>
      <c r="EE97">
        <v>3</v>
      </c>
      <c r="EF97">
        <v>4</v>
      </c>
      <c r="EG97">
        <v>7</v>
      </c>
      <c r="EH97">
        <v>8</v>
      </c>
      <c r="EI97">
        <v>9</v>
      </c>
      <c r="EJ97">
        <v>10</v>
      </c>
      <c r="EK97">
        <v>13</v>
      </c>
      <c r="EL97">
        <v>14</v>
      </c>
      <c r="EM97">
        <v>15</v>
      </c>
      <c r="EN97">
        <v>16</v>
      </c>
      <c r="EO97">
        <v>22</v>
      </c>
      <c r="EP97">
        <v>23</v>
      </c>
      <c r="EQ97" s="14">
        <v>24</v>
      </c>
    </row>
    <row r="98" spans="1:147" x14ac:dyDescent="0.25">
      <c r="A98" s="44" t="s">
        <v>1012</v>
      </c>
      <c r="B98" t="s">
        <v>796</v>
      </c>
      <c r="C98" s="3"/>
      <c r="O98" s="2"/>
      <c r="P98" t="s">
        <v>126</v>
      </c>
      <c r="Q98" s="1"/>
      <c r="S98" s="1" t="s">
        <v>127</v>
      </c>
      <c r="T98" s="12" t="s">
        <v>487</v>
      </c>
      <c r="U98" s="40">
        <v>31</v>
      </c>
      <c r="V98" s="13" t="s">
        <v>788</v>
      </c>
      <c r="W98" s="13"/>
      <c r="AC98" t="str">
        <f t="shared" si="415"/>
        <v>A5.6</v>
      </c>
      <c r="AD98" s="36" t="str" cm="1">
        <f t="array" ref="AD98">IF(COUNTIFS(AC$2:AC98,AC98)=1,"1",VALUE(SUBSTITUTE(INDEX(AD:AD,_xlfn.XMATCH(AC98,AC$1:AC97,0,-1)),"A",""))+INDEX(AE:AE,_xlfn.XMATCH(AC98,AC$1:AC97,0,-1))+1)</f>
        <v>1</v>
      </c>
      <c r="AE98" s="36" cm="1">
        <f t="array" ref="AE98">SUM(IF(ISNUMBER(FIND("TmDi",$BE$1:$AAL$1)),IF(IFERROR(ISNUMBER(VALUE(SUBSTITUTE($BE98:$AAL98,"B",""))),FALSE),IF(ISNUMBER(VALUE(SUBSTITUTE($BE98:$AAL98,"B",""))),1,0),0)))</f>
        <v>5</v>
      </c>
      <c r="AF98" t="str">
        <f t="shared" si="355"/>
        <v>C1</v>
      </c>
      <c r="AG98" t="str">
        <f t="shared" si="356"/>
        <v>B1</v>
      </c>
      <c r="AH98" t="str">
        <f t="shared" si="537"/>
        <v>A6.3</v>
      </c>
      <c r="AI98" s="47" cm="1">
        <f t="array" ref="AI98">IF(COUNTIFS(AH$2:AH98,AH98)=1,"1",VALUE(SUBSTITUTE(INDEX(AI:AI,_xlfn.XMATCH(AH98,AH$1:AH97,0,-1)),"A",""))+INDEX(AJ:AJ,_xlfn.XMATCH(AH98,AH$1:AH97,0,-1))+1)</f>
        <v>22</v>
      </c>
      <c r="AJ98" s="41" cm="1">
        <f t="array" ref="AJ98">SUM(IF(ISNUMBER(FIND("TmDo",$BE$1:$AAL$1)),IF(IFERROR(ISNUMBER(VALUE(SUBSTITUTE($BE98:$AAL98,"B",""))),FALSE),IF(ISNUMBER(VALUE(SUBSTITUTE($BE98:$AAL98,"B",""))),1,0),0)))</f>
        <v>2</v>
      </c>
      <c r="AK98" t="str">
        <f t="shared" si="357"/>
        <v>22A</v>
      </c>
      <c r="AL98" t="str">
        <f t="shared" si="358"/>
        <v>22B</v>
      </c>
      <c r="AM98" t="s">
        <v>163</v>
      </c>
      <c r="AP98" t="s">
        <v>489</v>
      </c>
      <c r="AQ98" t="s">
        <v>744</v>
      </c>
      <c r="AT98" t="s">
        <v>132</v>
      </c>
      <c r="AU98" t="s">
        <v>133</v>
      </c>
      <c r="BD98" s="14"/>
      <c r="BE98" s="22" t="str">
        <f t="shared" si="568"/>
        <v>XT31</v>
      </c>
      <c r="BF98" t="str">
        <f t="shared" si="569"/>
        <v>C2</v>
      </c>
      <c r="BG98" t="str">
        <f t="shared" si="570"/>
        <v>B2</v>
      </c>
      <c r="BH98" t="str">
        <f t="shared" si="571"/>
        <v>C3</v>
      </c>
      <c r="BI98" t="str">
        <f t="shared" si="572"/>
        <v>B3</v>
      </c>
      <c r="BJ98" t="str">
        <f t="shared" si="573"/>
        <v>C4</v>
      </c>
      <c r="BK98" t="str">
        <f t="shared" si="574"/>
        <v>B4</v>
      </c>
      <c r="BL98" t="str">
        <f t="shared" si="575"/>
        <v>C5</v>
      </c>
      <c r="BM98" t="str">
        <f t="shared" si="576"/>
        <v>B5</v>
      </c>
      <c r="BN98" t="str">
        <f t="shared" si="577"/>
        <v>C6</v>
      </c>
      <c r="BO98" t="str">
        <f t="shared" si="578"/>
        <v>B6</v>
      </c>
      <c r="BP98" t="str">
        <f t="shared" si="370"/>
        <v>23A</v>
      </c>
      <c r="BQ98" t="str">
        <f t="shared" si="371"/>
        <v>23B</v>
      </c>
      <c r="BR98" t="str">
        <f t="shared" si="372"/>
        <v>24A</v>
      </c>
      <c r="BS98" t="str">
        <f t="shared" si="373"/>
        <v>24B</v>
      </c>
      <c r="BT98" t="str">
        <f t="shared" si="579"/>
        <v>DI6-C1</v>
      </c>
      <c r="BU98" t="str">
        <f t="shared" si="580"/>
        <v>DI6-B1</v>
      </c>
      <c r="BV98" t="str">
        <f t="shared" si="581"/>
        <v>DI6-C2</v>
      </c>
      <c r="BW98" t="str">
        <f t="shared" si="582"/>
        <v>DI6-B2</v>
      </c>
      <c r="BX98" t="str">
        <f t="shared" si="583"/>
        <v>DI6-C3</v>
      </c>
      <c r="BY98" t="str">
        <f t="shared" si="584"/>
        <v>DI6-B3</v>
      </c>
      <c r="BZ98" t="str">
        <f t="shared" si="585"/>
        <v>DI6-C4</v>
      </c>
      <c r="CA98" t="str">
        <f t="shared" si="586"/>
        <v>DI6-B4</v>
      </c>
      <c r="CB98" t="str">
        <f t="shared" si="587"/>
        <v>DI6-C5</v>
      </c>
      <c r="CC98" t="str">
        <f t="shared" si="588"/>
        <v>DI6-B5</v>
      </c>
      <c r="CD98" t="str">
        <f t="shared" si="589"/>
        <v>DI6-C6</v>
      </c>
      <c r="CE98" t="str">
        <f t="shared" si="590"/>
        <v>DI6-B6</v>
      </c>
      <c r="CF98" t="str">
        <f t="shared" si="591"/>
        <v>DO3-22A</v>
      </c>
      <c r="CG98" t="str">
        <f t="shared" si="592"/>
        <v>DO3-22B</v>
      </c>
      <c r="CH98" t="str">
        <f t="shared" si="593"/>
        <v>DO3-23A</v>
      </c>
      <c r="CI98" t="str">
        <f t="shared" si="594"/>
        <v>DO3-23B</v>
      </c>
      <c r="CJ98" t="str">
        <f t="shared" si="595"/>
        <v>DO3-24A</v>
      </c>
      <c r="CK98" t="str">
        <f t="shared" si="596"/>
        <v>DO3-24B</v>
      </c>
      <c r="CL98" t="str">
        <f t="shared" si="392"/>
        <v>K31-10</v>
      </c>
      <c r="CM98" t="str">
        <f t="shared" si="393"/>
        <v>K31-03</v>
      </c>
      <c r="CN98" t="str">
        <f t="shared" si="394"/>
        <v>K31-04</v>
      </c>
      <c r="CO98" t="str">
        <f t="shared" si="395"/>
        <v>K31-01</v>
      </c>
      <c r="CP98" t="str">
        <f t="shared" si="396"/>
        <v>K31-08</v>
      </c>
      <c r="CQ98" t="str">
        <f t="shared" si="397"/>
        <v>K31-02</v>
      </c>
      <c r="CR98" t="str">
        <f t="shared" si="398"/>
        <v>K31-09</v>
      </c>
      <c r="CS98" t="str">
        <f t="shared" si="399"/>
        <v>K31-05</v>
      </c>
      <c r="CT98" t="str">
        <f t="shared" si="400"/>
        <v>K31-11</v>
      </c>
      <c r="CU98" t="str">
        <f t="shared" si="401"/>
        <v>N1-M31-A9</v>
      </c>
      <c r="CV98" t="str">
        <f t="shared" si="402"/>
        <v>N1-M31-A7</v>
      </c>
      <c r="CW98" t="str">
        <f t="shared" si="403"/>
        <v>N1-M31-A8</v>
      </c>
      <c r="CX98" t="str">
        <f t="shared" si="404"/>
        <v>N1-M31-A6</v>
      </c>
      <c r="CY98" t="str">
        <f t="shared" si="405"/>
        <v>N1-M31-A30</v>
      </c>
      <c r="CZ98" t="str">
        <f t="shared" si="406"/>
        <v>N1-M31-N</v>
      </c>
      <c r="DA98" t="str">
        <f t="shared" si="597"/>
        <v>N1-A220-M31</v>
      </c>
      <c r="DB98" t="str">
        <f t="shared" si="408"/>
        <v>N1-M31-XM01</v>
      </c>
      <c r="DC98" t="str">
        <f t="shared" si="409"/>
        <v>N1-M31-A1</v>
      </c>
      <c r="DD98" t="str">
        <f t="shared" si="410"/>
        <v>N1-M31-A5</v>
      </c>
      <c r="DE98" t="str">
        <f t="shared" si="411"/>
        <v>N1-M31-A11</v>
      </c>
      <c r="DF98" t="str">
        <f t="shared" si="412"/>
        <v>N1-M31-A12</v>
      </c>
      <c r="DG98" t="str">
        <f t="shared" si="413"/>
        <v>N1-M31-A19</v>
      </c>
      <c r="DH98" t="str">
        <f t="shared" si="414"/>
        <v>N1-M31-A20</v>
      </c>
      <c r="DI98" t="s">
        <v>135</v>
      </c>
      <c r="DJ98" t="s">
        <v>136</v>
      </c>
      <c r="DK98">
        <v>11</v>
      </c>
      <c r="DL98">
        <v>14</v>
      </c>
      <c r="DM98">
        <v>12</v>
      </c>
      <c r="DN98" t="s">
        <v>137</v>
      </c>
      <c r="DO98" t="s">
        <v>138</v>
      </c>
      <c r="DP98">
        <v>1</v>
      </c>
      <c r="DQ98">
        <v>2</v>
      </c>
      <c r="DR98">
        <v>3</v>
      </c>
      <c r="DS98">
        <v>4</v>
      </c>
      <c r="DT98">
        <v>5</v>
      </c>
      <c r="DU98">
        <v>6</v>
      </c>
      <c r="DV98">
        <v>7</v>
      </c>
      <c r="DW98">
        <v>8</v>
      </c>
      <c r="DX98">
        <v>9</v>
      </c>
      <c r="DY98">
        <v>10</v>
      </c>
      <c r="DZ98">
        <v>11</v>
      </c>
      <c r="EA98">
        <v>12</v>
      </c>
      <c r="EB98">
        <v>13</v>
      </c>
      <c r="EC98">
        <v>14</v>
      </c>
      <c r="ED98">
        <v>1</v>
      </c>
      <c r="EE98">
        <v>3</v>
      </c>
      <c r="EF98">
        <v>4</v>
      </c>
      <c r="EG98">
        <v>7</v>
      </c>
      <c r="EH98">
        <v>8</v>
      </c>
      <c r="EI98">
        <v>9</v>
      </c>
      <c r="EJ98">
        <v>10</v>
      </c>
      <c r="EK98">
        <v>13</v>
      </c>
      <c r="EL98">
        <v>14</v>
      </c>
      <c r="EM98">
        <v>15</v>
      </c>
      <c r="EN98">
        <v>16</v>
      </c>
      <c r="EO98">
        <v>22</v>
      </c>
      <c r="EP98">
        <v>23</v>
      </c>
      <c r="EQ98" s="14">
        <v>24</v>
      </c>
    </row>
    <row r="99" spans="1:147" x14ac:dyDescent="0.25">
      <c r="A99" s="44" t="s">
        <v>1013</v>
      </c>
      <c r="B99" t="s">
        <v>797</v>
      </c>
      <c r="C99" s="3"/>
      <c r="O99" s="2"/>
      <c r="P99" t="s">
        <v>126</v>
      </c>
      <c r="Q99" s="1"/>
      <c r="S99" s="1" t="s">
        <v>127</v>
      </c>
      <c r="T99" s="12" t="s">
        <v>487</v>
      </c>
      <c r="U99" s="40">
        <v>32</v>
      </c>
      <c r="V99" s="13" t="s">
        <v>789</v>
      </c>
      <c r="W99" s="13"/>
      <c r="AC99" t="str">
        <f t="shared" si="415"/>
        <v>A5.6</v>
      </c>
      <c r="AD99" s="36" cm="1">
        <f t="array" ref="AD99">IF(COUNTIFS(AC$2:AC99,AC99)=1,"1",VALUE(SUBSTITUTE(INDEX(AD:AD,_xlfn.XMATCH(AC99,AC$1:AC98,0,-1)),"A",""))+INDEX(AE:AE,_xlfn.XMATCH(AC99,AC$1:AC98,0,-1))+1)</f>
        <v>7</v>
      </c>
      <c r="AE99" s="36" cm="1">
        <f t="array" ref="AE99">SUM(IF(ISNUMBER(FIND("TmDi",$BE$1:$AAL$1)),IF(IFERROR(ISNUMBER(VALUE(SUBSTITUTE($BE99:$AAL99,"B",""))),FALSE),IF(ISNUMBER(VALUE(SUBSTITUTE($BE99:$AAL99,"B",""))),1,0),0)))</f>
        <v>5</v>
      </c>
      <c r="AF99" t="str">
        <f t="shared" si="355"/>
        <v>C7</v>
      </c>
      <c r="AG99" t="str">
        <f t="shared" si="356"/>
        <v>B7</v>
      </c>
      <c r="AH99" t="str">
        <f t="shared" si="537"/>
        <v>A6.3</v>
      </c>
      <c r="AI99" s="47" cm="1">
        <f t="array" ref="AI99">IF(COUNTIFS(AH$2:AH99,AH99)=1,"1",VALUE(SUBSTITUTE(INDEX(AI:AI,_xlfn.XMATCH(AH99,AH$1:AH98,0,-1)),"A",""))+INDEX(AJ:AJ,_xlfn.XMATCH(AH99,AH$1:AH98,0,-1))+1)</f>
        <v>25</v>
      </c>
      <c r="AJ99" s="41" cm="1">
        <f t="array" ref="AJ99">SUM(IF(ISNUMBER(FIND("TmDo",$BE$1:$AAL$1)),IF(IFERROR(ISNUMBER(VALUE(SUBSTITUTE($BE99:$AAL99,"B",""))),FALSE),IF(ISNUMBER(VALUE(SUBSTITUTE($BE99:$AAL99,"B",""))),1,0),0)))</f>
        <v>2</v>
      </c>
      <c r="AK99" t="str">
        <f t="shared" si="357"/>
        <v>25A</v>
      </c>
      <c r="AL99" t="str">
        <f t="shared" si="358"/>
        <v>25B</v>
      </c>
      <c r="AM99" t="s">
        <v>164</v>
      </c>
      <c r="AP99" t="s">
        <v>489</v>
      </c>
      <c r="AQ99" t="s">
        <v>744</v>
      </c>
      <c r="AT99" t="s">
        <v>132</v>
      </c>
      <c r="AU99" t="s">
        <v>133</v>
      </c>
      <c r="BD99" s="14"/>
      <c r="BE99" s="22" t="str">
        <f t="shared" si="568"/>
        <v>XT32</v>
      </c>
      <c r="BF99" t="str">
        <f t="shared" si="569"/>
        <v>C8</v>
      </c>
      <c r="BG99" t="str">
        <f t="shared" si="570"/>
        <v>B8</v>
      </c>
      <c r="BH99" t="str">
        <f t="shared" si="571"/>
        <v>C9</v>
      </c>
      <c r="BI99" t="str">
        <f t="shared" si="572"/>
        <v>B9</v>
      </c>
      <c r="BJ99" t="str">
        <f t="shared" si="573"/>
        <v>C10</v>
      </c>
      <c r="BK99" t="str">
        <f t="shared" si="574"/>
        <v>B10</v>
      </c>
      <c r="BL99" t="str">
        <f t="shared" si="575"/>
        <v>C11</v>
      </c>
      <c r="BM99" t="str">
        <f t="shared" si="576"/>
        <v>B11</v>
      </c>
      <c r="BN99" t="str">
        <f t="shared" si="577"/>
        <v>C12</v>
      </c>
      <c r="BO99" t="str">
        <f t="shared" si="578"/>
        <v>B12</v>
      </c>
      <c r="BP99" t="str">
        <f t="shared" si="370"/>
        <v>26A</v>
      </c>
      <c r="BQ99" t="str">
        <f t="shared" si="371"/>
        <v>26B</v>
      </c>
      <c r="BR99" t="str">
        <f t="shared" si="372"/>
        <v>27A</v>
      </c>
      <c r="BS99" t="str">
        <f t="shared" si="373"/>
        <v>27B</v>
      </c>
      <c r="BT99" t="str">
        <f t="shared" si="579"/>
        <v>DI6-C7</v>
      </c>
      <c r="BU99" t="str">
        <f t="shared" si="580"/>
        <v>DI6-B7</v>
      </c>
      <c r="BV99" t="str">
        <f t="shared" si="581"/>
        <v>DI6-C8</v>
      </c>
      <c r="BW99" t="str">
        <f t="shared" si="582"/>
        <v>DI6-B8</v>
      </c>
      <c r="BX99" t="str">
        <f t="shared" si="583"/>
        <v>DI6-C9</v>
      </c>
      <c r="BY99" t="str">
        <f t="shared" si="584"/>
        <v>DI6-B9</v>
      </c>
      <c r="BZ99" t="str">
        <f t="shared" si="585"/>
        <v>DI6-C10</v>
      </c>
      <c r="CA99" t="str">
        <f t="shared" si="586"/>
        <v>DI6-B10</v>
      </c>
      <c r="CB99" t="str">
        <f t="shared" si="587"/>
        <v>DI6-C11</v>
      </c>
      <c r="CC99" t="str">
        <f t="shared" si="588"/>
        <v>DI6-B11</v>
      </c>
      <c r="CD99" t="str">
        <f t="shared" si="589"/>
        <v>DI6-C12</v>
      </c>
      <c r="CE99" t="str">
        <f t="shared" si="590"/>
        <v>DI6-B12</v>
      </c>
      <c r="CF99" t="str">
        <f t="shared" si="591"/>
        <v>DO3-25A</v>
      </c>
      <c r="CG99" t="str">
        <f t="shared" si="592"/>
        <v>DO3-25B</v>
      </c>
      <c r="CH99" t="str">
        <f t="shared" si="593"/>
        <v>DO3-26A</v>
      </c>
      <c r="CI99" t="str">
        <f t="shared" si="594"/>
        <v>DO3-26B</v>
      </c>
      <c r="CJ99" t="str">
        <f t="shared" si="595"/>
        <v>DO3-27A</v>
      </c>
      <c r="CK99" t="str">
        <f t="shared" si="596"/>
        <v>DO3-27B</v>
      </c>
      <c r="CL99" t="str">
        <f t="shared" si="392"/>
        <v>K32-10</v>
      </c>
      <c r="CM99" t="str">
        <f t="shared" si="393"/>
        <v>K32-03</v>
      </c>
      <c r="CN99" t="str">
        <f t="shared" si="394"/>
        <v>K32-04</v>
      </c>
      <c r="CO99" t="str">
        <f t="shared" si="395"/>
        <v>K32-01</v>
      </c>
      <c r="CP99" t="str">
        <f t="shared" si="396"/>
        <v>K32-08</v>
      </c>
      <c r="CQ99" t="str">
        <f t="shared" si="397"/>
        <v>K32-02</v>
      </c>
      <c r="CR99" t="str">
        <f t="shared" si="398"/>
        <v>K32-09</v>
      </c>
      <c r="CS99" t="str">
        <f t="shared" si="399"/>
        <v>K32-05</v>
      </c>
      <c r="CT99" t="str">
        <f t="shared" si="400"/>
        <v>K32-11</v>
      </c>
      <c r="CU99" t="str">
        <f t="shared" si="401"/>
        <v>N1-M32-A9</v>
      </c>
      <c r="CV99" t="str">
        <f t="shared" si="402"/>
        <v>N1-M32-A7</v>
      </c>
      <c r="CW99" t="str">
        <f t="shared" si="403"/>
        <v>N1-M32-A8</v>
      </c>
      <c r="CX99" t="str">
        <f t="shared" si="404"/>
        <v>N1-M32-A6</v>
      </c>
      <c r="CY99" t="str">
        <f t="shared" si="405"/>
        <v>N1-M32-A30</v>
      </c>
      <c r="CZ99" t="str">
        <f t="shared" si="406"/>
        <v>N1-M32-N</v>
      </c>
      <c r="DA99" t="str">
        <f t="shared" si="597"/>
        <v>N1-A220-M32</v>
      </c>
      <c r="DB99" t="str">
        <f t="shared" si="408"/>
        <v>N1-M32-XM01</v>
      </c>
      <c r="DC99" t="str">
        <f t="shared" si="409"/>
        <v>N1-M32-A1</v>
      </c>
      <c r="DD99" t="str">
        <f t="shared" si="410"/>
        <v>N1-M32-A5</v>
      </c>
      <c r="DE99" t="str">
        <f t="shared" si="411"/>
        <v>N1-M32-A11</v>
      </c>
      <c r="DF99" t="str">
        <f t="shared" si="412"/>
        <v>N1-M32-A12</v>
      </c>
      <c r="DG99" t="str">
        <f t="shared" si="413"/>
        <v>N1-M32-A19</v>
      </c>
      <c r="DH99" t="str">
        <f t="shared" si="414"/>
        <v>N1-M32-A20</v>
      </c>
      <c r="DI99" t="s">
        <v>135</v>
      </c>
      <c r="DJ99" t="s">
        <v>136</v>
      </c>
      <c r="DK99">
        <v>11</v>
      </c>
      <c r="DL99">
        <v>14</v>
      </c>
      <c r="DM99">
        <v>12</v>
      </c>
      <c r="DN99" t="s">
        <v>137</v>
      </c>
      <c r="DO99" t="s">
        <v>138</v>
      </c>
      <c r="DP99">
        <v>1</v>
      </c>
      <c r="DQ99">
        <v>2</v>
      </c>
      <c r="DR99">
        <v>3</v>
      </c>
      <c r="DS99">
        <v>4</v>
      </c>
      <c r="DT99">
        <v>5</v>
      </c>
      <c r="DU99">
        <v>6</v>
      </c>
      <c r="DV99">
        <v>7</v>
      </c>
      <c r="DW99">
        <v>8</v>
      </c>
      <c r="DX99">
        <v>9</v>
      </c>
      <c r="DY99">
        <v>10</v>
      </c>
      <c r="DZ99">
        <v>11</v>
      </c>
      <c r="EA99">
        <v>12</v>
      </c>
      <c r="EB99">
        <v>13</v>
      </c>
      <c r="EC99">
        <v>14</v>
      </c>
      <c r="ED99">
        <v>1</v>
      </c>
      <c r="EE99">
        <v>3</v>
      </c>
      <c r="EF99">
        <v>4</v>
      </c>
      <c r="EG99">
        <v>7</v>
      </c>
      <c r="EH99">
        <v>8</v>
      </c>
      <c r="EI99">
        <v>9</v>
      </c>
      <c r="EJ99">
        <v>10</v>
      </c>
      <c r="EK99">
        <v>13</v>
      </c>
      <c r="EL99">
        <v>14</v>
      </c>
      <c r="EM99">
        <v>15</v>
      </c>
      <c r="EN99">
        <v>16</v>
      </c>
      <c r="EO99">
        <v>22</v>
      </c>
      <c r="EP99">
        <v>23</v>
      </c>
      <c r="EQ99" s="14">
        <v>24</v>
      </c>
    </row>
    <row r="100" spans="1:147" x14ac:dyDescent="0.25">
      <c r="A100" s="44" t="s">
        <v>1014</v>
      </c>
      <c r="B100" t="s">
        <v>798</v>
      </c>
      <c r="C100" s="3"/>
      <c r="O100" s="2"/>
      <c r="P100" t="s">
        <v>126</v>
      </c>
      <c r="Q100" s="1"/>
      <c r="S100" s="1" t="s">
        <v>127</v>
      </c>
      <c r="T100" s="12" t="s">
        <v>487</v>
      </c>
      <c r="U100" s="40">
        <v>33</v>
      </c>
      <c r="V100" s="13" t="s">
        <v>790</v>
      </c>
      <c r="W100" s="13"/>
      <c r="AC100" t="str">
        <f t="shared" si="415"/>
        <v>A5.6</v>
      </c>
      <c r="AD100" s="36" cm="1">
        <f t="array" ref="AD100">IF(COUNTIFS(AC$2:AC100,AC100)=1,"1",VALUE(SUBSTITUTE(INDEX(AD:AD,_xlfn.XMATCH(AC100,AC$1:AC99,0,-1)),"A",""))+INDEX(AE:AE,_xlfn.XMATCH(AC100,AC$1:AC99,0,-1))+1)</f>
        <v>13</v>
      </c>
      <c r="AE100" s="36" cm="1">
        <f t="array" ref="AE100">SUM(IF(ISNUMBER(FIND("TmDi",$BE$1:$AAL$1)),IF(IFERROR(ISNUMBER(VALUE(SUBSTITUTE($BE100:$AAL100,"B",""))),FALSE),IF(ISNUMBER(VALUE(SUBSTITUTE($BE100:$AAL100,"B",""))),1,0),0)))</f>
        <v>5</v>
      </c>
      <c r="AF100" t="str">
        <f t="shared" si="355"/>
        <v>C13</v>
      </c>
      <c r="AG100" t="str">
        <f t="shared" si="356"/>
        <v>B13</v>
      </c>
      <c r="AH100" t="str">
        <f t="shared" si="537"/>
        <v>A6.4</v>
      </c>
      <c r="AI100" s="47" t="str" cm="1">
        <f t="array" ref="AI100">IF(COUNTIFS(AH$2:AH100,AH100)=1,"1",VALUE(SUBSTITUTE(INDEX(AI:AI,_xlfn.XMATCH(AH100,AH$1:AH99,0,-1)),"A",""))+INDEX(AJ:AJ,_xlfn.XMATCH(AH100,AH$1:AH99,0,-1))+1)</f>
        <v>1</v>
      </c>
      <c r="AJ100" s="41" cm="1">
        <f t="array" ref="AJ100">SUM(IF(ISNUMBER(FIND("TmDo",$BE$1:$AAL$1)),IF(IFERROR(ISNUMBER(VALUE(SUBSTITUTE($BE100:$AAL100,"B",""))),FALSE),IF(ISNUMBER(VALUE(SUBSTITUTE($BE100:$AAL100,"B",""))),1,0),0)))</f>
        <v>2</v>
      </c>
      <c r="AK100" t="str">
        <f t="shared" si="357"/>
        <v>1A</v>
      </c>
      <c r="AL100" t="str">
        <f t="shared" si="358"/>
        <v>1B</v>
      </c>
      <c r="AM100" t="s">
        <v>165</v>
      </c>
      <c r="AP100" t="s">
        <v>489</v>
      </c>
      <c r="AQ100" t="s">
        <v>744</v>
      </c>
      <c r="AT100" t="s">
        <v>132</v>
      </c>
      <c r="AU100" t="s">
        <v>133</v>
      </c>
      <c r="BD100" s="14"/>
      <c r="BE100" s="22" t="str">
        <f t="shared" si="568"/>
        <v>XT33</v>
      </c>
      <c r="BF100" t="str">
        <f t="shared" si="569"/>
        <v>C14</v>
      </c>
      <c r="BG100" t="str">
        <f t="shared" si="570"/>
        <v>B14</v>
      </c>
      <c r="BH100" t="str">
        <f t="shared" si="571"/>
        <v>C15</v>
      </c>
      <c r="BI100" t="str">
        <f t="shared" si="572"/>
        <v>B15</v>
      </c>
      <c r="BJ100" t="str">
        <f t="shared" si="573"/>
        <v>C16</v>
      </c>
      <c r="BK100" t="str">
        <f t="shared" si="574"/>
        <v>B16</v>
      </c>
      <c r="BL100" t="str">
        <f t="shared" si="575"/>
        <v>C17</v>
      </c>
      <c r="BM100" t="str">
        <f t="shared" si="576"/>
        <v>B17</v>
      </c>
      <c r="BN100" t="str">
        <f t="shared" si="577"/>
        <v>C18</v>
      </c>
      <c r="BO100" t="str">
        <f t="shared" si="578"/>
        <v>B18</v>
      </c>
      <c r="BP100" t="str">
        <f t="shared" si="370"/>
        <v>2A</v>
      </c>
      <c r="BQ100" t="str">
        <f t="shared" si="371"/>
        <v>2B</v>
      </c>
      <c r="BR100" t="str">
        <f t="shared" si="372"/>
        <v>3A</v>
      </c>
      <c r="BS100" t="str">
        <f t="shared" si="373"/>
        <v>3B</v>
      </c>
      <c r="BT100" t="str">
        <f t="shared" si="579"/>
        <v>DI6-C13</v>
      </c>
      <c r="BU100" t="str">
        <f t="shared" si="580"/>
        <v>DI6-B13</v>
      </c>
      <c r="BV100" t="str">
        <f t="shared" si="581"/>
        <v>DI6-C14</v>
      </c>
      <c r="BW100" t="str">
        <f t="shared" si="582"/>
        <v>DI6-B14</v>
      </c>
      <c r="BX100" t="str">
        <f t="shared" si="583"/>
        <v>DI6-C15</v>
      </c>
      <c r="BY100" t="str">
        <f t="shared" si="584"/>
        <v>DI6-B15</v>
      </c>
      <c r="BZ100" t="str">
        <f t="shared" si="585"/>
        <v>DI6-C16</v>
      </c>
      <c r="CA100" t="str">
        <f t="shared" si="586"/>
        <v>DI6-B16</v>
      </c>
      <c r="CB100" t="str">
        <f t="shared" si="587"/>
        <v>DI6-C17</v>
      </c>
      <c r="CC100" t="str">
        <f t="shared" si="588"/>
        <v>DI6-B17</v>
      </c>
      <c r="CD100" t="str">
        <f t="shared" si="589"/>
        <v>DI6-C18</v>
      </c>
      <c r="CE100" t="str">
        <f t="shared" si="590"/>
        <v>DI6-B18</v>
      </c>
      <c r="CF100" t="str">
        <f t="shared" si="591"/>
        <v>DO4-1A</v>
      </c>
      <c r="CG100" t="str">
        <f t="shared" si="592"/>
        <v>DO4-1B</v>
      </c>
      <c r="CH100" t="str">
        <f t="shared" si="593"/>
        <v>DO4-2A</v>
      </c>
      <c r="CI100" t="str">
        <f t="shared" si="594"/>
        <v>DO4-2B</v>
      </c>
      <c r="CJ100" t="str">
        <f t="shared" si="595"/>
        <v>DO4-3A</v>
      </c>
      <c r="CK100" t="str">
        <f t="shared" si="596"/>
        <v>DO4-3B</v>
      </c>
      <c r="CL100" t="str">
        <f t="shared" si="392"/>
        <v>K33-10</v>
      </c>
      <c r="CM100" t="str">
        <f t="shared" si="393"/>
        <v>K33-03</v>
      </c>
      <c r="CN100" t="str">
        <f t="shared" si="394"/>
        <v>K33-04</v>
      </c>
      <c r="CO100" t="str">
        <f t="shared" si="395"/>
        <v>K33-01</v>
      </c>
      <c r="CP100" t="str">
        <f t="shared" si="396"/>
        <v>K33-08</v>
      </c>
      <c r="CQ100" t="str">
        <f t="shared" si="397"/>
        <v>K33-02</v>
      </c>
      <c r="CR100" t="str">
        <f t="shared" si="398"/>
        <v>K33-09</v>
      </c>
      <c r="CS100" t="str">
        <f t="shared" si="399"/>
        <v>K33-05</v>
      </c>
      <c r="CT100" t="str">
        <f t="shared" si="400"/>
        <v>K33-11</v>
      </c>
      <c r="CU100" t="str">
        <f t="shared" si="401"/>
        <v>N1-M33-A9</v>
      </c>
      <c r="CV100" t="str">
        <f t="shared" si="402"/>
        <v>N1-M33-A7</v>
      </c>
      <c r="CW100" t="str">
        <f t="shared" si="403"/>
        <v>N1-M33-A8</v>
      </c>
      <c r="CX100" t="str">
        <f t="shared" si="404"/>
        <v>N1-M33-A6</v>
      </c>
      <c r="CY100" t="str">
        <f t="shared" si="405"/>
        <v>N1-M33-A30</v>
      </c>
      <c r="CZ100" t="str">
        <f t="shared" si="406"/>
        <v>N1-M33-N</v>
      </c>
      <c r="DA100" t="str">
        <f t="shared" si="597"/>
        <v>N1-A220-M33</v>
      </c>
      <c r="DB100" t="str">
        <f t="shared" si="408"/>
        <v>N1-M33-XM01</v>
      </c>
      <c r="DC100" t="str">
        <f t="shared" si="409"/>
        <v>N1-M33-A1</v>
      </c>
      <c r="DD100" t="str">
        <f t="shared" si="410"/>
        <v>N1-M33-A5</v>
      </c>
      <c r="DE100" t="str">
        <f t="shared" si="411"/>
        <v>N1-M33-A11</v>
      </c>
      <c r="DF100" t="str">
        <f t="shared" si="412"/>
        <v>N1-M33-A12</v>
      </c>
      <c r="DG100" t="str">
        <f t="shared" si="413"/>
        <v>N1-M33-A19</v>
      </c>
      <c r="DH100" t="str">
        <f t="shared" si="414"/>
        <v>N1-M33-A20</v>
      </c>
      <c r="DI100" t="s">
        <v>135</v>
      </c>
      <c r="DJ100" t="s">
        <v>136</v>
      </c>
      <c r="DK100">
        <v>11</v>
      </c>
      <c r="DL100">
        <v>14</v>
      </c>
      <c r="DM100">
        <v>12</v>
      </c>
      <c r="DN100" t="s">
        <v>137</v>
      </c>
      <c r="DO100" t="s">
        <v>138</v>
      </c>
      <c r="DP100">
        <v>1</v>
      </c>
      <c r="DQ100">
        <v>2</v>
      </c>
      <c r="DR100">
        <v>3</v>
      </c>
      <c r="DS100">
        <v>4</v>
      </c>
      <c r="DT100">
        <v>5</v>
      </c>
      <c r="DU100">
        <v>6</v>
      </c>
      <c r="DV100">
        <v>7</v>
      </c>
      <c r="DW100">
        <v>8</v>
      </c>
      <c r="DX100">
        <v>9</v>
      </c>
      <c r="DY100">
        <v>10</v>
      </c>
      <c r="DZ100">
        <v>11</v>
      </c>
      <c r="EA100">
        <v>12</v>
      </c>
      <c r="EB100">
        <v>13</v>
      </c>
      <c r="EC100">
        <v>14</v>
      </c>
      <c r="ED100">
        <v>1</v>
      </c>
      <c r="EE100">
        <v>3</v>
      </c>
      <c r="EF100">
        <v>4</v>
      </c>
      <c r="EG100">
        <v>7</v>
      </c>
      <c r="EH100">
        <v>8</v>
      </c>
      <c r="EI100">
        <v>9</v>
      </c>
      <c r="EJ100">
        <v>10</v>
      </c>
      <c r="EK100">
        <v>13</v>
      </c>
      <c r="EL100">
        <v>14</v>
      </c>
      <c r="EM100">
        <v>15</v>
      </c>
      <c r="EN100">
        <v>16</v>
      </c>
      <c r="EO100">
        <v>22</v>
      </c>
      <c r="EP100">
        <v>23</v>
      </c>
      <c r="EQ100" s="14">
        <v>24</v>
      </c>
    </row>
    <row r="101" spans="1:147" x14ac:dyDescent="0.25">
      <c r="A101" s="44" t="s">
        <v>1015</v>
      </c>
      <c r="B101" t="s">
        <v>803</v>
      </c>
      <c r="C101" s="3"/>
      <c r="O101" s="2"/>
      <c r="P101" t="s">
        <v>126</v>
      </c>
      <c r="Q101" s="1"/>
      <c r="S101" s="1" t="s">
        <v>127</v>
      </c>
      <c r="T101" s="12" t="s">
        <v>487</v>
      </c>
      <c r="U101" s="40">
        <v>34</v>
      </c>
      <c r="V101" s="13" t="s">
        <v>799</v>
      </c>
      <c r="W101" s="13"/>
      <c r="AC101" t="str">
        <f t="shared" si="415"/>
        <v>A5.6</v>
      </c>
      <c r="AD101" s="36" cm="1">
        <f t="array" ref="AD101">IF(COUNTIFS(AC$2:AC101,AC101)=1,"1",VALUE(SUBSTITUTE(INDEX(AD:AD,_xlfn.XMATCH(AC101,AC$1:AC100,0,-1)),"A",""))+INDEX(AE:AE,_xlfn.XMATCH(AC101,AC$1:AC100,0,-1))+1)</f>
        <v>19</v>
      </c>
      <c r="AE101" s="36" cm="1">
        <f t="array" ref="AE101">SUM(IF(ISNUMBER(FIND("TmDi",$BE$1:$AAL$1)),IF(IFERROR(ISNUMBER(VALUE(SUBSTITUTE($BE101:$AAL101,"B",""))),FALSE),IF(ISNUMBER(VALUE(SUBSTITUTE($BE101:$AAL101,"B",""))),1,0),0)))</f>
        <v>5</v>
      </c>
      <c r="AF101" t="str">
        <f t="shared" si="355"/>
        <v>C19</v>
      </c>
      <c r="AG101" t="str">
        <f t="shared" si="356"/>
        <v>B19</v>
      </c>
      <c r="AH101" t="str">
        <f t="shared" si="537"/>
        <v>A6.4</v>
      </c>
      <c r="AI101" s="47" cm="1">
        <f t="array" ref="AI101">IF(COUNTIFS(AH$2:AH101,AH101)=1,"1",VALUE(SUBSTITUTE(INDEX(AI:AI,_xlfn.XMATCH(AH101,AH$1:AH100,0,-1)),"A",""))+INDEX(AJ:AJ,_xlfn.XMATCH(AH101,AH$1:AH100,0,-1))+1)</f>
        <v>4</v>
      </c>
      <c r="AJ101" s="41" cm="1">
        <f t="array" ref="AJ101">SUM(IF(ISNUMBER(FIND("TmDo",$BE$1:$AAL$1)),IF(IFERROR(ISNUMBER(VALUE(SUBSTITUTE($BE101:$AAL101,"B",""))),FALSE),IF(ISNUMBER(VALUE(SUBSTITUTE($BE101:$AAL101,"B",""))),1,0),0)))</f>
        <v>2</v>
      </c>
      <c r="AK101" t="str">
        <f t="shared" si="357"/>
        <v>4A</v>
      </c>
      <c r="AL101" t="str">
        <f t="shared" si="358"/>
        <v>4B</v>
      </c>
      <c r="AM101" t="s">
        <v>166</v>
      </c>
      <c r="AP101" t="s">
        <v>489</v>
      </c>
      <c r="AQ101" t="s">
        <v>744</v>
      </c>
      <c r="AT101" t="s">
        <v>132</v>
      </c>
      <c r="AU101" t="s">
        <v>133</v>
      </c>
      <c r="BD101" s="14"/>
      <c r="BE101" s="22" t="str">
        <f t="shared" ref="BE101:BE112" si="598">CONCATENATE("XT",U101)</f>
        <v>XT34</v>
      </c>
      <c r="BF101" t="str">
        <f t="shared" ref="BF101:BF112" si="599">CONCATENATE("C",REPLACE(AF101,1,1,"")+1)</f>
        <v>C20</v>
      </c>
      <c r="BG101" t="str">
        <f t="shared" ref="BG101:BG112" si="600">CONCATENATE("B",REPLACE(AG101,1,1,"")+1)</f>
        <v>B20</v>
      </c>
      <c r="BH101" t="str">
        <f t="shared" ref="BH101:BH112" si="601">CONCATENATE("C",REPLACE(BF101,1,1,"")+1)</f>
        <v>C21</v>
      </c>
      <c r="BI101" t="str">
        <f t="shared" ref="BI101:BI112" si="602">CONCATENATE("B",REPLACE(BG101,1,1,"")+1)</f>
        <v>B21</v>
      </c>
      <c r="BJ101" t="str">
        <f t="shared" ref="BJ101:BJ112" si="603">CONCATENATE("C",REPLACE(BH101,1,1,"")+1)</f>
        <v>C22</v>
      </c>
      <c r="BK101" t="str">
        <f t="shared" ref="BK101:BK112" si="604">CONCATENATE("B",REPLACE(BI101,1,1,"")+1)</f>
        <v>B22</v>
      </c>
      <c r="BL101" t="str">
        <f t="shared" ref="BL101:BL112" si="605">CONCATENATE("C",REPLACE(BJ101,1,1,"")+1)</f>
        <v>C23</v>
      </c>
      <c r="BM101" t="str">
        <f t="shared" ref="BM101:BM112" si="606">CONCATENATE("B",REPLACE(BK101,1,1,"")+1)</f>
        <v>B23</v>
      </c>
      <c r="BN101" t="str">
        <f t="shared" ref="BN101:BN112" si="607">CONCATENATE("C",REPLACE(BL101,1,1,"")+1)</f>
        <v>C24</v>
      </c>
      <c r="BO101" t="str">
        <f t="shared" ref="BO101:BO112" si="608">CONCATENATE("B",REPLACE(BM101,1,1,"")+1)</f>
        <v>B24</v>
      </c>
      <c r="BP101" t="str">
        <f t="shared" si="370"/>
        <v>5A</v>
      </c>
      <c r="BQ101" t="str">
        <f t="shared" si="371"/>
        <v>5B</v>
      </c>
      <c r="BR101" t="str">
        <f t="shared" si="372"/>
        <v>6A</v>
      </c>
      <c r="BS101" t="str">
        <f t="shared" si="373"/>
        <v>6B</v>
      </c>
      <c r="BT101" t="str">
        <f t="shared" ref="BT101:BT112" si="609">CONCATENATE("DI",REPLACE($AC101,1,3,""),"-",AF101)</f>
        <v>DI6-C19</v>
      </c>
      <c r="BU101" t="str">
        <f t="shared" ref="BU101:BU112" si="610">CONCATENATE("DI",REPLACE($AC101,1,3,""),"-",AG101)</f>
        <v>DI6-B19</v>
      </c>
      <c r="BV101" t="str">
        <f t="shared" ref="BV101:BV112" si="611">CONCATENATE("DI",REPLACE($AC101,1,3,""),"-",BF101)</f>
        <v>DI6-C20</v>
      </c>
      <c r="BW101" t="str">
        <f t="shared" ref="BW101:BW112" si="612">CONCATENATE("DI",REPLACE($AC101,1,3,""),"-",BG101)</f>
        <v>DI6-B20</v>
      </c>
      <c r="BX101" t="str">
        <f t="shared" ref="BX101:BX112" si="613">CONCATENATE("DI",REPLACE($AC101,1,3,""),"-",BH101)</f>
        <v>DI6-C21</v>
      </c>
      <c r="BY101" t="str">
        <f t="shared" ref="BY101:BY112" si="614">CONCATENATE("DI",REPLACE($AC101,1,3,""),"-",BI101)</f>
        <v>DI6-B21</v>
      </c>
      <c r="BZ101" t="str">
        <f t="shared" ref="BZ101:BZ112" si="615">CONCATENATE("DI",REPLACE($AC101,1,3,""),"-",BJ101)</f>
        <v>DI6-C22</v>
      </c>
      <c r="CA101" t="str">
        <f t="shared" ref="CA101:CA112" si="616">CONCATENATE("DI",REPLACE($AC101,1,3,""),"-",BK101)</f>
        <v>DI6-B22</v>
      </c>
      <c r="CB101" t="str">
        <f t="shared" ref="CB101:CB112" si="617">CONCATENATE("DI",REPLACE($AC101,1,3,""),"-",BL101)</f>
        <v>DI6-C23</v>
      </c>
      <c r="CC101" t="str">
        <f t="shared" ref="CC101:CC112" si="618">CONCATENATE("DI",REPLACE($AC101,1,3,""),"-",BM101)</f>
        <v>DI6-B23</v>
      </c>
      <c r="CD101" t="str">
        <f t="shared" ref="CD101:CD112" si="619">CONCATENATE("DI",REPLACE($AC101,1,3,""),"-",BN101)</f>
        <v>DI6-C24</v>
      </c>
      <c r="CE101" t="str">
        <f t="shared" ref="CE101:CE112" si="620">CONCATENATE("DI",REPLACE($AC101,1,3,""),"-",BO101)</f>
        <v>DI6-B24</v>
      </c>
      <c r="CF101" t="str">
        <f t="shared" ref="CF101:CF112" si="621">CONCATENATE("DO",REPLACE($AH101,1,3,""),"-",AK101)</f>
        <v>DO4-4A</v>
      </c>
      <c r="CG101" t="str">
        <f t="shared" ref="CG101:CG112" si="622">CONCATENATE("DO",REPLACE($AH101,1,3,""),"-",AL101)</f>
        <v>DO4-4B</v>
      </c>
      <c r="CH101" t="str">
        <f t="shared" ref="CH101:CH112" si="623">CONCATENATE("DO",REPLACE($AH101,1,3,""),"-",BP101)</f>
        <v>DO4-5A</v>
      </c>
      <c r="CI101" t="str">
        <f t="shared" ref="CI101:CI112" si="624">CONCATENATE("DO",REPLACE($AH101,1,3,""),"-",BQ101)</f>
        <v>DO4-5B</v>
      </c>
      <c r="CJ101" t="str">
        <f t="shared" ref="CJ101:CJ112" si="625">CONCATENATE("DO",REPLACE($AH101,1,3,""),"-",BR101)</f>
        <v>DO4-6A</v>
      </c>
      <c r="CK101" t="str">
        <f t="shared" ref="CK101:CK112" si="626">CONCATENATE("DO",REPLACE($AH101,1,3,""),"-",BS101)</f>
        <v>DO4-6B</v>
      </c>
      <c r="CL101" t="str">
        <f t="shared" si="392"/>
        <v>K34-10</v>
      </c>
      <c r="CM101" t="str">
        <f t="shared" si="393"/>
        <v>K34-03</v>
      </c>
      <c r="CN101" t="str">
        <f t="shared" si="394"/>
        <v>K34-04</v>
      </c>
      <c r="CO101" t="str">
        <f t="shared" si="395"/>
        <v>K34-01</v>
      </c>
      <c r="CP101" t="str">
        <f t="shared" si="396"/>
        <v>K34-08</v>
      </c>
      <c r="CQ101" t="str">
        <f t="shared" si="397"/>
        <v>K34-02</v>
      </c>
      <c r="CR101" t="str">
        <f t="shared" si="398"/>
        <v>K34-09</v>
      </c>
      <c r="CS101" t="str">
        <f t="shared" si="399"/>
        <v>K34-05</v>
      </c>
      <c r="CT101" t="str">
        <f t="shared" si="400"/>
        <v>K34-11</v>
      </c>
      <c r="CU101" t="str">
        <f t="shared" si="401"/>
        <v>N1-M34-A9</v>
      </c>
      <c r="CV101" t="str">
        <f t="shared" si="402"/>
        <v>N1-M34-A7</v>
      </c>
      <c r="CW101" t="str">
        <f t="shared" si="403"/>
        <v>N1-M34-A8</v>
      </c>
      <c r="CX101" t="str">
        <f t="shared" si="404"/>
        <v>N1-M34-A6</v>
      </c>
      <c r="CY101" t="str">
        <f t="shared" si="405"/>
        <v>N1-M34-A30</v>
      </c>
      <c r="CZ101" t="str">
        <f t="shared" si="406"/>
        <v>N1-M34-N</v>
      </c>
      <c r="DA101" t="str">
        <f t="shared" ref="DA101:DA112" si="627">CONCATENATE($T101,"-A220-M",U101)</f>
        <v>N1-A220-M34</v>
      </c>
      <c r="DB101" t="str">
        <f t="shared" si="408"/>
        <v>N1-M34-XM01</v>
      </c>
      <c r="DC101" t="str">
        <f t="shared" si="409"/>
        <v>N1-M34-A1</v>
      </c>
      <c r="DD101" t="str">
        <f t="shared" si="410"/>
        <v>N1-M34-A5</v>
      </c>
      <c r="DE101" t="str">
        <f t="shared" si="411"/>
        <v>N1-M34-A11</v>
      </c>
      <c r="DF101" t="str">
        <f t="shared" si="412"/>
        <v>N1-M34-A12</v>
      </c>
      <c r="DG101" t="str">
        <f t="shared" si="413"/>
        <v>N1-M34-A19</v>
      </c>
      <c r="DH101" t="str">
        <f t="shared" si="414"/>
        <v>N1-M34-A20</v>
      </c>
      <c r="DI101" t="s">
        <v>135</v>
      </c>
      <c r="DJ101" t="s">
        <v>136</v>
      </c>
      <c r="DK101">
        <v>11</v>
      </c>
      <c r="DL101">
        <v>14</v>
      </c>
      <c r="DM101">
        <v>12</v>
      </c>
      <c r="DN101" t="s">
        <v>137</v>
      </c>
      <c r="DO101" t="s">
        <v>138</v>
      </c>
      <c r="DP101">
        <v>1</v>
      </c>
      <c r="DQ101">
        <v>2</v>
      </c>
      <c r="DR101">
        <v>3</v>
      </c>
      <c r="DS101">
        <v>4</v>
      </c>
      <c r="DT101">
        <v>5</v>
      </c>
      <c r="DU101">
        <v>6</v>
      </c>
      <c r="DV101">
        <v>7</v>
      </c>
      <c r="DW101">
        <v>8</v>
      </c>
      <c r="DX101">
        <v>9</v>
      </c>
      <c r="DY101">
        <v>10</v>
      </c>
      <c r="DZ101">
        <v>11</v>
      </c>
      <c r="EA101">
        <v>12</v>
      </c>
      <c r="EB101">
        <v>13</v>
      </c>
      <c r="EC101">
        <v>14</v>
      </c>
      <c r="ED101">
        <v>1</v>
      </c>
      <c r="EE101">
        <v>3</v>
      </c>
      <c r="EF101">
        <v>4</v>
      </c>
      <c r="EG101">
        <v>7</v>
      </c>
      <c r="EH101">
        <v>8</v>
      </c>
      <c r="EI101">
        <v>9</v>
      </c>
      <c r="EJ101">
        <v>10</v>
      </c>
      <c r="EK101">
        <v>13</v>
      </c>
      <c r="EL101">
        <v>14</v>
      </c>
      <c r="EM101">
        <v>15</v>
      </c>
      <c r="EN101">
        <v>16</v>
      </c>
      <c r="EO101">
        <v>22</v>
      </c>
      <c r="EP101">
        <v>23</v>
      </c>
      <c r="EQ101" s="14">
        <v>24</v>
      </c>
    </row>
    <row r="102" spans="1:147" x14ac:dyDescent="0.25">
      <c r="A102" s="44" t="s">
        <v>1016</v>
      </c>
      <c r="B102" t="s">
        <v>804</v>
      </c>
      <c r="C102" s="3"/>
      <c r="O102" s="2"/>
      <c r="P102" t="s">
        <v>126</v>
      </c>
      <c r="Q102" s="1"/>
      <c r="S102" s="1" t="s">
        <v>127</v>
      </c>
      <c r="T102" s="12" t="s">
        <v>487</v>
      </c>
      <c r="U102" s="40">
        <v>35</v>
      </c>
      <c r="V102" s="13" t="s">
        <v>800</v>
      </c>
      <c r="W102" s="13"/>
      <c r="AC102" t="str">
        <f t="shared" si="415"/>
        <v>A5.6</v>
      </c>
      <c r="AD102" s="36" cm="1">
        <f t="array" ref="AD102">IF(COUNTIFS(AC$2:AC102,AC102)=1,"1",VALUE(SUBSTITUTE(INDEX(AD:AD,_xlfn.XMATCH(AC102,AC$1:AC101,0,-1)),"A",""))+INDEX(AE:AE,_xlfn.XMATCH(AC102,AC$1:AC101,0,-1))+1)</f>
        <v>25</v>
      </c>
      <c r="AE102" s="36" cm="1">
        <f t="array" ref="AE102">SUM(IF(ISNUMBER(FIND("TmDi",$BE$1:$AAL$1)),IF(IFERROR(ISNUMBER(VALUE(SUBSTITUTE($BE102:$AAL102,"B",""))),FALSE),IF(ISNUMBER(VALUE(SUBSTITUTE($BE102:$AAL102,"B",""))),1,0),0)))</f>
        <v>5</v>
      </c>
      <c r="AF102" t="str">
        <f t="shared" si="355"/>
        <v>C25</v>
      </c>
      <c r="AG102" t="str">
        <f t="shared" si="356"/>
        <v>B25</v>
      </c>
      <c r="AH102" t="str">
        <f t="shared" si="537"/>
        <v>A6.4</v>
      </c>
      <c r="AI102" s="47" cm="1">
        <f t="array" ref="AI102">IF(COUNTIFS(AH$2:AH102,AH102)=1,"1",VALUE(SUBSTITUTE(INDEX(AI:AI,_xlfn.XMATCH(AH102,AH$1:AH101,0,-1)),"A",""))+INDEX(AJ:AJ,_xlfn.XMATCH(AH102,AH$1:AH101,0,-1))+1)</f>
        <v>7</v>
      </c>
      <c r="AJ102" s="41" cm="1">
        <f t="array" ref="AJ102">SUM(IF(ISNUMBER(FIND("TmDo",$BE$1:$AAL$1)),IF(IFERROR(ISNUMBER(VALUE(SUBSTITUTE($BE102:$AAL102,"B",""))),FALSE),IF(ISNUMBER(VALUE(SUBSTITUTE($BE102:$AAL102,"B",""))),1,0),0)))</f>
        <v>2</v>
      </c>
      <c r="AK102" t="str">
        <f t="shared" si="357"/>
        <v>7A</v>
      </c>
      <c r="AL102" t="str">
        <f t="shared" si="358"/>
        <v>7B</v>
      </c>
      <c r="AM102" t="s">
        <v>167</v>
      </c>
      <c r="AP102" t="s">
        <v>489</v>
      </c>
      <c r="AQ102" t="s">
        <v>744</v>
      </c>
      <c r="AT102" t="s">
        <v>132</v>
      </c>
      <c r="AU102" t="s">
        <v>133</v>
      </c>
      <c r="BD102" s="14"/>
      <c r="BE102" s="22" t="str">
        <f t="shared" si="598"/>
        <v>XT35</v>
      </c>
      <c r="BF102" t="str">
        <f t="shared" si="599"/>
        <v>C26</v>
      </c>
      <c r="BG102" t="str">
        <f t="shared" si="600"/>
        <v>B26</v>
      </c>
      <c r="BH102" t="str">
        <f t="shared" si="601"/>
        <v>C27</v>
      </c>
      <c r="BI102" t="str">
        <f t="shared" si="602"/>
        <v>B27</v>
      </c>
      <c r="BJ102" t="str">
        <f t="shared" si="603"/>
        <v>C28</v>
      </c>
      <c r="BK102" t="str">
        <f t="shared" si="604"/>
        <v>B28</v>
      </c>
      <c r="BL102" t="str">
        <f t="shared" si="605"/>
        <v>C29</v>
      </c>
      <c r="BM102" t="str">
        <f t="shared" si="606"/>
        <v>B29</v>
      </c>
      <c r="BN102" t="str">
        <f t="shared" si="607"/>
        <v>C30</v>
      </c>
      <c r="BO102" t="str">
        <f t="shared" si="608"/>
        <v>B30</v>
      </c>
      <c r="BP102" t="str">
        <f t="shared" si="370"/>
        <v>8A</v>
      </c>
      <c r="BQ102" t="str">
        <f t="shared" si="371"/>
        <v>8B</v>
      </c>
      <c r="BR102" t="str">
        <f t="shared" si="372"/>
        <v>9A</v>
      </c>
      <c r="BS102" t="str">
        <f t="shared" si="373"/>
        <v>9B</v>
      </c>
      <c r="BT102" t="str">
        <f t="shared" si="609"/>
        <v>DI6-C25</v>
      </c>
      <c r="BU102" t="str">
        <f t="shared" si="610"/>
        <v>DI6-B25</v>
      </c>
      <c r="BV102" t="str">
        <f t="shared" si="611"/>
        <v>DI6-C26</v>
      </c>
      <c r="BW102" t="str">
        <f t="shared" si="612"/>
        <v>DI6-B26</v>
      </c>
      <c r="BX102" t="str">
        <f t="shared" si="613"/>
        <v>DI6-C27</v>
      </c>
      <c r="BY102" t="str">
        <f t="shared" si="614"/>
        <v>DI6-B27</v>
      </c>
      <c r="BZ102" t="str">
        <f t="shared" si="615"/>
        <v>DI6-C28</v>
      </c>
      <c r="CA102" t="str">
        <f t="shared" si="616"/>
        <v>DI6-B28</v>
      </c>
      <c r="CB102" t="str">
        <f t="shared" si="617"/>
        <v>DI6-C29</v>
      </c>
      <c r="CC102" t="str">
        <f t="shared" si="618"/>
        <v>DI6-B29</v>
      </c>
      <c r="CD102" t="str">
        <f t="shared" si="619"/>
        <v>DI6-C30</v>
      </c>
      <c r="CE102" t="str">
        <f t="shared" si="620"/>
        <v>DI6-B30</v>
      </c>
      <c r="CF102" t="str">
        <f t="shared" si="621"/>
        <v>DO4-7A</v>
      </c>
      <c r="CG102" t="str">
        <f t="shared" si="622"/>
        <v>DO4-7B</v>
      </c>
      <c r="CH102" t="str">
        <f t="shared" si="623"/>
        <v>DO4-8A</v>
      </c>
      <c r="CI102" t="str">
        <f t="shared" si="624"/>
        <v>DO4-8B</v>
      </c>
      <c r="CJ102" t="str">
        <f t="shared" si="625"/>
        <v>DO4-9A</v>
      </c>
      <c r="CK102" t="str">
        <f t="shared" si="626"/>
        <v>DO4-9B</v>
      </c>
      <c r="CL102" t="str">
        <f t="shared" si="392"/>
        <v>K35-10</v>
      </c>
      <c r="CM102" t="str">
        <f t="shared" si="393"/>
        <v>K35-03</v>
      </c>
      <c r="CN102" t="str">
        <f t="shared" si="394"/>
        <v>K35-04</v>
      </c>
      <c r="CO102" t="str">
        <f t="shared" si="395"/>
        <v>K35-01</v>
      </c>
      <c r="CP102" t="str">
        <f t="shared" si="396"/>
        <v>K35-08</v>
      </c>
      <c r="CQ102" t="str">
        <f t="shared" si="397"/>
        <v>K35-02</v>
      </c>
      <c r="CR102" t="str">
        <f t="shared" si="398"/>
        <v>K35-09</v>
      </c>
      <c r="CS102" t="str">
        <f t="shared" si="399"/>
        <v>K35-05</v>
      </c>
      <c r="CT102" t="str">
        <f t="shared" si="400"/>
        <v>K35-11</v>
      </c>
      <c r="CU102" t="str">
        <f t="shared" si="401"/>
        <v>N1-M35-A9</v>
      </c>
      <c r="CV102" t="str">
        <f t="shared" si="402"/>
        <v>N1-M35-A7</v>
      </c>
      <c r="CW102" t="str">
        <f t="shared" si="403"/>
        <v>N1-M35-A8</v>
      </c>
      <c r="CX102" t="str">
        <f t="shared" si="404"/>
        <v>N1-M35-A6</v>
      </c>
      <c r="CY102" t="str">
        <f t="shared" si="405"/>
        <v>N1-M35-A30</v>
      </c>
      <c r="CZ102" t="str">
        <f t="shared" si="406"/>
        <v>N1-M35-N</v>
      </c>
      <c r="DA102" t="str">
        <f t="shared" si="627"/>
        <v>N1-A220-M35</v>
      </c>
      <c r="DB102" t="str">
        <f t="shared" si="408"/>
        <v>N1-M35-XM01</v>
      </c>
      <c r="DC102" t="str">
        <f t="shared" si="409"/>
        <v>N1-M35-A1</v>
      </c>
      <c r="DD102" t="str">
        <f t="shared" si="410"/>
        <v>N1-M35-A5</v>
      </c>
      <c r="DE102" t="str">
        <f t="shared" si="411"/>
        <v>N1-M35-A11</v>
      </c>
      <c r="DF102" t="str">
        <f t="shared" si="412"/>
        <v>N1-M35-A12</v>
      </c>
      <c r="DG102" t="str">
        <f t="shared" si="413"/>
        <v>N1-M35-A19</v>
      </c>
      <c r="DH102" t="str">
        <f t="shared" si="414"/>
        <v>N1-M35-A20</v>
      </c>
      <c r="DI102" t="s">
        <v>135</v>
      </c>
      <c r="DJ102" t="s">
        <v>136</v>
      </c>
      <c r="DK102">
        <v>11</v>
      </c>
      <c r="DL102">
        <v>14</v>
      </c>
      <c r="DM102">
        <v>12</v>
      </c>
      <c r="DN102" t="s">
        <v>137</v>
      </c>
      <c r="DO102" t="s">
        <v>138</v>
      </c>
      <c r="DP102">
        <v>1</v>
      </c>
      <c r="DQ102">
        <v>2</v>
      </c>
      <c r="DR102">
        <v>3</v>
      </c>
      <c r="DS102">
        <v>4</v>
      </c>
      <c r="DT102">
        <v>5</v>
      </c>
      <c r="DU102">
        <v>6</v>
      </c>
      <c r="DV102">
        <v>7</v>
      </c>
      <c r="DW102">
        <v>8</v>
      </c>
      <c r="DX102">
        <v>9</v>
      </c>
      <c r="DY102">
        <v>10</v>
      </c>
      <c r="DZ102">
        <v>11</v>
      </c>
      <c r="EA102">
        <v>12</v>
      </c>
      <c r="EB102">
        <v>13</v>
      </c>
      <c r="EC102">
        <v>14</v>
      </c>
      <c r="ED102">
        <v>1</v>
      </c>
      <c r="EE102">
        <v>3</v>
      </c>
      <c r="EF102">
        <v>4</v>
      </c>
      <c r="EG102">
        <v>7</v>
      </c>
      <c r="EH102">
        <v>8</v>
      </c>
      <c r="EI102">
        <v>9</v>
      </c>
      <c r="EJ102">
        <v>10</v>
      </c>
      <c r="EK102">
        <v>13</v>
      </c>
      <c r="EL102">
        <v>14</v>
      </c>
      <c r="EM102">
        <v>15</v>
      </c>
      <c r="EN102">
        <v>16</v>
      </c>
      <c r="EO102">
        <v>22</v>
      </c>
      <c r="EP102">
        <v>23</v>
      </c>
      <c r="EQ102" s="14">
        <v>24</v>
      </c>
    </row>
    <row r="103" spans="1:147" x14ac:dyDescent="0.25">
      <c r="A103" s="44" t="s">
        <v>1017</v>
      </c>
      <c r="B103" t="s">
        <v>805</v>
      </c>
      <c r="C103" s="3"/>
      <c r="O103" s="2"/>
      <c r="P103" t="s">
        <v>126</v>
      </c>
      <c r="Q103" s="1"/>
      <c r="S103" s="1" t="s">
        <v>127</v>
      </c>
      <c r="T103" s="12" t="s">
        <v>487</v>
      </c>
      <c r="U103" s="40">
        <v>36</v>
      </c>
      <c r="V103" s="13" t="s">
        <v>801</v>
      </c>
      <c r="W103" s="13"/>
      <c r="AC103" t="str">
        <f t="shared" si="415"/>
        <v>A5.7</v>
      </c>
      <c r="AD103" s="36" t="str" cm="1">
        <f t="array" ref="AD103">IF(COUNTIFS(AC$2:AC103,AC103)=1,"1",VALUE(SUBSTITUTE(INDEX(AD:AD,_xlfn.XMATCH(AC103,AC$1:AC102,0,-1)),"A",""))+INDEX(AE:AE,_xlfn.XMATCH(AC103,AC$1:AC102,0,-1))+1)</f>
        <v>1</v>
      </c>
      <c r="AE103" s="36" cm="1">
        <f t="array" ref="AE103">SUM(IF(ISNUMBER(FIND("TmDi",$BE$1:$AAL$1)),IF(IFERROR(ISNUMBER(VALUE(SUBSTITUTE($BE103:$AAL103,"B",""))),FALSE),IF(ISNUMBER(VALUE(SUBSTITUTE($BE103:$AAL103,"B",""))),1,0),0)))</f>
        <v>5</v>
      </c>
      <c r="AF103" t="str">
        <f t="shared" si="355"/>
        <v>C1</v>
      </c>
      <c r="AG103" t="str">
        <f t="shared" si="356"/>
        <v>B1</v>
      </c>
      <c r="AH103" t="str">
        <f t="shared" si="537"/>
        <v>A6.4</v>
      </c>
      <c r="AI103" s="47" cm="1">
        <f t="array" ref="AI103">IF(COUNTIFS(AH$2:AH103,AH103)=1,"1",VALUE(SUBSTITUTE(INDEX(AI:AI,_xlfn.XMATCH(AH103,AH$1:AH102,0,-1)),"A",""))+INDEX(AJ:AJ,_xlfn.XMATCH(AH103,AH$1:AH102,0,-1))+1)</f>
        <v>10</v>
      </c>
      <c r="AJ103" s="41" cm="1">
        <f t="array" ref="AJ103">SUM(IF(ISNUMBER(FIND("TmDo",$BE$1:$AAL$1)),IF(IFERROR(ISNUMBER(VALUE(SUBSTITUTE($BE103:$AAL103,"B",""))),FALSE),IF(ISNUMBER(VALUE(SUBSTITUTE($BE103:$AAL103,"B",""))),1,0),0)))</f>
        <v>2</v>
      </c>
      <c r="AK103" t="str">
        <f t="shared" si="357"/>
        <v>10A</v>
      </c>
      <c r="AL103" t="str">
        <f t="shared" si="358"/>
        <v>10B</v>
      </c>
      <c r="AM103" t="s">
        <v>802</v>
      </c>
      <c r="AP103" t="s">
        <v>489</v>
      </c>
      <c r="AQ103" t="s">
        <v>744</v>
      </c>
      <c r="AT103" t="s">
        <v>132</v>
      </c>
      <c r="AU103" t="s">
        <v>133</v>
      </c>
      <c r="BD103" s="14"/>
      <c r="BE103" s="22" t="str">
        <f t="shared" si="598"/>
        <v>XT36</v>
      </c>
      <c r="BF103" t="str">
        <f t="shared" si="599"/>
        <v>C2</v>
      </c>
      <c r="BG103" t="str">
        <f t="shared" si="600"/>
        <v>B2</v>
      </c>
      <c r="BH103" t="str">
        <f t="shared" si="601"/>
        <v>C3</v>
      </c>
      <c r="BI103" t="str">
        <f t="shared" si="602"/>
        <v>B3</v>
      </c>
      <c r="BJ103" t="str">
        <f t="shared" si="603"/>
        <v>C4</v>
      </c>
      <c r="BK103" t="str">
        <f t="shared" si="604"/>
        <v>B4</v>
      </c>
      <c r="BL103" t="str">
        <f t="shared" si="605"/>
        <v>C5</v>
      </c>
      <c r="BM103" t="str">
        <f t="shared" si="606"/>
        <v>B5</v>
      </c>
      <c r="BN103" t="str">
        <f t="shared" si="607"/>
        <v>C6</v>
      </c>
      <c r="BO103" t="str">
        <f t="shared" si="608"/>
        <v>B6</v>
      </c>
      <c r="BP103" t="str">
        <f t="shared" si="370"/>
        <v>11A</v>
      </c>
      <c r="BQ103" t="str">
        <f t="shared" si="371"/>
        <v>11B</v>
      </c>
      <c r="BR103" t="str">
        <f t="shared" si="372"/>
        <v>12A</v>
      </c>
      <c r="BS103" t="str">
        <f t="shared" si="373"/>
        <v>12B</v>
      </c>
      <c r="BT103" t="str">
        <f t="shared" si="609"/>
        <v>DI7-C1</v>
      </c>
      <c r="BU103" t="str">
        <f t="shared" si="610"/>
        <v>DI7-B1</v>
      </c>
      <c r="BV103" t="str">
        <f t="shared" si="611"/>
        <v>DI7-C2</v>
      </c>
      <c r="BW103" t="str">
        <f t="shared" si="612"/>
        <v>DI7-B2</v>
      </c>
      <c r="BX103" t="str">
        <f t="shared" si="613"/>
        <v>DI7-C3</v>
      </c>
      <c r="BY103" t="str">
        <f t="shared" si="614"/>
        <v>DI7-B3</v>
      </c>
      <c r="BZ103" t="str">
        <f t="shared" si="615"/>
        <v>DI7-C4</v>
      </c>
      <c r="CA103" t="str">
        <f t="shared" si="616"/>
        <v>DI7-B4</v>
      </c>
      <c r="CB103" t="str">
        <f t="shared" si="617"/>
        <v>DI7-C5</v>
      </c>
      <c r="CC103" t="str">
        <f t="shared" si="618"/>
        <v>DI7-B5</v>
      </c>
      <c r="CD103" t="str">
        <f t="shared" si="619"/>
        <v>DI7-C6</v>
      </c>
      <c r="CE103" t="str">
        <f t="shared" si="620"/>
        <v>DI7-B6</v>
      </c>
      <c r="CF103" t="str">
        <f t="shared" si="621"/>
        <v>DO4-10A</v>
      </c>
      <c r="CG103" t="str">
        <f t="shared" si="622"/>
        <v>DO4-10B</v>
      </c>
      <c r="CH103" t="str">
        <f t="shared" si="623"/>
        <v>DO4-11A</v>
      </c>
      <c r="CI103" t="str">
        <f t="shared" si="624"/>
        <v>DO4-11B</v>
      </c>
      <c r="CJ103" t="str">
        <f t="shared" si="625"/>
        <v>DO4-12A</v>
      </c>
      <c r="CK103" t="str">
        <f t="shared" si="626"/>
        <v>DO4-12B</v>
      </c>
      <c r="CL103" t="str">
        <f t="shared" si="392"/>
        <v>K36-10</v>
      </c>
      <c r="CM103" t="str">
        <f t="shared" si="393"/>
        <v>K36-03</v>
      </c>
      <c r="CN103" t="str">
        <f t="shared" si="394"/>
        <v>K36-04</v>
      </c>
      <c r="CO103" t="str">
        <f t="shared" si="395"/>
        <v>K36-01</v>
      </c>
      <c r="CP103" t="str">
        <f t="shared" si="396"/>
        <v>K36-08</v>
      </c>
      <c r="CQ103" t="str">
        <f t="shared" si="397"/>
        <v>K36-02</v>
      </c>
      <c r="CR103" t="str">
        <f t="shared" si="398"/>
        <v>K36-09</v>
      </c>
      <c r="CS103" t="str">
        <f t="shared" si="399"/>
        <v>K36-05</v>
      </c>
      <c r="CT103" t="str">
        <f t="shared" si="400"/>
        <v>K36-11</v>
      </c>
      <c r="CU103" t="str">
        <f t="shared" si="401"/>
        <v>N1-M36-A9</v>
      </c>
      <c r="CV103" t="str">
        <f t="shared" si="402"/>
        <v>N1-M36-A7</v>
      </c>
      <c r="CW103" t="str">
        <f t="shared" si="403"/>
        <v>N1-M36-A8</v>
      </c>
      <c r="CX103" t="str">
        <f t="shared" si="404"/>
        <v>N1-M36-A6</v>
      </c>
      <c r="CY103" t="str">
        <f t="shared" si="405"/>
        <v>N1-M36-A30</v>
      </c>
      <c r="CZ103" t="str">
        <f t="shared" si="406"/>
        <v>N1-M36-N</v>
      </c>
      <c r="DA103" t="str">
        <f t="shared" si="627"/>
        <v>N1-A220-M36</v>
      </c>
      <c r="DB103" t="str">
        <f t="shared" si="408"/>
        <v>N1-M36-XM01</v>
      </c>
      <c r="DC103" t="str">
        <f t="shared" si="409"/>
        <v>N1-M36-A1</v>
      </c>
      <c r="DD103" t="str">
        <f t="shared" si="410"/>
        <v>N1-M36-A5</v>
      </c>
      <c r="DE103" t="str">
        <f t="shared" si="411"/>
        <v>N1-M36-A11</v>
      </c>
      <c r="DF103" t="str">
        <f t="shared" si="412"/>
        <v>N1-M36-A12</v>
      </c>
      <c r="DG103" t="str">
        <f t="shared" si="413"/>
        <v>N1-M36-A19</v>
      </c>
      <c r="DH103" t="str">
        <f t="shared" si="414"/>
        <v>N1-M36-A20</v>
      </c>
      <c r="DI103" t="s">
        <v>135</v>
      </c>
      <c r="DJ103" t="s">
        <v>136</v>
      </c>
      <c r="DK103">
        <v>11</v>
      </c>
      <c r="DL103">
        <v>14</v>
      </c>
      <c r="DM103">
        <v>12</v>
      </c>
      <c r="DN103" t="s">
        <v>137</v>
      </c>
      <c r="DO103" t="s">
        <v>138</v>
      </c>
      <c r="DP103">
        <v>1</v>
      </c>
      <c r="DQ103">
        <v>2</v>
      </c>
      <c r="DR103">
        <v>3</v>
      </c>
      <c r="DS103">
        <v>4</v>
      </c>
      <c r="DT103">
        <v>5</v>
      </c>
      <c r="DU103">
        <v>6</v>
      </c>
      <c r="DV103">
        <v>7</v>
      </c>
      <c r="DW103">
        <v>8</v>
      </c>
      <c r="DX103">
        <v>9</v>
      </c>
      <c r="DY103">
        <v>10</v>
      </c>
      <c r="DZ103">
        <v>11</v>
      </c>
      <c r="EA103">
        <v>12</v>
      </c>
      <c r="EB103">
        <v>13</v>
      </c>
      <c r="EC103">
        <v>14</v>
      </c>
      <c r="ED103">
        <v>1</v>
      </c>
      <c r="EE103">
        <v>3</v>
      </c>
      <c r="EF103">
        <v>4</v>
      </c>
      <c r="EG103">
        <v>7</v>
      </c>
      <c r="EH103">
        <v>8</v>
      </c>
      <c r="EI103">
        <v>9</v>
      </c>
      <c r="EJ103">
        <v>10</v>
      </c>
      <c r="EK103">
        <v>13</v>
      </c>
      <c r="EL103">
        <v>14</v>
      </c>
      <c r="EM103">
        <v>15</v>
      </c>
      <c r="EN103">
        <v>16</v>
      </c>
      <c r="EO103">
        <v>22</v>
      </c>
      <c r="EP103">
        <v>23</v>
      </c>
      <c r="EQ103" s="14">
        <v>24</v>
      </c>
    </row>
    <row r="104" spans="1:147" x14ac:dyDescent="0.25">
      <c r="A104" s="44" t="s">
        <v>1018</v>
      </c>
      <c r="B104" t="s">
        <v>815</v>
      </c>
      <c r="C104" s="3"/>
      <c r="O104" s="2"/>
      <c r="P104" t="s">
        <v>126</v>
      </c>
      <c r="Q104" s="1"/>
      <c r="S104" s="1" t="s">
        <v>127</v>
      </c>
      <c r="T104" s="12" t="s">
        <v>487</v>
      </c>
      <c r="U104" s="40">
        <v>37</v>
      </c>
      <c r="V104" s="13" t="s">
        <v>806</v>
      </c>
      <c r="W104" s="13"/>
      <c r="AC104" t="str">
        <f t="shared" si="415"/>
        <v>A5.7</v>
      </c>
      <c r="AD104" s="36" cm="1">
        <f t="array" ref="AD104">IF(COUNTIFS(AC$2:AC104,AC104)=1,"1",VALUE(SUBSTITUTE(INDEX(AD:AD,_xlfn.XMATCH(AC104,AC$1:AC103,0,-1)),"A",""))+INDEX(AE:AE,_xlfn.XMATCH(AC104,AC$1:AC103,0,-1))+1)</f>
        <v>7</v>
      </c>
      <c r="AE104" s="36" cm="1">
        <f t="array" ref="AE104">SUM(IF(ISNUMBER(FIND("TmDi",$BE$1:$AAL$1)),IF(IFERROR(ISNUMBER(VALUE(SUBSTITUTE($BE104:$AAL104,"B",""))),FALSE),IF(ISNUMBER(VALUE(SUBSTITUTE($BE104:$AAL104,"B",""))),1,0),0)))</f>
        <v>5</v>
      </c>
      <c r="AF104" t="str">
        <f t="shared" si="355"/>
        <v>C7</v>
      </c>
      <c r="AG104" t="str">
        <f t="shared" si="356"/>
        <v>B7</v>
      </c>
      <c r="AH104" t="str">
        <f t="shared" si="537"/>
        <v>A6.4</v>
      </c>
      <c r="AI104" s="47" cm="1">
        <f t="array" ref="AI104">IF(COUNTIFS(AH$2:AH104,AH104)=1,"1",VALUE(SUBSTITUTE(INDEX(AI:AI,_xlfn.XMATCH(AH104,AH$1:AH103,0,-1)),"A",""))+INDEX(AJ:AJ,_xlfn.XMATCH(AH104,AH$1:AH103,0,-1))+1)</f>
        <v>13</v>
      </c>
      <c r="AJ104" s="41" cm="1">
        <f t="array" ref="AJ104">SUM(IF(ISNUMBER(FIND("TmDo",$BE$1:$AAL$1)),IF(IFERROR(ISNUMBER(VALUE(SUBSTITUTE($BE104:$AAL104,"B",""))),FALSE),IF(ISNUMBER(VALUE(SUBSTITUTE($BE104:$AAL104,"B",""))),1,0),0)))</f>
        <v>2</v>
      </c>
      <c r="AK104" t="str">
        <f t="shared" si="357"/>
        <v>13A</v>
      </c>
      <c r="AL104" t="str">
        <f t="shared" si="358"/>
        <v>13B</v>
      </c>
      <c r="AM104" t="s">
        <v>189</v>
      </c>
      <c r="AP104" t="s">
        <v>489</v>
      </c>
      <c r="AQ104" t="s">
        <v>744</v>
      </c>
      <c r="AT104" t="s">
        <v>132</v>
      </c>
      <c r="AU104" t="s">
        <v>133</v>
      </c>
      <c r="BD104" s="14"/>
      <c r="BE104" s="22" t="str">
        <f t="shared" si="598"/>
        <v>XT37</v>
      </c>
      <c r="BF104" t="str">
        <f t="shared" si="599"/>
        <v>C8</v>
      </c>
      <c r="BG104" t="str">
        <f t="shared" si="600"/>
        <v>B8</v>
      </c>
      <c r="BH104" t="str">
        <f t="shared" si="601"/>
        <v>C9</v>
      </c>
      <c r="BI104" t="str">
        <f t="shared" si="602"/>
        <v>B9</v>
      </c>
      <c r="BJ104" t="str">
        <f t="shared" si="603"/>
        <v>C10</v>
      </c>
      <c r="BK104" t="str">
        <f t="shared" si="604"/>
        <v>B10</v>
      </c>
      <c r="BL104" t="str">
        <f t="shared" si="605"/>
        <v>C11</v>
      </c>
      <c r="BM104" t="str">
        <f t="shared" si="606"/>
        <v>B11</v>
      </c>
      <c r="BN104" t="str">
        <f t="shared" si="607"/>
        <v>C12</v>
      </c>
      <c r="BO104" t="str">
        <f t="shared" si="608"/>
        <v>B12</v>
      </c>
      <c r="BP104" t="str">
        <f t="shared" si="370"/>
        <v>14A</v>
      </c>
      <c r="BQ104" t="str">
        <f t="shared" si="371"/>
        <v>14B</v>
      </c>
      <c r="BR104" t="str">
        <f t="shared" si="372"/>
        <v>15A</v>
      </c>
      <c r="BS104" t="str">
        <f t="shared" si="373"/>
        <v>15B</v>
      </c>
      <c r="BT104" t="str">
        <f t="shared" si="609"/>
        <v>DI7-C7</v>
      </c>
      <c r="BU104" t="str">
        <f t="shared" si="610"/>
        <v>DI7-B7</v>
      </c>
      <c r="BV104" t="str">
        <f t="shared" si="611"/>
        <v>DI7-C8</v>
      </c>
      <c r="BW104" t="str">
        <f t="shared" si="612"/>
        <v>DI7-B8</v>
      </c>
      <c r="BX104" t="str">
        <f t="shared" si="613"/>
        <v>DI7-C9</v>
      </c>
      <c r="BY104" t="str">
        <f t="shared" si="614"/>
        <v>DI7-B9</v>
      </c>
      <c r="BZ104" t="str">
        <f t="shared" si="615"/>
        <v>DI7-C10</v>
      </c>
      <c r="CA104" t="str">
        <f t="shared" si="616"/>
        <v>DI7-B10</v>
      </c>
      <c r="CB104" t="str">
        <f t="shared" si="617"/>
        <v>DI7-C11</v>
      </c>
      <c r="CC104" t="str">
        <f t="shared" si="618"/>
        <v>DI7-B11</v>
      </c>
      <c r="CD104" t="str">
        <f t="shared" si="619"/>
        <v>DI7-C12</v>
      </c>
      <c r="CE104" t="str">
        <f t="shared" si="620"/>
        <v>DI7-B12</v>
      </c>
      <c r="CF104" t="str">
        <f t="shared" si="621"/>
        <v>DO4-13A</v>
      </c>
      <c r="CG104" t="str">
        <f t="shared" si="622"/>
        <v>DO4-13B</v>
      </c>
      <c r="CH104" t="str">
        <f t="shared" si="623"/>
        <v>DO4-14A</v>
      </c>
      <c r="CI104" t="str">
        <f t="shared" si="624"/>
        <v>DO4-14B</v>
      </c>
      <c r="CJ104" t="str">
        <f t="shared" si="625"/>
        <v>DO4-15A</v>
      </c>
      <c r="CK104" t="str">
        <f t="shared" si="626"/>
        <v>DO4-15B</v>
      </c>
      <c r="CL104" t="str">
        <f t="shared" si="392"/>
        <v>K37-10</v>
      </c>
      <c r="CM104" t="str">
        <f t="shared" si="393"/>
        <v>K37-03</v>
      </c>
      <c r="CN104" t="str">
        <f t="shared" si="394"/>
        <v>K37-04</v>
      </c>
      <c r="CO104" t="str">
        <f t="shared" si="395"/>
        <v>K37-01</v>
      </c>
      <c r="CP104" t="str">
        <f t="shared" si="396"/>
        <v>K37-08</v>
      </c>
      <c r="CQ104" t="str">
        <f t="shared" si="397"/>
        <v>K37-02</v>
      </c>
      <c r="CR104" t="str">
        <f t="shared" si="398"/>
        <v>K37-09</v>
      </c>
      <c r="CS104" t="str">
        <f t="shared" si="399"/>
        <v>K37-05</v>
      </c>
      <c r="CT104" t="str">
        <f t="shared" si="400"/>
        <v>K37-11</v>
      </c>
      <c r="CU104" t="str">
        <f t="shared" si="401"/>
        <v>N1-M37-A9</v>
      </c>
      <c r="CV104" t="str">
        <f t="shared" si="402"/>
        <v>N1-M37-A7</v>
      </c>
      <c r="CW104" t="str">
        <f t="shared" si="403"/>
        <v>N1-M37-A8</v>
      </c>
      <c r="CX104" t="str">
        <f t="shared" si="404"/>
        <v>N1-M37-A6</v>
      </c>
      <c r="CY104" t="str">
        <f t="shared" si="405"/>
        <v>N1-M37-A30</v>
      </c>
      <c r="CZ104" t="str">
        <f t="shared" si="406"/>
        <v>N1-M37-N</v>
      </c>
      <c r="DA104" t="str">
        <f t="shared" si="627"/>
        <v>N1-A220-M37</v>
      </c>
      <c r="DB104" t="str">
        <f t="shared" si="408"/>
        <v>N1-M37-XM01</v>
      </c>
      <c r="DC104" t="str">
        <f t="shared" si="409"/>
        <v>N1-M37-A1</v>
      </c>
      <c r="DD104" t="str">
        <f t="shared" si="410"/>
        <v>N1-M37-A5</v>
      </c>
      <c r="DE104" t="str">
        <f t="shared" si="411"/>
        <v>N1-M37-A11</v>
      </c>
      <c r="DF104" t="str">
        <f t="shared" si="412"/>
        <v>N1-M37-A12</v>
      </c>
      <c r="DG104" t="str">
        <f t="shared" si="413"/>
        <v>N1-M37-A19</v>
      </c>
      <c r="DH104" t="str">
        <f t="shared" si="414"/>
        <v>N1-M37-A20</v>
      </c>
      <c r="DI104" t="s">
        <v>135</v>
      </c>
      <c r="DJ104" t="s">
        <v>136</v>
      </c>
      <c r="DK104">
        <v>11</v>
      </c>
      <c r="DL104">
        <v>14</v>
      </c>
      <c r="DM104">
        <v>12</v>
      </c>
      <c r="DN104" t="s">
        <v>137</v>
      </c>
      <c r="DO104" t="s">
        <v>138</v>
      </c>
      <c r="DP104">
        <v>1</v>
      </c>
      <c r="DQ104">
        <v>2</v>
      </c>
      <c r="DR104">
        <v>3</v>
      </c>
      <c r="DS104">
        <v>4</v>
      </c>
      <c r="DT104">
        <v>5</v>
      </c>
      <c r="DU104">
        <v>6</v>
      </c>
      <c r="DV104">
        <v>7</v>
      </c>
      <c r="DW104">
        <v>8</v>
      </c>
      <c r="DX104">
        <v>9</v>
      </c>
      <c r="DY104">
        <v>10</v>
      </c>
      <c r="DZ104">
        <v>11</v>
      </c>
      <c r="EA104">
        <v>12</v>
      </c>
      <c r="EB104">
        <v>13</v>
      </c>
      <c r="EC104">
        <v>14</v>
      </c>
      <c r="ED104">
        <v>1</v>
      </c>
      <c r="EE104">
        <v>3</v>
      </c>
      <c r="EF104">
        <v>4</v>
      </c>
      <c r="EG104">
        <v>7</v>
      </c>
      <c r="EH104">
        <v>8</v>
      </c>
      <c r="EI104">
        <v>9</v>
      </c>
      <c r="EJ104">
        <v>10</v>
      </c>
      <c r="EK104">
        <v>13</v>
      </c>
      <c r="EL104">
        <v>14</v>
      </c>
      <c r="EM104">
        <v>15</v>
      </c>
      <c r="EN104">
        <v>16</v>
      </c>
      <c r="EO104">
        <v>22</v>
      </c>
      <c r="EP104">
        <v>23</v>
      </c>
      <c r="EQ104" s="14">
        <v>24</v>
      </c>
    </row>
    <row r="105" spans="1:147" x14ac:dyDescent="0.25">
      <c r="A105" s="44" t="s">
        <v>1019</v>
      </c>
      <c r="B105" t="s">
        <v>816</v>
      </c>
      <c r="C105" s="3"/>
      <c r="O105" s="2"/>
      <c r="P105" t="s">
        <v>126</v>
      </c>
      <c r="Q105" s="1"/>
      <c r="S105" s="1" t="s">
        <v>127</v>
      </c>
      <c r="T105" s="12" t="s">
        <v>487</v>
      </c>
      <c r="U105" s="40">
        <v>38</v>
      </c>
      <c r="V105" s="13" t="s">
        <v>807</v>
      </c>
      <c r="W105" s="13"/>
      <c r="AC105" t="str">
        <f t="shared" si="415"/>
        <v>A5.7</v>
      </c>
      <c r="AD105" s="36" cm="1">
        <f t="array" ref="AD105">IF(COUNTIFS(AC$2:AC105,AC105)=1,"1",VALUE(SUBSTITUTE(INDEX(AD:AD,_xlfn.XMATCH(AC105,AC$1:AC104,0,-1)),"A",""))+INDEX(AE:AE,_xlfn.XMATCH(AC105,AC$1:AC104,0,-1))+1)</f>
        <v>13</v>
      </c>
      <c r="AE105" s="36" cm="1">
        <f t="array" ref="AE105">SUM(IF(ISNUMBER(FIND("TmDi",$BE$1:$AAL$1)),IF(IFERROR(ISNUMBER(VALUE(SUBSTITUTE($BE105:$AAL105,"B",""))),FALSE),IF(ISNUMBER(VALUE(SUBSTITUTE($BE105:$AAL105,"B",""))),1,0),0)))</f>
        <v>5</v>
      </c>
      <c r="AF105" t="str">
        <f t="shared" si="355"/>
        <v>C13</v>
      </c>
      <c r="AG105" t="str">
        <f t="shared" si="356"/>
        <v>B13</v>
      </c>
      <c r="AH105" t="str">
        <f t="shared" si="537"/>
        <v>A6.4</v>
      </c>
      <c r="AI105" s="47" cm="1">
        <f t="array" ref="AI105">IF(COUNTIFS(AH$2:AH105,AH105)=1,"1",VALUE(SUBSTITUTE(INDEX(AI:AI,_xlfn.XMATCH(AH105,AH$1:AH104,0,-1)),"A",""))+INDEX(AJ:AJ,_xlfn.XMATCH(AH105,AH$1:AH104,0,-1))+1)</f>
        <v>16</v>
      </c>
      <c r="AJ105" s="41" cm="1">
        <f t="array" ref="AJ105">SUM(IF(ISNUMBER(FIND("TmDo",$BE$1:$AAL$1)),IF(IFERROR(ISNUMBER(VALUE(SUBSTITUTE($BE105:$AAL105,"B",""))),FALSE),IF(ISNUMBER(VALUE(SUBSTITUTE($BE105:$AAL105,"B",""))),1,0),0)))</f>
        <v>2</v>
      </c>
      <c r="AK105" t="str">
        <f t="shared" ref="AK105:AK124" si="628">CONCATENATE($AI105,"A")</f>
        <v>16A</v>
      </c>
      <c r="AL105" t="str">
        <f t="shared" ref="AL105:AL124" si="629">CONCATENATE($AI105,"B")</f>
        <v>16B</v>
      </c>
      <c r="AM105" t="s">
        <v>210</v>
      </c>
      <c r="AP105" t="s">
        <v>489</v>
      </c>
      <c r="AQ105" t="s">
        <v>744</v>
      </c>
      <c r="AT105" t="s">
        <v>132</v>
      </c>
      <c r="AU105" t="s">
        <v>133</v>
      </c>
      <c r="BD105" s="14"/>
      <c r="BE105" s="22" t="str">
        <f t="shared" si="598"/>
        <v>XT38</v>
      </c>
      <c r="BF105" t="str">
        <f t="shared" si="599"/>
        <v>C14</v>
      </c>
      <c r="BG105" t="str">
        <f t="shared" si="600"/>
        <v>B14</v>
      </c>
      <c r="BH105" t="str">
        <f t="shared" si="601"/>
        <v>C15</v>
      </c>
      <c r="BI105" t="str">
        <f t="shared" si="602"/>
        <v>B15</v>
      </c>
      <c r="BJ105" t="str">
        <f t="shared" si="603"/>
        <v>C16</v>
      </c>
      <c r="BK105" t="str">
        <f t="shared" si="604"/>
        <v>B16</v>
      </c>
      <c r="BL105" t="str">
        <f t="shared" si="605"/>
        <v>C17</v>
      </c>
      <c r="BM105" t="str">
        <f t="shared" si="606"/>
        <v>B17</v>
      </c>
      <c r="BN105" t="str">
        <f t="shared" si="607"/>
        <v>C18</v>
      </c>
      <c r="BO105" t="str">
        <f t="shared" si="608"/>
        <v>B18</v>
      </c>
      <c r="BP105" t="str">
        <f t="shared" si="370"/>
        <v>17A</v>
      </c>
      <c r="BQ105" t="str">
        <f t="shared" si="371"/>
        <v>17B</v>
      </c>
      <c r="BR105" t="str">
        <f t="shared" si="372"/>
        <v>18A</v>
      </c>
      <c r="BS105" t="str">
        <f t="shared" si="373"/>
        <v>18B</v>
      </c>
      <c r="BT105" t="str">
        <f t="shared" si="609"/>
        <v>DI7-C13</v>
      </c>
      <c r="BU105" t="str">
        <f t="shared" si="610"/>
        <v>DI7-B13</v>
      </c>
      <c r="BV105" t="str">
        <f t="shared" si="611"/>
        <v>DI7-C14</v>
      </c>
      <c r="BW105" t="str">
        <f t="shared" si="612"/>
        <v>DI7-B14</v>
      </c>
      <c r="BX105" t="str">
        <f t="shared" si="613"/>
        <v>DI7-C15</v>
      </c>
      <c r="BY105" t="str">
        <f t="shared" si="614"/>
        <v>DI7-B15</v>
      </c>
      <c r="BZ105" t="str">
        <f t="shared" si="615"/>
        <v>DI7-C16</v>
      </c>
      <c r="CA105" t="str">
        <f t="shared" si="616"/>
        <v>DI7-B16</v>
      </c>
      <c r="CB105" t="str">
        <f t="shared" si="617"/>
        <v>DI7-C17</v>
      </c>
      <c r="CC105" t="str">
        <f t="shared" si="618"/>
        <v>DI7-B17</v>
      </c>
      <c r="CD105" t="str">
        <f t="shared" si="619"/>
        <v>DI7-C18</v>
      </c>
      <c r="CE105" t="str">
        <f t="shared" si="620"/>
        <v>DI7-B18</v>
      </c>
      <c r="CF105" t="str">
        <f t="shared" si="621"/>
        <v>DO4-16A</v>
      </c>
      <c r="CG105" t="str">
        <f t="shared" si="622"/>
        <v>DO4-16B</v>
      </c>
      <c r="CH105" t="str">
        <f t="shared" si="623"/>
        <v>DO4-17A</v>
      </c>
      <c r="CI105" t="str">
        <f t="shared" si="624"/>
        <v>DO4-17B</v>
      </c>
      <c r="CJ105" t="str">
        <f t="shared" si="625"/>
        <v>DO4-18A</v>
      </c>
      <c r="CK105" t="str">
        <f t="shared" si="626"/>
        <v>DO4-18B</v>
      </c>
      <c r="CL105" t="str">
        <f t="shared" si="392"/>
        <v>K38-10</v>
      </c>
      <c r="CM105" t="str">
        <f t="shared" si="393"/>
        <v>K38-03</v>
      </c>
      <c r="CN105" t="str">
        <f t="shared" si="394"/>
        <v>K38-04</v>
      </c>
      <c r="CO105" t="str">
        <f t="shared" si="395"/>
        <v>K38-01</v>
      </c>
      <c r="CP105" t="str">
        <f t="shared" si="396"/>
        <v>K38-08</v>
      </c>
      <c r="CQ105" t="str">
        <f t="shared" si="397"/>
        <v>K38-02</v>
      </c>
      <c r="CR105" t="str">
        <f t="shared" si="398"/>
        <v>K38-09</v>
      </c>
      <c r="CS105" t="str">
        <f t="shared" si="399"/>
        <v>K38-05</v>
      </c>
      <c r="CT105" t="str">
        <f t="shared" si="400"/>
        <v>K38-11</v>
      </c>
      <c r="CU105" t="str">
        <f t="shared" si="401"/>
        <v>N1-M38-A9</v>
      </c>
      <c r="CV105" t="str">
        <f t="shared" si="402"/>
        <v>N1-M38-A7</v>
      </c>
      <c r="CW105" t="str">
        <f t="shared" si="403"/>
        <v>N1-M38-A8</v>
      </c>
      <c r="CX105" t="str">
        <f t="shared" si="404"/>
        <v>N1-M38-A6</v>
      </c>
      <c r="CY105" t="str">
        <f t="shared" si="405"/>
        <v>N1-M38-A30</v>
      </c>
      <c r="CZ105" t="str">
        <f t="shared" si="406"/>
        <v>N1-M38-N</v>
      </c>
      <c r="DA105" t="str">
        <f t="shared" si="627"/>
        <v>N1-A220-M38</v>
      </c>
      <c r="DB105" t="str">
        <f t="shared" si="408"/>
        <v>N1-M38-XM01</v>
      </c>
      <c r="DC105" t="str">
        <f t="shared" si="409"/>
        <v>N1-M38-A1</v>
      </c>
      <c r="DD105" t="str">
        <f t="shared" si="410"/>
        <v>N1-M38-A5</v>
      </c>
      <c r="DE105" t="str">
        <f t="shared" si="411"/>
        <v>N1-M38-A11</v>
      </c>
      <c r="DF105" t="str">
        <f t="shared" si="412"/>
        <v>N1-M38-A12</v>
      </c>
      <c r="DG105" t="str">
        <f t="shared" si="413"/>
        <v>N1-M38-A19</v>
      </c>
      <c r="DH105" t="str">
        <f t="shared" si="414"/>
        <v>N1-M38-A20</v>
      </c>
      <c r="DI105" t="s">
        <v>135</v>
      </c>
      <c r="DJ105" t="s">
        <v>136</v>
      </c>
      <c r="DK105">
        <v>11</v>
      </c>
      <c r="DL105">
        <v>14</v>
      </c>
      <c r="DM105">
        <v>12</v>
      </c>
      <c r="DN105" t="s">
        <v>137</v>
      </c>
      <c r="DO105" t="s">
        <v>138</v>
      </c>
      <c r="DP105">
        <v>1</v>
      </c>
      <c r="DQ105">
        <v>2</v>
      </c>
      <c r="DR105">
        <v>3</v>
      </c>
      <c r="DS105">
        <v>4</v>
      </c>
      <c r="DT105">
        <v>5</v>
      </c>
      <c r="DU105">
        <v>6</v>
      </c>
      <c r="DV105">
        <v>7</v>
      </c>
      <c r="DW105">
        <v>8</v>
      </c>
      <c r="DX105">
        <v>9</v>
      </c>
      <c r="DY105">
        <v>10</v>
      </c>
      <c r="DZ105">
        <v>11</v>
      </c>
      <c r="EA105">
        <v>12</v>
      </c>
      <c r="EB105">
        <v>13</v>
      </c>
      <c r="EC105">
        <v>14</v>
      </c>
      <c r="ED105">
        <v>1</v>
      </c>
      <c r="EE105">
        <v>3</v>
      </c>
      <c r="EF105">
        <v>4</v>
      </c>
      <c r="EG105">
        <v>7</v>
      </c>
      <c r="EH105">
        <v>8</v>
      </c>
      <c r="EI105">
        <v>9</v>
      </c>
      <c r="EJ105">
        <v>10</v>
      </c>
      <c r="EK105">
        <v>13</v>
      </c>
      <c r="EL105">
        <v>14</v>
      </c>
      <c r="EM105">
        <v>15</v>
      </c>
      <c r="EN105">
        <v>16</v>
      </c>
      <c r="EO105">
        <v>22</v>
      </c>
      <c r="EP105">
        <v>23</v>
      </c>
      <c r="EQ105" s="14">
        <v>24</v>
      </c>
    </row>
    <row r="106" spans="1:147" x14ac:dyDescent="0.25">
      <c r="A106" s="44" t="s">
        <v>1020</v>
      </c>
      <c r="B106" t="s">
        <v>817</v>
      </c>
      <c r="C106" s="3"/>
      <c r="O106" s="2"/>
      <c r="P106" t="s">
        <v>126</v>
      </c>
      <c r="Q106" s="1"/>
      <c r="S106" s="1" t="s">
        <v>127</v>
      </c>
      <c r="T106" s="12" t="s">
        <v>487</v>
      </c>
      <c r="U106" s="40">
        <v>39</v>
      </c>
      <c r="V106" s="13" t="s">
        <v>808</v>
      </c>
      <c r="W106" s="13"/>
      <c r="AC106" t="str">
        <f t="shared" si="415"/>
        <v>A5.7</v>
      </c>
      <c r="AD106" s="36" cm="1">
        <f t="array" ref="AD106">IF(COUNTIFS(AC$2:AC106,AC106)=1,"1",VALUE(SUBSTITUTE(INDEX(AD:AD,_xlfn.XMATCH(AC106,AC$1:AC105,0,-1)),"A",""))+INDEX(AE:AE,_xlfn.XMATCH(AC106,AC$1:AC105,0,-1))+1)</f>
        <v>19</v>
      </c>
      <c r="AE106" s="36" cm="1">
        <f t="array" ref="AE106">SUM(IF(ISNUMBER(FIND("TmDi",$BE$1:$AAL$1)),IF(IFERROR(ISNUMBER(VALUE(SUBSTITUTE($BE106:$AAL106,"B",""))),FALSE),IF(ISNUMBER(VALUE(SUBSTITUTE($BE106:$AAL106,"B",""))),1,0),0)))</f>
        <v>5</v>
      </c>
      <c r="AF106" t="str">
        <f t="shared" si="355"/>
        <v>C19</v>
      </c>
      <c r="AG106" t="str">
        <f t="shared" si="356"/>
        <v>B19</v>
      </c>
      <c r="AH106" t="str">
        <f t="shared" si="537"/>
        <v>A6.4</v>
      </c>
      <c r="AI106" s="47" cm="1">
        <f t="array" ref="AI106">IF(COUNTIFS(AH$2:AH106,AH106)=1,"1",VALUE(SUBSTITUTE(INDEX(AI:AI,_xlfn.XMATCH(AH106,AH$1:AH105,0,-1)),"A",""))+INDEX(AJ:AJ,_xlfn.XMATCH(AH106,AH$1:AH105,0,-1))+1)</f>
        <v>19</v>
      </c>
      <c r="AJ106" s="41" cm="1">
        <f t="array" ref="AJ106">SUM(IF(ISNUMBER(FIND("TmDo",$BE$1:$AAL$1)),IF(IFERROR(ISNUMBER(VALUE(SUBSTITUTE($BE106:$AAL106,"B",""))),FALSE),IF(ISNUMBER(VALUE(SUBSTITUTE($BE106:$AAL106,"B",""))),1,0),0)))</f>
        <v>2</v>
      </c>
      <c r="AK106" t="str">
        <f t="shared" si="628"/>
        <v>19A</v>
      </c>
      <c r="AL106" t="str">
        <f t="shared" si="629"/>
        <v>19B</v>
      </c>
      <c r="AM106" t="s">
        <v>212</v>
      </c>
      <c r="AP106" t="s">
        <v>489</v>
      </c>
      <c r="AQ106" t="s">
        <v>744</v>
      </c>
      <c r="AT106" t="s">
        <v>132</v>
      </c>
      <c r="AU106" t="s">
        <v>133</v>
      </c>
      <c r="BD106" s="14"/>
      <c r="BE106" s="22" t="str">
        <f t="shared" si="598"/>
        <v>XT39</v>
      </c>
      <c r="BF106" t="str">
        <f t="shared" si="599"/>
        <v>C20</v>
      </c>
      <c r="BG106" t="str">
        <f t="shared" si="600"/>
        <v>B20</v>
      </c>
      <c r="BH106" t="str">
        <f t="shared" si="601"/>
        <v>C21</v>
      </c>
      <c r="BI106" t="str">
        <f t="shared" si="602"/>
        <v>B21</v>
      </c>
      <c r="BJ106" t="str">
        <f t="shared" si="603"/>
        <v>C22</v>
      </c>
      <c r="BK106" t="str">
        <f t="shared" si="604"/>
        <v>B22</v>
      </c>
      <c r="BL106" t="str">
        <f t="shared" si="605"/>
        <v>C23</v>
      </c>
      <c r="BM106" t="str">
        <f t="shared" si="606"/>
        <v>B23</v>
      </c>
      <c r="BN106" t="str">
        <f t="shared" si="607"/>
        <v>C24</v>
      </c>
      <c r="BO106" t="str">
        <f t="shared" si="608"/>
        <v>B24</v>
      </c>
      <c r="BP106" t="str">
        <f t="shared" si="370"/>
        <v>20A</v>
      </c>
      <c r="BQ106" t="str">
        <f t="shared" si="371"/>
        <v>20B</v>
      </c>
      <c r="BR106" t="str">
        <f t="shared" si="372"/>
        <v>21A</v>
      </c>
      <c r="BS106" t="str">
        <f t="shared" si="373"/>
        <v>21B</v>
      </c>
      <c r="BT106" t="str">
        <f t="shared" si="609"/>
        <v>DI7-C19</v>
      </c>
      <c r="BU106" t="str">
        <f t="shared" si="610"/>
        <v>DI7-B19</v>
      </c>
      <c r="BV106" t="str">
        <f t="shared" si="611"/>
        <v>DI7-C20</v>
      </c>
      <c r="BW106" t="str">
        <f t="shared" si="612"/>
        <v>DI7-B20</v>
      </c>
      <c r="BX106" t="str">
        <f t="shared" si="613"/>
        <v>DI7-C21</v>
      </c>
      <c r="BY106" t="str">
        <f t="shared" si="614"/>
        <v>DI7-B21</v>
      </c>
      <c r="BZ106" t="str">
        <f t="shared" si="615"/>
        <v>DI7-C22</v>
      </c>
      <c r="CA106" t="str">
        <f t="shared" si="616"/>
        <v>DI7-B22</v>
      </c>
      <c r="CB106" t="str">
        <f t="shared" si="617"/>
        <v>DI7-C23</v>
      </c>
      <c r="CC106" t="str">
        <f t="shared" si="618"/>
        <v>DI7-B23</v>
      </c>
      <c r="CD106" t="str">
        <f t="shared" si="619"/>
        <v>DI7-C24</v>
      </c>
      <c r="CE106" t="str">
        <f t="shared" si="620"/>
        <v>DI7-B24</v>
      </c>
      <c r="CF106" t="str">
        <f t="shared" si="621"/>
        <v>DO4-19A</v>
      </c>
      <c r="CG106" t="str">
        <f t="shared" si="622"/>
        <v>DO4-19B</v>
      </c>
      <c r="CH106" t="str">
        <f t="shared" si="623"/>
        <v>DO4-20A</v>
      </c>
      <c r="CI106" t="str">
        <f t="shared" si="624"/>
        <v>DO4-20B</v>
      </c>
      <c r="CJ106" t="str">
        <f t="shared" si="625"/>
        <v>DO4-21A</v>
      </c>
      <c r="CK106" t="str">
        <f t="shared" si="626"/>
        <v>DO4-21B</v>
      </c>
      <c r="CL106" t="str">
        <f t="shared" si="392"/>
        <v>K39-10</v>
      </c>
      <c r="CM106" t="str">
        <f t="shared" si="393"/>
        <v>K39-03</v>
      </c>
      <c r="CN106" t="str">
        <f t="shared" si="394"/>
        <v>K39-04</v>
      </c>
      <c r="CO106" t="str">
        <f t="shared" si="395"/>
        <v>K39-01</v>
      </c>
      <c r="CP106" t="str">
        <f t="shared" si="396"/>
        <v>K39-08</v>
      </c>
      <c r="CQ106" t="str">
        <f t="shared" si="397"/>
        <v>K39-02</v>
      </c>
      <c r="CR106" t="str">
        <f t="shared" si="398"/>
        <v>K39-09</v>
      </c>
      <c r="CS106" t="str">
        <f t="shared" si="399"/>
        <v>K39-05</v>
      </c>
      <c r="CT106" t="str">
        <f t="shared" si="400"/>
        <v>K39-11</v>
      </c>
      <c r="CU106" t="str">
        <f t="shared" si="401"/>
        <v>N1-M39-A9</v>
      </c>
      <c r="CV106" t="str">
        <f t="shared" si="402"/>
        <v>N1-M39-A7</v>
      </c>
      <c r="CW106" t="str">
        <f t="shared" si="403"/>
        <v>N1-M39-A8</v>
      </c>
      <c r="CX106" t="str">
        <f t="shared" si="404"/>
        <v>N1-M39-A6</v>
      </c>
      <c r="CY106" t="str">
        <f t="shared" si="405"/>
        <v>N1-M39-A30</v>
      </c>
      <c r="CZ106" t="str">
        <f t="shared" si="406"/>
        <v>N1-M39-N</v>
      </c>
      <c r="DA106" t="str">
        <f t="shared" si="627"/>
        <v>N1-A220-M39</v>
      </c>
      <c r="DB106" t="str">
        <f t="shared" si="408"/>
        <v>N1-M39-XM01</v>
      </c>
      <c r="DC106" t="str">
        <f t="shared" si="409"/>
        <v>N1-M39-A1</v>
      </c>
      <c r="DD106" t="str">
        <f t="shared" si="410"/>
        <v>N1-M39-A5</v>
      </c>
      <c r="DE106" t="str">
        <f t="shared" si="411"/>
        <v>N1-M39-A11</v>
      </c>
      <c r="DF106" t="str">
        <f t="shared" si="412"/>
        <v>N1-M39-A12</v>
      </c>
      <c r="DG106" t="str">
        <f t="shared" si="413"/>
        <v>N1-M39-A19</v>
      </c>
      <c r="DH106" t="str">
        <f t="shared" si="414"/>
        <v>N1-M39-A20</v>
      </c>
      <c r="DI106" t="s">
        <v>135</v>
      </c>
      <c r="DJ106" t="s">
        <v>136</v>
      </c>
      <c r="DK106">
        <v>11</v>
      </c>
      <c r="DL106">
        <v>14</v>
      </c>
      <c r="DM106">
        <v>12</v>
      </c>
      <c r="DN106" t="s">
        <v>137</v>
      </c>
      <c r="DO106" t="s">
        <v>138</v>
      </c>
      <c r="DP106">
        <v>1</v>
      </c>
      <c r="DQ106">
        <v>2</v>
      </c>
      <c r="DR106">
        <v>3</v>
      </c>
      <c r="DS106">
        <v>4</v>
      </c>
      <c r="DT106">
        <v>5</v>
      </c>
      <c r="DU106">
        <v>6</v>
      </c>
      <c r="DV106">
        <v>7</v>
      </c>
      <c r="DW106">
        <v>8</v>
      </c>
      <c r="DX106">
        <v>9</v>
      </c>
      <c r="DY106">
        <v>10</v>
      </c>
      <c r="DZ106">
        <v>11</v>
      </c>
      <c r="EA106">
        <v>12</v>
      </c>
      <c r="EB106">
        <v>13</v>
      </c>
      <c r="EC106">
        <v>14</v>
      </c>
      <c r="ED106">
        <v>1</v>
      </c>
      <c r="EE106">
        <v>3</v>
      </c>
      <c r="EF106">
        <v>4</v>
      </c>
      <c r="EG106">
        <v>7</v>
      </c>
      <c r="EH106">
        <v>8</v>
      </c>
      <c r="EI106">
        <v>9</v>
      </c>
      <c r="EJ106">
        <v>10</v>
      </c>
      <c r="EK106">
        <v>13</v>
      </c>
      <c r="EL106">
        <v>14</v>
      </c>
      <c r="EM106">
        <v>15</v>
      </c>
      <c r="EN106">
        <v>16</v>
      </c>
      <c r="EO106">
        <v>22</v>
      </c>
      <c r="EP106">
        <v>23</v>
      </c>
      <c r="EQ106" s="14">
        <v>24</v>
      </c>
    </row>
    <row r="107" spans="1:147" x14ac:dyDescent="0.25">
      <c r="A107" s="44" t="s">
        <v>1021</v>
      </c>
      <c r="B107" t="s">
        <v>818</v>
      </c>
      <c r="C107" s="3"/>
      <c r="O107" s="2"/>
      <c r="P107" t="s">
        <v>126</v>
      </c>
      <c r="Q107" s="1"/>
      <c r="S107" s="1" t="s">
        <v>127</v>
      </c>
      <c r="T107" s="12" t="s">
        <v>487</v>
      </c>
      <c r="U107" s="40">
        <v>40</v>
      </c>
      <c r="V107" s="13" t="s">
        <v>809</v>
      </c>
      <c r="W107" s="13"/>
      <c r="AC107" t="str">
        <f t="shared" si="415"/>
        <v>A5.7</v>
      </c>
      <c r="AD107" s="36" cm="1">
        <f t="array" ref="AD107">IF(COUNTIFS(AC$2:AC107,AC107)=1,"1",VALUE(SUBSTITUTE(INDEX(AD:AD,_xlfn.XMATCH(AC107,AC$1:AC106,0,-1)),"A",""))+INDEX(AE:AE,_xlfn.XMATCH(AC107,AC$1:AC106,0,-1))+1)</f>
        <v>25</v>
      </c>
      <c r="AE107" s="36" cm="1">
        <f t="array" ref="AE107">SUM(IF(ISNUMBER(FIND("TmDi",$BE$1:$AAL$1)),IF(IFERROR(ISNUMBER(VALUE(SUBSTITUTE($BE107:$AAL107,"B",""))),FALSE),IF(ISNUMBER(VALUE(SUBSTITUTE($BE107:$AAL107,"B",""))),1,0),0)))</f>
        <v>5</v>
      </c>
      <c r="AF107" t="str">
        <f t="shared" si="355"/>
        <v>C25</v>
      </c>
      <c r="AG107" t="str">
        <f t="shared" si="356"/>
        <v>B25</v>
      </c>
      <c r="AH107" t="str">
        <f t="shared" si="537"/>
        <v>A6.4</v>
      </c>
      <c r="AI107" s="47" cm="1">
        <f t="array" ref="AI107">IF(COUNTIFS(AH$2:AH107,AH107)=1,"1",VALUE(SUBSTITUTE(INDEX(AI:AI,_xlfn.XMATCH(AH107,AH$1:AH106,0,-1)),"A",""))+INDEX(AJ:AJ,_xlfn.XMATCH(AH107,AH$1:AH106,0,-1))+1)</f>
        <v>22</v>
      </c>
      <c r="AJ107" s="41" cm="1">
        <f t="array" ref="AJ107">SUM(IF(ISNUMBER(FIND("TmDo",$BE$1:$AAL$1)),IF(IFERROR(ISNUMBER(VALUE(SUBSTITUTE($BE107:$AAL107,"B",""))),FALSE),IF(ISNUMBER(VALUE(SUBSTITUTE($BE107:$AAL107,"B",""))),1,0),0)))</f>
        <v>2</v>
      </c>
      <c r="AK107" t="str">
        <f t="shared" si="628"/>
        <v>22A</v>
      </c>
      <c r="AL107" t="str">
        <f t="shared" si="629"/>
        <v>22B</v>
      </c>
      <c r="AM107" t="s">
        <v>213</v>
      </c>
      <c r="AP107" t="s">
        <v>489</v>
      </c>
      <c r="AQ107" t="s">
        <v>744</v>
      </c>
      <c r="AT107" t="s">
        <v>132</v>
      </c>
      <c r="AU107" t="s">
        <v>133</v>
      </c>
      <c r="BD107" s="14"/>
      <c r="BE107" s="22" t="str">
        <f t="shared" si="598"/>
        <v>XT40</v>
      </c>
      <c r="BF107" t="str">
        <f t="shared" si="599"/>
        <v>C26</v>
      </c>
      <c r="BG107" t="str">
        <f t="shared" si="600"/>
        <v>B26</v>
      </c>
      <c r="BH107" t="str">
        <f t="shared" si="601"/>
        <v>C27</v>
      </c>
      <c r="BI107" t="str">
        <f t="shared" si="602"/>
        <v>B27</v>
      </c>
      <c r="BJ107" t="str">
        <f t="shared" si="603"/>
        <v>C28</v>
      </c>
      <c r="BK107" t="str">
        <f t="shared" si="604"/>
        <v>B28</v>
      </c>
      <c r="BL107" t="str">
        <f t="shared" si="605"/>
        <v>C29</v>
      </c>
      <c r="BM107" t="str">
        <f t="shared" si="606"/>
        <v>B29</v>
      </c>
      <c r="BN107" t="str">
        <f t="shared" si="607"/>
        <v>C30</v>
      </c>
      <c r="BO107" t="str">
        <f t="shared" si="608"/>
        <v>B30</v>
      </c>
      <c r="BP107" t="str">
        <f t="shared" si="370"/>
        <v>23A</v>
      </c>
      <c r="BQ107" t="str">
        <f t="shared" si="371"/>
        <v>23B</v>
      </c>
      <c r="BR107" t="str">
        <f t="shared" si="372"/>
        <v>24A</v>
      </c>
      <c r="BS107" t="str">
        <f t="shared" si="373"/>
        <v>24B</v>
      </c>
      <c r="BT107" t="str">
        <f t="shared" si="609"/>
        <v>DI7-C25</v>
      </c>
      <c r="BU107" t="str">
        <f t="shared" si="610"/>
        <v>DI7-B25</v>
      </c>
      <c r="BV107" t="str">
        <f t="shared" si="611"/>
        <v>DI7-C26</v>
      </c>
      <c r="BW107" t="str">
        <f t="shared" si="612"/>
        <v>DI7-B26</v>
      </c>
      <c r="BX107" t="str">
        <f t="shared" si="613"/>
        <v>DI7-C27</v>
      </c>
      <c r="BY107" t="str">
        <f t="shared" si="614"/>
        <v>DI7-B27</v>
      </c>
      <c r="BZ107" t="str">
        <f t="shared" si="615"/>
        <v>DI7-C28</v>
      </c>
      <c r="CA107" t="str">
        <f t="shared" si="616"/>
        <v>DI7-B28</v>
      </c>
      <c r="CB107" t="str">
        <f t="shared" si="617"/>
        <v>DI7-C29</v>
      </c>
      <c r="CC107" t="str">
        <f t="shared" si="618"/>
        <v>DI7-B29</v>
      </c>
      <c r="CD107" t="str">
        <f t="shared" si="619"/>
        <v>DI7-C30</v>
      </c>
      <c r="CE107" t="str">
        <f t="shared" si="620"/>
        <v>DI7-B30</v>
      </c>
      <c r="CF107" t="str">
        <f t="shared" si="621"/>
        <v>DO4-22A</v>
      </c>
      <c r="CG107" t="str">
        <f t="shared" si="622"/>
        <v>DO4-22B</v>
      </c>
      <c r="CH107" t="str">
        <f t="shared" si="623"/>
        <v>DO4-23A</v>
      </c>
      <c r="CI107" t="str">
        <f t="shared" si="624"/>
        <v>DO4-23B</v>
      </c>
      <c r="CJ107" t="str">
        <f t="shared" si="625"/>
        <v>DO4-24A</v>
      </c>
      <c r="CK107" t="str">
        <f t="shared" si="626"/>
        <v>DO4-24B</v>
      </c>
      <c r="CL107" t="str">
        <f t="shared" si="392"/>
        <v>K40-10</v>
      </c>
      <c r="CM107" t="str">
        <f t="shared" si="393"/>
        <v>K40-03</v>
      </c>
      <c r="CN107" t="str">
        <f t="shared" si="394"/>
        <v>K40-04</v>
      </c>
      <c r="CO107" t="str">
        <f t="shared" si="395"/>
        <v>K40-01</v>
      </c>
      <c r="CP107" t="str">
        <f t="shared" si="396"/>
        <v>K40-08</v>
      </c>
      <c r="CQ107" t="str">
        <f t="shared" si="397"/>
        <v>K40-02</v>
      </c>
      <c r="CR107" t="str">
        <f t="shared" si="398"/>
        <v>K40-09</v>
      </c>
      <c r="CS107" t="str">
        <f t="shared" si="399"/>
        <v>K40-05</v>
      </c>
      <c r="CT107" t="str">
        <f t="shared" si="400"/>
        <v>K40-11</v>
      </c>
      <c r="CU107" t="str">
        <f t="shared" si="401"/>
        <v>N1-M40-A9</v>
      </c>
      <c r="CV107" t="str">
        <f t="shared" si="402"/>
        <v>N1-M40-A7</v>
      </c>
      <c r="CW107" t="str">
        <f t="shared" si="403"/>
        <v>N1-M40-A8</v>
      </c>
      <c r="CX107" t="str">
        <f t="shared" si="404"/>
        <v>N1-M40-A6</v>
      </c>
      <c r="CY107" t="str">
        <f t="shared" si="405"/>
        <v>N1-M40-A30</v>
      </c>
      <c r="CZ107" t="str">
        <f t="shared" si="406"/>
        <v>N1-M40-N</v>
      </c>
      <c r="DA107" t="str">
        <f t="shared" si="627"/>
        <v>N1-A220-M40</v>
      </c>
      <c r="DB107" t="str">
        <f t="shared" si="408"/>
        <v>N1-M40-XM01</v>
      </c>
      <c r="DC107" t="str">
        <f t="shared" si="409"/>
        <v>N1-M40-A1</v>
      </c>
      <c r="DD107" t="str">
        <f t="shared" si="410"/>
        <v>N1-M40-A5</v>
      </c>
      <c r="DE107" t="str">
        <f t="shared" si="411"/>
        <v>N1-M40-A11</v>
      </c>
      <c r="DF107" t="str">
        <f t="shared" si="412"/>
        <v>N1-M40-A12</v>
      </c>
      <c r="DG107" t="str">
        <f t="shared" si="413"/>
        <v>N1-M40-A19</v>
      </c>
      <c r="DH107" t="str">
        <f t="shared" si="414"/>
        <v>N1-M40-A20</v>
      </c>
      <c r="DI107" t="s">
        <v>135</v>
      </c>
      <c r="DJ107" t="s">
        <v>136</v>
      </c>
      <c r="DK107">
        <v>11</v>
      </c>
      <c r="DL107">
        <v>14</v>
      </c>
      <c r="DM107">
        <v>12</v>
      </c>
      <c r="DN107" t="s">
        <v>137</v>
      </c>
      <c r="DO107" t="s">
        <v>138</v>
      </c>
      <c r="DP107">
        <v>1</v>
      </c>
      <c r="DQ107">
        <v>2</v>
      </c>
      <c r="DR107">
        <v>3</v>
      </c>
      <c r="DS107">
        <v>4</v>
      </c>
      <c r="DT107">
        <v>5</v>
      </c>
      <c r="DU107">
        <v>6</v>
      </c>
      <c r="DV107">
        <v>7</v>
      </c>
      <c r="DW107">
        <v>8</v>
      </c>
      <c r="DX107">
        <v>9</v>
      </c>
      <c r="DY107">
        <v>10</v>
      </c>
      <c r="DZ107">
        <v>11</v>
      </c>
      <c r="EA107">
        <v>12</v>
      </c>
      <c r="EB107">
        <v>13</v>
      </c>
      <c r="EC107">
        <v>14</v>
      </c>
      <c r="ED107">
        <v>1</v>
      </c>
      <c r="EE107">
        <v>3</v>
      </c>
      <c r="EF107">
        <v>4</v>
      </c>
      <c r="EG107">
        <v>7</v>
      </c>
      <c r="EH107">
        <v>8</v>
      </c>
      <c r="EI107">
        <v>9</v>
      </c>
      <c r="EJ107">
        <v>10</v>
      </c>
      <c r="EK107">
        <v>13</v>
      </c>
      <c r="EL107">
        <v>14</v>
      </c>
      <c r="EM107">
        <v>15</v>
      </c>
      <c r="EN107">
        <v>16</v>
      </c>
      <c r="EO107">
        <v>22</v>
      </c>
      <c r="EP107">
        <v>23</v>
      </c>
      <c r="EQ107" s="14">
        <v>24</v>
      </c>
    </row>
    <row r="108" spans="1:147" x14ac:dyDescent="0.25">
      <c r="A108" s="44" t="s">
        <v>1022</v>
      </c>
      <c r="B108" t="s">
        <v>819</v>
      </c>
      <c r="C108" s="3"/>
      <c r="O108" s="2"/>
      <c r="P108" t="s">
        <v>126</v>
      </c>
      <c r="Q108" s="1"/>
      <c r="S108" s="1" t="s">
        <v>127</v>
      </c>
      <c r="T108" s="12" t="s">
        <v>487</v>
      </c>
      <c r="U108" s="40">
        <v>41</v>
      </c>
      <c r="V108" s="13" t="s">
        <v>810</v>
      </c>
      <c r="W108" s="13"/>
      <c r="AC108" t="str">
        <f t="shared" si="415"/>
        <v>A5.8</v>
      </c>
      <c r="AD108" s="36" t="str" cm="1">
        <f t="array" ref="AD108">IF(COUNTIFS(AC$2:AC108,AC108)=1,"1",VALUE(SUBSTITUTE(INDEX(AD:AD,_xlfn.XMATCH(AC108,AC$1:AC107,0,-1)),"A",""))+INDEX(AE:AE,_xlfn.XMATCH(AC108,AC$1:AC107,0,-1))+1)</f>
        <v>1</v>
      </c>
      <c r="AE108" s="36" cm="1">
        <f t="array" ref="AE108">SUM(IF(ISNUMBER(FIND("TmDi",$BE$1:$AAL$1)),IF(IFERROR(ISNUMBER(VALUE(SUBSTITUTE($BE108:$AAL108,"B",""))),FALSE),IF(ISNUMBER(VALUE(SUBSTITUTE($BE108:$AAL108,"B",""))),1,0),0)))</f>
        <v>5</v>
      </c>
      <c r="AF108" t="str">
        <f t="shared" si="355"/>
        <v>C1</v>
      </c>
      <c r="AG108" t="str">
        <f t="shared" si="356"/>
        <v>B1</v>
      </c>
      <c r="AH108" t="str">
        <f t="shared" si="537"/>
        <v>A6.4</v>
      </c>
      <c r="AI108" s="47" cm="1">
        <f t="array" ref="AI108">IF(COUNTIFS(AH$2:AH108,AH108)=1,"1",VALUE(SUBSTITUTE(INDEX(AI:AI,_xlfn.XMATCH(AH108,AH$1:AH107,0,-1)),"A",""))+INDEX(AJ:AJ,_xlfn.XMATCH(AH108,AH$1:AH107,0,-1))+1)</f>
        <v>25</v>
      </c>
      <c r="AJ108" s="41" cm="1">
        <f t="array" ref="AJ108">SUM(IF(ISNUMBER(FIND("TmDo",$BE$1:$AAL$1)),IF(IFERROR(ISNUMBER(VALUE(SUBSTITUTE($BE108:$AAL108,"B",""))),FALSE),IF(ISNUMBER(VALUE(SUBSTITUTE($BE108:$AAL108,"B",""))),1,0),0)))</f>
        <v>2</v>
      </c>
      <c r="AK108" t="str">
        <f t="shared" si="628"/>
        <v>25A</v>
      </c>
      <c r="AL108" t="str">
        <f t="shared" si="629"/>
        <v>25B</v>
      </c>
      <c r="AM108" t="s">
        <v>214</v>
      </c>
      <c r="AP108" t="s">
        <v>489</v>
      </c>
      <c r="AQ108" t="s">
        <v>744</v>
      </c>
      <c r="AT108" t="s">
        <v>132</v>
      </c>
      <c r="AU108" t="s">
        <v>133</v>
      </c>
      <c r="BD108" s="14"/>
      <c r="BE108" s="22" t="str">
        <f t="shared" si="598"/>
        <v>XT41</v>
      </c>
      <c r="BF108" t="str">
        <f t="shared" si="599"/>
        <v>C2</v>
      </c>
      <c r="BG108" t="str">
        <f t="shared" si="600"/>
        <v>B2</v>
      </c>
      <c r="BH108" t="str">
        <f t="shared" si="601"/>
        <v>C3</v>
      </c>
      <c r="BI108" t="str">
        <f t="shared" si="602"/>
        <v>B3</v>
      </c>
      <c r="BJ108" t="str">
        <f t="shared" si="603"/>
        <v>C4</v>
      </c>
      <c r="BK108" t="str">
        <f t="shared" si="604"/>
        <v>B4</v>
      </c>
      <c r="BL108" t="str">
        <f t="shared" si="605"/>
        <v>C5</v>
      </c>
      <c r="BM108" t="str">
        <f t="shared" si="606"/>
        <v>B5</v>
      </c>
      <c r="BN108" t="str">
        <f t="shared" si="607"/>
        <v>C6</v>
      </c>
      <c r="BO108" t="str">
        <f t="shared" si="608"/>
        <v>B6</v>
      </c>
      <c r="BP108" t="str">
        <f t="shared" si="370"/>
        <v>26A</v>
      </c>
      <c r="BQ108" t="str">
        <f t="shared" si="371"/>
        <v>26B</v>
      </c>
      <c r="BR108" t="str">
        <f t="shared" si="372"/>
        <v>27A</v>
      </c>
      <c r="BS108" t="str">
        <f t="shared" si="373"/>
        <v>27B</v>
      </c>
      <c r="BT108" t="str">
        <f t="shared" si="609"/>
        <v>DI8-C1</v>
      </c>
      <c r="BU108" t="str">
        <f t="shared" si="610"/>
        <v>DI8-B1</v>
      </c>
      <c r="BV108" t="str">
        <f t="shared" si="611"/>
        <v>DI8-C2</v>
      </c>
      <c r="BW108" t="str">
        <f t="shared" si="612"/>
        <v>DI8-B2</v>
      </c>
      <c r="BX108" t="str">
        <f t="shared" si="613"/>
        <v>DI8-C3</v>
      </c>
      <c r="BY108" t="str">
        <f t="shared" si="614"/>
        <v>DI8-B3</v>
      </c>
      <c r="BZ108" t="str">
        <f t="shared" si="615"/>
        <v>DI8-C4</v>
      </c>
      <c r="CA108" t="str">
        <f t="shared" si="616"/>
        <v>DI8-B4</v>
      </c>
      <c r="CB108" t="str">
        <f t="shared" si="617"/>
        <v>DI8-C5</v>
      </c>
      <c r="CC108" t="str">
        <f t="shared" si="618"/>
        <v>DI8-B5</v>
      </c>
      <c r="CD108" t="str">
        <f t="shared" si="619"/>
        <v>DI8-C6</v>
      </c>
      <c r="CE108" t="str">
        <f t="shared" si="620"/>
        <v>DI8-B6</v>
      </c>
      <c r="CF108" t="str">
        <f t="shared" si="621"/>
        <v>DO4-25A</v>
      </c>
      <c r="CG108" t="str">
        <f t="shared" si="622"/>
        <v>DO4-25B</v>
      </c>
      <c r="CH108" t="str">
        <f t="shared" si="623"/>
        <v>DO4-26A</v>
      </c>
      <c r="CI108" t="str">
        <f t="shared" si="624"/>
        <v>DO4-26B</v>
      </c>
      <c r="CJ108" t="str">
        <f t="shared" si="625"/>
        <v>DO4-27A</v>
      </c>
      <c r="CK108" t="str">
        <f t="shared" si="626"/>
        <v>DO4-27B</v>
      </c>
      <c r="CL108" t="str">
        <f t="shared" si="392"/>
        <v>K41-10</v>
      </c>
      <c r="CM108" t="str">
        <f t="shared" si="393"/>
        <v>K41-03</v>
      </c>
      <c r="CN108" t="str">
        <f t="shared" si="394"/>
        <v>K41-04</v>
      </c>
      <c r="CO108" t="str">
        <f t="shared" si="395"/>
        <v>K41-01</v>
      </c>
      <c r="CP108" t="str">
        <f t="shared" si="396"/>
        <v>K41-08</v>
      </c>
      <c r="CQ108" t="str">
        <f t="shared" si="397"/>
        <v>K41-02</v>
      </c>
      <c r="CR108" t="str">
        <f t="shared" si="398"/>
        <v>K41-09</v>
      </c>
      <c r="CS108" t="str">
        <f t="shared" si="399"/>
        <v>K41-05</v>
      </c>
      <c r="CT108" t="str">
        <f t="shared" si="400"/>
        <v>K41-11</v>
      </c>
      <c r="CU108" t="str">
        <f t="shared" si="401"/>
        <v>N1-M41-A9</v>
      </c>
      <c r="CV108" t="str">
        <f t="shared" si="402"/>
        <v>N1-M41-A7</v>
      </c>
      <c r="CW108" t="str">
        <f t="shared" si="403"/>
        <v>N1-M41-A8</v>
      </c>
      <c r="CX108" t="str">
        <f t="shared" si="404"/>
        <v>N1-M41-A6</v>
      </c>
      <c r="CY108" t="str">
        <f t="shared" si="405"/>
        <v>N1-M41-A30</v>
      </c>
      <c r="CZ108" t="str">
        <f t="shared" si="406"/>
        <v>N1-M41-N</v>
      </c>
      <c r="DA108" t="str">
        <f t="shared" si="627"/>
        <v>N1-A220-M41</v>
      </c>
      <c r="DB108" t="str">
        <f t="shared" si="408"/>
        <v>N1-M41-XM01</v>
      </c>
      <c r="DC108" t="str">
        <f t="shared" si="409"/>
        <v>N1-M41-A1</v>
      </c>
      <c r="DD108" t="str">
        <f t="shared" si="410"/>
        <v>N1-M41-A5</v>
      </c>
      <c r="DE108" t="str">
        <f t="shared" si="411"/>
        <v>N1-M41-A11</v>
      </c>
      <c r="DF108" t="str">
        <f t="shared" si="412"/>
        <v>N1-M41-A12</v>
      </c>
      <c r="DG108" t="str">
        <f t="shared" si="413"/>
        <v>N1-M41-A19</v>
      </c>
      <c r="DH108" t="str">
        <f t="shared" si="414"/>
        <v>N1-M41-A20</v>
      </c>
      <c r="DI108" t="s">
        <v>135</v>
      </c>
      <c r="DJ108" t="s">
        <v>136</v>
      </c>
      <c r="DK108">
        <v>11</v>
      </c>
      <c r="DL108">
        <v>14</v>
      </c>
      <c r="DM108">
        <v>12</v>
      </c>
      <c r="DN108" t="s">
        <v>137</v>
      </c>
      <c r="DO108" t="s">
        <v>138</v>
      </c>
      <c r="DP108">
        <v>1</v>
      </c>
      <c r="DQ108">
        <v>2</v>
      </c>
      <c r="DR108">
        <v>3</v>
      </c>
      <c r="DS108">
        <v>4</v>
      </c>
      <c r="DT108">
        <v>5</v>
      </c>
      <c r="DU108">
        <v>6</v>
      </c>
      <c r="DV108">
        <v>7</v>
      </c>
      <c r="DW108">
        <v>8</v>
      </c>
      <c r="DX108">
        <v>9</v>
      </c>
      <c r="DY108">
        <v>10</v>
      </c>
      <c r="DZ108">
        <v>11</v>
      </c>
      <c r="EA108">
        <v>12</v>
      </c>
      <c r="EB108">
        <v>13</v>
      </c>
      <c r="EC108">
        <v>14</v>
      </c>
      <c r="ED108">
        <v>1</v>
      </c>
      <c r="EE108">
        <v>3</v>
      </c>
      <c r="EF108">
        <v>4</v>
      </c>
      <c r="EG108">
        <v>7</v>
      </c>
      <c r="EH108">
        <v>8</v>
      </c>
      <c r="EI108">
        <v>9</v>
      </c>
      <c r="EJ108">
        <v>10</v>
      </c>
      <c r="EK108">
        <v>13</v>
      </c>
      <c r="EL108">
        <v>14</v>
      </c>
      <c r="EM108">
        <v>15</v>
      </c>
      <c r="EN108">
        <v>16</v>
      </c>
      <c r="EO108">
        <v>22</v>
      </c>
      <c r="EP108">
        <v>23</v>
      </c>
      <c r="EQ108" s="14">
        <v>24</v>
      </c>
    </row>
    <row r="109" spans="1:147" x14ac:dyDescent="0.25">
      <c r="A109" s="44" t="s">
        <v>1023</v>
      </c>
      <c r="B109" t="s">
        <v>820</v>
      </c>
      <c r="C109" s="3"/>
      <c r="O109" s="2"/>
      <c r="P109" t="s">
        <v>126</v>
      </c>
      <c r="Q109" s="1"/>
      <c r="S109" s="1" t="s">
        <v>127</v>
      </c>
      <c r="T109" s="12" t="s">
        <v>487</v>
      </c>
      <c r="U109" s="40">
        <v>42</v>
      </c>
      <c r="V109" s="13" t="s">
        <v>811</v>
      </c>
      <c r="W109" s="13"/>
      <c r="AC109" t="str">
        <f t="shared" si="415"/>
        <v>A5.8</v>
      </c>
      <c r="AD109" s="36" cm="1">
        <f t="array" ref="AD109">IF(COUNTIFS(AC$2:AC109,AC109)=1,"1",VALUE(SUBSTITUTE(INDEX(AD:AD,_xlfn.XMATCH(AC109,AC$1:AC108,0,-1)),"A",""))+INDEX(AE:AE,_xlfn.XMATCH(AC109,AC$1:AC108,0,-1))+1)</f>
        <v>7</v>
      </c>
      <c r="AE109" s="36" cm="1">
        <f t="array" ref="AE109">SUM(IF(ISNUMBER(FIND("TmDi",$BE$1:$AAL$1)),IF(IFERROR(ISNUMBER(VALUE(SUBSTITUTE($BE109:$AAL109,"B",""))),FALSE),IF(ISNUMBER(VALUE(SUBSTITUTE($BE109:$AAL109,"B",""))),1,0),0)))</f>
        <v>5</v>
      </c>
      <c r="AF109" t="str">
        <f t="shared" si="355"/>
        <v>C7</v>
      </c>
      <c r="AG109" t="str">
        <f t="shared" si="356"/>
        <v>B7</v>
      </c>
      <c r="AH109" t="str">
        <f t="shared" si="537"/>
        <v>A6.5</v>
      </c>
      <c r="AI109" s="47" t="str" cm="1">
        <f t="array" ref="AI109">IF(COUNTIFS(AH$2:AH109,AH109)=1,"1",VALUE(SUBSTITUTE(INDEX(AI:AI,_xlfn.XMATCH(AH109,AH$1:AH108,0,-1)),"A",""))+INDEX(AJ:AJ,_xlfn.XMATCH(AH109,AH$1:AH108,0,-1))+1)</f>
        <v>1</v>
      </c>
      <c r="AJ109" s="41" cm="1">
        <f t="array" ref="AJ109">SUM(IF(ISNUMBER(FIND("TmDo",$BE$1:$AAL$1)),IF(IFERROR(ISNUMBER(VALUE(SUBSTITUTE($BE109:$AAL109,"B",""))),FALSE),IF(ISNUMBER(VALUE(SUBSTITUTE($BE109:$AAL109,"B",""))),1,0),0)))</f>
        <v>2</v>
      </c>
      <c r="AK109" t="str">
        <f t="shared" si="628"/>
        <v>1A</v>
      </c>
      <c r="AL109" t="str">
        <f t="shared" si="629"/>
        <v>1B</v>
      </c>
      <c r="AM109" t="s">
        <v>215</v>
      </c>
      <c r="AP109" t="s">
        <v>489</v>
      </c>
      <c r="AQ109" t="s">
        <v>744</v>
      </c>
      <c r="AT109" t="s">
        <v>132</v>
      </c>
      <c r="AU109" t="s">
        <v>133</v>
      </c>
      <c r="BD109" s="14"/>
      <c r="BE109" s="22" t="str">
        <f t="shared" si="598"/>
        <v>XT42</v>
      </c>
      <c r="BF109" t="str">
        <f t="shared" si="599"/>
        <v>C8</v>
      </c>
      <c r="BG109" t="str">
        <f t="shared" si="600"/>
        <v>B8</v>
      </c>
      <c r="BH109" t="str">
        <f t="shared" si="601"/>
        <v>C9</v>
      </c>
      <c r="BI109" t="str">
        <f t="shared" si="602"/>
        <v>B9</v>
      </c>
      <c r="BJ109" t="str">
        <f t="shared" si="603"/>
        <v>C10</v>
      </c>
      <c r="BK109" t="str">
        <f t="shared" si="604"/>
        <v>B10</v>
      </c>
      <c r="BL109" t="str">
        <f t="shared" si="605"/>
        <v>C11</v>
      </c>
      <c r="BM109" t="str">
        <f t="shared" si="606"/>
        <v>B11</v>
      </c>
      <c r="BN109" t="str">
        <f t="shared" si="607"/>
        <v>C12</v>
      </c>
      <c r="BO109" t="str">
        <f t="shared" si="608"/>
        <v>B12</v>
      </c>
      <c r="BP109" t="str">
        <f t="shared" si="370"/>
        <v>2A</v>
      </c>
      <c r="BQ109" t="str">
        <f t="shared" si="371"/>
        <v>2B</v>
      </c>
      <c r="BR109" t="str">
        <f t="shared" si="372"/>
        <v>3A</v>
      </c>
      <c r="BS109" t="str">
        <f t="shared" si="373"/>
        <v>3B</v>
      </c>
      <c r="BT109" t="str">
        <f t="shared" si="609"/>
        <v>DI8-C7</v>
      </c>
      <c r="BU109" t="str">
        <f t="shared" si="610"/>
        <v>DI8-B7</v>
      </c>
      <c r="BV109" t="str">
        <f t="shared" si="611"/>
        <v>DI8-C8</v>
      </c>
      <c r="BW109" t="str">
        <f t="shared" si="612"/>
        <v>DI8-B8</v>
      </c>
      <c r="BX109" t="str">
        <f t="shared" si="613"/>
        <v>DI8-C9</v>
      </c>
      <c r="BY109" t="str">
        <f t="shared" si="614"/>
        <v>DI8-B9</v>
      </c>
      <c r="BZ109" t="str">
        <f t="shared" si="615"/>
        <v>DI8-C10</v>
      </c>
      <c r="CA109" t="str">
        <f t="shared" si="616"/>
        <v>DI8-B10</v>
      </c>
      <c r="CB109" t="str">
        <f t="shared" si="617"/>
        <v>DI8-C11</v>
      </c>
      <c r="CC109" t="str">
        <f t="shared" si="618"/>
        <v>DI8-B11</v>
      </c>
      <c r="CD109" t="str">
        <f t="shared" si="619"/>
        <v>DI8-C12</v>
      </c>
      <c r="CE109" t="str">
        <f t="shared" si="620"/>
        <v>DI8-B12</v>
      </c>
      <c r="CF109" t="str">
        <f t="shared" si="621"/>
        <v>DO5-1A</v>
      </c>
      <c r="CG109" t="str">
        <f t="shared" si="622"/>
        <v>DO5-1B</v>
      </c>
      <c r="CH109" t="str">
        <f t="shared" si="623"/>
        <v>DO5-2A</v>
      </c>
      <c r="CI109" t="str">
        <f t="shared" si="624"/>
        <v>DO5-2B</v>
      </c>
      <c r="CJ109" t="str">
        <f t="shared" si="625"/>
        <v>DO5-3A</v>
      </c>
      <c r="CK109" t="str">
        <f t="shared" si="626"/>
        <v>DO5-3B</v>
      </c>
      <c r="CL109" t="str">
        <f t="shared" si="392"/>
        <v>K42-10</v>
      </c>
      <c r="CM109" t="str">
        <f t="shared" si="393"/>
        <v>K42-03</v>
      </c>
      <c r="CN109" t="str">
        <f t="shared" si="394"/>
        <v>K42-04</v>
      </c>
      <c r="CO109" t="str">
        <f t="shared" si="395"/>
        <v>K42-01</v>
      </c>
      <c r="CP109" t="str">
        <f t="shared" si="396"/>
        <v>K42-08</v>
      </c>
      <c r="CQ109" t="str">
        <f t="shared" si="397"/>
        <v>K42-02</v>
      </c>
      <c r="CR109" t="str">
        <f t="shared" si="398"/>
        <v>K42-09</v>
      </c>
      <c r="CS109" t="str">
        <f t="shared" si="399"/>
        <v>K42-05</v>
      </c>
      <c r="CT109" t="str">
        <f t="shared" si="400"/>
        <v>K42-11</v>
      </c>
      <c r="CU109" t="str">
        <f t="shared" si="401"/>
        <v>N1-M42-A9</v>
      </c>
      <c r="CV109" t="str">
        <f t="shared" si="402"/>
        <v>N1-M42-A7</v>
      </c>
      <c r="CW109" t="str">
        <f t="shared" si="403"/>
        <v>N1-M42-A8</v>
      </c>
      <c r="CX109" t="str">
        <f t="shared" si="404"/>
        <v>N1-M42-A6</v>
      </c>
      <c r="CY109" t="str">
        <f t="shared" si="405"/>
        <v>N1-M42-A30</v>
      </c>
      <c r="CZ109" t="str">
        <f t="shared" si="406"/>
        <v>N1-M42-N</v>
      </c>
      <c r="DA109" t="str">
        <f t="shared" si="627"/>
        <v>N1-A220-M42</v>
      </c>
      <c r="DB109" t="str">
        <f t="shared" si="408"/>
        <v>N1-M42-XM01</v>
      </c>
      <c r="DC109" t="str">
        <f t="shared" si="409"/>
        <v>N1-M42-A1</v>
      </c>
      <c r="DD109" t="str">
        <f t="shared" si="410"/>
        <v>N1-M42-A5</v>
      </c>
      <c r="DE109" t="str">
        <f t="shared" si="411"/>
        <v>N1-M42-A11</v>
      </c>
      <c r="DF109" t="str">
        <f t="shared" si="412"/>
        <v>N1-M42-A12</v>
      </c>
      <c r="DG109" t="str">
        <f t="shared" si="413"/>
        <v>N1-M42-A19</v>
      </c>
      <c r="DH109" t="str">
        <f t="shared" si="414"/>
        <v>N1-M42-A20</v>
      </c>
      <c r="DI109" t="s">
        <v>135</v>
      </c>
      <c r="DJ109" t="s">
        <v>136</v>
      </c>
      <c r="DK109">
        <v>11</v>
      </c>
      <c r="DL109">
        <v>14</v>
      </c>
      <c r="DM109">
        <v>12</v>
      </c>
      <c r="DN109" t="s">
        <v>137</v>
      </c>
      <c r="DO109" t="s">
        <v>138</v>
      </c>
      <c r="DP109">
        <v>1</v>
      </c>
      <c r="DQ109">
        <v>2</v>
      </c>
      <c r="DR109">
        <v>3</v>
      </c>
      <c r="DS109">
        <v>4</v>
      </c>
      <c r="DT109">
        <v>5</v>
      </c>
      <c r="DU109">
        <v>6</v>
      </c>
      <c r="DV109">
        <v>7</v>
      </c>
      <c r="DW109">
        <v>8</v>
      </c>
      <c r="DX109">
        <v>9</v>
      </c>
      <c r="DY109">
        <v>10</v>
      </c>
      <c r="DZ109">
        <v>11</v>
      </c>
      <c r="EA109">
        <v>12</v>
      </c>
      <c r="EB109">
        <v>13</v>
      </c>
      <c r="EC109">
        <v>14</v>
      </c>
      <c r="ED109">
        <v>1</v>
      </c>
      <c r="EE109">
        <v>3</v>
      </c>
      <c r="EF109">
        <v>4</v>
      </c>
      <c r="EG109">
        <v>7</v>
      </c>
      <c r="EH109">
        <v>8</v>
      </c>
      <c r="EI109">
        <v>9</v>
      </c>
      <c r="EJ109">
        <v>10</v>
      </c>
      <c r="EK109">
        <v>13</v>
      </c>
      <c r="EL109">
        <v>14</v>
      </c>
      <c r="EM109">
        <v>15</v>
      </c>
      <c r="EN109">
        <v>16</v>
      </c>
      <c r="EO109">
        <v>22</v>
      </c>
      <c r="EP109">
        <v>23</v>
      </c>
      <c r="EQ109" s="14">
        <v>24</v>
      </c>
    </row>
    <row r="110" spans="1:147" x14ac:dyDescent="0.25">
      <c r="A110" s="44" t="s">
        <v>1024</v>
      </c>
      <c r="B110" t="s">
        <v>821</v>
      </c>
      <c r="C110" s="3"/>
      <c r="O110" s="2"/>
      <c r="P110" t="s">
        <v>126</v>
      </c>
      <c r="Q110" s="1"/>
      <c r="S110" s="1" t="s">
        <v>127</v>
      </c>
      <c r="T110" s="12" t="s">
        <v>487</v>
      </c>
      <c r="U110" s="40">
        <v>43</v>
      </c>
      <c r="V110" s="13" t="s">
        <v>812</v>
      </c>
      <c r="W110" s="13"/>
      <c r="AC110" t="str">
        <f t="shared" si="415"/>
        <v>A5.8</v>
      </c>
      <c r="AD110" s="36" cm="1">
        <f t="array" ref="AD110">IF(COUNTIFS(AC$2:AC110,AC110)=1,"1",VALUE(SUBSTITUTE(INDEX(AD:AD,_xlfn.XMATCH(AC110,AC$1:AC109,0,-1)),"A",""))+INDEX(AE:AE,_xlfn.XMATCH(AC110,AC$1:AC109,0,-1))+1)</f>
        <v>13</v>
      </c>
      <c r="AE110" s="36" cm="1">
        <f t="array" ref="AE110">SUM(IF(ISNUMBER(FIND("TmDi",$BE$1:$AAL$1)),IF(IFERROR(ISNUMBER(VALUE(SUBSTITUTE($BE110:$AAL110,"B",""))),FALSE),IF(ISNUMBER(VALUE(SUBSTITUTE($BE110:$AAL110,"B",""))),1,0),0)))</f>
        <v>5</v>
      </c>
      <c r="AF110" t="str">
        <f t="shared" si="355"/>
        <v>C13</v>
      </c>
      <c r="AG110" t="str">
        <f t="shared" si="356"/>
        <v>B13</v>
      </c>
      <c r="AH110" t="str">
        <f t="shared" si="537"/>
        <v>A6.5</v>
      </c>
      <c r="AI110" s="47" cm="1">
        <f t="array" ref="AI110">IF(COUNTIFS(AH$2:AH110,AH110)=1,"1",VALUE(SUBSTITUTE(INDEX(AI:AI,_xlfn.XMATCH(AH110,AH$1:AH109,0,-1)),"A",""))+INDEX(AJ:AJ,_xlfn.XMATCH(AH110,AH$1:AH109,0,-1))+1)</f>
        <v>4</v>
      </c>
      <c r="AJ110" s="41" cm="1">
        <f t="array" ref="AJ110">SUM(IF(ISNUMBER(FIND("TmDo",$BE$1:$AAL$1)),IF(IFERROR(ISNUMBER(VALUE(SUBSTITUTE($BE110:$AAL110,"B",""))),FALSE),IF(ISNUMBER(VALUE(SUBSTITUTE($BE110:$AAL110,"B",""))),1,0),0)))</f>
        <v>2</v>
      </c>
      <c r="AK110" t="str">
        <f t="shared" si="628"/>
        <v>4A</v>
      </c>
      <c r="AL110" t="str">
        <f t="shared" si="629"/>
        <v>4B</v>
      </c>
      <c r="AM110" t="s">
        <v>216</v>
      </c>
      <c r="AP110" t="s">
        <v>489</v>
      </c>
      <c r="AQ110" t="s">
        <v>744</v>
      </c>
      <c r="AT110" t="s">
        <v>132</v>
      </c>
      <c r="AU110" t="s">
        <v>133</v>
      </c>
      <c r="BD110" s="14"/>
      <c r="BE110" s="22" t="str">
        <f t="shared" si="598"/>
        <v>XT43</v>
      </c>
      <c r="BF110" t="str">
        <f t="shared" si="599"/>
        <v>C14</v>
      </c>
      <c r="BG110" t="str">
        <f t="shared" si="600"/>
        <v>B14</v>
      </c>
      <c r="BH110" t="str">
        <f t="shared" si="601"/>
        <v>C15</v>
      </c>
      <c r="BI110" t="str">
        <f t="shared" si="602"/>
        <v>B15</v>
      </c>
      <c r="BJ110" t="str">
        <f t="shared" si="603"/>
        <v>C16</v>
      </c>
      <c r="BK110" t="str">
        <f t="shared" si="604"/>
        <v>B16</v>
      </c>
      <c r="BL110" t="str">
        <f t="shared" si="605"/>
        <v>C17</v>
      </c>
      <c r="BM110" t="str">
        <f t="shared" si="606"/>
        <v>B17</v>
      </c>
      <c r="BN110" t="str">
        <f t="shared" si="607"/>
        <v>C18</v>
      </c>
      <c r="BO110" t="str">
        <f t="shared" si="608"/>
        <v>B18</v>
      </c>
      <c r="BP110" t="str">
        <f t="shared" si="370"/>
        <v>5A</v>
      </c>
      <c r="BQ110" t="str">
        <f t="shared" si="371"/>
        <v>5B</v>
      </c>
      <c r="BR110" t="str">
        <f t="shared" si="372"/>
        <v>6A</v>
      </c>
      <c r="BS110" t="str">
        <f t="shared" si="373"/>
        <v>6B</v>
      </c>
      <c r="BT110" t="str">
        <f t="shared" si="609"/>
        <v>DI8-C13</v>
      </c>
      <c r="BU110" t="str">
        <f t="shared" si="610"/>
        <v>DI8-B13</v>
      </c>
      <c r="BV110" t="str">
        <f t="shared" si="611"/>
        <v>DI8-C14</v>
      </c>
      <c r="BW110" t="str">
        <f t="shared" si="612"/>
        <v>DI8-B14</v>
      </c>
      <c r="BX110" t="str">
        <f t="shared" si="613"/>
        <v>DI8-C15</v>
      </c>
      <c r="BY110" t="str">
        <f t="shared" si="614"/>
        <v>DI8-B15</v>
      </c>
      <c r="BZ110" t="str">
        <f t="shared" si="615"/>
        <v>DI8-C16</v>
      </c>
      <c r="CA110" t="str">
        <f t="shared" si="616"/>
        <v>DI8-B16</v>
      </c>
      <c r="CB110" t="str">
        <f t="shared" si="617"/>
        <v>DI8-C17</v>
      </c>
      <c r="CC110" t="str">
        <f t="shared" si="618"/>
        <v>DI8-B17</v>
      </c>
      <c r="CD110" t="str">
        <f t="shared" si="619"/>
        <v>DI8-C18</v>
      </c>
      <c r="CE110" t="str">
        <f t="shared" si="620"/>
        <v>DI8-B18</v>
      </c>
      <c r="CF110" t="str">
        <f t="shared" si="621"/>
        <v>DO5-4A</v>
      </c>
      <c r="CG110" t="str">
        <f t="shared" si="622"/>
        <v>DO5-4B</v>
      </c>
      <c r="CH110" t="str">
        <f t="shared" si="623"/>
        <v>DO5-5A</v>
      </c>
      <c r="CI110" t="str">
        <f t="shared" si="624"/>
        <v>DO5-5B</v>
      </c>
      <c r="CJ110" t="str">
        <f t="shared" si="625"/>
        <v>DO5-6A</v>
      </c>
      <c r="CK110" t="str">
        <f t="shared" si="626"/>
        <v>DO5-6B</v>
      </c>
      <c r="CL110" t="str">
        <f t="shared" si="392"/>
        <v>K43-10</v>
      </c>
      <c r="CM110" t="str">
        <f t="shared" si="393"/>
        <v>K43-03</v>
      </c>
      <c r="CN110" t="str">
        <f t="shared" si="394"/>
        <v>K43-04</v>
      </c>
      <c r="CO110" t="str">
        <f t="shared" si="395"/>
        <v>K43-01</v>
      </c>
      <c r="CP110" t="str">
        <f t="shared" si="396"/>
        <v>K43-08</v>
      </c>
      <c r="CQ110" t="str">
        <f t="shared" si="397"/>
        <v>K43-02</v>
      </c>
      <c r="CR110" t="str">
        <f t="shared" si="398"/>
        <v>K43-09</v>
      </c>
      <c r="CS110" t="str">
        <f t="shared" si="399"/>
        <v>K43-05</v>
      </c>
      <c r="CT110" t="str">
        <f t="shared" si="400"/>
        <v>K43-11</v>
      </c>
      <c r="CU110" t="str">
        <f t="shared" si="401"/>
        <v>N1-M43-A9</v>
      </c>
      <c r="CV110" t="str">
        <f t="shared" si="402"/>
        <v>N1-M43-A7</v>
      </c>
      <c r="CW110" t="str">
        <f t="shared" si="403"/>
        <v>N1-M43-A8</v>
      </c>
      <c r="CX110" t="str">
        <f t="shared" si="404"/>
        <v>N1-M43-A6</v>
      </c>
      <c r="CY110" t="str">
        <f t="shared" si="405"/>
        <v>N1-M43-A30</v>
      </c>
      <c r="CZ110" t="str">
        <f t="shared" si="406"/>
        <v>N1-M43-N</v>
      </c>
      <c r="DA110" t="str">
        <f t="shared" si="627"/>
        <v>N1-A220-M43</v>
      </c>
      <c r="DB110" t="str">
        <f t="shared" si="408"/>
        <v>N1-M43-XM01</v>
      </c>
      <c r="DC110" t="str">
        <f t="shared" si="409"/>
        <v>N1-M43-A1</v>
      </c>
      <c r="DD110" t="str">
        <f t="shared" si="410"/>
        <v>N1-M43-A5</v>
      </c>
      <c r="DE110" t="str">
        <f t="shared" si="411"/>
        <v>N1-M43-A11</v>
      </c>
      <c r="DF110" t="str">
        <f t="shared" si="412"/>
        <v>N1-M43-A12</v>
      </c>
      <c r="DG110" t="str">
        <f t="shared" si="413"/>
        <v>N1-M43-A19</v>
      </c>
      <c r="DH110" t="str">
        <f t="shared" si="414"/>
        <v>N1-M43-A20</v>
      </c>
      <c r="DI110" t="s">
        <v>135</v>
      </c>
      <c r="DJ110" t="s">
        <v>136</v>
      </c>
      <c r="DK110">
        <v>11</v>
      </c>
      <c r="DL110">
        <v>14</v>
      </c>
      <c r="DM110">
        <v>12</v>
      </c>
      <c r="DN110" t="s">
        <v>137</v>
      </c>
      <c r="DO110" t="s">
        <v>138</v>
      </c>
      <c r="DP110">
        <v>1</v>
      </c>
      <c r="DQ110">
        <v>2</v>
      </c>
      <c r="DR110">
        <v>3</v>
      </c>
      <c r="DS110">
        <v>4</v>
      </c>
      <c r="DT110">
        <v>5</v>
      </c>
      <c r="DU110">
        <v>6</v>
      </c>
      <c r="DV110">
        <v>7</v>
      </c>
      <c r="DW110">
        <v>8</v>
      </c>
      <c r="DX110">
        <v>9</v>
      </c>
      <c r="DY110">
        <v>10</v>
      </c>
      <c r="DZ110">
        <v>11</v>
      </c>
      <c r="EA110">
        <v>12</v>
      </c>
      <c r="EB110">
        <v>13</v>
      </c>
      <c r="EC110">
        <v>14</v>
      </c>
      <c r="ED110">
        <v>1</v>
      </c>
      <c r="EE110">
        <v>3</v>
      </c>
      <c r="EF110">
        <v>4</v>
      </c>
      <c r="EG110">
        <v>7</v>
      </c>
      <c r="EH110">
        <v>8</v>
      </c>
      <c r="EI110">
        <v>9</v>
      </c>
      <c r="EJ110">
        <v>10</v>
      </c>
      <c r="EK110">
        <v>13</v>
      </c>
      <c r="EL110">
        <v>14</v>
      </c>
      <c r="EM110">
        <v>15</v>
      </c>
      <c r="EN110">
        <v>16</v>
      </c>
      <c r="EO110">
        <v>22</v>
      </c>
      <c r="EP110">
        <v>23</v>
      </c>
      <c r="EQ110" s="14">
        <v>24</v>
      </c>
    </row>
    <row r="111" spans="1:147" x14ac:dyDescent="0.25">
      <c r="A111" s="44" t="s">
        <v>1025</v>
      </c>
      <c r="B111" t="s">
        <v>822</v>
      </c>
      <c r="C111" s="3"/>
      <c r="O111" s="2"/>
      <c r="P111" t="s">
        <v>126</v>
      </c>
      <c r="Q111" s="1"/>
      <c r="S111" s="1" t="s">
        <v>127</v>
      </c>
      <c r="T111" s="12" t="s">
        <v>487</v>
      </c>
      <c r="U111" s="40">
        <v>44</v>
      </c>
      <c r="V111" s="13" t="s">
        <v>813</v>
      </c>
      <c r="W111" s="13"/>
      <c r="AC111" t="str">
        <f t="shared" si="415"/>
        <v>A5.8</v>
      </c>
      <c r="AD111" s="36" cm="1">
        <f t="array" ref="AD111">IF(COUNTIFS(AC$2:AC111,AC111)=1,"1",VALUE(SUBSTITUTE(INDEX(AD:AD,_xlfn.XMATCH(AC111,AC$1:AC110,0,-1)),"A",""))+INDEX(AE:AE,_xlfn.XMATCH(AC111,AC$1:AC110,0,-1))+1)</f>
        <v>19</v>
      </c>
      <c r="AE111" s="36" cm="1">
        <f t="array" ref="AE111">SUM(IF(ISNUMBER(FIND("TmDi",$BE$1:$AAL$1)),IF(IFERROR(ISNUMBER(VALUE(SUBSTITUTE($BE111:$AAL111,"B",""))),FALSE),IF(ISNUMBER(VALUE(SUBSTITUTE($BE111:$AAL111,"B",""))),1,0),0)))</f>
        <v>5</v>
      </c>
      <c r="AF111" t="str">
        <f t="shared" si="355"/>
        <v>C19</v>
      </c>
      <c r="AG111" t="str">
        <f t="shared" si="356"/>
        <v>B19</v>
      </c>
      <c r="AH111" t="str">
        <f t="shared" si="537"/>
        <v>A6.5</v>
      </c>
      <c r="AI111" s="47" cm="1">
        <f t="array" ref="AI111">IF(COUNTIFS(AH$2:AH111,AH111)=1,"1",VALUE(SUBSTITUTE(INDEX(AI:AI,_xlfn.XMATCH(AH111,AH$1:AH110,0,-1)),"A",""))+INDEX(AJ:AJ,_xlfn.XMATCH(AH111,AH$1:AH110,0,-1))+1)</f>
        <v>7</v>
      </c>
      <c r="AJ111" s="41" cm="1">
        <f t="array" ref="AJ111">SUM(IF(ISNUMBER(FIND("TmDo",$BE$1:$AAL$1)),IF(IFERROR(ISNUMBER(VALUE(SUBSTITUTE($BE111:$AAL111,"B",""))),FALSE),IF(ISNUMBER(VALUE(SUBSTITUTE($BE111:$AAL111,"B",""))),1,0),0)))</f>
        <v>2</v>
      </c>
      <c r="AK111" t="str">
        <f t="shared" si="628"/>
        <v>7A</v>
      </c>
      <c r="AL111" t="str">
        <f t="shared" si="629"/>
        <v>7B</v>
      </c>
      <c r="AM111" t="s">
        <v>217</v>
      </c>
      <c r="AP111" t="s">
        <v>489</v>
      </c>
      <c r="AQ111" t="s">
        <v>744</v>
      </c>
      <c r="AT111" t="s">
        <v>132</v>
      </c>
      <c r="AU111" t="s">
        <v>133</v>
      </c>
      <c r="BD111" s="14"/>
      <c r="BE111" s="22" t="str">
        <f t="shared" si="598"/>
        <v>XT44</v>
      </c>
      <c r="BF111" t="str">
        <f t="shared" si="599"/>
        <v>C20</v>
      </c>
      <c r="BG111" t="str">
        <f t="shared" si="600"/>
        <v>B20</v>
      </c>
      <c r="BH111" t="str">
        <f t="shared" si="601"/>
        <v>C21</v>
      </c>
      <c r="BI111" t="str">
        <f t="shared" si="602"/>
        <v>B21</v>
      </c>
      <c r="BJ111" t="str">
        <f t="shared" si="603"/>
        <v>C22</v>
      </c>
      <c r="BK111" t="str">
        <f t="shared" si="604"/>
        <v>B22</v>
      </c>
      <c r="BL111" t="str">
        <f t="shared" si="605"/>
        <v>C23</v>
      </c>
      <c r="BM111" t="str">
        <f t="shared" si="606"/>
        <v>B23</v>
      </c>
      <c r="BN111" t="str">
        <f t="shared" si="607"/>
        <v>C24</v>
      </c>
      <c r="BO111" t="str">
        <f t="shared" si="608"/>
        <v>B24</v>
      </c>
      <c r="BP111" t="str">
        <f t="shared" si="370"/>
        <v>8A</v>
      </c>
      <c r="BQ111" t="str">
        <f t="shared" si="371"/>
        <v>8B</v>
      </c>
      <c r="BR111" t="str">
        <f t="shared" si="372"/>
        <v>9A</v>
      </c>
      <c r="BS111" t="str">
        <f t="shared" si="373"/>
        <v>9B</v>
      </c>
      <c r="BT111" t="str">
        <f t="shared" si="609"/>
        <v>DI8-C19</v>
      </c>
      <c r="BU111" t="str">
        <f t="shared" si="610"/>
        <v>DI8-B19</v>
      </c>
      <c r="BV111" t="str">
        <f t="shared" si="611"/>
        <v>DI8-C20</v>
      </c>
      <c r="BW111" t="str">
        <f t="shared" si="612"/>
        <v>DI8-B20</v>
      </c>
      <c r="BX111" t="str">
        <f t="shared" si="613"/>
        <v>DI8-C21</v>
      </c>
      <c r="BY111" t="str">
        <f t="shared" si="614"/>
        <v>DI8-B21</v>
      </c>
      <c r="BZ111" t="str">
        <f t="shared" si="615"/>
        <v>DI8-C22</v>
      </c>
      <c r="CA111" t="str">
        <f t="shared" si="616"/>
        <v>DI8-B22</v>
      </c>
      <c r="CB111" t="str">
        <f t="shared" si="617"/>
        <v>DI8-C23</v>
      </c>
      <c r="CC111" t="str">
        <f t="shared" si="618"/>
        <v>DI8-B23</v>
      </c>
      <c r="CD111" t="str">
        <f t="shared" si="619"/>
        <v>DI8-C24</v>
      </c>
      <c r="CE111" t="str">
        <f t="shared" si="620"/>
        <v>DI8-B24</v>
      </c>
      <c r="CF111" t="str">
        <f t="shared" si="621"/>
        <v>DO5-7A</v>
      </c>
      <c r="CG111" t="str">
        <f t="shared" si="622"/>
        <v>DO5-7B</v>
      </c>
      <c r="CH111" t="str">
        <f t="shared" si="623"/>
        <v>DO5-8A</v>
      </c>
      <c r="CI111" t="str">
        <f t="shared" si="624"/>
        <v>DO5-8B</v>
      </c>
      <c r="CJ111" t="str">
        <f t="shared" si="625"/>
        <v>DO5-9A</v>
      </c>
      <c r="CK111" t="str">
        <f t="shared" si="626"/>
        <v>DO5-9B</v>
      </c>
      <c r="CL111" t="str">
        <f t="shared" si="392"/>
        <v>K44-10</v>
      </c>
      <c r="CM111" t="str">
        <f t="shared" si="393"/>
        <v>K44-03</v>
      </c>
      <c r="CN111" t="str">
        <f t="shared" si="394"/>
        <v>K44-04</v>
      </c>
      <c r="CO111" t="str">
        <f t="shared" si="395"/>
        <v>K44-01</v>
      </c>
      <c r="CP111" t="str">
        <f t="shared" si="396"/>
        <v>K44-08</v>
      </c>
      <c r="CQ111" t="str">
        <f t="shared" si="397"/>
        <v>K44-02</v>
      </c>
      <c r="CR111" t="str">
        <f t="shared" si="398"/>
        <v>K44-09</v>
      </c>
      <c r="CS111" t="str">
        <f t="shared" si="399"/>
        <v>K44-05</v>
      </c>
      <c r="CT111" t="str">
        <f t="shared" si="400"/>
        <v>K44-11</v>
      </c>
      <c r="CU111" t="str">
        <f t="shared" si="401"/>
        <v>N1-M44-A9</v>
      </c>
      <c r="CV111" t="str">
        <f t="shared" si="402"/>
        <v>N1-M44-A7</v>
      </c>
      <c r="CW111" t="str">
        <f t="shared" si="403"/>
        <v>N1-M44-A8</v>
      </c>
      <c r="CX111" t="str">
        <f t="shared" si="404"/>
        <v>N1-M44-A6</v>
      </c>
      <c r="CY111" t="str">
        <f t="shared" si="405"/>
        <v>N1-M44-A30</v>
      </c>
      <c r="CZ111" t="str">
        <f t="shared" si="406"/>
        <v>N1-M44-N</v>
      </c>
      <c r="DA111" t="str">
        <f t="shared" si="627"/>
        <v>N1-A220-M44</v>
      </c>
      <c r="DB111" t="str">
        <f t="shared" si="408"/>
        <v>N1-M44-XM01</v>
      </c>
      <c r="DC111" t="str">
        <f t="shared" si="409"/>
        <v>N1-M44-A1</v>
      </c>
      <c r="DD111" t="str">
        <f t="shared" si="410"/>
        <v>N1-M44-A5</v>
      </c>
      <c r="DE111" t="str">
        <f t="shared" si="411"/>
        <v>N1-M44-A11</v>
      </c>
      <c r="DF111" t="str">
        <f t="shared" si="412"/>
        <v>N1-M44-A12</v>
      </c>
      <c r="DG111" t="str">
        <f t="shared" si="413"/>
        <v>N1-M44-A19</v>
      </c>
      <c r="DH111" t="str">
        <f t="shared" si="414"/>
        <v>N1-M44-A20</v>
      </c>
      <c r="DI111" t="s">
        <v>135</v>
      </c>
      <c r="DJ111" t="s">
        <v>136</v>
      </c>
      <c r="DK111">
        <v>11</v>
      </c>
      <c r="DL111">
        <v>14</v>
      </c>
      <c r="DM111">
        <v>12</v>
      </c>
      <c r="DN111" t="s">
        <v>137</v>
      </c>
      <c r="DO111" t="s">
        <v>138</v>
      </c>
      <c r="DP111">
        <v>1</v>
      </c>
      <c r="DQ111">
        <v>2</v>
      </c>
      <c r="DR111">
        <v>3</v>
      </c>
      <c r="DS111">
        <v>4</v>
      </c>
      <c r="DT111">
        <v>5</v>
      </c>
      <c r="DU111">
        <v>6</v>
      </c>
      <c r="DV111">
        <v>7</v>
      </c>
      <c r="DW111">
        <v>8</v>
      </c>
      <c r="DX111">
        <v>9</v>
      </c>
      <c r="DY111">
        <v>10</v>
      </c>
      <c r="DZ111">
        <v>11</v>
      </c>
      <c r="EA111">
        <v>12</v>
      </c>
      <c r="EB111">
        <v>13</v>
      </c>
      <c r="EC111">
        <v>14</v>
      </c>
      <c r="ED111">
        <v>1</v>
      </c>
      <c r="EE111">
        <v>3</v>
      </c>
      <c r="EF111">
        <v>4</v>
      </c>
      <c r="EG111">
        <v>7</v>
      </c>
      <c r="EH111">
        <v>8</v>
      </c>
      <c r="EI111">
        <v>9</v>
      </c>
      <c r="EJ111">
        <v>10</v>
      </c>
      <c r="EK111">
        <v>13</v>
      </c>
      <c r="EL111">
        <v>14</v>
      </c>
      <c r="EM111">
        <v>15</v>
      </c>
      <c r="EN111">
        <v>16</v>
      </c>
      <c r="EO111">
        <v>22</v>
      </c>
      <c r="EP111">
        <v>23</v>
      </c>
      <c r="EQ111" s="14">
        <v>24</v>
      </c>
    </row>
    <row r="112" spans="1:147" x14ac:dyDescent="0.25">
      <c r="A112" s="44" t="s">
        <v>1026</v>
      </c>
      <c r="B112" t="s">
        <v>823</v>
      </c>
      <c r="C112" s="3"/>
      <c r="O112" s="2"/>
      <c r="P112" t="s">
        <v>126</v>
      </c>
      <c r="Q112" s="1"/>
      <c r="S112" s="1" t="s">
        <v>127</v>
      </c>
      <c r="T112" s="12" t="s">
        <v>487</v>
      </c>
      <c r="U112" s="40">
        <v>45</v>
      </c>
      <c r="V112" s="13" t="s">
        <v>814</v>
      </c>
      <c r="W112" s="13"/>
      <c r="AC112" t="str">
        <f t="shared" si="415"/>
        <v>A5.8</v>
      </c>
      <c r="AD112" s="36" cm="1">
        <f t="array" ref="AD112">IF(COUNTIFS(AC$2:AC112,AC112)=1,"1",VALUE(SUBSTITUTE(INDEX(AD:AD,_xlfn.XMATCH(AC112,AC$1:AC111,0,-1)),"A",""))+INDEX(AE:AE,_xlfn.XMATCH(AC112,AC$1:AC111,0,-1))+1)</f>
        <v>25</v>
      </c>
      <c r="AE112" s="36" cm="1">
        <f t="array" ref="AE112">SUM(IF(ISNUMBER(FIND("TmDi",$BE$1:$AAL$1)),IF(IFERROR(ISNUMBER(VALUE(SUBSTITUTE($BE112:$AAL112,"B",""))),FALSE),IF(ISNUMBER(VALUE(SUBSTITUTE($BE112:$AAL112,"B",""))),1,0),0)))</f>
        <v>5</v>
      </c>
      <c r="AF112" t="str">
        <f t="shared" si="355"/>
        <v>C25</v>
      </c>
      <c r="AG112" t="str">
        <f t="shared" si="356"/>
        <v>B25</v>
      </c>
      <c r="AH112" t="str">
        <f t="shared" si="537"/>
        <v>A6.5</v>
      </c>
      <c r="AI112" s="47" cm="1">
        <f t="array" ref="AI112">IF(COUNTIFS(AH$2:AH112,AH112)=1,"1",VALUE(SUBSTITUTE(INDEX(AI:AI,_xlfn.XMATCH(AH112,AH$1:AH111,0,-1)),"A",""))+INDEX(AJ:AJ,_xlfn.XMATCH(AH112,AH$1:AH111,0,-1))+1)</f>
        <v>10</v>
      </c>
      <c r="AJ112" s="41" cm="1">
        <f t="array" ref="AJ112">SUM(IF(ISNUMBER(FIND("TmDo",$BE$1:$AAL$1)),IF(IFERROR(ISNUMBER(VALUE(SUBSTITUTE($BE112:$AAL112,"B",""))),FALSE),IF(ISNUMBER(VALUE(SUBSTITUTE($BE112:$AAL112,"B",""))),1,0),0)))</f>
        <v>2</v>
      </c>
      <c r="AK112" t="str">
        <f t="shared" si="628"/>
        <v>10A</v>
      </c>
      <c r="AL112" t="str">
        <f t="shared" si="629"/>
        <v>10B</v>
      </c>
      <c r="AM112" t="s">
        <v>218</v>
      </c>
      <c r="AP112" t="s">
        <v>489</v>
      </c>
      <c r="AQ112" t="s">
        <v>744</v>
      </c>
      <c r="AT112" t="s">
        <v>132</v>
      </c>
      <c r="AU112" t="s">
        <v>133</v>
      </c>
      <c r="BD112" s="14"/>
      <c r="BE112" s="22" t="str">
        <f t="shared" si="598"/>
        <v>XT45</v>
      </c>
      <c r="BF112" t="str">
        <f t="shared" si="599"/>
        <v>C26</v>
      </c>
      <c r="BG112" t="str">
        <f t="shared" si="600"/>
        <v>B26</v>
      </c>
      <c r="BH112" t="str">
        <f t="shared" si="601"/>
        <v>C27</v>
      </c>
      <c r="BI112" t="str">
        <f t="shared" si="602"/>
        <v>B27</v>
      </c>
      <c r="BJ112" t="str">
        <f t="shared" si="603"/>
        <v>C28</v>
      </c>
      <c r="BK112" t="str">
        <f t="shared" si="604"/>
        <v>B28</v>
      </c>
      <c r="BL112" t="str">
        <f t="shared" si="605"/>
        <v>C29</v>
      </c>
      <c r="BM112" t="str">
        <f t="shared" si="606"/>
        <v>B29</v>
      </c>
      <c r="BN112" t="str">
        <f t="shared" si="607"/>
        <v>C30</v>
      </c>
      <c r="BO112" t="str">
        <f t="shared" si="608"/>
        <v>B30</v>
      </c>
      <c r="BP112" t="str">
        <f t="shared" si="370"/>
        <v>11A</v>
      </c>
      <c r="BQ112" t="str">
        <f t="shared" si="371"/>
        <v>11B</v>
      </c>
      <c r="BR112" t="str">
        <f t="shared" si="372"/>
        <v>12A</v>
      </c>
      <c r="BS112" t="str">
        <f t="shared" si="373"/>
        <v>12B</v>
      </c>
      <c r="BT112" t="str">
        <f t="shared" si="609"/>
        <v>DI8-C25</v>
      </c>
      <c r="BU112" t="str">
        <f t="shared" si="610"/>
        <v>DI8-B25</v>
      </c>
      <c r="BV112" t="str">
        <f t="shared" si="611"/>
        <v>DI8-C26</v>
      </c>
      <c r="BW112" t="str">
        <f t="shared" si="612"/>
        <v>DI8-B26</v>
      </c>
      <c r="BX112" t="str">
        <f t="shared" si="613"/>
        <v>DI8-C27</v>
      </c>
      <c r="BY112" t="str">
        <f t="shared" si="614"/>
        <v>DI8-B27</v>
      </c>
      <c r="BZ112" t="str">
        <f t="shared" si="615"/>
        <v>DI8-C28</v>
      </c>
      <c r="CA112" t="str">
        <f t="shared" si="616"/>
        <v>DI8-B28</v>
      </c>
      <c r="CB112" t="str">
        <f t="shared" si="617"/>
        <v>DI8-C29</v>
      </c>
      <c r="CC112" t="str">
        <f t="shared" si="618"/>
        <v>DI8-B29</v>
      </c>
      <c r="CD112" t="str">
        <f t="shared" si="619"/>
        <v>DI8-C30</v>
      </c>
      <c r="CE112" t="str">
        <f t="shared" si="620"/>
        <v>DI8-B30</v>
      </c>
      <c r="CF112" t="str">
        <f t="shared" si="621"/>
        <v>DO5-10A</v>
      </c>
      <c r="CG112" t="str">
        <f t="shared" si="622"/>
        <v>DO5-10B</v>
      </c>
      <c r="CH112" t="str">
        <f t="shared" si="623"/>
        <v>DO5-11A</v>
      </c>
      <c r="CI112" t="str">
        <f t="shared" si="624"/>
        <v>DO5-11B</v>
      </c>
      <c r="CJ112" t="str">
        <f t="shared" si="625"/>
        <v>DO5-12A</v>
      </c>
      <c r="CK112" t="str">
        <f t="shared" si="626"/>
        <v>DO5-12B</v>
      </c>
      <c r="CL112" t="str">
        <f t="shared" si="392"/>
        <v>K45-10</v>
      </c>
      <c r="CM112" t="str">
        <f t="shared" si="393"/>
        <v>K45-03</v>
      </c>
      <c r="CN112" t="str">
        <f t="shared" si="394"/>
        <v>K45-04</v>
      </c>
      <c r="CO112" t="str">
        <f t="shared" si="395"/>
        <v>K45-01</v>
      </c>
      <c r="CP112" t="str">
        <f t="shared" si="396"/>
        <v>K45-08</v>
      </c>
      <c r="CQ112" t="str">
        <f t="shared" si="397"/>
        <v>K45-02</v>
      </c>
      <c r="CR112" t="str">
        <f t="shared" si="398"/>
        <v>K45-09</v>
      </c>
      <c r="CS112" t="str">
        <f t="shared" si="399"/>
        <v>K45-05</v>
      </c>
      <c r="CT112" t="str">
        <f t="shared" si="400"/>
        <v>K45-11</v>
      </c>
      <c r="CU112" t="str">
        <f t="shared" si="401"/>
        <v>N1-M45-A9</v>
      </c>
      <c r="CV112" t="str">
        <f t="shared" si="402"/>
        <v>N1-M45-A7</v>
      </c>
      <c r="CW112" t="str">
        <f t="shared" si="403"/>
        <v>N1-M45-A8</v>
      </c>
      <c r="CX112" t="str">
        <f t="shared" si="404"/>
        <v>N1-M45-A6</v>
      </c>
      <c r="CY112" t="str">
        <f t="shared" si="405"/>
        <v>N1-M45-A30</v>
      </c>
      <c r="CZ112" t="str">
        <f t="shared" si="406"/>
        <v>N1-M45-N</v>
      </c>
      <c r="DA112" t="str">
        <f t="shared" si="627"/>
        <v>N1-A220-M45</v>
      </c>
      <c r="DB112" t="str">
        <f t="shared" si="408"/>
        <v>N1-M45-XM01</v>
      </c>
      <c r="DC112" t="str">
        <f t="shared" si="409"/>
        <v>N1-M45-A1</v>
      </c>
      <c r="DD112" t="str">
        <f t="shared" si="410"/>
        <v>N1-M45-A5</v>
      </c>
      <c r="DE112" t="str">
        <f t="shared" si="411"/>
        <v>N1-M45-A11</v>
      </c>
      <c r="DF112" t="str">
        <f t="shared" si="412"/>
        <v>N1-M45-A12</v>
      </c>
      <c r="DG112" t="str">
        <f t="shared" si="413"/>
        <v>N1-M45-A19</v>
      </c>
      <c r="DH112" t="str">
        <f t="shared" si="414"/>
        <v>N1-M45-A20</v>
      </c>
      <c r="DI112" t="s">
        <v>135</v>
      </c>
      <c r="DJ112" t="s">
        <v>136</v>
      </c>
      <c r="DK112">
        <v>11</v>
      </c>
      <c r="DL112">
        <v>14</v>
      </c>
      <c r="DM112">
        <v>12</v>
      </c>
      <c r="DN112" t="s">
        <v>137</v>
      </c>
      <c r="DO112" t="s">
        <v>138</v>
      </c>
      <c r="DP112">
        <v>1</v>
      </c>
      <c r="DQ112">
        <v>2</v>
      </c>
      <c r="DR112">
        <v>3</v>
      </c>
      <c r="DS112">
        <v>4</v>
      </c>
      <c r="DT112">
        <v>5</v>
      </c>
      <c r="DU112">
        <v>6</v>
      </c>
      <c r="DV112">
        <v>7</v>
      </c>
      <c r="DW112">
        <v>8</v>
      </c>
      <c r="DX112">
        <v>9</v>
      </c>
      <c r="DY112">
        <v>10</v>
      </c>
      <c r="DZ112">
        <v>11</v>
      </c>
      <c r="EA112">
        <v>12</v>
      </c>
      <c r="EB112">
        <v>13</v>
      </c>
      <c r="EC112">
        <v>14</v>
      </c>
      <c r="ED112">
        <v>1</v>
      </c>
      <c r="EE112">
        <v>3</v>
      </c>
      <c r="EF112">
        <v>4</v>
      </c>
      <c r="EG112">
        <v>7</v>
      </c>
      <c r="EH112">
        <v>8</v>
      </c>
      <c r="EI112">
        <v>9</v>
      </c>
      <c r="EJ112">
        <v>10</v>
      </c>
      <c r="EK112">
        <v>13</v>
      </c>
      <c r="EL112">
        <v>14</v>
      </c>
      <c r="EM112">
        <v>15</v>
      </c>
      <c r="EN112">
        <v>16</v>
      </c>
      <c r="EO112">
        <v>22</v>
      </c>
      <c r="EP112">
        <v>23</v>
      </c>
      <c r="EQ112" s="14">
        <v>24</v>
      </c>
    </row>
    <row r="113" spans="1:356" x14ac:dyDescent="0.25">
      <c r="A113" s="44" t="s">
        <v>1027</v>
      </c>
      <c r="B113" t="s">
        <v>828</v>
      </c>
      <c r="C113" s="3"/>
      <c r="O113" s="2"/>
      <c r="P113" t="s">
        <v>126</v>
      </c>
      <c r="Q113" s="1"/>
      <c r="S113" s="1" t="s">
        <v>127</v>
      </c>
      <c r="T113" s="12" t="s">
        <v>487</v>
      </c>
      <c r="U113" s="40">
        <v>46</v>
      </c>
      <c r="V113" s="13" t="s">
        <v>824</v>
      </c>
      <c r="W113" s="13"/>
      <c r="AC113" t="str">
        <f t="shared" ref="AC113:AC115" si="630">IF(AD112+AE112&gt;25,REPLACE(AC112,LEN(AC112),1,VALUE(RIGHT(AC112,1))+1),AC112)</f>
        <v>A5.9</v>
      </c>
      <c r="AD113" s="36" t="str" cm="1">
        <f t="array" ref="AD113">IF(COUNTIFS(AC$2:AC113,AC113)=1,"1",VALUE(SUBSTITUTE(INDEX(AD:AD,_xlfn.XMATCH(AC113,AC$1:AC112,0,-1)),"A",""))+INDEX(AE:AE,_xlfn.XMATCH(AC113,AC$1:AC112,0,-1))+1)</f>
        <v>1</v>
      </c>
      <c r="AE113" s="36" cm="1">
        <f t="array" ref="AE113">SUM(IF(ISNUMBER(FIND("TmDi",$BE$1:$AAL$1)),IF(IFERROR(ISNUMBER(VALUE(SUBSTITUTE($BE113:$AAL113,"B",""))),FALSE),IF(ISNUMBER(VALUE(SUBSTITUTE($BE113:$AAL113,"B",""))),1,0),0)))</f>
        <v>5</v>
      </c>
      <c r="AF113" t="str">
        <f t="shared" si="355"/>
        <v>C1</v>
      </c>
      <c r="AG113" t="str">
        <f t="shared" si="356"/>
        <v>B1</v>
      </c>
      <c r="AH113" t="str">
        <f t="shared" ref="AH113:AH115" si="631">IF(AI112+AJ112&gt;25,REPLACE(AH112,LEN(AH112),1,VALUE(RIGHT(AH112,1))+1),AH112)</f>
        <v>A6.5</v>
      </c>
      <c r="AI113" s="47" cm="1">
        <f t="array" ref="AI113">IF(COUNTIFS(AH$2:AH113,AH113)=1,"1",VALUE(SUBSTITUTE(INDEX(AI:AI,_xlfn.XMATCH(AH113,AH$1:AH112,0,-1)),"A",""))+INDEX(AJ:AJ,_xlfn.XMATCH(AH113,AH$1:AH112,0,-1))+1)</f>
        <v>13</v>
      </c>
      <c r="AJ113" s="41" cm="1">
        <f t="array" ref="AJ113">SUM(IF(ISNUMBER(FIND("TmDo",$BE$1:$AAL$1)),IF(IFERROR(ISNUMBER(VALUE(SUBSTITUTE($BE113:$AAL113,"B",""))),FALSE),IF(ISNUMBER(VALUE(SUBSTITUTE($BE113:$AAL113,"B",""))),1,0),0)))</f>
        <v>2</v>
      </c>
      <c r="AK113" t="str">
        <f t="shared" si="628"/>
        <v>13A</v>
      </c>
      <c r="AL113" t="str">
        <f t="shared" si="629"/>
        <v>13B</v>
      </c>
      <c r="AM113" t="s">
        <v>219</v>
      </c>
      <c r="AP113" t="s">
        <v>489</v>
      </c>
      <c r="AQ113" t="s">
        <v>744</v>
      </c>
      <c r="AT113" t="s">
        <v>132</v>
      </c>
      <c r="AU113" t="s">
        <v>133</v>
      </c>
      <c r="BD113" s="14"/>
      <c r="BE113" s="22" t="str">
        <f t="shared" ref="BE113:BE115" si="632">CONCATENATE("XT",U113)</f>
        <v>XT46</v>
      </c>
      <c r="BF113" t="str">
        <f t="shared" ref="BF113:BF115" si="633">CONCATENATE("C",REPLACE(AF113,1,1,"")+1)</f>
        <v>C2</v>
      </c>
      <c r="BG113" t="str">
        <f t="shared" ref="BG113:BG115" si="634">CONCATENATE("B",REPLACE(AG113,1,1,"")+1)</f>
        <v>B2</v>
      </c>
      <c r="BH113" t="str">
        <f t="shared" ref="BH113:BH115" si="635">CONCATENATE("C",REPLACE(BF113,1,1,"")+1)</f>
        <v>C3</v>
      </c>
      <c r="BI113" t="str">
        <f t="shared" ref="BI113:BI115" si="636">CONCATENATE("B",REPLACE(BG113,1,1,"")+1)</f>
        <v>B3</v>
      </c>
      <c r="BJ113" t="str">
        <f t="shared" ref="BJ113:BJ115" si="637">CONCATENATE("C",REPLACE(BH113,1,1,"")+1)</f>
        <v>C4</v>
      </c>
      <c r="BK113" t="str">
        <f t="shared" ref="BK113:BK115" si="638">CONCATENATE("B",REPLACE(BI113,1,1,"")+1)</f>
        <v>B4</v>
      </c>
      <c r="BL113" t="str">
        <f t="shared" ref="BL113:BL115" si="639">CONCATENATE("C",REPLACE(BJ113,1,1,"")+1)</f>
        <v>C5</v>
      </c>
      <c r="BM113" t="str">
        <f t="shared" ref="BM113:BM115" si="640">CONCATENATE("B",REPLACE(BK113,1,1,"")+1)</f>
        <v>B5</v>
      </c>
      <c r="BN113" t="str">
        <f t="shared" ref="BN113:BN115" si="641">CONCATENATE("C",REPLACE(BL113,1,1,"")+1)</f>
        <v>C6</v>
      </c>
      <c r="BO113" t="str">
        <f t="shared" ref="BO113:BO115" si="642">CONCATENATE("B",REPLACE(BM113,1,1,"")+1)</f>
        <v>B6</v>
      </c>
      <c r="BP113" t="str">
        <f t="shared" si="370"/>
        <v>14A</v>
      </c>
      <c r="BQ113" t="str">
        <f t="shared" si="371"/>
        <v>14B</v>
      </c>
      <c r="BR113" t="str">
        <f t="shared" si="372"/>
        <v>15A</v>
      </c>
      <c r="BS113" t="str">
        <f t="shared" si="373"/>
        <v>15B</v>
      </c>
      <c r="BT113" t="str">
        <f t="shared" ref="BT113:BT115" si="643">CONCATENATE("DI",REPLACE($AC113,1,3,""),"-",AF113)</f>
        <v>DI9-C1</v>
      </c>
      <c r="BU113" t="str">
        <f t="shared" ref="BU113:BU115" si="644">CONCATENATE("DI",REPLACE($AC113,1,3,""),"-",AG113)</f>
        <v>DI9-B1</v>
      </c>
      <c r="BV113" t="str">
        <f t="shared" ref="BV113:BV115" si="645">CONCATENATE("DI",REPLACE($AC113,1,3,""),"-",BF113)</f>
        <v>DI9-C2</v>
      </c>
      <c r="BW113" t="str">
        <f t="shared" ref="BW113:BW115" si="646">CONCATENATE("DI",REPLACE($AC113,1,3,""),"-",BG113)</f>
        <v>DI9-B2</v>
      </c>
      <c r="BX113" t="str">
        <f t="shared" ref="BX113:BX115" si="647">CONCATENATE("DI",REPLACE($AC113,1,3,""),"-",BH113)</f>
        <v>DI9-C3</v>
      </c>
      <c r="BY113" t="str">
        <f t="shared" ref="BY113:BY115" si="648">CONCATENATE("DI",REPLACE($AC113,1,3,""),"-",BI113)</f>
        <v>DI9-B3</v>
      </c>
      <c r="BZ113" t="str">
        <f t="shared" ref="BZ113:BZ115" si="649">CONCATENATE("DI",REPLACE($AC113,1,3,""),"-",BJ113)</f>
        <v>DI9-C4</v>
      </c>
      <c r="CA113" t="str">
        <f t="shared" ref="CA113:CA115" si="650">CONCATENATE("DI",REPLACE($AC113,1,3,""),"-",BK113)</f>
        <v>DI9-B4</v>
      </c>
      <c r="CB113" t="str">
        <f t="shared" ref="CB113:CB115" si="651">CONCATENATE("DI",REPLACE($AC113,1,3,""),"-",BL113)</f>
        <v>DI9-C5</v>
      </c>
      <c r="CC113" t="str">
        <f t="shared" ref="CC113:CC115" si="652">CONCATENATE("DI",REPLACE($AC113,1,3,""),"-",BM113)</f>
        <v>DI9-B5</v>
      </c>
      <c r="CD113" t="str">
        <f t="shared" ref="CD113:CD115" si="653">CONCATENATE("DI",REPLACE($AC113,1,3,""),"-",BN113)</f>
        <v>DI9-C6</v>
      </c>
      <c r="CE113" t="str">
        <f t="shared" ref="CE113:CE115" si="654">CONCATENATE("DI",REPLACE($AC113,1,3,""),"-",BO113)</f>
        <v>DI9-B6</v>
      </c>
      <c r="CF113" t="str">
        <f t="shared" ref="CF113:CF115" si="655">CONCATENATE("DO",REPLACE($AH113,1,3,""),"-",AK113)</f>
        <v>DO5-13A</v>
      </c>
      <c r="CG113" t="str">
        <f t="shared" ref="CG113:CG115" si="656">CONCATENATE("DO",REPLACE($AH113,1,3,""),"-",AL113)</f>
        <v>DO5-13B</v>
      </c>
      <c r="CH113" t="str">
        <f t="shared" ref="CH113:CH115" si="657">CONCATENATE("DO",REPLACE($AH113,1,3,""),"-",BP113)</f>
        <v>DO5-14A</v>
      </c>
      <c r="CI113" t="str">
        <f t="shared" ref="CI113:CI115" si="658">CONCATENATE("DO",REPLACE($AH113,1,3,""),"-",BQ113)</f>
        <v>DO5-14B</v>
      </c>
      <c r="CJ113" t="str">
        <f t="shared" ref="CJ113:CJ115" si="659">CONCATENATE("DO",REPLACE($AH113,1,3,""),"-",BR113)</f>
        <v>DO5-15A</v>
      </c>
      <c r="CK113" t="str">
        <f t="shared" ref="CK113:CK115" si="660">CONCATENATE("DO",REPLACE($AH113,1,3,""),"-",BS113)</f>
        <v>DO5-15B</v>
      </c>
      <c r="CL113" t="str">
        <f t="shared" si="392"/>
        <v>K46-10</v>
      </c>
      <c r="CM113" t="str">
        <f t="shared" si="393"/>
        <v>K46-03</v>
      </c>
      <c r="CN113" t="str">
        <f t="shared" si="394"/>
        <v>K46-04</v>
      </c>
      <c r="CO113" t="str">
        <f t="shared" si="395"/>
        <v>K46-01</v>
      </c>
      <c r="CP113" t="str">
        <f t="shared" si="396"/>
        <v>K46-08</v>
      </c>
      <c r="CQ113" t="str">
        <f t="shared" si="397"/>
        <v>K46-02</v>
      </c>
      <c r="CR113" t="str">
        <f t="shared" si="398"/>
        <v>K46-09</v>
      </c>
      <c r="CS113" t="str">
        <f t="shared" si="399"/>
        <v>K46-05</v>
      </c>
      <c r="CT113" t="str">
        <f t="shared" si="400"/>
        <v>K46-11</v>
      </c>
      <c r="CU113" t="str">
        <f t="shared" si="401"/>
        <v>N1-M46-A9</v>
      </c>
      <c r="CV113" t="str">
        <f t="shared" si="402"/>
        <v>N1-M46-A7</v>
      </c>
      <c r="CW113" t="str">
        <f t="shared" si="403"/>
        <v>N1-M46-A8</v>
      </c>
      <c r="CX113" t="str">
        <f t="shared" si="404"/>
        <v>N1-M46-A6</v>
      </c>
      <c r="CY113" t="str">
        <f t="shared" si="405"/>
        <v>N1-M46-A30</v>
      </c>
      <c r="CZ113" t="str">
        <f t="shared" si="406"/>
        <v>N1-M46-N</v>
      </c>
      <c r="DA113" t="str">
        <f t="shared" ref="DA113:DA115" si="661">CONCATENATE($T113,"-A220-M",U113)</f>
        <v>N1-A220-M46</v>
      </c>
      <c r="DB113" t="str">
        <f t="shared" si="408"/>
        <v>N1-M46-XM01</v>
      </c>
      <c r="DC113" t="str">
        <f t="shared" si="409"/>
        <v>N1-M46-A1</v>
      </c>
      <c r="DD113" t="str">
        <f t="shared" si="410"/>
        <v>N1-M46-A5</v>
      </c>
      <c r="DE113" t="str">
        <f t="shared" si="411"/>
        <v>N1-M46-A11</v>
      </c>
      <c r="DF113" t="str">
        <f t="shared" si="412"/>
        <v>N1-M46-A12</v>
      </c>
      <c r="DG113" t="str">
        <f t="shared" si="413"/>
        <v>N1-M46-A19</v>
      </c>
      <c r="DH113" t="str">
        <f t="shared" si="414"/>
        <v>N1-M46-A20</v>
      </c>
      <c r="DI113" t="s">
        <v>135</v>
      </c>
      <c r="DJ113" t="s">
        <v>136</v>
      </c>
      <c r="DK113">
        <v>11</v>
      </c>
      <c r="DL113">
        <v>14</v>
      </c>
      <c r="DM113">
        <v>12</v>
      </c>
      <c r="DN113" t="s">
        <v>137</v>
      </c>
      <c r="DO113" t="s">
        <v>138</v>
      </c>
      <c r="DP113">
        <v>1</v>
      </c>
      <c r="DQ113">
        <v>2</v>
      </c>
      <c r="DR113">
        <v>3</v>
      </c>
      <c r="DS113">
        <v>4</v>
      </c>
      <c r="DT113">
        <v>5</v>
      </c>
      <c r="DU113">
        <v>6</v>
      </c>
      <c r="DV113">
        <v>7</v>
      </c>
      <c r="DW113">
        <v>8</v>
      </c>
      <c r="DX113">
        <v>9</v>
      </c>
      <c r="DY113">
        <v>10</v>
      </c>
      <c r="DZ113">
        <v>11</v>
      </c>
      <c r="EA113">
        <v>12</v>
      </c>
      <c r="EB113">
        <v>13</v>
      </c>
      <c r="EC113">
        <v>14</v>
      </c>
      <c r="ED113">
        <v>1</v>
      </c>
      <c r="EE113">
        <v>3</v>
      </c>
      <c r="EF113">
        <v>4</v>
      </c>
      <c r="EG113">
        <v>7</v>
      </c>
      <c r="EH113">
        <v>8</v>
      </c>
      <c r="EI113">
        <v>9</v>
      </c>
      <c r="EJ113">
        <v>10</v>
      </c>
      <c r="EK113">
        <v>13</v>
      </c>
      <c r="EL113">
        <v>14</v>
      </c>
      <c r="EM113">
        <v>15</v>
      </c>
      <c r="EN113">
        <v>16</v>
      </c>
      <c r="EO113">
        <v>22</v>
      </c>
      <c r="EP113">
        <v>23</v>
      </c>
      <c r="EQ113" s="14">
        <v>24</v>
      </c>
    </row>
    <row r="114" spans="1:356" x14ac:dyDescent="0.25">
      <c r="A114" s="44" t="s">
        <v>1028</v>
      </c>
      <c r="B114" t="s">
        <v>829</v>
      </c>
      <c r="C114" s="3"/>
      <c r="O114" s="2"/>
      <c r="P114" t="s">
        <v>126</v>
      </c>
      <c r="Q114" s="1"/>
      <c r="S114" s="1" t="s">
        <v>127</v>
      </c>
      <c r="T114" s="12" t="s">
        <v>487</v>
      </c>
      <c r="U114" s="40">
        <v>47</v>
      </c>
      <c r="V114" s="13" t="s">
        <v>825</v>
      </c>
      <c r="W114" s="13"/>
      <c r="AC114" t="str">
        <f t="shared" si="630"/>
        <v>A5.9</v>
      </c>
      <c r="AD114" s="36" cm="1">
        <f t="array" ref="AD114">IF(COUNTIFS(AC$2:AC114,AC114)=1,"1",VALUE(SUBSTITUTE(INDEX(AD:AD,_xlfn.XMATCH(AC114,AC$1:AC113,0,-1)),"A",""))+INDEX(AE:AE,_xlfn.XMATCH(AC114,AC$1:AC113,0,-1))+1)</f>
        <v>7</v>
      </c>
      <c r="AE114" s="36" cm="1">
        <f t="array" ref="AE114">SUM(IF(ISNUMBER(FIND("TmDi",$BE$1:$AAL$1)),IF(IFERROR(ISNUMBER(VALUE(SUBSTITUTE($BE114:$AAL114,"B",""))),FALSE),IF(ISNUMBER(VALUE(SUBSTITUTE($BE114:$AAL114,"B",""))),1,0),0)))</f>
        <v>5</v>
      </c>
      <c r="AF114" t="str">
        <f t="shared" si="355"/>
        <v>C7</v>
      </c>
      <c r="AG114" t="str">
        <f t="shared" si="356"/>
        <v>B7</v>
      </c>
      <c r="AH114" t="str">
        <f t="shared" si="631"/>
        <v>A6.5</v>
      </c>
      <c r="AI114" s="47" cm="1">
        <f t="array" ref="AI114">IF(COUNTIFS(AH$2:AH114,AH114)=1,"1",VALUE(SUBSTITUTE(INDEX(AI:AI,_xlfn.XMATCH(AH114,AH$1:AH113,0,-1)),"A",""))+INDEX(AJ:AJ,_xlfn.XMATCH(AH114,AH$1:AH113,0,-1))+1)</f>
        <v>16</v>
      </c>
      <c r="AJ114" s="41" cm="1">
        <f t="array" ref="AJ114">SUM(IF(ISNUMBER(FIND("TmDo",$BE$1:$AAL$1)),IF(IFERROR(ISNUMBER(VALUE(SUBSTITUTE($BE114:$AAL114,"B",""))),FALSE),IF(ISNUMBER(VALUE(SUBSTITUTE($BE114:$AAL114,"B",""))),1,0),0)))</f>
        <v>2</v>
      </c>
      <c r="AK114" t="str">
        <f t="shared" si="628"/>
        <v>16A</v>
      </c>
      <c r="AL114" t="str">
        <f t="shared" si="629"/>
        <v>16B</v>
      </c>
      <c r="AM114" t="s">
        <v>827</v>
      </c>
      <c r="AP114" t="s">
        <v>489</v>
      </c>
      <c r="AQ114" t="s">
        <v>744</v>
      </c>
      <c r="AT114" t="s">
        <v>132</v>
      </c>
      <c r="AU114" t="s">
        <v>133</v>
      </c>
      <c r="BD114" s="14"/>
      <c r="BE114" s="22" t="str">
        <f t="shared" si="632"/>
        <v>XT47</v>
      </c>
      <c r="BF114" t="str">
        <f t="shared" si="633"/>
        <v>C8</v>
      </c>
      <c r="BG114" t="str">
        <f t="shared" si="634"/>
        <v>B8</v>
      </c>
      <c r="BH114" t="str">
        <f t="shared" si="635"/>
        <v>C9</v>
      </c>
      <c r="BI114" t="str">
        <f t="shared" si="636"/>
        <v>B9</v>
      </c>
      <c r="BJ114" t="str">
        <f t="shared" si="637"/>
        <v>C10</v>
      </c>
      <c r="BK114" t="str">
        <f t="shared" si="638"/>
        <v>B10</v>
      </c>
      <c r="BL114" t="str">
        <f t="shared" si="639"/>
        <v>C11</v>
      </c>
      <c r="BM114" t="str">
        <f t="shared" si="640"/>
        <v>B11</v>
      </c>
      <c r="BN114" t="str">
        <f t="shared" si="641"/>
        <v>C12</v>
      </c>
      <c r="BO114" t="str">
        <f t="shared" si="642"/>
        <v>B12</v>
      </c>
      <c r="BP114" t="str">
        <f t="shared" si="370"/>
        <v>17A</v>
      </c>
      <c r="BQ114" t="str">
        <f t="shared" si="371"/>
        <v>17B</v>
      </c>
      <c r="BR114" t="str">
        <f t="shared" si="372"/>
        <v>18A</v>
      </c>
      <c r="BS114" t="str">
        <f t="shared" si="373"/>
        <v>18B</v>
      </c>
      <c r="BT114" t="str">
        <f t="shared" si="643"/>
        <v>DI9-C7</v>
      </c>
      <c r="BU114" t="str">
        <f t="shared" si="644"/>
        <v>DI9-B7</v>
      </c>
      <c r="BV114" t="str">
        <f t="shared" si="645"/>
        <v>DI9-C8</v>
      </c>
      <c r="BW114" t="str">
        <f t="shared" si="646"/>
        <v>DI9-B8</v>
      </c>
      <c r="BX114" t="str">
        <f t="shared" si="647"/>
        <v>DI9-C9</v>
      </c>
      <c r="BY114" t="str">
        <f t="shared" si="648"/>
        <v>DI9-B9</v>
      </c>
      <c r="BZ114" t="str">
        <f t="shared" si="649"/>
        <v>DI9-C10</v>
      </c>
      <c r="CA114" t="str">
        <f t="shared" si="650"/>
        <v>DI9-B10</v>
      </c>
      <c r="CB114" t="str">
        <f t="shared" si="651"/>
        <v>DI9-C11</v>
      </c>
      <c r="CC114" t="str">
        <f t="shared" si="652"/>
        <v>DI9-B11</v>
      </c>
      <c r="CD114" t="str">
        <f t="shared" si="653"/>
        <v>DI9-C12</v>
      </c>
      <c r="CE114" t="str">
        <f t="shared" si="654"/>
        <v>DI9-B12</v>
      </c>
      <c r="CF114" t="str">
        <f t="shared" si="655"/>
        <v>DO5-16A</v>
      </c>
      <c r="CG114" t="str">
        <f t="shared" si="656"/>
        <v>DO5-16B</v>
      </c>
      <c r="CH114" t="str">
        <f t="shared" si="657"/>
        <v>DO5-17A</v>
      </c>
      <c r="CI114" t="str">
        <f t="shared" si="658"/>
        <v>DO5-17B</v>
      </c>
      <c r="CJ114" t="str">
        <f t="shared" si="659"/>
        <v>DO5-18A</v>
      </c>
      <c r="CK114" t="str">
        <f t="shared" si="660"/>
        <v>DO5-18B</v>
      </c>
      <c r="CL114" t="str">
        <f t="shared" si="392"/>
        <v>K47-10</v>
      </c>
      <c r="CM114" t="str">
        <f t="shared" si="393"/>
        <v>K47-03</v>
      </c>
      <c r="CN114" t="str">
        <f t="shared" si="394"/>
        <v>K47-04</v>
      </c>
      <c r="CO114" t="str">
        <f t="shared" si="395"/>
        <v>K47-01</v>
      </c>
      <c r="CP114" t="str">
        <f t="shared" si="396"/>
        <v>K47-08</v>
      </c>
      <c r="CQ114" t="str">
        <f t="shared" si="397"/>
        <v>K47-02</v>
      </c>
      <c r="CR114" t="str">
        <f t="shared" si="398"/>
        <v>K47-09</v>
      </c>
      <c r="CS114" t="str">
        <f t="shared" si="399"/>
        <v>K47-05</v>
      </c>
      <c r="CT114" t="str">
        <f t="shared" si="400"/>
        <v>K47-11</v>
      </c>
      <c r="CU114" t="str">
        <f t="shared" si="401"/>
        <v>N1-M47-A9</v>
      </c>
      <c r="CV114" t="str">
        <f t="shared" si="402"/>
        <v>N1-M47-A7</v>
      </c>
      <c r="CW114" t="str">
        <f t="shared" si="403"/>
        <v>N1-M47-A8</v>
      </c>
      <c r="CX114" t="str">
        <f t="shared" si="404"/>
        <v>N1-M47-A6</v>
      </c>
      <c r="CY114" t="str">
        <f t="shared" si="405"/>
        <v>N1-M47-A30</v>
      </c>
      <c r="CZ114" t="str">
        <f t="shared" si="406"/>
        <v>N1-M47-N</v>
      </c>
      <c r="DA114" t="str">
        <f t="shared" si="661"/>
        <v>N1-A220-M47</v>
      </c>
      <c r="DB114" t="str">
        <f t="shared" si="408"/>
        <v>N1-M47-XM01</v>
      </c>
      <c r="DC114" t="str">
        <f t="shared" si="409"/>
        <v>N1-M47-A1</v>
      </c>
      <c r="DD114" t="str">
        <f t="shared" si="410"/>
        <v>N1-M47-A5</v>
      </c>
      <c r="DE114" t="str">
        <f t="shared" si="411"/>
        <v>N1-M47-A11</v>
      </c>
      <c r="DF114" t="str">
        <f t="shared" si="412"/>
        <v>N1-M47-A12</v>
      </c>
      <c r="DG114" t="str">
        <f t="shared" si="413"/>
        <v>N1-M47-A19</v>
      </c>
      <c r="DH114" t="str">
        <f t="shared" si="414"/>
        <v>N1-M47-A20</v>
      </c>
      <c r="DI114" t="s">
        <v>135</v>
      </c>
      <c r="DJ114" t="s">
        <v>136</v>
      </c>
      <c r="DK114">
        <v>11</v>
      </c>
      <c r="DL114">
        <v>14</v>
      </c>
      <c r="DM114">
        <v>12</v>
      </c>
      <c r="DN114" t="s">
        <v>137</v>
      </c>
      <c r="DO114" t="s">
        <v>138</v>
      </c>
      <c r="DP114">
        <v>1</v>
      </c>
      <c r="DQ114">
        <v>2</v>
      </c>
      <c r="DR114">
        <v>3</v>
      </c>
      <c r="DS114">
        <v>4</v>
      </c>
      <c r="DT114">
        <v>5</v>
      </c>
      <c r="DU114">
        <v>6</v>
      </c>
      <c r="DV114">
        <v>7</v>
      </c>
      <c r="DW114">
        <v>8</v>
      </c>
      <c r="DX114">
        <v>9</v>
      </c>
      <c r="DY114">
        <v>10</v>
      </c>
      <c r="DZ114">
        <v>11</v>
      </c>
      <c r="EA114">
        <v>12</v>
      </c>
      <c r="EB114">
        <v>13</v>
      </c>
      <c r="EC114">
        <v>14</v>
      </c>
      <c r="ED114">
        <v>1</v>
      </c>
      <c r="EE114">
        <v>3</v>
      </c>
      <c r="EF114">
        <v>4</v>
      </c>
      <c r="EG114">
        <v>7</v>
      </c>
      <c r="EH114">
        <v>8</v>
      </c>
      <c r="EI114">
        <v>9</v>
      </c>
      <c r="EJ114">
        <v>10</v>
      </c>
      <c r="EK114">
        <v>13</v>
      </c>
      <c r="EL114">
        <v>14</v>
      </c>
      <c r="EM114">
        <v>15</v>
      </c>
      <c r="EN114">
        <v>16</v>
      </c>
      <c r="EO114">
        <v>22</v>
      </c>
      <c r="EP114">
        <v>23</v>
      </c>
      <c r="EQ114" s="14">
        <v>24</v>
      </c>
    </row>
    <row r="115" spans="1:356" ht="15.75" thickBot="1" x14ac:dyDescent="0.3">
      <c r="A115" s="44" t="s">
        <v>1029</v>
      </c>
      <c r="B115" t="s">
        <v>830</v>
      </c>
      <c r="C115" s="3"/>
      <c r="O115" s="2"/>
      <c r="P115" t="s">
        <v>126</v>
      </c>
      <c r="Q115" s="1"/>
      <c r="S115" s="1" t="s">
        <v>127</v>
      </c>
      <c r="T115" s="12" t="s">
        <v>487</v>
      </c>
      <c r="U115" s="40">
        <v>48</v>
      </c>
      <c r="V115" s="13" t="s">
        <v>826</v>
      </c>
      <c r="W115" s="13"/>
      <c r="AC115" t="str">
        <f t="shared" si="630"/>
        <v>A5.9</v>
      </c>
      <c r="AD115" s="36" cm="1">
        <f t="array" ref="AD115">IF(COUNTIFS(AC$2:AC115,AC115)=1,"1",VALUE(SUBSTITUTE(INDEX(AD:AD,_xlfn.XMATCH(AC115,AC$1:AC114,0,-1)),"A",""))+INDEX(AE:AE,_xlfn.XMATCH(AC115,AC$1:AC114,0,-1))+1)</f>
        <v>13</v>
      </c>
      <c r="AE115" s="36" cm="1">
        <f t="array" ref="AE115">SUM(IF(ISNUMBER(FIND("TmDi",$BE$1:$AAL$1)),IF(IFERROR(ISNUMBER(VALUE(SUBSTITUTE($BE115:$AAL115,"B",""))),FALSE),IF(ISNUMBER(VALUE(SUBSTITUTE($BE115:$AAL115,"B",""))),1,0),0)))</f>
        <v>5</v>
      </c>
      <c r="AF115" t="str">
        <f t="shared" si="355"/>
        <v>C13</v>
      </c>
      <c r="AG115" t="str">
        <f t="shared" si="356"/>
        <v>B13</v>
      </c>
      <c r="AH115" t="str">
        <f t="shared" si="631"/>
        <v>A6.5</v>
      </c>
      <c r="AI115" s="47" cm="1">
        <f t="array" ref="AI115">IF(COUNTIFS(AH$2:AH115,AH115)=1,"1",VALUE(SUBSTITUTE(INDEX(AI:AI,_xlfn.XMATCH(AH115,AH$1:AH114,0,-1)),"A",""))+INDEX(AJ:AJ,_xlfn.XMATCH(AH115,AH$1:AH114,0,-1))+1)</f>
        <v>19</v>
      </c>
      <c r="AJ115" s="41" cm="1">
        <f t="array" ref="AJ115">SUM(IF(ISNUMBER(FIND("TmDo",$BE$1:$AAL$1)),IF(IFERROR(ISNUMBER(VALUE(SUBSTITUTE($BE115:$AAL115,"B",""))),FALSE),IF(ISNUMBER(VALUE(SUBSTITUTE($BE115:$AAL115,"B",""))),1,0),0)))</f>
        <v>2</v>
      </c>
      <c r="AK115" t="str">
        <f t="shared" si="628"/>
        <v>19A</v>
      </c>
      <c r="AL115" t="str">
        <f t="shared" si="629"/>
        <v>19B</v>
      </c>
      <c r="AM115" t="s">
        <v>220</v>
      </c>
      <c r="AP115" t="s">
        <v>489</v>
      </c>
      <c r="AQ115" t="s">
        <v>744</v>
      </c>
      <c r="AT115" t="s">
        <v>132</v>
      </c>
      <c r="AU115" t="s">
        <v>133</v>
      </c>
      <c r="BD115" s="14"/>
      <c r="BE115" s="23" t="str">
        <f t="shared" si="632"/>
        <v>XT48</v>
      </c>
      <c r="BF115" s="16" t="str">
        <f t="shared" si="633"/>
        <v>C14</v>
      </c>
      <c r="BG115" s="16" t="str">
        <f t="shared" si="634"/>
        <v>B14</v>
      </c>
      <c r="BH115" s="16" t="str">
        <f t="shared" si="635"/>
        <v>C15</v>
      </c>
      <c r="BI115" s="16" t="str">
        <f t="shared" si="636"/>
        <v>B15</v>
      </c>
      <c r="BJ115" s="16" t="str">
        <f t="shared" si="637"/>
        <v>C16</v>
      </c>
      <c r="BK115" s="16" t="str">
        <f t="shared" si="638"/>
        <v>B16</v>
      </c>
      <c r="BL115" s="16" t="str">
        <f t="shared" si="639"/>
        <v>C17</v>
      </c>
      <c r="BM115" s="16" t="str">
        <f t="shared" si="640"/>
        <v>B17</v>
      </c>
      <c r="BN115" s="16" t="str">
        <f t="shared" si="641"/>
        <v>C18</v>
      </c>
      <c r="BO115" s="16" t="str">
        <f t="shared" si="642"/>
        <v>B18</v>
      </c>
      <c r="BP115" s="16" t="str">
        <f t="shared" si="370"/>
        <v>20A</v>
      </c>
      <c r="BQ115" s="16" t="str">
        <f t="shared" si="371"/>
        <v>20B</v>
      </c>
      <c r="BR115" s="16" t="str">
        <f t="shared" si="372"/>
        <v>21A</v>
      </c>
      <c r="BS115" s="16" t="str">
        <f t="shared" si="373"/>
        <v>21B</v>
      </c>
      <c r="BT115" s="16" t="str">
        <f t="shared" si="643"/>
        <v>DI9-C13</v>
      </c>
      <c r="BU115" s="16" t="str">
        <f t="shared" si="644"/>
        <v>DI9-B13</v>
      </c>
      <c r="BV115" s="16" t="str">
        <f t="shared" si="645"/>
        <v>DI9-C14</v>
      </c>
      <c r="BW115" s="16" t="str">
        <f t="shared" si="646"/>
        <v>DI9-B14</v>
      </c>
      <c r="BX115" s="16" t="str">
        <f t="shared" si="647"/>
        <v>DI9-C15</v>
      </c>
      <c r="BY115" s="16" t="str">
        <f t="shared" si="648"/>
        <v>DI9-B15</v>
      </c>
      <c r="BZ115" s="16" t="str">
        <f t="shared" si="649"/>
        <v>DI9-C16</v>
      </c>
      <c r="CA115" s="16" t="str">
        <f t="shared" si="650"/>
        <v>DI9-B16</v>
      </c>
      <c r="CB115" s="16" t="str">
        <f t="shared" si="651"/>
        <v>DI9-C17</v>
      </c>
      <c r="CC115" s="16" t="str">
        <f t="shared" si="652"/>
        <v>DI9-B17</v>
      </c>
      <c r="CD115" s="16" t="str">
        <f t="shared" si="653"/>
        <v>DI9-C18</v>
      </c>
      <c r="CE115" s="16" t="str">
        <f t="shared" si="654"/>
        <v>DI9-B18</v>
      </c>
      <c r="CF115" s="16" t="str">
        <f t="shared" si="655"/>
        <v>DO5-19A</v>
      </c>
      <c r="CG115" s="16" t="str">
        <f t="shared" si="656"/>
        <v>DO5-19B</v>
      </c>
      <c r="CH115" s="16" t="str">
        <f t="shared" si="657"/>
        <v>DO5-20A</v>
      </c>
      <c r="CI115" s="16" t="str">
        <f t="shared" si="658"/>
        <v>DO5-20B</v>
      </c>
      <c r="CJ115" s="16" t="str">
        <f t="shared" si="659"/>
        <v>DO5-21A</v>
      </c>
      <c r="CK115" s="16" t="str">
        <f t="shared" si="660"/>
        <v>DO5-21B</v>
      </c>
      <c r="CL115" s="16" t="str">
        <f t="shared" si="392"/>
        <v>K48-10</v>
      </c>
      <c r="CM115" s="16" t="str">
        <f t="shared" si="393"/>
        <v>K48-03</v>
      </c>
      <c r="CN115" s="16" t="str">
        <f t="shared" si="394"/>
        <v>K48-04</v>
      </c>
      <c r="CO115" s="16" t="str">
        <f t="shared" si="395"/>
        <v>K48-01</v>
      </c>
      <c r="CP115" s="16" t="str">
        <f t="shared" si="396"/>
        <v>K48-08</v>
      </c>
      <c r="CQ115" s="16" t="str">
        <f t="shared" si="397"/>
        <v>K48-02</v>
      </c>
      <c r="CR115" s="16" t="str">
        <f t="shared" si="398"/>
        <v>K48-09</v>
      </c>
      <c r="CS115" s="16" t="str">
        <f t="shared" si="399"/>
        <v>K48-05</v>
      </c>
      <c r="CT115" s="16" t="str">
        <f t="shared" si="400"/>
        <v>K48-11</v>
      </c>
      <c r="CU115" s="16" t="str">
        <f t="shared" si="401"/>
        <v>N1-M48-A9</v>
      </c>
      <c r="CV115" s="16" t="str">
        <f t="shared" si="402"/>
        <v>N1-M48-A7</v>
      </c>
      <c r="CW115" s="16" t="str">
        <f t="shared" si="403"/>
        <v>N1-M48-A8</v>
      </c>
      <c r="CX115" s="16" t="str">
        <f t="shared" si="404"/>
        <v>N1-M48-A6</v>
      </c>
      <c r="CY115" s="16" t="str">
        <f t="shared" si="405"/>
        <v>N1-M48-A30</v>
      </c>
      <c r="CZ115" s="16" t="str">
        <f t="shared" si="406"/>
        <v>N1-M48-N</v>
      </c>
      <c r="DA115" s="16" t="str">
        <f t="shared" si="661"/>
        <v>N1-A220-M48</v>
      </c>
      <c r="DB115" s="16" t="str">
        <f t="shared" si="408"/>
        <v>N1-M48-XM01</v>
      </c>
      <c r="DC115" s="16" t="str">
        <f t="shared" si="409"/>
        <v>N1-M48-A1</v>
      </c>
      <c r="DD115" s="16" t="str">
        <f t="shared" si="410"/>
        <v>N1-M48-A5</v>
      </c>
      <c r="DE115" s="16" t="str">
        <f t="shared" si="411"/>
        <v>N1-M48-A11</v>
      </c>
      <c r="DF115" s="16" t="str">
        <f t="shared" si="412"/>
        <v>N1-M48-A12</v>
      </c>
      <c r="DG115" s="16" t="str">
        <f t="shared" si="413"/>
        <v>N1-M48-A19</v>
      </c>
      <c r="DH115" s="16" t="str">
        <f t="shared" si="414"/>
        <v>N1-M48-A20</v>
      </c>
      <c r="DI115" s="16" t="s">
        <v>135</v>
      </c>
      <c r="DJ115" s="16" t="s">
        <v>136</v>
      </c>
      <c r="DK115" s="16">
        <v>11</v>
      </c>
      <c r="DL115" s="16">
        <v>14</v>
      </c>
      <c r="DM115" s="16">
        <v>12</v>
      </c>
      <c r="DN115" s="16" t="s">
        <v>137</v>
      </c>
      <c r="DO115" s="16" t="s">
        <v>138</v>
      </c>
      <c r="DP115" s="16">
        <v>1</v>
      </c>
      <c r="DQ115" s="16">
        <v>2</v>
      </c>
      <c r="DR115" s="16">
        <v>3</v>
      </c>
      <c r="DS115" s="16">
        <v>4</v>
      </c>
      <c r="DT115" s="16">
        <v>5</v>
      </c>
      <c r="DU115" s="16">
        <v>6</v>
      </c>
      <c r="DV115" s="16">
        <v>7</v>
      </c>
      <c r="DW115" s="16">
        <v>8</v>
      </c>
      <c r="DX115" s="16">
        <v>9</v>
      </c>
      <c r="DY115" s="16">
        <v>10</v>
      </c>
      <c r="DZ115" s="16">
        <v>11</v>
      </c>
      <c r="EA115" s="16">
        <v>12</v>
      </c>
      <c r="EB115" s="16">
        <v>13</v>
      </c>
      <c r="EC115" s="16">
        <v>14</v>
      </c>
      <c r="ED115" s="16">
        <v>1</v>
      </c>
      <c r="EE115" s="16">
        <v>3</v>
      </c>
      <c r="EF115" s="16">
        <v>4</v>
      </c>
      <c r="EG115" s="16">
        <v>7</v>
      </c>
      <c r="EH115" s="16">
        <v>8</v>
      </c>
      <c r="EI115" s="16">
        <v>9</v>
      </c>
      <c r="EJ115" s="16">
        <v>10</v>
      </c>
      <c r="EK115" s="16">
        <v>13</v>
      </c>
      <c r="EL115" s="16">
        <v>14</v>
      </c>
      <c r="EM115" s="16">
        <v>15</v>
      </c>
      <c r="EN115" s="16">
        <v>16</v>
      </c>
      <c r="EO115" s="16">
        <v>22</v>
      </c>
      <c r="EP115" s="16">
        <v>23</v>
      </c>
      <c r="EQ115" s="17">
        <v>24</v>
      </c>
    </row>
    <row r="116" spans="1:356" x14ac:dyDescent="0.25">
      <c r="A116" t="s">
        <v>1030</v>
      </c>
      <c r="B116" t="s">
        <v>831</v>
      </c>
      <c r="P116" t="s">
        <v>188</v>
      </c>
      <c r="T116" s="12" t="s">
        <v>487</v>
      </c>
      <c r="U116" s="40">
        <f t="shared" ref="U116:U124" si="662">U115+1</f>
        <v>49</v>
      </c>
      <c r="V116" s="13" t="s">
        <v>832</v>
      </c>
      <c r="W116" s="13" t="s">
        <v>833</v>
      </c>
      <c r="X116" t="s">
        <v>253</v>
      </c>
      <c r="Y116" s="36" cm="1">
        <f t="array" ref="Y116">IF(COUNTIFS($X$2:$X116,$X116)=1,"1",VALUE(SUBSTITUTE(INDEX(Y:Y,_xlfn.XMATCH($X116,$X$1:$X115,0,-1)),"A",""))+INDEX(Z:Z,_xlfn.XMATCH($X116,$X$1:$X115,0,-1))+1)</f>
        <v>3</v>
      </c>
      <c r="Z116" s="36" cm="1">
        <f t="array" ref="Z116">SUM(IF(ISNUMBER(FIND("TmAi",$BE$1:$AAL$1)),IF(IFERROR(ISODD(SUBSTITUTE($BE116:$AAL116,"A","")),FALSE),IF(ISODD(SUBSTITUTE($BE116:$AAL116,"A","")),1,0),0)))</f>
        <v>0</v>
      </c>
      <c r="AA116" t="str">
        <f t="shared" ref="AA116:AA119" si="663">CONCATENATE($Y116*2-1,"A")</f>
        <v>5A</v>
      </c>
      <c r="AB116" t="str">
        <f t="shared" ref="AB116:AB119" si="664">CONCATENATE($Y116*2-1,"B")</f>
        <v>5B</v>
      </c>
      <c r="AC116" t="str">
        <f t="shared" ref="AC116" si="665">IF(AD115+AE115&gt;25,REPLACE(AC115,LEN(AC115),1,VALUE(RIGHT(AC115,1))+1),AC115)</f>
        <v>A5.9</v>
      </c>
      <c r="AD116" s="36" cm="1">
        <f t="array" ref="AD116">IF(COUNTIFS(AC$2:AC116,AC116)=1,"1",VALUE(SUBSTITUTE(INDEX(AD:AD,_xlfn.XMATCH(AC116,AC$1:AC115,0,-1)),"A",""))+INDEX(AE:AE,_xlfn.XMATCH(AC116,AC$1:AC115,0,-1))+1)</f>
        <v>19</v>
      </c>
      <c r="AE116" s="36" cm="1">
        <f t="array" ref="AE116">SUM(IF(ISNUMBER(FIND("TmDi",$BE$1:$AAL$1)),IF(IFERROR(ISNUMBER(VALUE(SUBSTITUTE($BE116:$AAL116,"B",""))),FALSE),IF(ISNUMBER(VALUE(SUBSTITUTE($BE116:$AAL116,"B",""))),1,0),0)))</f>
        <v>5</v>
      </c>
      <c r="AF116" t="str">
        <f t="shared" si="355"/>
        <v>C19</v>
      </c>
      <c r="AG116" t="str">
        <f t="shared" si="356"/>
        <v>B19</v>
      </c>
      <c r="AH116" t="str">
        <f t="shared" ref="AH116" si="666">IF(AI115+AJ115&gt;25,REPLACE(AH115,LEN(AH115),1,VALUE(RIGHT(AH115,1))+1),AH115)</f>
        <v>A6.5</v>
      </c>
      <c r="AI116" s="47" cm="1">
        <f t="array" ref="AI116">IF(COUNTIFS(AH$2:AH116,AH116)=1,"1",VALUE(SUBSTITUTE(INDEX(AI:AI,_xlfn.XMATCH(AH116,AH$1:AH115,0,-1)),"A",""))+INDEX(AJ:AJ,_xlfn.XMATCH(AH116,AH$1:AH115,0,-1))+1)</f>
        <v>22</v>
      </c>
      <c r="AJ116" s="41" cm="1">
        <f t="array" ref="AJ116">SUM(IF(ISNUMBER(FIND("TmDo",$BE$1:$AAL$1)),IF(IFERROR(ISNUMBER(VALUE(SUBSTITUTE($BE116:$AAL116,"B",""))),FALSE),IF(ISNUMBER(VALUE(SUBSTITUTE($BE116:$AAL116,"B",""))),1,0),0)))</f>
        <v>1</v>
      </c>
      <c r="AK116" t="str">
        <f t="shared" si="628"/>
        <v>22A</v>
      </c>
      <c r="AL116" t="str">
        <f t="shared" si="629"/>
        <v>22B</v>
      </c>
      <c r="AM116" t="s">
        <v>834</v>
      </c>
      <c r="AP116" t="s">
        <v>489</v>
      </c>
      <c r="AQ116" t="s">
        <v>744</v>
      </c>
      <c r="AS116" t="s">
        <v>191</v>
      </c>
      <c r="AT116" t="s">
        <v>132</v>
      </c>
      <c r="AU116" t="s">
        <v>133</v>
      </c>
      <c r="BD116" s="14"/>
      <c r="GT116" s="22" t="str">
        <f t="shared" ref="GT116" si="667">CONCATENATE("XT",U116)</f>
        <v>XT49</v>
      </c>
      <c r="GU116" t="str">
        <f t="shared" ref="GU116" si="668">CONCATENATE("C",REPLACE(AF116,1,1,"")+1)</f>
        <v>C20</v>
      </c>
      <c r="GV116" t="str">
        <f>CONCATENATE("B",REPLACE(AG116,1,1,"")+1)</f>
        <v>B20</v>
      </c>
      <c r="GW116" t="str">
        <f>CONCATENATE("C",REPLACE(GU116,1,1,"")+1)</f>
        <v>C21</v>
      </c>
      <c r="GX116" t="str">
        <f>CONCATENATE("B",REPLACE(GV116,1,1,"")+1)</f>
        <v>B21</v>
      </c>
      <c r="GY116" t="str">
        <f>CONCATENATE("C",REPLACE(GW116,1,1,"")+1)</f>
        <v>C22</v>
      </c>
      <c r="GZ116" t="str">
        <f>CONCATENATE("B",REPLACE(GX116,1,1,"")+1)</f>
        <v>B22</v>
      </c>
      <c r="HA116" t="str">
        <f>CONCATENATE("C",REPLACE(GY116,1,1,"")+1)</f>
        <v>C23</v>
      </c>
      <c r="HB116" t="str">
        <f>CONCATENATE("B",REPLACE(GZ116,1,1,"")+1)</f>
        <v>B23</v>
      </c>
      <c r="HC116" t="str">
        <f>CONCATENATE("C",REPLACE(HA116,1,1,"")+1)</f>
        <v>C24</v>
      </c>
      <c r="HD116" t="str">
        <f>CONCATENATE("B",REPLACE(HB116,1,1,"")+1)</f>
        <v>B24</v>
      </c>
      <c r="HE116" t="str">
        <f>CONCATENATE(REPLACE(AK116,LEN(AK116),1,"")+1,"A")</f>
        <v>23A</v>
      </c>
      <c r="HF116" t="str">
        <f>CONCATENATE(REPLACE(AL116,LEN(AL116),1,"")+1,"B")</f>
        <v>23B</v>
      </c>
      <c r="HG116" t="str">
        <f t="shared" ref="HG116" si="669">CONCATENATE("AI",REPLACE($X116,1,3,""),"-",AA116)</f>
        <v>AI17-5A</v>
      </c>
      <c r="HH116" t="str">
        <f t="shared" ref="HH116" si="670">CONCATENATE("AI",REPLACE($X116,1,3,""),"-",AB116)</f>
        <v>AI17-5B</v>
      </c>
      <c r="HI116" t="str">
        <f t="shared" ref="HI116:HJ119" si="671">CONCATENATE("DI",REPLACE($AC116,1,3,""),"-",AF116)</f>
        <v>DI9-C19</v>
      </c>
      <c r="HJ116" t="str">
        <f t="shared" si="671"/>
        <v>DI9-B19</v>
      </c>
      <c r="HK116" t="str">
        <f t="shared" ref="HK116" si="672">CONCATENATE("DI",REPLACE($AC116,1,3,""),"-",GU116)</f>
        <v>DI9-C20</v>
      </c>
      <c r="HL116" t="str">
        <f t="shared" ref="HL116" si="673">CONCATENATE("DI",REPLACE($AC116,1,3,""),"-",GV116)</f>
        <v>DI9-B20</v>
      </c>
      <c r="HM116" t="str">
        <f t="shared" ref="HM116" si="674">CONCATENATE("DI",REPLACE($AC116,1,3,""),"-",GW116)</f>
        <v>DI9-C21</v>
      </c>
      <c r="HN116" t="str">
        <f t="shared" ref="HN116" si="675">CONCATENATE("DI",REPLACE($AC116,1,3,""),"-",GX116)</f>
        <v>DI9-B21</v>
      </c>
      <c r="HO116" t="str">
        <f t="shared" ref="HO116" si="676">CONCATENATE("DI",REPLACE($AC116,1,3,""),"-",GY116)</f>
        <v>DI9-C22</v>
      </c>
      <c r="HP116" t="str">
        <f t="shared" ref="HP116" si="677">CONCATENATE("DI",REPLACE($AC116,1,3,""),"-",GZ116)</f>
        <v>DI9-B22</v>
      </c>
      <c r="HQ116" t="str">
        <f t="shared" ref="HQ116" si="678">CONCATENATE("DI",REPLACE($AC116,1,3,""),"-",HA116)</f>
        <v>DI9-C23</v>
      </c>
      <c r="HR116" t="str">
        <f t="shared" ref="HR116" si="679">CONCATENATE("DI",REPLACE($AC116,1,3,""),"-",HB116)</f>
        <v>DI9-B23</v>
      </c>
      <c r="HS116" t="str">
        <f t="shared" ref="HS116" si="680">CONCATENATE("DI",REPLACE($AC116,1,3,""),"-",HC116)</f>
        <v>DI9-C24</v>
      </c>
      <c r="HT116" t="str">
        <f t="shared" ref="HT116" si="681">CONCATENATE("DI",REPLACE($AC116,1,3,""),"-",HD116)</f>
        <v>DI9-B24</v>
      </c>
      <c r="HU116" t="str">
        <f t="shared" ref="HU116:HV119" si="682">CONCATENATE("DO",REPLACE($AH116,1,3,""),"-",AK116)</f>
        <v>DO5-22A</v>
      </c>
      <c r="HV116" t="str">
        <f t="shared" si="682"/>
        <v>DO5-22B</v>
      </c>
      <c r="HW116" t="str">
        <f t="shared" ref="HW116:HX119" si="683">CONCATENATE("DO",REPLACE($AH116,1,3,""),"-",HE116)</f>
        <v>DO5-23A</v>
      </c>
      <c r="HX116" t="str">
        <f t="shared" si="683"/>
        <v>DO5-23B</v>
      </c>
      <c r="HY116" t="str">
        <f>CONCATENATE("K",$U116,"-01")</f>
        <v>K49-01</v>
      </c>
      <c r="HZ116" t="str">
        <f>CONCATENATE("K",$U116,"-02")</f>
        <v>K49-02</v>
      </c>
      <c r="IA116" t="str">
        <f>CONCATENATE("K",$U116,"-03")</f>
        <v>K49-03</v>
      </c>
      <c r="IB116" t="str">
        <f>CONCATENATE("K",$U116,"-04")</f>
        <v>K49-04</v>
      </c>
      <c r="IC116" t="str">
        <f>CONCATENATE("K",$U116,"-05")</f>
        <v>K49-05</v>
      </c>
      <c r="ID116" t="str">
        <f>CONCATENATE("K",$U116,"-06")</f>
        <v>K49-06</v>
      </c>
      <c r="IE116" t="str">
        <f>CONCATENATE("K",$U116,"-07")</f>
        <v>K49-07</v>
      </c>
      <c r="IF116" t="str">
        <f>CONCATENATE("K",$U116,"-08")</f>
        <v>K49-08</v>
      </c>
      <c r="IG116" t="str">
        <f>CONCATENATE($T116,"-M",$U116,"-AMS-12")</f>
        <v>N1-M49-AMS-12</v>
      </c>
      <c r="IH116" t="str">
        <f>CONCATENATE($T116,"-M",$U116,"-AMS-10")</f>
        <v>N1-M49-AMS-10</v>
      </c>
      <c r="II116" t="str">
        <f>CONCATENATE($T116,"-M",$U116,"-AMS-11")</f>
        <v>N1-M49-AMS-11</v>
      </c>
      <c r="IJ116" t="str">
        <f>CONCATENATE($T116,"-M",$U116,"-AMS-13")</f>
        <v>N1-M49-AMS-13</v>
      </c>
      <c r="IK116" t="str">
        <f>CONCATENATE($T116,"-M",$U116,"-AMS-9")</f>
        <v>N1-M49-AMS-9</v>
      </c>
      <c r="IL116" t="str">
        <f>CONCATENATE($T116,"-M",$U116,"-AMS-7")</f>
        <v>N1-M49-AMS-7</v>
      </c>
      <c r="IM116" t="str">
        <f>CONCATENATE($T116,"-M",$U116,"-AMS-18")</f>
        <v>N1-M49-AMS-18</v>
      </c>
      <c r="IN116" t="str">
        <f>CONCATENATE($T116,"-M",$U116,"-AMS-20")</f>
        <v>N1-M49-AMS-20</v>
      </c>
      <c r="IO116" t="str">
        <f>CONCATENATE($T116,"-M",$U116,"-AMS-17")</f>
        <v>N1-M49-AMS-17</v>
      </c>
      <c r="IP116" t="str">
        <f>CONCATENATE($T116,"-+24-M",$U116,)</f>
        <v>N1-+24-M49</v>
      </c>
      <c r="IQ116" t="str">
        <f>CONCATENATE($T116,"-M",$U116,"-XM01")</f>
        <v>N1-M49-XM01</v>
      </c>
      <c r="IR116" t="s">
        <v>135</v>
      </c>
      <c r="IS116" t="s">
        <v>136</v>
      </c>
      <c r="IT116">
        <v>11</v>
      </c>
      <c r="IU116">
        <v>14</v>
      </c>
      <c r="IV116" t="s">
        <v>208</v>
      </c>
      <c r="IW116" t="s">
        <v>209</v>
      </c>
      <c r="IX116">
        <v>1</v>
      </c>
      <c r="IY116">
        <v>2</v>
      </c>
      <c r="IZ116">
        <v>3</v>
      </c>
      <c r="JA116">
        <v>4</v>
      </c>
      <c r="JB116">
        <v>5</v>
      </c>
      <c r="JC116">
        <v>6</v>
      </c>
      <c r="JD116">
        <v>7</v>
      </c>
      <c r="JE116">
        <v>8</v>
      </c>
      <c r="JF116">
        <v>9</v>
      </c>
      <c r="JG116">
        <v>10</v>
      </c>
      <c r="JH116">
        <v>11</v>
      </c>
      <c r="JI116">
        <v>12</v>
      </c>
      <c r="JJ116">
        <v>13</v>
      </c>
      <c r="JK116">
        <v>14</v>
      </c>
      <c r="JL116">
        <v>17</v>
      </c>
      <c r="JM116">
        <v>15</v>
      </c>
      <c r="JN116">
        <v>18</v>
      </c>
      <c r="JO116">
        <v>11</v>
      </c>
      <c r="JP116">
        <v>9</v>
      </c>
      <c r="JQ116">
        <v>6</v>
      </c>
      <c r="JR116">
        <v>20</v>
      </c>
      <c r="JS116">
        <v>7</v>
      </c>
      <c r="JT116">
        <v>10</v>
      </c>
      <c r="JU116">
        <v>22</v>
      </c>
      <c r="JV116">
        <v>23</v>
      </c>
      <c r="JW116">
        <v>26</v>
      </c>
      <c r="JX116">
        <v>27</v>
      </c>
      <c r="JY116" s="14">
        <v>30</v>
      </c>
    </row>
    <row r="117" spans="1:356" x14ac:dyDescent="0.25">
      <c r="A117" t="s">
        <v>1031</v>
      </c>
      <c r="B117" t="s">
        <v>835</v>
      </c>
      <c r="P117" t="s">
        <v>188</v>
      </c>
      <c r="T117" s="12" t="s">
        <v>487</v>
      </c>
      <c r="U117" s="40">
        <f t="shared" si="662"/>
        <v>50</v>
      </c>
      <c r="V117" s="13" t="s">
        <v>836</v>
      </c>
      <c r="W117" s="13" t="s">
        <v>837</v>
      </c>
      <c r="X117" t="str">
        <f>IF(COUNTIF(X$2:X116,X116)&gt;7,REPLACE(X116,LEN(X116),1,VALUE(RIGHT(X116,1))+1),X116)</f>
        <v>A3.17</v>
      </c>
      <c r="Y117" s="36" cm="1">
        <f t="array" ref="Y117">IF(COUNTIFS($X$2:$X117,$X117)=1,"1",VALUE(SUBSTITUTE(INDEX(Y:Y,_xlfn.XMATCH($X117,$X$1:$X116,0,-1)),"A",""))+INDEX(Z:Z,_xlfn.XMATCH($X117,$X$1:$X116,0,-1))+1)</f>
        <v>4</v>
      </c>
      <c r="Z117" s="36" cm="1">
        <f t="array" ref="Z117">SUM(IF(ISNUMBER(FIND("TmAi",$BE$1:$AAL$1)),IF(IFERROR(ISODD(SUBSTITUTE($BE117:$AAL117,"A","")),FALSE),IF(ISODD(SUBSTITUTE($BE117:$AAL117,"A","")),1,0),0)))</f>
        <v>0</v>
      </c>
      <c r="AA117" t="str">
        <f t="shared" si="663"/>
        <v>7A</v>
      </c>
      <c r="AB117" t="str">
        <f t="shared" si="664"/>
        <v>7B</v>
      </c>
      <c r="AC117" t="str">
        <f t="shared" ref="AC117" si="684">IF(AD116+AE116&gt;25,REPLACE(AC116,LEN(AC116),1,VALUE(RIGHT(AC116,1))+1),AC116)</f>
        <v>A5.9</v>
      </c>
      <c r="AD117" s="36" cm="1">
        <f t="array" ref="AD117">IF(COUNTIFS(AC$2:AC117,AC117)=1,"1",VALUE(SUBSTITUTE(INDEX(AD:AD,_xlfn.XMATCH(AC117,AC$1:AC116,0,-1)),"A",""))+INDEX(AE:AE,_xlfn.XMATCH(AC117,AC$1:AC116,0,-1))+1)</f>
        <v>25</v>
      </c>
      <c r="AE117" s="36" cm="1">
        <f t="array" ref="AE117">SUM(IF(ISNUMBER(FIND("TmDi",$BE$1:$AAL$1)),IF(IFERROR(ISNUMBER(VALUE(SUBSTITUTE($BE117:$AAL117,"B",""))),FALSE),IF(ISNUMBER(VALUE(SUBSTITUTE($BE117:$AAL117,"B",""))),1,0),0)))</f>
        <v>5</v>
      </c>
      <c r="AF117" t="str">
        <f t="shared" si="355"/>
        <v>C25</v>
      </c>
      <c r="AG117" t="str">
        <f t="shared" si="356"/>
        <v>B25</v>
      </c>
      <c r="AH117" t="str">
        <f t="shared" ref="AH117" si="685">IF(AI116+AJ116&gt;25,REPLACE(AH116,LEN(AH116),1,VALUE(RIGHT(AH116,1))+1),AH116)</f>
        <v>A6.5</v>
      </c>
      <c r="AI117" s="47" cm="1">
        <f t="array" ref="AI117">IF(COUNTIFS(AH$2:AH117,AH117)=1,"1",VALUE(SUBSTITUTE(INDEX(AI:AI,_xlfn.XMATCH(AH117,AH$1:AH116,0,-1)),"A",""))+INDEX(AJ:AJ,_xlfn.XMATCH(AH117,AH$1:AH116,0,-1))+1)</f>
        <v>24</v>
      </c>
      <c r="AJ117" s="41" cm="1">
        <f t="array" ref="AJ117">SUM(IF(ISNUMBER(FIND("TmDo",$BE$1:$AAL$1)),IF(IFERROR(ISNUMBER(VALUE(SUBSTITUTE($BE117:$AAL117,"B",""))),FALSE),IF(ISNUMBER(VALUE(SUBSTITUTE($BE117:$AAL117,"B",""))),1,0),0)))</f>
        <v>1</v>
      </c>
      <c r="AK117" t="str">
        <f t="shared" si="628"/>
        <v>24A</v>
      </c>
      <c r="AL117" t="str">
        <f t="shared" si="629"/>
        <v>24B</v>
      </c>
      <c r="AM117" t="s">
        <v>838</v>
      </c>
      <c r="AP117" t="s">
        <v>489</v>
      </c>
      <c r="AQ117" t="s">
        <v>744</v>
      </c>
      <c r="AS117" t="s">
        <v>191</v>
      </c>
      <c r="AT117" t="s">
        <v>132</v>
      </c>
      <c r="AU117" t="s">
        <v>133</v>
      </c>
      <c r="BD117" s="14"/>
      <c r="GT117" s="22" t="str">
        <f t="shared" ref="GT117" si="686">CONCATENATE("XT",U117)</f>
        <v>XT50</v>
      </c>
      <c r="GU117" t="str">
        <f t="shared" ref="GU117" si="687">CONCATENATE("C",REPLACE(AF117,1,1,"")+1)</f>
        <v>C26</v>
      </c>
      <c r="GV117" t="str">
        <f>CONCATENATE("B",REPLACE(AG117,1,1,"")+1)</f>
        <v>B26</v>
      </c>
      <c r="GW117" t="str">
        <f>CONCATENATE("C",REPLACE(GU117,1,1,"")+1)</f>
        <v>C27</v>
      </c>
      <c r="GX117" t="str">
        <f>CONCATENATE("B",REPLACE(GV117,1,1,"")+1)</f>
        <v>B27</v>
      </c>
      <c r="GY117" t="str">
        <f>CONCATENATE("C",REPLACE(GW117,1,1,"")+1)</f>
        <v>C28</v>
      </c>
      <c r="GZ117" t="str">
        <f>CONCATENATE("B",REPLACE(GX117,1,1,"")+1)</f>
        <v>B28</v>
      </c>
      <c r="HA117" t="str">
        <f>CONCATENATE("C",REPLACE(GY117,1,1,"")+1)</f>
        <v>C29</v>
      </c>
      <c r="HB117" t="str">
        <f>CONCATENATE("B",REPLACE(GZ117,1,1,"")+1)</f>
        <v>B29</v>
      </c>
      <c r="HC117" t="str">
        <f>CONCATENATE("C",REPLACE(HA117,1,1,"")+1)</f>
        <v>C30</v>
      </c>
      <c r="HD117" t="str">
        <f>CONCATENATE("B",REPLACE(HB117,1,1,"")+1)</f>
        <v>B30</v>
      </c>
      <c r="HE117" t="str">
        <f>CONCATENATE(REPLACE(AK117,LEN(AK117),1,"")+1,"A")</f>
        <v>25A</v>
      </c>
      <c r="HF117" t="str">
        <f>CONCATENATE(REPLACE(AL117,LEN(AL117),1,"")+1,"B")</f>
        <v>25B</v>
      </c>
      <c r="HG117" t="str">
        <f t="shared" ref="HG117" si="688">CONCATENATE("AI",REPLACE($X117,1,3,""),"-",AA117)</f>
        <v>AI17-7A</v>
      </c>
      <c r="HH117" t="str">
        <f t="shared" ref="HH117" si="689">CONCATENATE("AI",REPLACE($X117,1,3,""),"-",AB117)</f>
        <v>AI17-7B</v>
      </c>
      <c r="HI117" t="str">
        <f t="shared" si="671"/>
        <v>DI9-C25</v>
      </c>
      <c r="HJ117" t="str">
        <f t="shared" si="671"/>
        <v>DI9-B25</v>
      </c>
      <c r="HK117" t="str">
        <f t="shared" ref="HK117" si="690">CONCATENATE("DI",REPLACE($AC117,1,3,""),"-",GU117)</f>
        <v>DI9-C26</v>
      </c>
      <c r="HL117" t="str">
        <f t="shared" ref="HL117" si="691">CONCATENATE("DI",REPLACE($AC117,1,3,""),"-",GV117)</f>
        <v>DI9-B26</v>
      </c>
      <c r="HM117" t="str">
        <f t="shared" ref="HM117" si="692">CONCATENATE("DI",REPLACE($AC117,1,3,""),"-",GW117)</f>
        <v>DI9-C27</v>
      </c>
      <c r="HN117" t="str">
        <f t="shared" ref="HN117" si="693">CONCATENATE("DI",REPLACE($AC117,1,3,""),"-",GX117)</f>
        <v>DI9-B27</v>
      </c>
      <c r="HO117" t="str">
        <f t="shared" ref="HO117" si="694">CONCATENATE("DI",REPLACE($AC117,1,3,""),"-",GY117)</f>
        <v>DI9-C28</v>
      </c>
      <c r="HP117" t="str">
        <f t="shared" ref="HP117" si="695">CONCATENATE("DI",REPLACE($AC117,1,3,""),"-",GZ117)</f>
        <v>DI9-B28</v>
      </c>
      <c r="HQ117" t="str">
        <f t="shared" ref="HQ117" si="696">CONCATENATE("DI",REPLACE($AC117,1,3,""),"-",HA117)</f>
        <v>DI9-C29</v>
      </c>
      <c r="HR117" t="str">
        <f t="shared" ref="HR117" si="697">CONCATENATE("DI",REPLACE($AC117,1,3,""),"-",HB117)</f>
        <v>DI9-B29</v>
      </c>
      <c r="HS117" t="str">
        <f t="shared" ref="HS117" si="698">CONCATENATE("DI",REPLACE($AC117,1,3,""),"-",HC117)</f>
        <v>DI9-C30</v>
      </c>
      <c r="HT117" t="str">
        <f t="shared" ref="HT117" si="699">CONCATENATE("DI",REPLACE($AC117,1,3,""),"-",HD117)</f>
        <v>DI9-B30</v>
      </c>
      <c r="HU117" t="str">
        <f t="shared" si="682"/>
        <v>DO5-24A</v>
      </c>
      <c r="HV117" t="str">
        <f t="shared" si="682"/>
        <v>DO5-24B</v>
      </c>
      <c r="HW117" t="str">
        <f t="shared" si="683"/>
        <v>DO5-25A</v>
      </c>
      <c r="HX117" t="str">
        <f t="shared" si="683"/>
        <v>DO5-25B</v>
      </c>
      <c r="HY117" t="str">
        <f>CONCATENATE("K",$U117,"-01")</f>
        <v>K50-01</v>
      </c>
      <c r="HZ117" t="str">
        <f>CONCATENATE("K",$U117,"-02")</f>
        <v>K50-02</v>
      </c>
      <c r="IA117" t="str">
        <f>CONCATENATE("K",$U117,"-03")</f>
        <v>K50-03</v>
      </c>
      <c r="IB117" t="str">
        <f>CONCATENATE("K",$U117,"-04")</f>
        <v>K50-04</v>
      </c>
      <c r="IC117" t="str">
        <f>CONCATENATE("K",$U117,"-05")</f>
        <v>K50-05</v>
      </c>
      <c r="ID117" t="str">
        <f>CONCATENATE("K",$U117,"-06")</f>
        <v>K50-06</v>
      </c>
      <c r="IE117" t="str">
        <f>CONCATENATE("K",$U117,"-07")</f>
        <v>K50-07</v>
      </c>
      <c r="IF117" t="str">
        <f>CONCATENATE("K",$U117,"-08")</f>
        <v>K50-08</v>
      </c>
      <c r="IG117" t="str">
        <f>CONCATENATE($T117,"-M",$U117,"-AMS-12")</f>
        <v>N1-M50-AMS-12</v>
      </c>
      <c r="IH117" t="str">
        <f>CONCATENATE($T117,"-M",$U117,"-AMS-10")</f>
        <v>N1-M50-AMS-10</v>
      </c>
      <c r="II117" t="str">
        <f>CONCATENATE($T117,"-M",$U117,"-AMS-11")</f>
        <v>N1-M50-AMS-11</v>
      </c>
      <c r="IJ117" t="str">
        <f>CONCATENATE($T117,"-M",$U117,"-AMS-13")</f>
        <v>N1-M50-AMS-13</v>
      </c>
      <c r="IK117" t="str">
        <f>CONCATENATE($T117,"-M",$U117,"-AMS-9")</f>
        <v>N1-M50-AMS-9</v>
      </c>
      <c r="IL117" t="str">
        <f>CONCATENATE($T117,"-M",$U117,"-AMS-7")</f>
        <v>N1-M50-AMS-7</v>
      </c>
      <c r="IM117" t="str">
        <f>CONCATENATE($T117,"-M",$U117,"-AMS-18")</f>
        <v>N1-M50-AMS-18</v>
      </c>
      <c r="IN117" t="str">
        <f>CONCATENATE($T117,"-M",$U117,"-AMS-20")</f>
        <v>N1-M50-AMS-20</v>
      </c>
      <c r="IO117" t="str">
        <f>CONCATENATE($T117,"-M",$U117,"-AMS-17")</f>
        <v>N1-M50-AMS-17</v>
      </c>
      <c r="IP117" t="str">
        <f>CONCATENATE($T117,"-+24-M",$U117,)</f>
        <v>N1-+24-M50</v>
      </c>
      <c r="IQ117" t="str">
        <f>CONCATENATE($T117,"-M",$U117,"-XM01")</f>
        <v>N1-M50-XM01</v>
      </c>
      <c r="IR117" t="s">
        <v>135</v>
      </c>
      <c r="IS117" t="s">
        <v>136</v>
      </c>
      <c r="IT117">
        <v>11</v>
      </c>
      <c r="IU117">
        <v>14</v>
      </c>
      <c r="IV117" t="s">
        <v>208</v>
      </c>
      <c r="IW117" t="s">
        <v>209</v>
      </c>
      <c r="IX117">
        <v>1</v>
      </c>
      <c r="IY117">
        <v>2</v>
      </c>
      <c r="IZ117">
        <v>3</v>
      </c>
      <c r="JA117">
        <v>4</v>
      </c>
      <c r="JB117">
        <v>5</v>
      </c>
      <c r="JC117">
        <v>6</v>
      </c>
      <c r="JD117">
        <v>7</v>
      </c>
      <c r="JE117">
        <v>8</v>
      </c>
      <c r="JF117">
        <v>9</v>
      </c>
      <c r="JG117">
        <v>10</v>
      </c>
      <c r="JH117">
        <v>11</v>
      </c>
      <c r="JI117">
        <v>12</v>
      </c>
      <c r="JJ117">
        <v>13</v>
      </c>
      <c r="JK117">
        <v>14</v>
      </c>
      <c r="JL117">
        <v>17</v>
      </c>
      <c r="JM117">
        <v>15</v>
      </c>
      <c r="JN117">
        <v>18</v>
      </c>
      <c r="JO117">
        <v>11</v>
      </c>
      <c r="JP117">
        <v>9</v>
      </c>
      <c r="JQ117">
        <v>6</v>
      </c>
      <c r="JR117">
        <v>20</v>
      </c>
      <c r="JS117">
        <v>7</v>
      </c>
      <c r="JT117">
        <v>10</v>
      </c>
      <c r="JU117">
        <v>22</v>
      </c>
      <c r="JV117">
        <v>23</v>
      </c>
      <c r="JW117">
        <v>26</v>
      </c>
      <c r="JX117">
        <v>27</v>
      </c>
      <c r="JY117" s="14">
        <v>30</v>
      </c>
    </row>
    <row r="118" spans="1:356" x14ac:dyDescent="0.25">
      <c r="A118" t="s">
        <v>1032</v>
      </c>
      <c r="B118" t="s">
        <v>839</v>
      </c>
      <c r="P118" t="s">
        <v>188</v>
      </c>
      <c r="T118" s="12" t="s">
        <v>487</v>
      </c>
      <c r="U118" s="40">
        <f t="shared" si="662"/>
        <v>51</v>
      </c>
      <c r="V118" s="13" t="s">
        <v>840</v>
      </c>
      <c r="W118" s="13" t="s">
        <v>841</v>
      </c>
      <c r="X118" t="str">
        <f>IF(COUNTIF(X$2:X117,X117)&gt;7,REPLACE(X117,LEN(X117),1,VALUE(RIGHT(X117,1))+1),X117)</f>
        <v>A3.17</v>
      </c>
      <c r="Y118" s="36" cm="1">
        <f t="array" ref="Y118">IF(COUNTIFS($X$2:$X118,$X118)=1,"1",VALUE(SUBSTITUTE(INDEX(Y:Y,_xlfn.XMATCH($X118,$X$1:$X117,0,-1)),"A",""))+INDEX(Z:Z,_xlfn.XMATCH($X118,$X$1:$X117,0,-1))+1)</f>
        <v>5</v>
      </c>
      <c r="Z118" s="36" cm="1">
        <f t="array" ref="Z118">SUM(IF(ISNUMBER(FIND("TmAi",$BE$1:$AAL$1)),IF(IFERROR(ISODD(SUBSTITUTE($BE118:$AAL118,"A","")),FALSE),IF(ISODD(SUBSTITUTE($BE118:$AAL118,"A","")),1,0),0)))</f>
        <v>0</v>
      </c>
      <c r="AA118" t="str">
        <f t="shared" si="663"/>
        <v>9A</v>
      </c>
      <c r="AB118" t="str">
        <f t="shared" si="664"/>
        <v>9B</v>
      </c>
      <c r="AC118" t="str">
        <f t="shared" ref="AC118" si="700">IF(AD117+AE117&gt;25,REPLACE(AC117,LEN(AC117),1,VALUE(RIGHT(AC117,1))+1),AC117)</f>
        <v>A5.10</v>
      </c>
      <c r="AD118" s="36" t="str" cm="1">
        <f t="array" ref="AD118">IF(COUNTIFS(AC$2:AC118,AC118)=1,"1",VALUE(SUBSTITUTE(INDEX(AD:AD,_xlfn.XMATCH(AC118,AC$1:AC117,0,-1)),"A",""))+INDEX(AE:AE,_xlfn.XMATCH(AC118,AC$1:AC117,0,-1))+1)</f>
        <v>1</v>
      </c>
      <c r="AE118" s="36" cm="1">
        <f t="array" ref="AE118">SUM(IF(ISNUMBER(FIND("TmDi",$BE$1:$AAL$1)),IF(IFERROR(ISNUMBER(VALUE(SUBSTITUTE($BE118:$AAL118,"B",""))),FALSE),IF(ISNUMBER(VALUE(SUBSTITUTE($BE118:$AAL118,"B",""))),1,0),0)))</f>
        <v>5</v>
      </c>
      <c r="AF118" t="str">
        <f t="shared" si="355"/>
        <v>C1</v>
      </c>
      <c r="AG118" t="str">
        <f t="shared" si="356"/>
        <v>B1</v>
      </c>
      <c r="AH118" t="str">
        <f t="shared" ref="AH118" si="701">IF(AI117+AJ117&gt;25,REPLACE(AH117,LEN(AH117),1,VALUE(RIGHT(AH117,1))+1),AH117)</f>
        <v>A6.5</v>
      </c>
      <c r="AI118" s="47" cm="1">
        <f t="array" ref="AI118">IF(COUNTIFS(AH$2:AH118,AH118)=1,"1",VALUE(SUBSTITUTE(INDEX(AI:AI,_xlfn.XMATCH(AH118,AH$1:AH117,0,-1)),"A",""))+INDEX(AJ:AJ,_xlfn.XMATCH(AH118,AH$1:AH117,0,-1))+1)</f>
        <v>26</v>
      </c>
      <c r="AJ118" s="41" cm="1">
        <f t="array" ref="AJ118">SUM(IF(ISNUMBER(FIND("TmDo",$BE$1:$AAL$1)),IF(IFERROR(ISNUMBER(VALUE(SUBSTITUTE($BE118:$AAL118,"B",""))),FALSE),IF(ISNUMBER(VALUE(SUBSTITUTE($BE118:$AAL118,"B",""))),1,0),0)))</f>
        <v>1</v>
      </c>
      <c r="AK118" t="str">
        <f t="shared" si="628"/>
        <v>26A</v>
      </c>
      <c r="AL118" t="str">
        <f t="shared" si="629"/>
        <v>26B</v>
      </c>
      <c r="AM118" t="s">
        <v>842</v>
      </c>
      <c r="AP118" t="s">
        <v>489</v>
      </c>
      <c r="AQ118" t="s">
        <v>744</v>
      </c>
      <c r="AS118" t="s">
        <v>191</v>
      </c>
      <c r="AT118" t="s">
        <v>132</v>
      </c>
      <c r="AU118" t="s">
        <v>133</v>
      </c>
      <c r="BD118" s="14"/>
      <c r="GT118" s="22" t="str">
        <f t="shared" ref="GT118" si="702">CONCATENATE("XT",U118)</f>
        <v>XT51</v>
      </c>
      <c r="GU118" t="str">
        <f t="shared" ref="GU118" si="703">CONCATENATE("C",REPLACE(AF118,1,1,"")+1)</f>
        <v>C2</v>
      </c>
      <c r="GV118" t="str">
        <f>CONCATENATE("B",REPLACE(AG118,1,1,"")+1)</f>
        <v>B2</v>
      </c>
      <c r="GW118" t="str">
        <f>CONCATENATE("C",REPLACE(GU118,1,1,"")+1)</f>
        <v>C3</v>
      </c>
      <c r="GX118" t="str">
        <f>CONCATENATE("B",REPLACE(GV118,1,1,"")+1)</f>
        <v>B3</v>
      </c>
      <c r="GY118" t="str">
        <f>CONCATENATE("C",REPLACE(GW118,1,1,"")+1)</f>
        <v>C4</v>
      </c>
      <c r="GZ118" t="str">
        <f>CONCATENATE("B",REPLACE(GX118,1,1,"")+1)</f>
        <v>B4</v>
      </c>
      <c r="HA118" t="str">
        <f>CONCATENATE("C",REPLACE(GY118,1,1,"")+1)</f>
        <v>C5</v>
      </c>
      <c r="HB118" t="str">
        <f>CONCATENATE("B",REPLACE(GZ118,1,1,"")+1)</f>
        <v>B5</v>
      </c>
      <c r="HC118" t="str">
        <f>CONCATENATE("C",REPLACE(HA118,1,1,"")+1)</f>
        <v>C6</v>
      </c>
      <c r="HD118" t="str">
        <f>CONCATENATE("B",REPLACE(HB118,1,1,"")+1)</f>
        <v>B6</v>
      </c>
      <c r="HE118" t="str">
        <f>CONCATENATE(REPLACE(AK118,LEN(AK118),1,"")+1,"A")</f>
        <v>27A</v>
      </c>
      <c r="HF118" t="str">
        <f>CONCATENATE(REPLACE(AL118,LEN(AL118),1,"")+1,"B")</f>
        <v>27B</v>
      </c>
      <c r="HG118" t="str">
        <f t="shared" ref="HG118" si="704">CONCATENATE("AI",REPLACE($X118,1,3,""),"-",AA118)</f>
        <v>AI17-9A</v>
      </c>
      <c r="HH118" t="str">
        <f t="shared" ref="HH118" si="705">CONCATENATE("AI",REPLACE($X118,1,3,""),"-",AB118)</f>
        <v>AI17-9B</v>
      </c>
      <c r="HI118" t="str">
        <f t="shared" si="671"/>
        <v>DI10-C1</v>
      </c>
      <c r="HJ118" t="str">
        <f t="shared" si="671"/>
        <v>DI10-B1</v>
      </c>
      <c r="HK118" t="str">
        <f t="shared" ref="HK118" si="706">CONCATENATE("DI",REPLACE($AC118,1,3,""),"-",GU118)</f>
        <v>DI10-C2</v>
      </c>
      <c r="HL118" t="str">
        <f t="shared" ref="HL118" si="707">CONCATENATE("DI",REPLACE($AC118,1,3,""),"-",GV118)</f>
        <v>DI10-B2</v>
      </c>
      <c r="HM118" t="str">
        <f t="shared" ref="HM118" si="708">CONCATENATE("DI",REPLACE($AC118,1,3,""),"-",GW118)</f>
        <v>DI10-C3</v>
      </c>
      <c r="HN118" t="str">
        <f t="shared" ref="HN118" si="709">CONCATENATE("DI",REPLACE($AC118,1,3,""),"-",GX118)</f>
        <v>DI10-B3</v>
      </c>
      <c r="HO118" t="str">
        <f t="shared" ref="HO118" si="710">CONCATENATE("DI",REPLACE($AC118,1,3,""),"-",GY118)</f>
        <v>DI10-C4</v>
      </c>
      <c r="HP118" t="str">
        <f t="shared" ref="HP118" si="711">CONCATENATE("DI",REPLACE($AC118,1,3,""),"-",GZ118)</f>
        <v>DI10-B4</v>
      </c>
      <c r="HQ118" t="str">
        <f t="shared" ref="HQ118" si="712">CONCATENATE("DI",REPLACE($AC118,1,3,""),"-",HA118)</f>
        <v>DI10-C5</v>
      </c>
      <c r="HR118" t="str">
        <f t="shared" ref="HR118" si="713">CONCATENATE("DI",REPLACE($AC118,1,3,""),"-",HB118)</f>
        <v>DI10-B5</v>
      </c>
      <c r="HS118" t="str">
        <f t="shared" ref="HS118" si="714">CONCATENATE("DI",REPLACE($AC118,1,3,""),"-",HC118)</f>
        <v>DI10-C6</v>
      </c>
      <c r="HT118" t="str">
        <f t="shared" ref="HT118" si="715">CONCATENATE("DI",REPLACE($AC118,1,3,""),"-",HD118)</f>
        <v>DI10-B6</v>
      </c>
      <c r="HU118" t="str">
        <f t="shared" si="682"/>
        <v>DO5-26A</v>
      </c>
      <c r="HV118" t="str">
        <f t="shared" si="682"/>
        <v>DO5-26B</v>
      </c>
      <c r="HW118" t="str">
        <f t="shared" si="683"/>
        <v>DO5-27A</v>
      </c>
      <c r="HX118" t="str">
        <f t="shared" si="683"/>
        <v>DO5-27B</v>
      </c>
      <c r="HY118" t="str">
        <f>CONCATENATE("K",$U118,"-01")</f>
        <v>K51-01</v>
      </c>
      <c r="HZ118" t="str">
        <f>CONCATENATE("K",$U118,"-02")</f>
        <v>K51-02</v>
      </c>
      <c r="IA118" t="str">
        <f>CONCATENATE("K",$U118,"-03")</f>
        <v>K51-03</v>
      </c>
      <c r="IB118" t="str">
        <f>CONCATENATE("K",$U118,"-04")</f>
        <v>K51-04</v>
      </c>
      <c r="IC118" t="str">
        <f>CONCATENATE("K",$U118,"-05")</f>
        <v>K51-05</v>
      </c>
      <c r="ID118" t="str">
        <f>CONCATENATE("K",$U118,"-06")</f>
        <v>K51-06</v>
      </c>
      <c r="IE118" t="str">
        <f>CONCATENATE("K",$U118,"-07")</f>
        <v>K51-07</v>
      </c>
      <c r="IF118" t="str">
        <f>CONCATENATE("K",$U118,"-08")</f>
        <v>K51-08</v>
      </c>
      <c r="IG118" t="str">
        <f>CONCATENATE($T118,"-M",$U118,"-AMS-12")</f>
        <v>N1-M51-AMS-12</v>
      </c>
      <c r="IH118" t="str">
        <f>CONCATENATE($T118,"-M",$U118,"-AMS-10")</f>
        <v>N1-M51-AMS-10</v>
      </c>
      <c r="II118" t="str">
        <f>CONCATENATE($T118,"-M",$U118,"-AMS-11")</f>
        <v>N1-M51-AMS-11</v>
      </c>
      <c r="IJ118" t="str">
        <f>CONCATENATE($T118,"-M",$U118,"-AMS-13")</f>
        <v>N1-M51-AMS-13</v>
      </c>
      <c r="IK118" t="str">
        <f>CONCATENATE($T118,"-M",$U118,"-AMS-9")</f>
        <v>N1-M51-AMS-9</v>
      </c>
      <c r="IL118" t="str">
        <f>CONCATENATE($T118,"-M",$U118,"-AMS-7")</f>
        <v>N1-M51-AMS-7</v>
      </c>
      <c r="IM118" t="str">
        <f>CONCATENATE($T118,"-M",$U118,"-AMS-18")</f>
        <v>N1-M51-AMS-18</v>
      </c>
      <c r="IN118" t="str">
        <f>CONCATENATE($T118,"-M",$U118,"-AMS-20")</f>
        <v>N1-M51-AMS-20</v>
      </c>
      <c r="IO118" t="str">
        <f>CONCATENATE($T118,"-M",$U118,"-AMS-17")</f>
        <v>N1-M51-AMS-17</v>
      </c>
      <c r="IP118" t="str">
        <f>CONCATENATE($T118,"-+24-M",$U118,)</f>
        <v>N1-+24-M51</v>
      </c>
      <c r="IQ118" t="str">
        <f>CONCATENATE($T118,"-M",$U118,"-XM01")</f>
        <v>N1-M51-XM01</v>
      </c>
      <c r="IR118" t="s">
        <v>135</v>
      </c>
      <c r="IS118" t="s">
        <v>136</v>
      </c>
      <c r="IT118">
        <v>11</v>
      </c>
      <c r="IU118">
        <v>14</v>
      </c>
      <c r="IV118" t="s">
        <v>208</v>
      </c>
      <c r="IW118" t="s">
        <v>209</v>
      </c>
      <c r="IX118">
        <v>1</v>
      </c>
      <c r="IY118">
        <v>2</v>
      </c>
      <c r="IZ118">
        <v>3</v>
      </c>
      <c r="JA118">
        <v>4</v>
      </c>
      <c r="JB118">
        <v>5</v>
      </c>
      <c r="JC118">
        <v>6</v>
      </c>
      <c r="JD118">
        <v>7</v>
      </c>
      <c r="JE118">
        <v>8</v>
      </c>
      <c r="JF118">
        <v>9</v>
      </c>
      <c r="JG118">
        <v>10</v>
      </c>
      <c r="JH118">
        <v>11</v>
      </c>
      <c r="JI118">
        <v>12</v>
      </c>
      <c r="JJ118">
        <v>13</v>
      </c>
      <c r="JK118">
        <v>14</v>
      </c>
      <c r="JL118">
        <v>17</v>
      </c>
      <c r="JM118">
        <v>15</v>
      </c>
      <c r="JN118">
        <v>18</v>
      </c>
      <c r="JO118">
        <v>11</v>
      </c>
      <c r="JP118">
        <v>9</v>
      </c>
      <c r="JQ118">
        <v>6</v>
      </c>
      <c r="JR118">
        <v>20</v>
      </c>
      <c r="JS118">
        <v>7</v>
      </c>
      <c r="JT118">
        <v>10</v>
      </c>
      <c r="JU118">
        <v>22</v>
      </c>
      <c r="JV118">
        <v>23</v>
      </c>
      <c r="JW118">
        <v>26</v>
      </c>
      <c r="JX118">
        <v>27</v>
      </c>
      <c r="JY118" s="14">
        <v>30</v>
      </c>
    </row>
    <row r="119" spans="1:356" x14ac:dyDescent="0.25">
      <c r="A119" t="s">
        <v>1033</v>
      </c>
      <c r="B119" t="s">
        <v>843</v>
      </c>
      <c r="P119" t="s">
        <v>188</v>
      </c>
      <c r="T119" s="12" t="s">
        <v>487</v>
      </c>
      <c r="U119" s="40">
        <f t="shared" si="662"/>
        <v>52</v>
      </c>
      <c r="V119" s="13" t="s">
        <v>844</v>
      </c>
      <c r="W119" s="13" t="s">
        <v>845</v>
      </c>
      <c r="X119" t="str">
        <f>IF(COUNTIF(X$2:X118,X118)&gt;7,REPLACE(X118,LEN(X118),1,VALUE(RIGHT(X118,1))+1),X118)</f>
        <v>A3.17</v>
      </c>
      <c r="Y119" s="36" cm="1">
        <f t="array" ref="Y119">IF(COUNTIFS($X$2:$X119,$X119)=1,"1",VALUE(SUBSTITUTE(INDEX(Y:Y,_xlfn.XMATCH($X119,$X$1:$X118,0,-1)),"A",""))+INDEX(Z:Z,_xlfn.XMATCH($X119,$X$1:$X118,0,-1))+1)</f>
        <v>6</v>
      </c>
      <c r="Z119" s="36" cm="1">
        <f t="array" ref="Z119">SUM(IF(ISNUMBER(FIND("TmAi",$BE$1:$AAL$1)),IF(IFERROR(ISODD(SUBSTITUTE($BE119:$AAL119,"A","")),FALSE),IF(ISODD(SUBSTITUTE($BE119:$AAL119,"A","")),1,0),0)))</f>
        <v>0</v>
      </c>
      <c r="AA119" t="str">
        <f t="shared" si="663"/>
        <v>11A</v>
      </c>
      <c r="AB119" t="str">
        <f t="shared" si="664"/>
        <v>11B</v>
      </c>
      <c r="AC119" t="str">
        <f t="shared" ref="AC119:AC120" si="716">IF(AD118+AE118&gt;25,REPLACE(AC118,LEN(AC118),1,VALUE(RIGHT(AC118,1))+1),AC118)</f>
        <v>A5.10</v>
      </c>
      <c r="AD119" s="36" cm="1">
        <f t="array" ref="AD119">IF(COUNTIFS(AC$2:AC119,AC119)=1,"1",VALUE(SUBSTITUTE(INDEX(AD:AD,_xlfn.XMATCH(AC119,AC$1:AC118,0,-1)),"A",""))+INDEX(AE:AE,_xlfn.XMATCH(AC119,AC$1:AC118,0,-1))+1)</f>
        <v>7</v>
      </c>
      <c r="AE119" s="36" cm="1">
        <f t="array" ref="AE119">SUM(IF(ISNUMBER(FIND("TmDi",$BE$1:$AAL$1)),IF(IFERROR(ISNUMBER(VALUE(SUBSTITUTE($BE119:$AAL119,"B",""))),FALSE),IF(ISNUMBER(VALUE(SUBSTITUTE($BE119:$AAL119,"B",""))),1,0),0)))</f>
        <v>5</v>
      </c>
      <c r="AF119" t="str">
        <f t="shared" si="355"/>
        <v>C7</v>
      </c>
      <c r="AG119" t="str">
        <f t="shared" si="356"/>
        <v>B7</v>
      </c>
      <c r="AH119" t="str">
        <f t="shared" ref="AH119:AH120" si="717">IF(AI118+AJ118&gt;25,REPLACE(AH118,LEN(AH118),1,VALUE(RIGHT(AH118,1))+1),AH118)</f>
        <v>A6.6</v>
      </c>
      <c r="AI119" s="47" t="str" cm="1">
        <f t="array" ref="AI119">IF(COUNTIFS(AH$2:AH119,AH119)=1,"1",VALUE(SUBSTITUTE(INDEX(AI:AI,_xlfn.XMATCH(AH119,AH$1:AH118,0,-1)),"A",""))+INDEX(AJ:AJ,_xlfn.XMATCH(AH119,AH$1:AH118,0,-1))+1)</f>
        <v>1</v>
      </c>
      <c r="AJ119" s="41" cm="1">
        <f t="array" ref="AJ119">SUM(IF(ISNUMBER(FIND("TmDo",$BE$1:$AAL$1)),IF(IFERROR(ISNUMBER(VALUE(SUBSTITUTE($BE119:$AAL119,"B",""))),FALSE),IF(ISNUMBER(VALUE(SUBSTITUTE($BE119:$AAL119,"B",""))),1,0),0)))</f>
        <v>1</v>
      </c>
      <c r="AK119" t="str">
        <f t="shared" si="628"/>
        <v>1A</v>
      </c>
      <c r="AL119" t="str">
        <f t="shared" si="629"/>
        <v>1B</v>
      </c>
      <c r="AM119" t="s">
        <v>221</v>
      </c>
      <c r="AP119" t="s">
        <v>489</v>
      </c>
      <c r="AQ119" t="s">
        <v>744</v>
      </c>
      <c r="AS119" t="s">
        <v>191</v>
      </c>
      <c r="AT119" t="s">
        <v>132</v>
      </c>
      <c r="AU119" t="s">
        <v>133</v>
      </c>
      <c r="BD119" s="14"/>
      <c r="GT119" s="22" t="str">
        <f t="shared" ref="GT119" si="718">CONCATENATE("XT",U119)</f>
        <v>XT52</v>
      </c>
      <c r="GU119" t="str">
        <f t="shared" ref="GU119" si="719">CONCATENATE("C",REPLACE(AF119,1,1,"")+1)</f>
        <v>C8</v>
      </c>
      <c r="GV119" t="str">
        <f>CONCATENATE("B",REPLACE(AG119,1,1,"")+1)</f>
        <v>B8</v>
      </c>
      <c r="GW119" t="str">
        <f>CONCATENATE("C",REPLACE(GU119,1,1,"")+1)</f>
        <v>C9</v>
      </c>
      <c r="GX119" t="str">
        <f>CONCATENATE("B",REPLACE(GV119,1,1,"")+1)</f>
        <v>B9</v>
      </c>
      <c r="GY119" t="str">
        <f>CONCATENATE("C",REPLACE(GW119,1,1,"")+1)</f>
        <v>C10</v>
      </c>
      <c r="GZ119" t="str">
        <f>CONCATENATE("B",REPLACE(GX119,1,1,"")+1)</f>
        <v>B10</v>
      </c>
      <c r="HA119" t="str">
        <f>CONCATENATE("C",REPLACE(GY119,1,1,"")+1)</f>
        <v>C11</v>
      </c>
      <c r="HB119" t="str">
        <f>CONCATENATE("B",REPLACE(GZ119,1,1,"")+1)</f>
        <v>B11</v>
      </c>
      <c r="HC119" t="str">
        <f>CONCATENATE("C",REPLACE(HA119,1,1,"")+1)</f>
        <v>C12</v>
      </c>
      <c r="HD119" t="str">
        <f>CONCATENATE("B",REPLACE(HB119,1,1,"")+1)</f>
        <v>B12</v>
      </c>
      <c r="HE119" t="str">
        <f>CONCATENATE(REPLACE(AK119,LEN(AK119),1,"")+1,"A")</f>
        <v>2A</v>
      </c>
      <c r="HF119" t="str">
        <f>CONCATENATE(REPLACE(AL119,LEN(AL119),1,"")+1,"B")</f>
        <v>2B</v>
      </c>
      <c r="HG119" t="str">
        <f t="shared" ref="HG119" si="720">CONCATENATE("AI",REPLACE($X119,1,3,""),"-",AA119)</f>
        <v>AI17-11A</v>
      </c>
      <c r="HH119" t="str">
        <f t="shared" ref="HH119" si="721">CONCATENATE("AI",REPLACE($X119,1,3,""),"-",AB119)</f>
        <v>AI17-11B</v>
      </c>
      <c r="HI119" t="str">
        <f t="shared" si="671"/>
        <v>DI10-C7</v>
      </c>
      <c r="HJ119" t="str">
        <f t="shared" si="671"/>
        <v>DI10-B7</v>
      </c>
      <c r="HK119" t="str">
        <f t="shared" ref="HK119" si="722">CONCATENATE("DI",REPLACE($AC119,1,3,""),"-",GU119)</f>
        <v>DI10-C8</v>
      </c>
      <c r="HL119" t="str">
        <f t="shared" ref="HL119" si="723">CONCATENATE("DI",REPLACE($AC119,1,3,""),"-",GV119)</f>
        <v>DI10-B8</v>
      </c>
      <c r="HM119" t="str">
        <f t="shared" ref="HM119" si="724">CONCATENATE("DI",REPLACE($AC119,1,3,""),"-",GW119)</f>
        <v>DI10-C9</v>
      </c>
      <c r="HN119" t="str">
        <f t="shared" ref="HN119" si="725">CONCATENATE("DI",REPLACE($AC119,1,3,""),"-",GX119)</f>
        <v>DI10-B9</v>
      </c>
      <c r="HO119" t="str">
        <f t="shared" ref="HO119" si="726">CONCATENATE("DI",REPLACE($AC119,1,3,""),"-",GY119)</f>
        <v>DI10-C10</v>
      </c>
      <c r="HP119" t="str">
        <f t="shared" ref="HP119" si="727">CONCATENATE("DI",REPLACE($AC119,1,3,""),"-",GZ119)</f>
        <v>DI10-B10</v>
      </c>
      <c r="HQ119" t="str">
        <f t="shared" ref="HQ119" si="728">CONCATENATE("DI",REPLACE($AC119,1,3,""),"-",HA119)</f>
        <v>DI10-C11</v>
      </c>
      <c r="HR119" t="str">
        <f t="shared" ref="HR119" si="729">CONCATENATE("DI",REPLACE($AC119,1,3,""),"-",HB119)</f>
        <v>DI10-B11</v>
      </c>
      <c r="HS119" t="str">
        <f t="shared" ref="HS119" si="730">CONCATENATE("DI",REPLACE($AC119,1,3,""),"-",HC119)</f>
        <v>DI10-C12</v>
      </c>
      <c r="HT119" t="str">
        <f t="shared" ref="HT119" si="731">CONCATENATE("DI",REPLACE($AC119,1,3,""),"-",HD119)</f>
        <v>DI10-B12</v>
      </c>
      <c r="HU119" t="str">
        <f t="shared" si="682"/>
        <v>DO6-1A</v>
      </c>
      <c r="HV119" t="str">
        <f t="shared" si="682"/>
        <v>DO6-1B</v>
      </c>
      <c r="HW119" t="str">
        <f t="shared" si="683"/>
        <v>DO6-2A</v>
      </c>
      <c r="HX119" t="str">
        <f t="shared" si="683"/>
        <v>DO6-2B</v>
      </c>
      <c r="HY119" t="str">
        <f>CONCATENATE("K",$U119,"-01")</f>
        <v>K52-01</v>
      </c>
      <c r="HZ119" t="str">
        <f>CONCATENATE("K",$U119,"-02")</f>
        <v>K52-02</v>
      </c>
      <c r="IA119" t="str">
        <f>CONCATENATE("K",$U119,"-03")</f>
        <v>K52-03</v>
      </c>
      <c r="IB119" t="str">
        <f>CONCATENATE("K",$U119,"-04")</f>
        <v>K52-04</v>
      </c>
      <c r="IC119" t="str">
        <f>CONCATENATE("K",$U119,"-05")</f>
        <v>K52-05</v>
      </c>
      <c r="ID119" t="str">
        <f>CONCATENATE("K",$U119,"-06")</f>
        <v>K52-06</v>
      </c>
      <c r="IE119" t="str">
        <f>CONCATENATE("K",$U119,"-07")</f>
        <v>K52-07</v>
      </c>
      <c r="IF119" t="str">
        <f>CONCATENATE("K",$U119,"-08")</f>
        <v>K52-08</v>
      </c>
      <c r="IG119" t="str">
        <f>CONCATENATE($T119,"-M",$U119,"-AMS-12")</f>
        <v>N1-M52-AMS-12</v>
      </c>
      <c r="IH119" t="str">
        <f>CONCATENATE($T119,"-M",$U119,"-AMS-10")</f>
        <v>N1-M52-AMS-10</v>
      </c>
      <c r="II119" t="str">
        <f>CONCATENATE($T119,"-M",$U119,"-AMS-11")</f>
        <v>N1-M52-AMS-11</v>
      </c>
      <c r="IJ119" t="str">
        <f>CONCATENATE($T119,"-M",$U119,"-AMS-13")</f>
        <v>N1-M52-AMS-13</v>
      </c>
      <c r="IK119" t="str">
        <f>CONCATENATE($T119,"-M",$U119,"-AMS-9")</f>
        <v>N1-M52-AMS-9</v>
      </c>
      <c r="IL119" t="str">
        <f>CONCATENATE($T119,"-M",$U119,"-AMS-7")</f>
        <v>N1-M52-AMS-7</v>
      </c>
      <c r="IM119" t="str">
        <f>CONCATENATE($T119,"-M",$U119,"-AMS-18")</f>
        <v>N1-M52-AMS-18</v>
      </c>
      <c r="IN119" t="str">
        <f>CONCATENATE($T119,"-M",$U119,"-AMS-20")</f>
        <v>N1-M52-AMS-20</v>
      </c>
      <c r="IO119" t="str">
        <f>CONCATENATE($T119,"-M",$U119,"-AMS-17")</f>
        <v>N1-M52-AMS-17</v>
      </c>
      <c r="IP119" t="str">
        <f>CONCATENATE($T119,"-+24-M",$U119,)</f>
        <v>N1-+24-M52</v>
      </c>
      <c r="IQ119" t="str">
        <f>CONCATENATE($T119,"-M",$U119,"-XM01")</f>
        <v>N1-M52-XM01</v>
      </c>
      <c r="IR119" t="s">
        <v>135</v>
      </c>
      <c r="IS119" t="s">
        <v>136</v>
      </c>
      <c r="IT119">
        <v>11</v>
      </c>
      <c r="IU119">
        <v>14</v>
      </c>
      <c r="IV119" t="s">
        <v>208</v>
      </c>
      <c r="IW119" t="s">
        <v>209</v>
      </c>
      <c r="IX119">
        <v>1</v>
      </c>
      <c r="IY119">
        <v>2</v>
      </c>
      <c r="IZ119">
        <v>3</v>
      </c>
      <c r="JA119">
        <v>4</v>
      </c>
      <c r="JB119">
        <v>5</v>
      </c>
      <c r="JC119">
        <v>6</v>
      </c>
      <c r="JD119">
        <v>7</v>
      </c>
      <c r="JE119">
        <v>8</v>
      </c>
      <c r="JF119">
        <v>9</v>
      </c>
      <c r="JG119">
        <v>10</v>
      </c>
      <c r="JH119">
        <v>11</v>
      </c>
      <c r="JI119">
        <v>12</v>
      </c>
      <c r="JJ119">
        <v>13</v>
      </c>
      <c r="JK119">
        <v>14</v>
      </c>
      <c r="JL119">
        <v>17</v>
      </c>
      <c r="JM119">
        <v>15</v>
      </c>
      <c r="JN119">
        <v>18</v>
      </c>
      <c r="JO119">
        <v>11</v>
      </c>
      <c r="JP119">
        <v>9</v>
      </c>
      <c r="JQ119">
        <v>6</v>
      </c>
      <c r="JR119">
        <v>20</v>
      </c>
      <c r="JS119">
        <v>7</v>
      </c>
      <c r="JT119">
        <v>10</v>
      </c>
      <c r="JU119">
        <v>22</v>
      </c>
      <c r="JV119">
        <v>23</v>
      </c>
      <c r="JW119">
        <v>26</v>
      </c>
      <c r="JX119">
        <v>27</v>
      </c>
      <c r="JY119" s="14">
        <v>30</v>
      </c>
    </row>
    <row r="120" spans="1:356" ht="15.75" thickBot="1" x14ac:dyDescent="0.3">
      <c r="A120" s="44" t="s">
        <v>1034</v>
      </c>
      <c r="B120" t="s">
        <v>847</v>
      </c>
      <c r="C120" s="3"/>
      <c r="O120" s="2"/>
      <c r="P120" t="s">
        <v>126</v>
      </c>
      <c r="Q120" s="1"/>
      <c r="S120" s="1" t="s">
        <v>127</v>
      </c>
      <c r="T120" s="12" t="s">
        <v>487</v>
      </c>
      <c r="U120" s="40">
        <f t="shared" si="662"/>
        <v>53</v>
      </c>
      <c r="V120" s="13" t="s">
        <v>846</v>
      </c>
      <c r="W120" s="13"/>
      <c r="AC120" t="str">
        <f t="shared" si="716"/>
        <v>A5.10</v>
      </c>
      <c r="AD120" s="36" cm="1">
        <f t="array" ref="AD120">IF(COUNTIFS(AC$2:AC120,AC120)=1,"1",VALUE(SUBSTITUTE(INDEX(AD:AD,_xlfn.XMATCH(AC120,AC$1:AC119,0,-1)),"A",""))+INDEX(AE:AE,_xlfn.XMATCH(AC120,AC$1:AC119,0,-1))+1)</f>
        <v>13</v>
      </c>
      <c r="AE120" s="36" cm="1">
        <f t="array" ref="AE120">SUM(IF(ISNUMBER(FIND("TmDi",$BE$1:$AAL$1)),IF(IFERROR(ISNUMBER(VALUE(SUBSTITUTE($BE120:$AAL120,"B",""))),FALSE),IF(ISNUMBER(VALUE(SUBSTITUTE($BE120:$AAL120,"B",""))),1,0),0)))</f>
        <v>5</v>
      </c>
      <c r="AF120" t="str">
        <f t="shared" si="355"/>
        <v>C13</v>
      </c>
      <c r="AG120" t="str">
        <f t="shared" si="356"/>
        <v>B13</v>
      </c>
      <c r="AH120" t="str">
        <f t="shared" si="717"/>
        <v>A6.6</v>
      </c>
      <c r="AI120" s="47" cm="1">
        <f t="array" ref="AI120">IF(COUNTIFS(AH$2:AH120,AH120)=1,"1",VALUE(SUBSTITUTE(INDEX(AI:AI,_xlfn.XMATCH(AH120,AH$1:AH119,0,-1)),"A",""))+INDEX(AJ:AJ,_xlfn.XMATCH(AH120,AH$1:AH119,0,-1))+1)</f>
        <v>3</v>
      </c>
      <c r="AJ120" s="41" cm="1">
        <f t="array" ref="AJ120">SUM(IF(ISNUMBER(FIND("TmDo",$BE$1:$AAL$1)),IF(IFERROR(ISNUMBER(VALUE(SUBSTITUTE($BE120:$AAL120,"B",""))),FALSE),IF(ISNUMBER(VALUE(SUBSTITUTE($BE120:$AAL120,"B",""))),1,0),0)))</f>
        <v>2</v>
      </c>
      <c r="AK120" t="str">
        <f t="shared" si="628"/>
        <v>3A</v>
      </c>
      <c r="AL120" t="str">
        <f t="shared" si="629"/>
        <v>3B</v>
      </c>
      <c r="AM120" t="s">
        <v>222</v>
      </c>
      <c r="AP120" t="s">
        <v>489</v>
      </c>
      <c r="AQ120" t="s">
        <v>744</v>
      </c>
      <c r="AT120" t="s">
        <v>132</v>
      </c>
      <c r="AU120" t="s">
        <v>133</v>
      </c>
      <c r="BD120" s="14"/>
      <c r="BE120" s="23" t="str">
        <f t="shared" ref="BE120" si="732">CONCATENATE("XT",U120)</f>
        <v>XT53</v>
      </c>
      <c r="BF120" s="16" t="str">
        <f t="shared" ref="BF120" si="733">CONCATENATE("C",REPLACE(AF120,1,1,"")+1)</f>
        <v>C14</v>
      </c>
      <c r="BG120" s="16" t="str">
        <f t="shared" ref="BG120" si="734">CONCATENATE("B",REPLACE(AG120,1,1,"")+1)</f>
        <v>B14</v>
      </c>
      <c r="BH120" s="16" t="str">
        <f t="shared" ref="BH120" si="735">CONCATENATE("C",REPLACE(BF120,1,1,"")+1)</f>
        <v>C15</v>
      </c>
      <c r="BI120" s="16" t="str">
        <f t="shared" ref="BI120" si="736">CONCATENATE("B",REPLACE(BG120,1,1,"")+1)</f>
        <v>B15</v>
      </c>
      <c r="BJ120" s="16" t="str">
        <f t="shared" ref="BJ120" si="737">CONCATENATE("C",REPLACE(BH120,1,1,"")+1)</f>
        <v>C16</v>
      </c>
      <c r="BK120" s="16" t="str">
        <f t="shared" ref="BK120" si="738">CONCATENATE("B",REPLACE(BI120,1,1,"")+1)</f>
        <v>B16</v>
      </c>
      <c r="BL120" s="16" t="str">
        <f t="shared" ref="BL120" si="739">CONCATENATE("C",REPLACE(BJ120,1,1,"")+1)</f>
        <v>C17</v>
      </c>
      <c r="BM120" s="16" t="str">
        <f t="shared" ref="BM120" si="740">CONCATENATE("B",REPLACE(BK120,1,1,"")+1)</f>
        <v>B17</v>
      </c>
      <c r="BN120" s="16" t="str">
        <f t="shared" ref="BN120" si="741">CONCATENATE("C",REPLACE(BL120,1,1,"")+1)</f>
        <v>C18</v>
      </c>
      <c r="BO120" s="16" t="str">
        <f t="shared" ref="BO120" si="742">CONCATENATE("B",REPLACE(BM120,1,1,"")+1)</f>
        <v>B18</v>
      </c>
      <c r="BP120" s="16" t="str">
        <f>CONCATENATE(REPLACE(AK120,LEN(AK120),1,"")+1,"A")</f>
        <v>4A</v>
      </c>
      <c r="BQ120" s="16" t="str">
        <f>CONCATENATE(REPLACE(AL120,LEN(AL120),1,"")+1,"B")</f>
        <v>4B</v>
      </c>
      <c r="BR120" s="16" t="str">
        <f>CONCATENATE(REPLACE(BP120,LEN(BP120),1,"")+1,"A")</f>
        <v>5A</v>
      </c>
      <c r="BS120" s="16" t="str">
        <f>CONCATENATE(REPLACE(BQ120,LEN(BQ120),1,"")+1,"B")</f>
        <v>5B</v>
      </c>
      <c r="BT120" s="16" t="str">
        <f t="shared" ref="BT120" si="743">CONCATENATE("DI",REPLACE($AC120,1,3,""),"-",AF120)</f>
        <v>DI10-C13</v>
      </c>
      <c r="BU120" s="16" t="str">
        <f t="shared" ref="BU120" si="744">CONCATENATE("DI",REPLACE($AC120,1,3,""),"-",AG120)</f>
        <v>DI10-B13</v>
      </c>
      <c r="BV120" s="16" t="str">
        <f t="shared" ref="BV120" si="745">CONCATENATE("DI",REPLACE($AC120,1,3,""),"-",BF120)</f>
        <v>DI10-C14</v>
      </c>
      <c r="BW120" s="16" t="str">
        <f t="shared" ref="BW120" si="746">CONCATENATE("DI",REPLACE($AC120,1,3,""),"-",BG120)</f>
        <v>DI10-B14</v>
      </c>
      <c r="BX120" s="16" t="str">
        <f t="shared" ref="BX120" si="747">CONCATENATE("DI",REPLACE($AC120,1,3,""),"-",BH120)</f>
        <v>DI10-C15</v>
      </c>
      <c r="BY120" s="16" t="str">
        <f t="shared" ref="BY120" si="748">CONCATENATE("DI",REPLACE($AC120,1,3,""),"-",BI120)</f>
        <v>DI10-B15</v>
      </c>
      <c r="BZ120" s="16" t="str">
        <f t="shared" ref="BZ120" si="749">CONCATENATE("DI",REPLACE($AC120,1,3,""),"-",BJ120)</f>
        <v>DI10-C16</v>
      </c>
      <c r="CA120" s="16" t="str">
        <f t="shared" ref="CA120" si="750">CONCATENATE("DI",REPLACE($AC120,1,3,""),"-",BK120)</f>
        <v>DI10-B16</v>
      </c>
      <c r="CB120" s="16" t="str">
        <f t="shared" ref="CB120" si="751">CONCATENATE("DI",REPLACE($AC120,1,3,""),"-",BL120)</f>
        <v>DI10-C17</v>
      </c>
      <c r="CC120" s="16" t="str">
        <f t="shared" ref="CC120" si="752">CONCATENATE("DI",REPLACE($AC120,1,3,""),"-",BM120)</f>
        <v>DI10-B17</v>
      </c>
      <c r="CD120" s="16" t="str">
        <f t="shared" ref="CD120" si="753">CONCATENATE("DI",REPLACE($AC120,1,3,""),"-",BN120)</f>
        <v>DI10-C18</v>
      </c>
      <c r="CE120" s="16" t="str">
        <f t="shared" ref="CE120" si="754">CONCATENATE("DI",REPLACE($AC120,1,3,""),"-",BO120)</f>
        <v>DI10-B18</v>
      </c>
      <c r="CF120" s="16" t="str">
        <f t="shared" ref="CF120" si="755">CONCATENATE("DO",REPLACE($AH120,1,3,""),"-",AK120)</f>
        <v>DO6-3A</v>
      </c>
      <c r="CG120" s="16" t="str">
        <f t="shared" ref="CG120" si="756">CONCATENATE("DO",REPLACE($AH120,1,3,""),"-",AL120)</f>
        <v>DO6-3B</v>
      </c>
      <c r="CH120" s="16" t="str">
        <f t="shared" ref="CH120" si="757">CONCATENATE("DO",REPLACE($AH120,1,3,""),"-",BP120)</f>
        <v>DO6-4A</v>
      </c>
      <c r="CI120" s="16" t="str">
        <f t="shared" ref="CI120" si="758">CONCATENATE("DO",REPLACE($AH120,1,3,""),"-",BQ120)</f>
        <v>DO6-4B</v>
      </c>
      <c r="CJ120" s="16" t="str">
        <f t="shared" ref="CJ120" si="759">CONCATENATE("DO",REPLACE($AH120,1,3,""),"-",BR120)</f>
        <v>DO6-5A</v>
      </c>
      <c r="CK120" s="16" t="str">
        <f t="shared" ref="CK120" si="760">CONCATENATE("DO",REPLACE($AH120,1,3,""),"-",BS120)</f>
        <v>DO6-5B</v>
      </c>
      <c r="CL120" s="16" t="str">
        <f t="shared" ref="CL120:CL124" si="761">CONCATENATE("K",$U120,"-10")</f>
        <v>K53-10</v>
      </c>
      <c r="CM120" s="16" t="str">
        <f t="shared" ref="CM120:CM124" si="762">CONCATENATE("K",$U120,"-03")</f>
        <v>K53-03</v>
      </c>
      <c r="CN120" s="16" t="str">
        <f t="shared" ref="CN120:CN124" si="763">CONCATENATE("K",$U120,"-04")</f>
        <v>K53-04</v>
      </c>
      <c r="CO120" s="16" t="str">
        <f t="shared" ref="CO120:CO124" si="764">CONCATENATE("K",$U120,"-01")</f>
        <v>K53-01</v>
      </c>
      <c r="CP120" s="16" t="str">
        <f t="shared" ref="CP120:CP124" si="765">CONCATENATE("K",$U120,"-08")</f>
        <v>K53-08</v>
      </c>
      <c r="CQ120" s="16" t="str">
        <f t="shared" ref="CQ120:CQ124" si="766">CONCATENATE("K",$U120,"-02")</f>
        <v>K53-02</v>
      </c>
      <c r="CR120" s="16" t="str">
        <f t="shared" ref="CR120:CR124" si="767">CONCATENATE("K",$U120,"-09")</f>
        <v>K53-09</v>
      </c>
      <c r="CS120" s="16" t="str">
        <f t="shared" ref="CS120:CS124" si="768">CONCATENATE("K",$U120,"-05")</f>
        <v>K53-05</v>
      </c>
      <c r="CT120" s="16" t="str">
        <f t="shared" ref="CT120:CT124" si="769">CONCATENATE("K",$U120,"-11")</f>
        <v>K53-11</v>
      </c>
      <c r="CU120" s="16" t="str">
        <f t="shared" ref="CU120:CU124" si="770">CONCATENATE($T120,"-M",$U120,"-A9")</f>
        <v>N1-M53-A9</v>
      </c>
      <c r="CV120" s="16" t="str">
        <f t="shared" ref="CV120:CV124" si="771">CONCATENATE($T120,"-M",$U120,"-A7")</f>
        <v>N1-M53-A7</v>
      </c>
      <c r="CW120" s="16" t="str">
        <f t="shared" ref="CW120:CW124" si="772">CONCATENATE($T120,"-M",$U120,"-A8")</f>
        <v>N1-M53-A8</v>
      </c>
      <c r="CX120" s="16" t="str">
        <f t="shared" ref="CX120:CX124" si="773">CONCATENATE($T120,"-M",$U120,"-A6")</f>
        <v>N1-M53-A6</v>
      </c>
      <c r="CY120" s="16" t="str">
        <f t="shared" ref="CY120:CY124" si="774">CONCATENATE($T120,"-M",$U120,"-A30")</f>
        <v>N1-M53-A30</v>
      </c>
      <c r="CZ120" s="16" t="str">
        <f t="shared" ref="CZ120:CZ124" si="775">CONCATENATE($T120,"-M",$U120,"-N")</f>
        <v>N1-M53-N</v>
      </c>
      <c r="DA120" s="16" t="str">
        <f t="shared" ref="DA120" si="776">CONCATENATE($T120,"-A220-M",U120)</f>
        <v>N1-A220-M53</v>
      </c>
      <c r="DB120" s="16" t="str">
        <f t="shared" ref="DB120:DB124" si="777">CONCATENATE($T120,"-M",$U120,"-XM01")</f>
        <v>N1-M53-XM01</v>
      </c>
      <c r="DC120" s="16" t="str">
        <f t="shared" ref="DC120:DC124" si="778">CONCATENATE($T120,"-M",$U120,"-A1")</f>
        <v>N1-M53-A1</v>
      </c>
      <c r="DD120" s="16" t="str">
        <f t="shared" ref="DD120:DD124" si="779">CONCATENATE($T120,"-M",$U120,"-A5")</f>
        <v>N1-M53-A5</v>
      </c>
      <c r="DE120" s="16" t="str">
        <f t="shared" ref="DE120:DE124" si="780">CONCATENATE($T120,"-M",$U120,"-A11")</f>
        <v>N1-M53-A11</v>
      </c>
      <c r="DF120" s="16" t="str">
        <f t="shared" ref="DF120:DF124" si="781">CONCATENATE($T120,"-M",$U120,"-A12")</f>
        <v>N1-M53-A12</v>
      </c>
      <c r="DG120" s="16" t="str">
        <f t="shared" ref="DG120:DG124" si="782">CONCATENATE($T120,"-M",$U120,"-A19")</f>
        <v>N1-M53-A19</v>
      </c>
      <c r="DH120" s="16" t="str">
        <f t="shared" ref="DH120:DH124" si="783">CONCATENATE($T120,"-M",$U120,"-A20")</f>
        <v>N1-M53-A20</v>
      </c>
      <c r="DI120" s="16" t="s">
        <v>135</v>
      </c>
      <c r="DJ120" s="16" t="s">
        <v>136</v>
      </c>
      <c r="DK120" s="16">
        <v>11</v>
      </c>
      <c r="DL120" s="16">
        <v>14</v>
      </c>
      <c r="DM120" s="16">
        <v>12</v>
      </c>
      <c r="DN120" s="16" t="s">
        <v>137</v>
      </c>
      <c r="DO120" s="16" t="s">
        <v>138</v>
      </c>
      <c r="DP120" s="16">
        <v>1</v>
      </c>
      <c r="DQ120" s="16">
        <v>2</v>
      </c>
      <c r="DR120" s="16">
        <v>3</v>
      </c>
      <c r="DS120" s="16">
        <v>4</v>
      </c>
      <c r="DT120" s="16">
        <v>5</v>
      </c>
      <c r="DU120" s="16">
        <v>6</v>
      </c>
      <c r="DV120" s="16">
        <v>7</v>
      </c>
      <c r="DW120" s="16">
        <v>8</v>
      </c>
      <c r="DX120" s="16">
        <v>9</v>
      </c>
      <c r="DY120" s="16">
        <v>10</v>
      </c>
      <c r="DZ120" s="16">
        <v>11</v>
      </c>
      <c r="EA120" s="16">
        <v>12</v>
      </c>
      <c r="EB120" s="16">
        <v>13</v>
      </c>
      <c r="EC120" s="16">
        <v>14</v>
      </c>
      <c r="ED120" s="16">
        <v>1</v>
      </c>
      <c r="EE120" s="16">
        <v>3</v>
      </c>
      <c r="EF120" s="16">
        <v>4</v>
      </c>
      <c r="EG120" s="16">
        <v>7</v>
      </c>
      <c r="EH120" s="16">
        <v>8</v>
      </c>
      <c r="EI120" s="16">
        <v>9</v>
      </c>
      <c r="EJ120" s="16">
        <v>10</v>
      </c>
      <c r="EK120" s="16">
        <v>13</v>
      </c>
      <c r="EL120" s="16">
        <v>14</v>
      </c>
      <c r="EM120" s="16">
        <v>15</v>
      </c>
      <c r="EN120" s="16">
        <v>16</v>
      </c>
      <c r="EO120" s="16">
        <v>22</v>
      </c>
      <c r="EP120" s="16">
        <v>23</v>
      </c>
      <c r="EQ120" s="17">
        <v>24</v>
      </c>
    </row>
    <row r="121" spans="1:356" ht="15.75" thickBot="1" x14ac:dyDescent="0.3">
      <c r="A121" s="44" t="s">
        <v>1035</v>
      </c>
      <c r="B121" t="s">
        <v>848</v>
      </c>
      <c r="C121" s="3"/>
      <c r="O121" s="2"/>
      <c r="P121" t="s">
        <v>126</v>
      </c>
      <c r="Q121" s="1"/>
      <c r="S121" s="1" t="s">
        <v>127</v>
      </c>
      <c r="T121" s="12" t="s">
        <v>487</v>
      </c>
      <c r="U121" s="40">
        <f t="shared" si="662"/>
        <v>54</v>
      </c>
      <c r="V121" s="13" t="s">
        <v>849</v>
      </c>
      <c r="W121" s="13"/>
      <c r="AC121" t="str">
        <f t="shared" ref="AC121:AC122" si="784">IF(AD120+AE120&gt;25,REPLACE(AC120,LEN(AC120),1,VALUE(RIGHT(AC120,1))+1),AC120)</f>
        <v>A5.10</v>
      </c>
      <c r="AD121" s="36" cm="1">
        <f t="array" ref="AD121">IF(COUNTIFS(AC$2:AC121,AC121)=1,"1",VALUE(SUBSTITUTE(INDEX(AD:AD,_xlfn.XMATCH(AC121,AC$1:AC120,0,-1)),"A",""))+INDEX(AE:AE,_xlfn.XMATCH(AC121,AC$1:AC120,0,-1))+1)</f>
        <v>19</v>
      </c>
      <c r="AE121" s="36" cm="1">
        <f t="array" ref="AE121">SUM(IF(ISNUMBER(FIND("TmDi",$BE$1:$AAL$1)),IF(IFERROR(ISNUMBER(VALUE(SUBSTITUTE($BE121:$AAL121,"B",""))),FALSE),IF(ISNUMBER(VALUE(SUBSTITUTE($BE121:$AAL121,"B",""))),1,0),0)))</f>
        <v>5</v>
      </c>
      <c r="AF121" t="str">
        <f t="shared" si="355"/>
        <v>C19</v>
      </c>
      <c r="AG121" t="str">
        <f t="shared" si="356"/>
        <v>B19</v>
      </c>
      <c r="AH121" t="str">
        <f t="shared" ref="AH121:AH122" si="785">IF(AI120+AJ120&gt;25,REPLACE(AH120,LEN(AH120),1,VALUE(RIGHT(AH120,1))+1),AH120)</f>
        <v>A6.6</v>
      </c>
      <c r="AI121" s="47" cm="1">
        <f t="array" ref="AI121">IF(COUNTIFS(AH$2:AH121,AH121)=1,"1",VALUE(SUBSTITUTE(INDEX(AI:AI,_xlfn.XMATCH(AH121,AH$1:AH120,0,-1)),"A",""))+INDEX(AJ:AJ,_xlfn.XMATCH(AH121,AH$1:AH120,0,-1))+1)</f>
        <v>6</v>
      </c>
      <c r="AJ121" s="41" cm="1">
        <f t="array" ref="AJ121">SUM(IF(ISNUMBER(FIND("TmDo",$BE$1:$AAL$1)),IF(IFERROR(ISNUMBER(VALUE(SUBSTITUTE($BE121:$AAL121,"B",""))),FALSE),IF(ISNUMBER(VALUE(SUBSTITUTE($BE121:$AAL121,"B",""))),1,0),0)))</f>
        <v>2</v>
      </c>
      <c r="AK121" t="str">
        <f t="shared" si="628"/>
        <v>6A</v>
      </c>
      <c r="AL121" t="str">
        <f t="shared" si="629"/>
        <v>6B</v>
      </c>
      <c r="AM121" t="s">
        <v>850</v>
      </c>
      <c r="AP121" t="s">
        <v>489</v>
      </c>
      <c r="AQ121" t="s">
        <v>744</v>
      </c>
      <c r="AT121" t="s">
        <v>132</v>
      </c>
      <c r="AU121" t="s">
        <v>133</v>
      </c>
      <c r="BD121" s="14"/>
      <c r="BE121" s="23" t="str">
        <f t="shared" ref="BE121" si="786">CONCATENATE("XT",U121)</f>
        <v>XT54</v>
      </c>
      <c r="BF121" s="16" t="str">
        <f t="shared" ref="BF121" si="787">CONCATENATE("C",REPLACE(AF121,1,1,"")+1)</f>
        <v>C20</v>
      </c>
      <c r="BG121" s="16" t="str">
        <f t="shared" ref="BG121" si="788">CONCATENATE("B",REPLACE(AG121,1,1,"")+1)</f>
        <v>B20</v>
      </c>
      <c r="BH121" s="16" t="str">
        <f t="shared" ref="BH121" si="789">CONCATENATE("C",REPLACE(BF121,1,1,"")+1)</f>
        <v>C21</v>
      </c>
      <c r="BI121" s="16" t="str">
        <f t="shared" ref="BI121" si="790">CONCATENATE("B",REPLACE(BG121,1,1,"")+1)</f>
        <v>B21</v>
      </c>
      <c r="BJ121" s="16" t="str">
        <f t="shared" ref="BJ121" si="791">CONCATENATE("C",REPLACE(BH121,1,1,"")+1)</f>
        <v>C22</v>
      </c>
      <c r="BK121" s="16" t="str">
        <f t="shared" ref="BK121" si="792">CONCATENATE("B",REPLACE(BI121,1,1,"")+1)</f>
        <v>B22</v>
      </c>
      <c r="BL121" s="16" t="str">
        <f t="shared" ref="BL121" si="793">CONCATENATE("C",REPLACE(BJ121,1,1,"")+1)</f>
        <v>C23</v>
      </c>
      <c r="BM121" s="16" t="str">
        <f t="shared" ref="BM121" si="794">CONCATENATE("B",REPLACE(BK121,1,1,"")+1)</f>
        <v>B23</v>
      </c>
      <c r="BN121" s="16" t="str">
        <f t="shared" ref="BN121" si="795">CONCATENATE("C",REPLACE(BL121,1,1,"")+1)</f>
        <v>C24</v>
      </c>
      <c r="BO121" s="16" t="str">
        <f t="shared" ref="BO121" si="796">CONCATENATE("B",REPLACE(BM121,1,1,"")+1)</f>
        <v>B24</v>
      </c>
      <c r="BP121" s="16" t="str">
        <f>CONCATENATE(REPLACE(AK121,LEN(AK121),1,"")+1,"A")</f>
        <v>7A</v>
      </c>
      <c r="BQ121" s="16" t="str">
        <f>CONCATENATE(REPLACE(AL121,LEN(AL121),1,"")+1,"B")</f>
        <v>7B</v>
      </c>
      <c r="BR121" s="16" t="str">
        <f>CONCATENATE(REPLACE(BP121,LEN(BP121),1,"")+1,"A")</f>
        <v>8A</v>
      </c>
      <c r="BS121" s="16" t="str">
        <f>CONCATENATE(REPLACE(BQ121,LEN(BQ121),1,"")+1,"B")</f>
        <v>8B</v>
      </c>
      <c r="BT121" s="16" t="str">
        <f t="shared" ref="BT121" si="797">CONCATENATE("DI",REPLACE($AC121,1,3,""),"-",AF121)</f>
        <v>DI10-C19</v>
      </c>
      <c r="BU121" s="16" t="str">
        <f t="shared" ref="BU121" si="798">CONCATENATE("DI",REPLACE($AC121,1,3,""),"-",AG121)</f>
        <v>DI10-B19</v>
      </c>
      <c r="BV121" s="16" t="str">
        <f t="shared" ref="BV121" si="799">CONCATENATE("DI",REPLACE($AC121,1,3,""),"-",BF121)</f>
        <v>DI10-C20</v>
      </c>
      <c r="BW121" s="16" t="str">
        <f t="shared" ref="BW121" si="800">CONCATENATE("DI",REPLACE($AC121,1,3,""),"-",BG121)</f>
        <v>DI10-B20</v>
      </c>
      <c r="BX121" s="16" t="str">
        <f t="shared" ref="BX121" si="801">CONCATENATE("DI",REPLACE($AC121,1,3,""),"-",BH121)</f>
        <v>DI10-C21</v>
      </c>
      <c r="BY121" s="16" t="str">
        <f t="shared" ref="BY121" si="802">CONCATENATE("DI",REPLACE($AC121,1,3,""),"-",BI121)</f>
        <v>DI10-B21</v>
      </c>
      <c r="BZ121" s="16" t="str">
        <f t="shared" ref="BZ121" si="803">CONCATENATE("DI",REPLACE($AC121,1,3,""),"-",BJ121)</f>
        <v>DI10-C22</v>
      </c>
      <c r="CA121" s="16" t="str">
        <f t="shared" ref="CA121" si="804">CONCATENATE("DI",REPLACE($AC121,1,3,""),"-",BK121)</f>
        <v>DI10-B22</v>
      </c>
      <c r="CB121" s="16" t="str">
        <f t="shared" ref="CB121" si="805">CONCATENATE("DI",REPLACE($AC121,1,3,""),"-",BL121)</f>
        <v>DI10-C23</v>
      </c>
      <c r="CC121" s="16" t="str">
        <f t="shared" ref="CC121" si="806">CONCATENATE("DI",REPLACE($AC121,1,3,""),"-",BM121)</f>
        <v>DI10-B23</v>
      </c>
      <c r="CD121" s="16" t="str">
        <f t="shared" ref="CD121" si="807">CONCATENATE("DI",REPLACE($AC121,1,3,""),"-",BN121)</f>
        <v>DI10-C24</v>
      </c>
      <c r="CE121" s="16" t="str">
        <f t="shared" ref="CE121" si="808">CONCATENATE("DI",REPLACE($AC121,1,3,""),"-",BO121)</f>
        <v>DI10-B24</v>
      </c>
      <c r="CF121" s="16" t="str">
        <f t="shared" ref="CF121" si="809">CONCATENATE("DO",REPLACE($AH121,1,3,""),"-",AK121)</f>
        <v>DO6-6A</v>
      </c>
      <c r="CG121" s="16" t="str">
        <f t="shared" ref="CG121" si="810">CONCATENATE("DO",REPLACE($AH121,1,3,""),"-",AL121)</f>
        <v>DO6-6B</v>
      </c>
      <c r="CH121" s="16" t="str">
        <f t="shared" ref="CH121" si="811">CONCATENATE("DO",REPLACE($AH121,1,3,""),"-",BP121)</f>
        <v>DO6-7A</v>
      </c>
      <c r="CI121" s="16" t="str">
        <f t="shared" ref="CI121" si="812">CONCATENATE("DO",REPLACE($AH121,1,3,""),"-",BQ121)</f>
        <v>DO6-7B</v>
      </c>
      <c r="CJ121" s="16" t="str">
        <f t="shared" ref="CJ121" si="813">CONCATENATE("DO",REPLACE($AH121,1,3,""),"-",BR121)</f>
        <v>DO6-8A</v>
      </c>
      <c r="CK121" s="16" t="str">
        <f t="shared" ref="CK121" si="814">CONCATENATE("DO",REPLACE($AH121,1,3,""),"-",BS121)</f>
        <v>DO6-8B</v>
      </c>
      <c r="CL121" s="16" t="str">
        <f t="shared" si="761"/>
        <v>K54-10</v>
      </c>
      <c r="CM121" s="16" t="str">
        <f t="shared" si="762"/>
        <v>K54-03</v>
      </c>
      <c r="CN121" s="16" t="str">
        <f t="shared" si="763"/>
        <v>K54-04</v>
      </c>
      <c r="CO121" s="16" t="str">
        <f t="shared" si="764"/>
        <v>K54-01</v>
      </c>
      <c r="CP121" s="16" t="str">
        <f t="shared" si="765"/>
        <v>K54-08</v>
      </c>
      <c r="CQ121" s="16" t="str">
        <f t="shared" si="766"/>
        <v>K54-02</v>
      </c>
      <c r="CR121" s="16" t="str">
        <f t="shared" si="767"/>
        <v>K54-09</v>
      </c>
      <c r="CS121" s="16" t="str">
        <f t="shared" si="768"/>
        <v>K54-05</v>
      </c>
      <c r="CT121" s="16" t="str">
        <f t="shared" si="769"/>
        <v>K54-11</v>
      </c>
      <c r="CU121" s="16" t="str">
        <f t="shared" si="770"/>
        <v>N1-M54-A9</v>
      </c>
      <c r="CV121" s="16" t="str">
        <f t="shared" si="771"/>
        <v>N1-M54-A7</v>
      </c>
      <c r="CW121" s="16" t="str">
        <f t="shared" si="772"/>
        <v>N1-M54-A8</v>
      </c>
      <c r="CX121" s="16" t="str">
        <f t="shared" si="773"/>
        <v>N1-M54-A6</v>
      </c>
      <c r="CY121" s="16" t="str">
        <f t="shared" si="774"/>
        <v>N1-M54-A30</v>
      </c>
      <c r="CZ121" s="16" t="str">
        <f t="shared" si="775"/>
        <v>N1-M54-N</v>
      </c>
      <c r="DA121" s="16" t="str">
        <f t="shared" ref="DA121" si="815">CONCATENATE($T121,"-A220-M",U121)</f>
        <v>N1-A220-M54</v>
      </c>
      <c r="DB121" s="16" t="str">
        <f t="shared" si="777"/>
        <v>N1-M54-XM01</v>
      </c>
      <c r="DC121" s="16" t="str">
        <f t="shared" si="778"/>
        <v>N1-M54-A1</v>
      </c>
      <c r="DD121" s="16" t="str">
        <f t="shared" si="779"/>
        <v>N1-M54-A5</v>
      </c>
      <c r="DE121" s="16" t="str">
        <f t="shared" si="780"/>
        <v>N1-M54-A11</v>
      </c>
      <c r="DF121" s="16" t="str">
        <f t="shared" si="781"/>
        <v>N1-M54-A12</v>
      </c>
      <c r="DG121" s="16" t="str">
        <f t="shared" si="782"/>
        <v>N1-M54-A19</v>
      </c>
      <c r="DH121" s="16" t="str">
        <f t="shared" si="783"/>
        <v>N1-M54-A20</v>
      </c>
      <c r="DI121" s="16" t="s">
        <v>135</v>
      </c>
      <c r="DJ121" s="16" t="s">
        <v>136</v>
      </c>
      <c r="DK121" s="16">
        <v>11</v>
      </c>
      <c r="DL121" s="16">
        <v>14</v>
      </c>
      <c r="DM121" s="16">
        <v>12</v>
      </c>
      <c r="DN121" s="16" t="s">
        <v>137</v>
      </c>
      <c r="DO121" s="16" t="s">
        <v>138</v>
      </c>
      <c r="DP121" s="16">
        <v>1</v>
      </c>
      <c r="DQ121" s="16">
        <v>2</v>
      </c>
      <c r="DR121" s="16">
        <v>3</v>
      </c>
      <c r="DS121" s="16">
        <v>4</v>
      </c>
      <c r="DT121" s="16">
        <v>5</v>
      </c>
      <c r="DU121" s="16">
        <v>6</v>
      </c>
      <c r="DV121" s="16">
        <v>7</v>
      </c>
      <c r="DW121" s="16">
        <v>8</v>
      </c>
      <c r="DX121" s="16">
        <v>9</v>
      </c>
      <c r="DY121" s="16">
        <v>10</v>
      </c>
      <c r="DZ121" s="16">
        <v>11</v>
      </c>
      <c r="EA121" s="16">
        <v>12</v>
      </c>
      <c r="EB121" s="16">
        <v>13</v>
      </c>
      <c r="EC121" s="16">
        <v>14</v>
      </c>
      <c r="ED121" s="16">
        <v>1</v>
      </c>
      <c r="EE121" s="16">
        <v>3</v>
      </c>
      <c r="EF121" s="16">
        <v>4</v>
      </c>
      <c r="EG121" s="16">
        <v>7</v>
      </c>
      <c r="EH121" s="16">
        <v>8</v>
      </c>
      <c r="EI121" s="16">
        <v>9</v>
      </c>
      <c r="EJ121" s="16">
        <v>10</v>
      </c>
      <c r="EK121" s="16">
        <v>13</v>
      </c>
      <c r="EL121" s="16">
        <v>14</v>
      </c>
      <c r="EM121" s="16">
        <v>15</v>
      </c>
      <c r="EN121" s="16">
        <v>16</v>
      </c>
      <c r="EO121" s="16">
        <v>22</v>
      </c>
      <c r="EP121" s="16">
        <v>23</v>
      </c>
      <c r="EQ121" s="17">
        <v>24</v>
      </c>
    </row>
    <row r="122" spans="1:356" x14ac:dyDescent="0.25">
      <c r="A122" t="s">
        <v>1036</v>
      </c>
      <c r="B122" t="s">
        <v>851</v>
      </c>
      <c r="P122" t="s">
        <v>188</v>
      </c>
      <c r="T122" s="12" t="s">
        <v>487</v>
      </c>
      <c r="U122" s="40">
        <f t="shared" si="662"/>
        <v>55</v>
      </c>
      <c r="V122" s="13" t="s">
        <v>852</v>
      </c>
      <c r="W122" s="13" t="s">
        <v>853</v>
      </c>
      <c r="X122" t="s">
        <v>332</v>
      </c>
      <c r="Y122" s="36" cm="1">
        <f t="array" ref="Y122">IF(COUNTIFS($X$2:$X122,$X122)=1,"1",VALUE(SUBSTITUTE(INDEX(Y:Y,_xlfn.XMATCH($X122,$X$1:$X121,0,-1)),"A",""))+INDEX(Z:Z,_xlfn.XMATCH($X122,$X$1:$X121,0,-1))+1)</f>
        <v>8</v>
      </c>
      <c r="Z122" s="36" cm="1">
        <f t="array" ref="Z122">SUM(IF(ISNUMBER(FIND("TmAi",$BE$1:$AAL$1)),IF(IFERROR(ISODD(SUBSTITUTE($BE122:$AAL122,"A","")),FALSE),IF(ISODD(SUBSTITUTE($BE122:$AAL122,"A","")),1,0),0)))</f>
        <v>0</v>
      </c>
      <c r="AA122" t="str">
        <f t="shared" ref="AA122" si="816">CONCATENATE($Y122*2-1,"A")</f>
        <v>15A</v>
      </c>
      <c r="AB122" t="str">
        <f t="shared" ref="AB122" si="817">CONCATENATE($Y122*2-1,"B")</f>
        <v>15B</v>
      </c>
      <c r="AC122" t="str">
        <f t="shared" si="784"/>
        <v>A5.10</v>
      </c>
      <c r="AD122" s="36" cm="1">
        <f t="array" ref="AD122">IF(COUNTIFS(AC$2:AC122,AC122)=1,"1",VALUE(SUBSTITUTE(INDEX(AD:AD,_xlfn.XMATCH(AC122,AC$1:AC121,0,-1)),"A",""))+INDEX(AE:AE,_xlfn.XMATCH(AC122,AC$1:AC121,0,-1))+1)</f>
        <v>25</v>
      </c>
      <c r="AE122" s="36" cm="1">
        <f t="array" ref="AE122">SUM(IF(ISNUMBER(FIND("TmDi",$BE$1:$AAL$1)),IF(IFERROR(ISNUMBER(VALUE(SUBSTITUTE($BE122:$AAL122,"B",""))),FALSE),IF(ISNUMBER(VALUE(SUBSTITUTE($BE122:$AAL122,"B",""))),1,0),0)))</f>
        <v>5</v>
      </c>
      <c r="AF122" t="str">
        <f t="shared" si="355"/>
        <v>C25</v>
      </c>
      <c r="AG122" t="str">
        <f t="shared" si="356"/>
        <v>B25</v>
      </c>
      <c r="AH122" t="str">
        <f t="shared" si="785"/>
        <v>A6.6</v>
      </c>
      <c r="AI122" s="47" cm="1">
        <f t="array" ref="AI122">IF(COUNTIFS(AH$2:AH122,AH122)=1,"1",VALUE(SUBSTITUTE(INDEX(AI:AI,_xlfn.XMATCH(AH122,AH$1:AH121,0,-1)),"A",""))+INDEX(AJ:AJ,_xlfn.XMATCH(AH122,AH$1:AH121,0,-1))+1)</f>
        <v>9</v>
      </c>
      <c r="AJ122" s="41" cm="1">
        <f t="array" ref="AJ122">SUM(IF(ISNUMBER(FIND("TmDo",$BE$1:$AAL$1)),IF(IFERROR(ISNUMBER(VALUE(SUBSTITUTE($BE122:$AAL122,"B",""))),FALSE),IF(ISNUMBER(VALUE(SUBSTITUTE($BE122:$AAL122,"B",""))),1,0),0)))</f>
        <v>1</v>
      </c>
      <c r="AK122" t="str">
        <f t="shared" si="628"/>
        <v>9A</v>
      </c>
      <c r="AL122" t="str">
        <f t="shared" si="629"/>
        <v>9B</v>
      </c>
      <c r="AM122" t="s">
        <v>854</v>
      </c>
      <c r="AP122" t="s">
        <v>489</v>
      </c>
      <c r="AQ122" t="s">
        <v>744</v>
      </c>
      <c r="AS122" t="s">
        <v>191</v>
      </c>
      <c r="AT122" t="s">
        <v>132</v>
      </c>
      <c r="AU122" t="s">
        <v>133</v>
      </c>
      <c r="BD122" s="14"/>
      <c r="GT122" s="22" t="str">
        <f t="shared" ref="GT122" si="818">CONCATENATE("XT",U122)</f>
        <v>XT55</v>
      </c>
      <c r="GU122" t="str">
        <f t="shared" ref="GU122" si="819">CONCATENATE("C",REPLACE(AF122,1,1,"")+1)</f>
        <v>C26</v>
      </c>
      <c r="GV122" t="str">
        <f>CONCATENATE("B",REPLACE(AG122,1,1,"")+1)</f>
        <v>B26</v>
      </c>
      <c r="GW122" t="str">
        <f>CONCATENATE("C",REPLACE(GU122,1,1,"")+1)</f>
        <v>C27</v>
      </c>
      <c r="GX122" t="str">
        <f>CONCATENATE("B",REPLACE(GV122,1,1,"")+1)</f>
        <v>B27</v>
      </c>
      <c r="GY122" t="str">
        <f>CONCATENATE("C",REPLACE(GW122,1,1,"")+1)</f>
        <v>C28</v>
      </c>
      <c r="GZ122" t="str">
        <f>CONCATENATE("B",REPLACE(GX122,1,1,"")+1)</f>
        <v>B28</v>
      </c>
      <c r="HA122" t="str">
        <f>CONCATENATE("C",REPLACE(GY122,1,1,"")+1)</f>
        <v>C29</v>
      </c>
      <c r="HB122" t="str">
        <f>CONCATENATE("B",REPLACE(GZ122,1,1,"")+1)</f>
        <v>B29</v>
      </c>
      <c r="HC122" t="str">
        <f>CONCATENATE("C",REPLACE(HA122,1,1,"")+1)</f>
        <v>C30</v>
      </c>
      <c r="HD122" t="str">
        <f>CONCATENATE("B",REPLACE(HB122,1,1,"")+1)</f>
        <v>B30</v>
      </c>
      <c r="HE122" t="str">
        <f>CONCATENATE(REPLACE(AK122,LEN(AK122),1,"")+1,"A")</f>
        <v>10A</v>
      </c>
      <c r="HF122" t="str">
        <f>CONCATENATE(REPLACE(AL122,LEN(AL122),1,"")+1,"B")</f>
        <v>10B</v>
      </c>
      <c r="HG122" t="str">
        <f t="shared" ref="HG122" si="820">CONCATENATE("AI",REPLACE($X122,1,3,""),"-",AA122)</f>
        <v>AI18-15A</v>
      </c>
      <c r="HH122" t="str">
        <f t="shared" ref="HH122" si="821">CONCATENATE("AI",REPLACE($X122,1,3,""),"-",AB122)</f>
        <v>AI18-15B</v>
      </c>
      <c r="HI122" t="str">
        <f>CONCATENATE("DI",REPLACE($AC122,1,3,""),"-",AF122)</f>
        <v>DI10-C25</v>
      </c>
      <c r="HJ122" t="str">
        <f>CONCATENATE("DI",REPLACE($AC122,1,3,""),"-",AG122)</f>
        <v>DI10-B25</v>
      </c>
      <c r="HK122" t="str">
        <f t="shared" ref="HK122" si="822">CONCATENATE("DI",REPLACE($AC122,1,3,""),"-",GU122)</f>
        <v>DI10-C26</v>
      </c>
      <c r="HL122" t="str">
        <f t="shared" ref="HL122" si="823">CONCATENATE("DI",REPLACE($AC122,1,3,""),"-",GV122)</f>
        <v>DI10-B26</v>
      </c>
      <c r="HM122" t="str">
        <f t="shared" ref="HM122" si="824">CONCATENATE("DI",REPLACE($AC122,1,3,""),"-",GW122)</f>
        <v>DI10-C27</v>
      </c>
      <c r="HN122" t="str">
        <f t="shared" ref="HN122" si="825">CONCATENATE("DI",REPLACE($AC122,1,3,""),"-",GX122)</f>
        <v>DI10-B27</v>
      </c>
      <c r="HO122" t="str">
        <f t="shared" ref="HO122" si="826">CONCATENATE("DI",REPLACE($AC122,1,3,""),"-",GY122)</f>
        <v>DI10-C28</v>
      </c>
      <c r="HP122" t="str">
        <f t="shared" ref="HP122" si="827">CONCATENATE("DI",REPLACE($AC122,1,3,""),"-",GZ122)</f>
        <v>DI10-B28</v>
      </c>
      <c r="HQ122" t="str">
        <f t="shared" ref="HQ122" si="828">CONCATENATE("DI",REPLACE($AC122,1,3,""),"-",HA122)</f>
        <v>DI10-C29</v>
      </c>
      <c r="HR122" t="str">
        <f t="shared" ref="HR122" si="829">CONCATENATE("DI",REPLACE($AC122,1,3,""),"-",HB122)</f>
        <v>DI10-B29</v>
      </c>
      <c r="HS122" t="str">
        <f t="shared" ref="HS122" si="830">CONCATENATE("DI",REPLACE($AC122,1,3,""),"-",HC122)</f>
        <v>DI10-C30</v>
      </c>
      <c r="HT122" t="str">
        <f t="shared" ref="HT122" si="831">CONCATENATE("DI",REPLACE($AC122,1,3,""),"-",HD122)</f>
        <v>DI10-B30</v>
      </c>
      <c r="HU122" t="str">
        <f>CONCATENATE("DO",REPLACE($AH122,1,3,""),"-",AK122)</f>
        <v>DO6-9A</v>
      </c>
      <c r="HV122" t="str">
        <f>CONCATENATE("DO",REPLACE($AH122,1,3,""),"-",AL122)</f>
        <v>DO6-9B</v>
      </c>
      <c r="HW122" t="str">
        <f>CONCATENATE("DO",REPLACE($AH122,1,3,""),"-",HE122)</f>
        <v>DO6-10A</v>
      </c>
      <c r="HX122" t="str">
        <f>CONCATENATE("DO",REPLACE($AH122,1,3,""),"-",HF122)</f>
        <v>DO6-10B</v>
      </c>
      <c r="HY122" t="str">
        <f>CONCATENATE("K",$U122,"-01")</f>
        <v>K55-01</v>
      </c>
      <c r="HZ122" t="str">
        <f>CONCATENATE("K",$U122,"-02")</f>
        <v>K55-02</v>
      </c>
      <c r="IA122" t="str">
        <f>CONCATENATE("K",$U122,"-03")</f>
        <v>K55-03</v>
      </c>
      <c r="IB122" t="str">
        <f>CONCATENATE("K",$U122,"-04")</f>
        <v>K55-04</v>
      </c>
      <c r="IC122" t="str">
        <f>CONCATENATE("K",$U122,"-05")</f>
        <v>K55-05</v>
      </c>
      <c r="ID122" t="str">
        <f>CONCATENATE("K",$U122,"-06")</f>
        <v>K55-06</v>
      </c>
      <c r="IE122" t="str">
        <f>CONCATENATE("K",$U122,"-07")</f>
        <v>K55-07</v>
      </c>
      <c r="IF122" t="str">
        <f>CONCATENATE("K",$U122,"-08")</f>
        <v>K55-08</v>
      </c>
      <c r="IG122" t="str">
        <f>CONCATENATE($T122,"-M",$U122,"-AMS-12")</f>
        <v>N1-M55-AMS-12</v>
      </c>
      <c r="IH122" t="str">
        <f>CONCATENATE($T122,"-M",$U122,"-AMS-10")</f>
        <v>N1-M55-AMS-10</v>
      </c>
      <c r="II122" t="str">
        <f>CONCATENATE($T122,"-M",$U122,"-AMS-11")</f>
        <v>N1-M55-AMS-11</v>
      </c>
      <c r="IJ122" t="str">
        <f>CONCATENATE($T122,"-M",$U122,"-AMS-13")</f>
        <v>N1-M55-AMS-13</v>
      </c>
      <c r="IK122" t="str">
        <f>CONCATENATE($T122,"-M",$U122,"-AMS-9")</f>
        <v>N1-M55-AMS-9</v>
      </c>
      <c r="IL122" t="str">
        <f>CONCATENATE($T122,"-M",$U122,"-AMS-7")</f>
        <v>N1-M55-AMS-7</v>
      </c>
      <c r="IM122" t="str">
        <f>CONCATENATE($T122,"-M",$U122,"-AMS-18")</f>
        <v>N1-M55-AMS-18</v>
      </c>
      <c r="IN122" t="str">
        <f>CONCATENATE($T122,"-M",$U122,"-AMS-20")</f>
        <v>N1-M55-AMS-20</v>
      </c>
      <c r="IO122" t="str">
        <f>CONCATENATE($T122,"-M",$U122,"-AMS-17")</f>
        <v>N1-M55-AMS-17</v>
      </c>
      <c r="IP122" t="str">
        <f>CONCATENATE($T122,"-+24-M",$U122,)</f>
        <v>N1-+24-M55</v>
      </c>
      <c r="IQ122" t="str">
        <f>CONCATENATE($T122,"-M",$U122,"-XM01")</f>
        <v>N1-M55-XM01</v>
      </c>
      <c r="IR122" t="s">
        <v>135</v>
      </c>
      <c r="IS122" t="s">
        <v>136</v>
      </c>
      <c r="IT122">
        <v>11</v>
      </c>
      <c r="IU122">
        <v>14</v>
      </c>
      <c r="IV122" t="s">
        <v>208</v>
      </c>
      <c r="IW122" t="s">
        <v>209</v>
      </c>
      <c r="IX122">
        <v>1</v>
      </c>
      <c r="IY122">
        <v>2</v>
      </c>
      <c r="IZ122">
        <v>3</v>
      </c>
      <c r="JA122">
        <v>4</v>
      </c>
      <c r="JB122">
        <v>5</v>
      </c>
      <c r="JC122">
        <v>6</v>
      </c>
      <c r="JD122">
        <v>7</v>
      </c>
      <c r="JE122">
        <v>8</v>
      </c>
      <c r="JF122">
        <v>9</v>
      </c>
      <c r="JG122">
        <v>10</v>
      </c>
      <c r="JH122">
        <v>11</v>
      </c>
      <c r="JI122">
        <v>12</v>
      </c>
      <c r="JJ122">
        <v>13</v>
      </c>
      <c r="JK122">
        <v>14</v>
      </c>
      <c r="JL122">
        <v>17</v>
      </c>
      <c r="JM122">
        <v>15</v>
      </c>
      <c r="JN122">
        <v>18</v>
      </c>
      <c r="JO122">
        <v>11</v>
      </c>
      <c r="JP122">
        <v>9</v>
      </c>
      <c r="JQ122">
        <v>6</v>
      </c>
      <c r="JR122">
        <v>20</v>
      </c>
      <c r="JS122">
        <v>7</v>
      </c>
      <c r="JT122">
        <v>10</v>
      </c>
      <c r="JU122">
        <v>22</v>
      </c>
      <c r="JV122">
        <v>23</v>
      </c>
      <c r="JW122">
        <v>26</v>
      </c>
      <c r="JX122">
        <v>27</v>
      </c>
      <c r="JY122" s="14">
        <v>30</v>
      </c>
    </row>
    <row r="123" spans="1:356" ht="15.75" thickBot="1" x14ac:dyDescent="0.3">
      <c r="A123" s="44" t="s">
        <v>1037</v>
      </c>
      <c r="B123" t="s">
        <v>857</v>
      </c>
      <c r="C123" s="3"/>
      <c r="O123" s="2"/>
      <c r="P123" t="s">
        <v>126</v>
      </c>
      <c r="Q123" s="1"/>
      <c r="S123" s="1" t="s">
        <v>127</v>
      </c>
      <c r="T123" s="12" t="s">
        <v>487</v>
      </c>
      <c r="U123" s="40">
        <f t="shared" si="662"/>
        <v>56</v>
      </c>
      <c r="V123" s="13" t="s">
        <v>855</v>
      </c>
      <c r="W123" s="13"/>
      <c r="AC123" t="str">
        <f t="shared" ref="AC123" si="832">IF(AD122+AE122&gt;25,REPLACE(AC122,LEN(AC122),1,VALUE(RIGHT(AC122,1))+1),AC122)</f>
        <v>A5.11</v>
      </c>
      <c r="AD123" s="36" t="str" cm="1">
        <f t="array" ref="AD123">IF(COUNTIFS(AC$2:AC123,AC123)=1,"1",VALUE(SUBSTITUTE(INDEX(AD:AD,_xlfn.XMATCH(AC123,AC$1:AC122,0,-1)),"A",""))+INDEX(AE:AE,_xlfn.XMATCH(AC123,AC$1:AC122,0,-1))+1)</f>
        <v>1</v>
      </c>
      <c r="AE123" s="36" cm="1">
        <f t="array" ref="AE123">SUM(IF(ISNUMBER(FIND("TmDi",$BE$1:$AAL$1)),IF(IFERROR(ISNUMBER(VALUE(SUBSTITUTE($BE123:$AAL123,"B",""))),FALSE),IF(ISNUMBER(VALUE(SUBSTITUTE($BE123:$AAL123,"B",""))),1,0),0)))</f>
        <v>5</v>
      </c>
      <c r="AF123" t="str">
        <f t="shared" si="355"/>
        <v>C1</v>
      </c>
      <c r="AG123" t="str">
        <f t="shared" si="356"/>
        <v>B1</v>
      </c>
      <c r="AH123" t="str">
        <f t="shared" ref="AH123" si="833">IF(AI122+AJ122&gt;25,REPLACE(AH122,LEN(AH122),1,VALUE(RIGHT(AH122,1))+1),AH122)</f>
        <v>A6.6</v>
      </c>
      <c r="AI123" s="47" cm="1">
        <f t="array" ref="AI123">IF(COUNTIFS(AH$2:AH123,AH123)=1,"1",VALUE(SUBSTITUTE(INDEX(AI:AI,_xlfn.XMATCH(AH123,AH$1:AH122,0,-1)),"A",""))+INDEX(AJ:AJ,_xlfn.XMATCH(AH123,AH$1:AH122,0,-1))+1)</f>
        <v>11</v>
      </c>
      <c r="AJ123" s="41" cm="1">
        <f t="array" ref="AJ123">SUM(IF(ISNUMBER(FIND("TmDo",$BE$1:$AAL$1)),IF(IFERROR(ISNUMBER(VALUE(SUBSTITUTE($BE123:$AAL123,"B",""))),FALSE),IF(ISNUMBER(VALUE(SUBSTITUTE($BE123:$AAL123,"B",""))),1,0),0)))</f>
        <v>2</v>
      </c>
      <c r="AK123" t="str">
        <f t="shared" si="628"/>
        <v>11A</v>
      </c>
      <c r="AL123" t="str">
        <f t="shared" si="629"/>
        <v>11B</v>
      </c>
      <c r="AM123" t="s">
        <v>856</v>
      </c>
      <c r="AP123" t="s">
        <v>489</v>
      </c>
      <c r="AQ123" t="s">
        <v>744</v>
      </c>
      <c r="AT123" t="s">
        <v>132</v>
      </c>
      <c r="AU123" t="s">
        <v>133</v>
      </c>
      <c r="BD123" s="14"/>
      <c r="BE123" s="23" t="str">
        <f t="shared" ref="BE123" si="834">CONCATENATE("XT",U123)</f>
        <v>XT56</v>
      </c>
      <c r="BF123" s="16" t="str">
        <f t="shared" ref="BF123" si="835">CONCATENATE("C",REPLACE(AF123,1,1,"")+1)</f>
        <v>C2</v>
      </c>
      <c r="BG123" s="16" t="str">
        <f t="shared" ref="BG123" si="836">CONCATENATE("B",REPLACE(AG123,1,1,"")+1)</f>
        <v>B2</v>
      </c>
      <c r="BH123" s="16" t="str">
        <f t="shared" ref="BH123" si="837">CONCATENATE("C",REPLACE(BF123,1,1,"")+1)</f>
        <v>C3</v>
      </c>
      <c r="BI123" s="16" t="str">
        <f t="shared" ref="BI123" si="838">CONCATENATE("B",REPLACE(BG123,1,1,"")+1)</f>
        <v>B3</v>
      </c>
      <c r="BJ123" s="16" t="str">
        <f t="shared" ref="BJ123" si="839">CONCATENATE("C",REPLACE(BH123,1,1,"")+1)</f>
        <v>C4</v>
      </c>
      <c r="BK123" s="16" t="str">
        <f t="shared" ref="BK123" si="840">CONCATENATE("B",REPLACE(BI123,1,1,"")+1)</f>
        <v>B4</v>
      </c>
      <c r="BL123" s="16" t="str">
        <f t="shared" ref="BL123" si="841">CONCATENATE("C",REPLACE(BJ123,1,1,"")+1)</f>
        <v>C5</v>
      </c>
      <c r="BM123" s="16" t="str">
        <f t="shared" ref="BM123" si="842">CONCATENATE("B",REPLACE(BK123,1,1,"")+1)</f>
        <v>B5</v>
      </c>
      <c r="BN123" s="16" t="str">
        <f t="shared" ref="BN123" si="843">CONCATENATE("C",REPLACE(BL123,1,1,"")+1)</f>
        <v>C6</v>
      </c>
      <c r="BO123" s="16" t="str">
        <f t="shared" ref="BO123" si="844">CONCATENATE("B",REPLACE(BM123,1,1,"")+1)</f>
        <v>B6</v>
      </c>
      <c r="BP123" s="16" t="str">
        <f>CONCATENATE(REPLACE(AK123,LEN(AK123),1,"")+1,"A")</f>
        <v>12A</v>
      </c>
      <c r="BQ123" s="16" t="str">
        <f>CONCATENATE(REPLACE(AL123,LEN(AL123),1,"")+1,"B")</f>
        <v>12B</v>
      </c>
      <c r="BR123" s="16" t="str">
        <f>CONCATENATE(REPLACE(BP123,LEN(BP123),1,"")+1,"A")</f>
        <v>13A</v>
      </c>
      <c r="BS123" s="16" t="str">
        <f>CONCATENATE(REPLACE(BQ123,LEN(BQ123),1,"")+1,"B")</f>
        <v>13B</v>
      </c>
      <c r="BT123" s="16" t="str">
        <f t="shared" ref="BT123" si="845">CONCATENATE("DI",REPLACE($AC123,1,3,""),"-",AF123)</f>
        <v>DI11-C1</v>
      </c>
      <c r="BU123" s="16" t="str">
        <f t="shared" ref="BU123" si="846">CONCATENATE("DI",REPLACE($AC123,1,3,""),"-",AG123)</f>
        <v>DI11-B1</v>
      </c>
      <c r="BV123" s="16" t="str">
        <f t="shared" ref="BV123" si="847">CONCATENATE("DI",REPLACE($AC123,1,3,""),"-",BF123)</f>
        <v>DI11-C2</v>
      </c>
      <c r="BW123" s="16" t="str">
        <f t="shared" ref="BW123" si="848">CONCATENATE("DI",REPLACE($AC123,1,3,""),"-",BG123)</f>
        <v>DI11-B2</v>
      </c>
      <c r="BX123" s="16" t="str">
        <f t="shared" ref="BX123" si="849">CONCATENATE("DI",REPLACE($AC123,1,3,""),"-",BH123)</f>
        <v>DI11-C3</v>
      </c>
      <c r="BY123" s="16" t="str">
        <f t="shared" ref="BY123" si="850">CONCATENATE("DI",REPLACE($AC123,1,3,""),"-",BI123)</f>
        <v>DI11-B3</v>
      </c>
      <c r="BZ123" s="16" t="str">
        <f t="shared" ref="BZ123" si="851">CONCATENATE("DI",REPLACE($AC123,1,3,""),"-",BJ123)</f>
        <v>DI11-C4</v>
      </c>
      <c r="CA123" s="16" t="str">
        <f t="shared" ref="CA123" si="852">CONCATENATE("DI",REPLACE($AC123,1,3,""),"-",BK123)</f>
        <v>DI11-B4</v>
      </c>
      <c r="CB123" s="16" t="str">
        <f t="shared" ref="CB123" si="853">CONCATENATE("DI",REPLACE($AC123,1,3,""),"-",BL123)</f>
        <v>DI11-C5</v>
      </c>
      <c r="CC123" s="16" t="str">
        <f t="shared" ref="CC123" si="854">CONCATENATE("DI",REPLACE($AC123,1,3,""),"-",BM123)</f>
        <v>DI11-B5</v>
      </c>
      <c r="CD123" s="16" t="str">
        <f t="shared" ref="CD123" si="855">CONCATENATE("DI",REPLACE($AC123,1,3,""),"-",BN123)</f>
        <v>DI11-C6</v>
      </c>
      <c r="CE123" s="16" t="str">
        <f t="shared" ref="CE123" si="856">CONCATENATE("DI",REPLACE($AC123,1,3,""),"-",BO123)</f>
        <v>DI11-B6</v>
      </c>
      <c r="CF123" s="16" t="str">
        <f t="shared" ref="CF123" si="857">CONCATENATE("DO",REPLACE($AH123,1,3,""),"-",AK123)</f>
        <v>DO6-11A</v>
      </c>
      <c r="CG123" s="16" t="str">
        <f t="shared" ref="CG123" si="858">CONCATENATE("DO",REPLACE($AH123,1,3,""),"-",AL123)</f>
        <v>DO6-11B</v>
      </c>
      <c r="CH123" s="16" t="str">
        <f t="shared" ref="CH123" si="859">CONCATENATE("DO",REPLACE($AH123,1,3,""),"-",BP123)</f>
        <v>DO6-12A</v>
      </c>
      <c r="CI123" s="16" t="str">
        <f t="shared" ref="CI123" si="860">CONCATENATE("DO",REPLACE($AH123,1,3,""),"-",BQ123)</f>
        <v>DO6-12B</v>
      </c>
      <c r="CJ123" s="16" t="str">
        <f t="shared" ref="CJ123" si="861">CONCATENATE("DO",REPLACE($AH123,1,3,""),"-",BR123)</f>
        <v>DO6-13A</v>
      </c>
      <c r="CK123" s="16" t="str">
        <f t="shared" ref="CK123" si="862">CONCATENATE("DO",REPLACE($AH123,1,3,""),"-",BS123)</f>
        <v>DO6-13B</v>
      </c>
      <c r="CL123" s="16" t="str">
        <f t="shared" si="761"/>
        <v>K56-10</v>
      </c>
      <c r="CM123" s="16" t="str">
        <f t="shared" si="762"/>
        <v>K56-03</v>
      </c>
      <c r="CN123" s="16" t="str">
        <f t="shared" si="763"/>
        <v>K56-04</v>
      </c>
      <c r="CO123" s="16" t="str">
        <f t="shared" si="764"/>
        <v>K56-01</v>
      </c>
      <c r="CP123" s="16" t="str">
        <f t="shared" si="765"/>
        <v>K56-08</v>
      </c>
      <c r="CQ123" s="16" t="str">
        <f t="shared" si="766"/>
        <v>K56-02</v>
      </c>
      <c r="CR123" s="16" t="str">
        <f t="shared" si="767"/>
        <v>K56-09</v>
      </c>
      <c r="CS123" s="16" t="str">
        <f t="shared" si="768"/>
        <v>K56-05</v>
      </c>
      <c r="CT123" s="16" t="str">
        <f t="shared" si="769"/>
        <v>K56-11</v>
      </c>
      <c r="CU123" s="16" t="str">
        <f t="shared" si="770"/>
        <v>N1-M56-A9</v>
      </c>
      <c r="CV123" s="16" t="str">
        <f t="shared" si="771"/>
        <v>N1-M56-A7</v>
      </c>
      <c r="CW123" s="16" t="str">
        <f t="shared" si="772"/>
        <v>N1-M56-A8</v>
      </c>
      <c r="CX123" s="16" t="str">
        <f t="shared" si="773"/>
        <v>N1-M56-A6</v>
      </c>
      <c r="CY123" s="16" t="str">
        <f t="shared" si="774"/>
        <v>N1-M56-A30</v>
      </c>
      <c r="CZ123" s="16" t="str">
        <f t="shared" si="775"/>
        <v>N1-M56-N</v>
      </c>
      <c r="DA123" s="16" t="str">
        <f t="shared" ref="DA123" si="863">CONCATENATE($T123,"-A220-M",U123)</f>
        <v>N1-A220-M56</v>
      </c>
      <c r="DB123" s="16" t="str">
        <f t="shared" si="777"/>
        <v>N1-M56-XM01</v>
      </c>
      <c r="DC123" s="16" t="str">
        <f t="shared" si="778"/>
        <v>N1-M56-A1</v>
      </c>
      <c r="DD123" s="16" t="str">
        <f t="shared" si="779"/>
        <v>N1-M56-A5</v>
      </c>
      <c r="DE123" s="16" t="str">
        <f t="shared" si="780"/>
        <v>N1-M56-A11</v>
      </c>
      <c r="DF123" s="16" t="str">
        <f t="shared" si="781"/>
        <v>N1-M56-A12</v>
      </c>
      <c r="DG123" s="16" t="str">
        <f t="shared" si="782"/>
        <v>N1-M56-A19</v>
      </c>
      <c r="DH123" s="16" t="str">
        <f t="shared" si="783"/>
        <v>N1-M56-A20</v>
      </c>
      <c r="DI123" s="16" t="s">
        <v>135</v>
      </c>
      <c r="DJ123" s="16" t="s">
        <v>136</v>
      </c>
      <c r="DK123" s="16">
        <v>11</v>
      </c>
      <c r="DL123" s="16">
        <v>14</v>
      </c>
      <c r="DM123" s="16">
        <v>12</v>
      </c>
      <c r="DN123" s="16" t="s">
        <v>137</v>
      </c>
      <c r="DO123" s="16" t="s">
        <v>138</v>
      </c>
      <c r="DP123" s="16">
        <v>1</v>
      </c>
      <c r="DQ123" s="16">
        <v>2</v>
      </c>
      <c r="DR123" s="16">
        <v>3</v>
      </c>
      <c r="DS123" s="16">
        <v>4</v>
      </c>
      <c r="DT123" s="16">
        <v>5</v>
      </c>
      <c r="DU123" s="16">
        <v>6</v>
      </c>
      <c r="DV123" s="16">
        <v>7</v>
      </c>
      <c r="DW123" s="16">
        <v>8</v>
      </c>
      <c r="DX123" s="16">
        <v>9</v>
      </c>
      <c r="DY123" s="16">
        <v>10</v>
      </c>
      <c r="DZ123" s="16">
        <v>11</v>
      </c>
      <c r="EA123" s="16">
        <v>12</v>
      </c>
      <c r="EB123" s="16">
        <v>13</v>
      </c>
      <c r="EC123" s="16">
        <v>14</v>
      </c>
      <c r="ED123" s="16">
        <v>1</v>
      </c>
      <c r="EE123" s="16">
        <v>3</v>
      </c>
      <c r="EF123" s="16">
        <v>4</v>
      </c>
      <c r="EG123" s="16">
        <v>7</v>
      </c>
      <c r="EH123" s="16">
        <v>8</v>
      </c>
      <c r="EI123" s="16">
        <v>9</v>
      </c>
      <c r="EJ123" s="16">
        <v>10</v>
      </c>
      <c r="EK123" s="16">
        <v>13</v>
      </c>
      <c r="EL123" s="16">
        <v>14</v>
      </c>
      <c r="EM123" s="16">
        <v>15</v>
      </c>
      <c r="EN123" s="16">
        <v>16</v>
      </c>
      <c r="EO123" s="16">
        <v>22</v>
      </c>
      <c r="EP123" s="16">
        <v>23</v>
      </c>
      <c r="EQ123" s="17">
        <v>24</v>
      </c>
    </row>
    <row r="124" spans="1:356" ht="15.75" thickBot="1" x14ac:dyDescent="0.3">
      <c r="A124" s="44" t="s">
        <v>1038</v>
      </c>
      <c r="B124" t="s">
        <v>860</v>
      </c>
      <c r="C124" s="3"/>
      <c r="O124" s="2"/>
      <c r="P124" t="s">
        <v>126</v>
      </c>
      <c r="Q124" s="1"/>
      <c r="S124" s="1" t="s">
        <v>127</v>
      </c>
      <c r="T124" s="12" t="s">
        <v>487</v>
      </c>
      <c r="U124" s="40">
        <f t="shared" si="662"/>
        <v>57</v>
      </c>
      <c r="V124" s="13" t="s">
        <v>858</v>
      </c>
      <c r="W124" s="13"/>
      <c r="AC124" t="str">
        <f t="shared" ref="AC124" si="864">IF(AD123+AE123&gt;25,REPLACE(AC123,LEN(AC123),1,VALUE(RIGHT(AC123,1))+1),AC123)</f>
        <v>A5.11</v>
      </c>
      <c r="AD124" s="36" cm="1">
        <f t="array" ref="AD124">IF(COUNTIFS(AC$2:AC124,AC124)=1,"1",VALUE(SUBSTITUTE(INDEX(AD:AD,_xlfn.XMATCH(AC124,AC$1:AC123,0,-1)),"A",""))+INDEX(AE:AE,_xlfn.XMATCH(AC124,AC$1:AC123,0,-1))+1)</f>
        <v>7</v>
      </c>
      <c r="AE124" s="36" cm="1">
        <f t="array" ref="AE124">SUM(IF(ISNUMBER(FIND("TmDi",$BE$1:$AAL$1)),IF(IFERROR(ISNUMBER(VALUE(SUBSTITUTE($BE124:$AAL124,"B",""))),FALSE),IF(ISNUMBER(VALUE(SUBSTITUTE($BE124:$AAL124,"B",""))),1,0),0)))</f>
        <v>5</v>
      </c>
      <c r="AF124" t="str">
        <f t="shared" si="355"/>
        <v>C7</v>
      </c>
      <c r="AG124" t="str">
        <f t="shared" si="356"/>
        <v>B7</v>
      </c>
      <c r="AH124" t="str">
        <f t="shared" ref="AH124" si="865">IF(AI123+AJ123&gt;25,REPLACE(AH123,LEN(AH123),1,VALUE(RIGHT(AH123,1))+1),AH123)</f>
        <v>A6.6</v>
      </c>
      <c r="AI124" s="47" cm="1">
        <f t="array" ref="AI124">IF(COUNTIFS(AH$2:AH124,AH124)=1,"1",VALUE(SUBSTITUTE(INDEX(AI:AI,_xlfn.XMATCH(AH124,AH$1:AH123,0,-1)),"A",""))+INDEX(AJ:AJ,_xlfn.XMATCH(AH124,AH$1:AH123,0,-1))+1)</f>
        <v>14</v>
      </c>
      <c r="AJ124" s="41" cm="1">
        <f t="array" ref="AJ124">SUM(IF(ISNUMBER(FIND("TmDo",$BE$1:$AAL$1)),IF(IFERROR(ISNUMBER(VALUE(SUBSTITUTE($BE124:$AAL124,"B",""))),FALSE),IF(ISNUMBER(VALUE(SUBSTITUTE($BE124:$AAL124,"B",""))),1,0),0)))</f>
        <v>2</v>
      </c>
      <c r="AK124" t="str">
        <f t="shared" si="628"/>
        <v>14A</v>
      </c>
      <c r="AL124" t="str">
        <f t="shared" si="629"/>
        <v>14B</v>
      </c>
      <c r="AM124" t="s">
        <v>859</v>
      </c>
      <c r="AP124" t="s">
        <v>489</v>
      </c>
      <c r="AQ124" t="s">
        <v>744</v>
      </c>
      <c r="AT124" t="s">
        <v>132</v>
      </c>
      <c r="AU124" t="s">
        <v>133</v>
      </c>
      <c r="BD124" s="14"/>
      <c r="BE124" s="23" t="str">
        <f t="shared" ref="BE124" si="866">CONCATENATE("XT",U124)</f>
        <v>XT57</v>
      </c>
      <c r="BF124" s="16" t="str">
        <f t="shared" ref="BF124" si="867">CONCATENATE("C",REPLACE(AF124,1,1,"")+1)</f>
        <v>C8</v>
      </c>
      <c r="BG124" s="16" t="str">
        <f t="shared" ref="BG124" si="868">CONCATENATE("B",REPLACE(AG124,1,1,"")+1)</f>
        <v>B8</v>
      </c>
      <c r="BH124" s="16" t="str">
        <f t="shared" ref="BH124" si="869">CONCATENATE("C",REPLACE(BF124,1,1,"")+1)</f>
        <v>C9</v>
      </c>
      <c r="BI124" s="16" t="str">
        <f t="shared" ref="BI124" si="870">CONCATENATE("B",REPLACE(BG124,1,1,"")+1)</f>
        <v>B9</v>
      </c>
      <c r="BJ124" s="16" t="str">
        <f t="shared" ref="BJ124" si="871">CONCATENATE("C",REPLACE(BH124,1,1,"")+1)</f>
        <v>C10</v>
      </c>
      <c r="BK124" s="16" t="str">
        <f t="shared" ref="BK124" si="872">CONCATENATE("B",REPLACE(BI124,1,1,"")+1)</f>
        <v>B10</v>
      </c>
      <c r="BL124" s="16" t="str">
        <f t="shared" ref="BL124" si="873">CONCATENATE("C",REPLACE(BJ124,1,1,"")+1)</f>
        <v>C11</v>
      </c>
      <c r="BM124" s="16" t="str">
        <f t="shared" ref="BM124" si="874">CONCATENATE("B",REPLACE(BK124,1,1,"")+1)</f>
        <v>B11</v>
      </c>
      <c r="BN124" s="16" t="str">
        <f t="shared" ref="BN124" si="875">CONCATENATE("C",REPLACE(BL124,1,1,"")+1)</f>
        <v>C12</v>
      </c>
      <c r="BO124" s="16" t="str">
        <f t="shared" ref="BO124" si="876">CONCATENATE("B",REPLACE(BM124,1,1,"")+1)</f>
        <v>B12</v>
      </c>
      <c r="BP124" s="16" t="str">
        <f>CONCATENATE(REPLACE(AK124,LEN(AK124),1,"")+1,"A")</f>
        <v>15A</v>
      </c>
      <c r="BQ124" s="16" t="str">
        <f>CONCATENATE(REPLACE(AL124,LEN(AL124),1,"")+1,"B")</f>
        <v>15B</v>
      </c>
      <c r="BR124" s="16" t="str">
        <f>CONCATENATE(REPLACE(BP124,LEN(BP124),1,"")+1,"A")</f>
        <v>16A</v>
      </c>
      <c r="BS124" s="16" t="str">
        <f>CONCATENATE(REPLACE(BQ124,LEN(BQ124),1,"")+1,"B")</f>
        <v>16B</v>
      </c>
      <c r="BT124" s="16" t="str">
        <f t="shared" ref="BT124" si="877">CONCATENATE("DI",REPLACE($AC124,1,3,""),"-",AF124)</f>
        <v>DI11-C7</v>
      </c>
      <c r="BU124" s="16" t="str">
        <f t="shared" ref="BU124" si="878">CONCATENATE("DI",REPLACE($AC124,1,3,""),"-",AG124)</f>
        <v>DI11-B7</v>
      </c>
      <c r="BV124" s="16" t="str">
        <f t="shared" ref="BV124" si="879">CONCATENATE("DI",REPLACE($AC124,1,3,""),"-",BF124)</f>
        <v>DI11-C8</v>
      </c>
      <c r="BW124" s="16" t="str">
        <f t="shared" ref="BW124" si="880">CONCATENATE("DI",REPLACE($AC124,1,3,""),"-",BG124)</f>
        <v>DI11-B8</v>
      </c>
      <c r="BX124" s="16" t="str">
        <f t="shared" ref="BX124" si="881">CONCATENATE("DI",REPLACE($AC124,1,3,""),"-",BH124)</f>
        <v>DI11-C9</v>
      </c>
      <c r="BY124" s="16" t="str">
        <f t="shared" ref="BY124" si="882">CONCATENATE("DI",REPLACE($AC124,1,3,""),"-",BI124)</f>
        <v>DI11-B9</v>
      </c>
      <c r="BZ124" s="16" t="str">
        <f t="shared" ref="BZ124" si="883">CONCATENATE("DI",REPLACE($AC124,1,3,""),"-",BJ124)</f>
        <v>DI11-C10</v>
      </c>
      <c r="CA124" s="16" t="str">
        <f t="shared" ref="CA124" si="884">CONCATENATE("DI",REPLACE($AC124,1,3,""),"-",BK124)</f>
        <v>DI11-B10</v>
      </c>
      <c r="CB124" s="16" t="str">
        <f t="shared" ref="CB124" si="885">CONCATENATE("DI",REPLACE($AC124,1,3,""),"-",BL124)</f>
        <v>DI11-C11</v>
      </c>
      <c r="CC124" s="16" t="str">
        <f t="shared" ref="CC124" si="886">CONCATENATE("DI",REPLACE($AC124,1,3,""),"-",BM124)</f>
        <v>DI11-B11</v>
      </c>
      <c r="CD124" s="16" t="str">
        <f t="shared" ref="CD124" si="887">CONCATENATE("DI",REPLACE($AC124,1,3,""),"-",BN124)</f>
        <v>DI11-C12</v>
      </c>
      <c r="CE124" s="16" t="str">
        <f t="shared" ref="CE124" si="888">CONCATENATE("DI",REPLACE($AC124,1,3,""),"-",BO124)</f>
        <v>DI11-B12</v>
      </c>
      <c r="CF124" s="16" t="str">
        <f t="shared" ref="CF124" si="889">CONCATENATE("DO",REPLACE($AH124,1,3,""),"-",AK124)</f>
        <v>DO6-14A</v>
      </c>
      <c r="CG124" s="16" t="str">
        <f t="shared" ref="CG124" si="890">CONCATENATE("DO",REPLACE($AH124,1,3,""),"-",AL124)</f>
        <v>DO6-14B</v>
      </c>
      <c r="CH124" s="16" t="str">
        <f t="shared" ref="CH124" si="891">CONCATENATE("DO",REPLACE($AH124,1,3,""),"-",BP124)</f>
        <v>DO6-15A</v>
      </c>
      <c r="CI124" s="16" t="str">
        <f t="shared" ref="CI124" si="892">CONCATENATE("DO",REPLACE($AH124,1,3,""),"-",BQ124)</f>
        <v>DO6-15B</v>
      </c>
      <c r="CJ124" s="16" t="str">
        <f t="shared" ref="CJ124" si="893">CONCATENATE("DO",REPLACE($AH124,1,3,""),"-",BR124)</f>
        <v>DO6-16A</v>
      </c>
      <c r="CK124" s="16" t="str">
        <f t="shared" ref="CK124" si="894">CONCATENATE("DO",REPLACE($AH124,1,3,""),"-",BS124)</f>
        <v>DO6-16B</v>
      </c>
      <c r="CL124" s="16" t="str">
        <f t="shared" si="761"/>
        <v>K57-10</v>
      </c>
      <c r="CM124" s="16" t="str">
        <f t="shared" si="762"/>
        <v>K57-03</v>
      </c>
      <c r="CN124" s="16" t="str">
        <f t="shared" si="763"/>
        <v>K57-04</v>
      </c>
      <c r="CO124" s="16" t="str">
        <f t="shared" si="764"/>
        <v>K57-01</v>
      </c>
      <c r="CP124" s="16" t="str">
        <f t="shared" si="765"/>
        <v>K57-08</v>
      </c>
      <c r="CQ124" s="16" t="str">
        <f t="shared" si="766"/>
        <v>K57-02</v>
      </c>
      <c r="CR124" s="16" t="str">
        <f t="shared" si="767"/>
        <v>K57-09</v>
      </c>
      <c r="CS124" s="16" t="str">
        <f t="shared" si="768"/>
        <v>K57-05</v>
      </c>
      <c r="CT124" s="16" t="str">
        <f t="shared" si="769"/>
        <v>K57-11</v>
      </c>
      <c r="CU124" s="16" t="str">
        <f t="shared" si="770"/>
        <v>N1-M57-A9</v>
      </c>
      <c r="CV124" s="16" t="str">
        <f t="shared" si="771"/>
        <v>N1-M57-A7</v>
      </c>
      <c r="CW124" s="16" t="str">
        <f t="shared" si="772"/>
        <v>N1-M57-A8</v>
      </c>
      <c r="CX124" s="16" t="str">
        <f t="shared" si="773"/>
        <v>N1-M57-A6</v>
      </c>
      <c r="CY124" s="16" t="str">
        <f t="shared" si="774"/>
        <v>N1-M57-A30</v>
      </c>
      <c r="CZ124" s="16" t="str">
        <f t="shared" si="775"/>
        <v>N1-M57-N</v>
      </c>
      <c r="DA124" s="16" t="str">
        <f t="shared" ref="DA124" si="895">CONCATENATE($T124,"-A220-M",U124)</f>
        <v>N1-A220-M57</v>
      </c>
      <c r="DB124" s="16" t="str">
        <f t="shared" si="777"/>
        <v>N1-M57-XM01</v>
      </c>
      <c r="DC124" s="16" t="str">
        <f t="shared" si="778"/>
        <v>N1-M57-A1</v>
      </c>
      <c r="DD124" s="16" t="str">
        <f t="shared" si="779"/>
        <v>N1-M57-A5</v>
      </c>
      <c r="DE124" s="16" t="str">
        <f t="shared" si="780"/>
        <v>N1-M57-A11</v>
      </c>
      <c r="DF124" s="16" t="str">
        <f t="shared" si="781"/>
        <v>N1-M57-A12</v>
      </c>
      <c r="DG124" s="16" t="str">
        <f t="shared" si="782"/>
        <v>N1-M57-A19</v>
      </c>
      <c r="DH124" s="16" t="str">
        <f t="shared" si="783"/>
        <v>N1-M57-A20</v>
      </c>
      <c r="DI124" s="16" t="s">
        <v>135</v>
      </c>
      <c r="DJ124" s="16" t="s">
        <v>136</v>
      </c>
      <c r="DK124" s="16">
        <v>11</v>
      </c>
      <c r="DL124" s="16">
        <v>14</v>
      </c>
      <c r="DM124" s="16">
        <v>12</v>
      </c>
      <c r="DN124" s="16" t="s">
        <v>137</v>
      </c>
      <c r="DO124" s="16" t="s">
        <v>138</v>
      </c>
      <c r="DP124" s="16">
        <v>1</v>
      </c>
      <c r="DQ124" s="16">
        <v>2</v>
      </c>
      <c r="DR124" s="16">
        <v>3</v>
      </c>
      <c r="DS124" s="16">
        <v>4</v>
      </c>
      <c r="DT124" s="16">
        <v>5</v>
      </c>
      <c r="DU124" s="16">
        <v>6</v>
      </c>
      <c r="DV124" s="16">
        <v>7</v>
      </c>
      <c r="DW124" s="16">
        <v>8</v>
      </c>
      <c r="DX124" s="16">
        <v>9</v>
      </c>
      <c r="DY124" s="16">
        <v>10</v>
      </c>
      <c r="DZ124" s="16">
        <v>11</v>
      </c>
      <c r="EA124" s="16">
        <v>12</v>
      </c>
      <c r="EB124" s="16">
        <v>13</v>
      </c>
      <c r="EC124" s="16">
        <v>14</v>
      </c>
      <c r="ED124" s="16">
        <v>1</v>
      </c>
      <c r="EE124" s="16">
        <v>3</v>
      </c>
      <c r="EF124" s="16">
        <v>4</v>
      </c>
      <c r="EG124" s="16">
        <v>7</v>
      </c>
      <c r="EH124" s="16">
        <v>8</v>
      </c>
      <c r="EI124" s="16">
        <v>9</v>
      </c>
      <c r="EJ124" s="16">
        <v>10</v>
      </c>
      <c r="EK124" s="16">
        <v>13</v>
      </c>
      <c r="EL124" s="16">
        <v>14</v>
      </c>
      <c r="EM124" s="16">
        <v>15</v>
      </c>
      <c r="EN124" s="16">
        <v>16</v>
      </c>
      <c r="EO124" s="16">
        <v>22</v>
      </c>
      <c r="EP124" s="16">
        <v>23</v>
      </c>
      <c r="EQ124" s="17">
        <v>24</v>
      </c>
    </row>
    <row r="125" spans="1:356" x14ac:dyDescent="0.25">
      <c r="A125" s="49" t="s">
        <v>1047</v>
      </c>
      <c r="B125" s="42" t="s">
        <v>482</v>
      </c>
      <c r="P125" t="s">
        <v>411</v>
      </c>
      <c r="T125" s="12" t="s">
        <v>487</v>
      </c>
      <c r="U125">
        <v>58</v>
      </c>
      <c r="V125" s="13" t="s">
        <v>861</v>
      </c>
      <c r="AC125" t="str">
        <f t="shared" ref="AC125:AC132" si="896">IF(AD124+AE124&gt;31,REPLACE(AC124,LEN(AC124),1,VALUE(RIGHT(AC124,1))+1),AC124)</f>
        <v>A5.11</v>
      </c>
      <c r="AD125" s="37" cm="1">
        <f t="array" ref="AD125">IF(COUNTIFS(AC$2:AC125,AC125)=1,"1",VALUE(SUBSTITUTE(INDEX(AD:AD,_xlfn.XMATCH(AC125,AC$1:AC124,0,-1)),"A",""))+INDEX(AE:AE,_xlfn.XMATCH(AC125,AC$1:AC124,0,-1))+1)</f>
        <v>13</v>
      </c>
      <c r="AE125" s="37" cm="1">
        <f t="array" ref="AE125">SUM(IF(ISNUMBER(FIND("TmDi",$BE$1:$AAL$1)),IF(IFERROR(ISNUMBER(VALUE(SUBSTITUTE($BE125:$AAL125,"B",""))),FALSE),IF(ISNUMBER(VALUE(SUBSTITUTE($BE125:$AAL125,"B",""))),1,0),0)))</f>
        <v>0</v>
      </c>
      <c r="AF125" t="str">
        <f t="shared" si="355"/>
        <v>C13</v>
      </c>
      <c r="AG125" t="str">
        <f t="shared" si="356"/>
        <v>B13</v>
      </c>
      <c r="AP125" t="s">
        <v>489</v>
      </c>
      <c r="AQ125" t="s">
        <v>744</v>
      </c>
      <c r="AT125" t="s">
        <v>132</v>
      </c>
      <c r="AU125" t="s">
        <v>133</v>
      </c>
    </row>
    <row r="126" spans="1:356" x14ac:dyDescent="0.25">
      <c r="A126" t="s">
        <v>1048</v>
      </c>
      <c r="B126" t="s">
        <v>925</v>
      </c>
      <c r="P126" t="s">
        <v>423</v>
      </c>
      <c r="T126" s="12" t="s">
        <v>487</v>
      </c>
      <c r="AC126" t="s">
        <v>241</v>
      </c>
      <c r="AD126" s="37" t="str" cm="1">
        <f t="array" ref="AD126">IF(COUNTIFS(AC$2:AC126,AC126)=1,"1",VALUE(SUBSTITUTE(INDEX(AD:AD,_xlfn.XMATCH(AC126,AC$1:AC125,0,-1)),"A",""))+INDEX(AE:AE,_xlfn.XMATCH(AC126,AC$1:AC125,0,-1))+1)</f>
        <v>1</v>
      </c>
      <c r="AE126" s="37" cm="1">
        <f t="array" ref="AE126">SUM(IF(ISNUMBER(FIND("TmDi",$BE$1:$AAL$1)),IF(IFERROR(ISNUMBER(VALUE(SUBSTITUTE($BE126:$AAL126,"B",""))),FALSE),IF(ISNUMBER(VALUE(SUBSTITUTE($BE126:$AAL126,"B",""))),1,0),0)))</f>
        <v>0</v>
      </c>
      <c r="AF126" t="str">
        <f t="shared" si="355"/>
        <v>C1</v>
      </c>
      <c r="AG126" t="str">
        <f t="shared" si="356"/>
        <v>B1</v>
      </c>
      <c r="AP126" t="s">
        <v>489</v>
      </c>
      <c r="AT126" t="s">
        <v>242</v>
      </c>
      <c r="AU126" t="s">
        <v>412</v>
      </c>
      <c r="LY126" t="str">
        <f>CONCATENATE("DI",REPLACE($AC126,1,3,""),"-",$AF126)</f>
        <v>DI12-C1</v>
      </c>
      <c r="MA126" t="s">
        <v>425</v>
      </c>
      <c r="MB126" t="s">
        <v>424</v>
      </c>
      <c r="MC126">
        <v>11</v>
      </c>
      <c r="MD126">
        <v>14</v>
      </c>
      <c r="ME126" t="s">
        <v>135</v>
      </c>
      <c r="MF126" t="s">
        <v>136</v>
      </c>
      <c r="MG126" t="s">
        <v>226</v>
      </c>
      <c r="MH126" t="s">
        <v>225</v>
      </c>
      <c r="MI126" t="s">
        <v>209</v>
      </c>
      <c r="MJ126" t="s">
        <v>208</v>
      </c>
      <c r="MQ126">
        <v>1</v>
      </c>
      <c r="MR126">
        <v>2</v>
      </c>
    </row>
    <row r="127" spans="1:356" x14ac:dyDescent="0.25">
      <c r="A127" t="s">
        <v>1049</v>
      </c>
      <c r="B127" t="s">
        <v>924</v>
      </c>
      <c r="P127" t="s">
        <v>423</v>
      </c>
      <c r="T127" s="12" t="s">
        <v>487</v>
      </c>
      <c r="AC127" t="str">
        <f t="shared" si="896"/>
        <v>A5.12</v>
      </c>
      <c r="AD127" s="37" cm="1">
        <f t="array" ref="AD127">IF(COUNTIFS(AC$2:AC127,AC127)=1,"1",VALUE(SUBSTITUTE(INDEX(AD:AD,_xlfn.XMATCH(AC127,AC$1:AC126,0,-1)),"A",""))+INDEX(AE:AE,_xlfn.XMATCH(AC127,AC$1:AC126,0,-1))+1)</f>
        <v>2</v>
      </c>
      <c r="AE127" s="37" cm="1">
        <f t="array" ref="AE127">SUM(IF(ISNUMBER(FIND("TmDi",$BE$1:$AAL$1)),IF(IFERROR(ISNUMBER(VALUE(SUBSTITUTE($BE127:$AAL127,"B",""))),FALSE),IF(ISNUMBER(VALUE(SUBSTITUTE($BE127:$AAL127,"B",""))),1,0),0)))</f>
        <v>0</v>
      </c>
      <c r="AF127" t="str">
        <f t="shared" si="355"/>
        <v>C2</v>
      </c>
      <c r="AG127" t="str">
        <f t="shared" si="356"/>
        <v>B2</v>
      </c>
      <c r="AP127" t="s">
        <v>489</v>
      </c>
      <c r="AT127" t="s">
        <v>242</v>
      </c>
      <c r="AU127" t="s">
        <v>412</v>
      </c>
      <c r="LY127" t="str">
        <f t="shared" ref="LY127:LY132" si="897">CONCATENATE("DI",REPLACE($AC127,1,3,""),"-",$AF127)</f>
        <v>DI12-C2</v>
      </c>
      <c r="MA127" t="s">
        <v>426</v>
      </c>
      <c r="MB127" t="s">
        <v>427</v>
      </c>
      <c r="MC127">
        <f>MC126</f>
        <v>11</v>
      </c>
      <c r="MD127">
        <f t="shared" ref="MD127:MJ127" si="898">MD126</f>
        <v>14</v>
      </c>
      <c r="ME127" t="str">
        <f t="shared" si="898"/>
        <v>A1</v>
      </c>
      <c r="MF127" t="str">
        <f t="shared" si="898"/>
        <v>A2</v>
      </c>
      <c r="MG127" t="str">
        <f t="shared" si="898"/>
        <v>0v3</v>
      </c>
      <c r="MH127" t="str">
        <f t="shared" si="898"/>
        <v>24v3</v>
      </c>
      <c r="MI127" t="str">
        <f t="shared" si="898"/>
        <v>0v6</v>
      </c>
      <c r="MJ127" t="str">
        <f t="shared" si="898"/>
        <v>24v6</v>
      </c>
      <c r="MQ127">
        <f>MQ126</f>
        <v>1</v>
      </c>
      <c r="MR127">
        <f>MR126</f>
        <v>2</v>
      </c>
    </row>
    <row r="128" spans="1:356" x14ac:dyDescent="0.25">
      <c r="A128" t="s">
        <v>1050</v>
      </c>
      <c r="B128" t="s">
        <v>923</v>
      </c>
      <c r="P128" t="s">
        <v>423</v>
      </c>
      <c r="T128" s="12" t="s">
        <v>487</v>
      </c>
      <c r="AC128" t="str">
        <f t="shared" si="896"/>
        <v>A5.12</v>
      </c>
      <c r="AD128" s="37" cm="1">
        <f t="array" ref="AD128">IF(COUNTIFS(AC$2:AC128,AC128)=1,"1",VALUE(SUBSTITUTE(INDEX(AD:AD,_xlfn.XMATCH(AC128,AC$1:AC127,0,-1)),"A",""))+INDEX(AE:AE,_xlfn.XMATCH(AC128,AC$1:AC127,0,-1))+1)</f>
        <v>3</v>
      </c>
      <c r="AE128" s="37" cm="1">
        <f t="array" ref="AE128">SUM(IF(ISNUMBER(FIND("TmDi",$BE$1:$AAL$1)),IF(IFERROR(ISNUMBER(VALUE(SUBSTITUTE($BE128:$AAL128,"B",""))),FALSE),IF(ISNUMBER(VALUE(SUBSTITUTE($BE128:$AAL128,"B",""))),1,0),0)))</f>
        <v>0</v>
      </c>
      <c r="AF128" t="str">
        <f t="shared" si="355"/>
        <v>C3</v>
      </c>
      <c r="AG128" t="str">
        <f t="shared" si="356"/>
        <v>B3</v>
      </c>
      <c r="AP128" t="s">
        <v>489</v>
      </c>
      <c r="AT128" t="s">
        <v>242</v>
      </c>
      <c r="AU128" t="s">
        <v>412</v>
      </c>
      <c r="LY128" t="str">
        <f t="shared" si="897"/>
        <v>DI12-C3</v>
      </c>
      <c r="MA128" t="s">
        <v>428</v>
      </c>
      <c r="MB128" t="s">
        <v>429</v>
      </c>
      <c r="MC128">
        <f t="shared" ref="MC128:MC132" si="899">MC127</f>
        <v>11</v>
      </c>
      <c r="MD128">
        <f t="shared" ref="MD128:MD132" si="900">MD127</f>
        <v>14</v>
      </c>
      <c r="ME128" t="str">
        <f t="shared" ref="ME128:ME132" si="901">ME127</f>
        <v>A1</v>
      </c>
      <c r="MF128" t="str">
        <f t="shared" ref="MF128:MF132" si="902">MF127</f>
        <v>A2</v>
      </c>
      <c r="MG128" t="str">
        <f t="shared" ref="MG128:MG132" si="903">MG127</f>
        <v>0v3</v>
      </c>
      <c r="MH128" t="str">
        <f t="shared" ref="MH128:MH132" si="904">MH127</f>
        <v>24v3</v>
      </c>
      <c r="MI128" t="str">
        <f t="shared" ref="MI128:MI132" si="905">MI127</f>
        <v>0v6</v>
      </c>
      <c r="MJ128" t="str">
        <f t="shared" ref="MJ128:MJ132" si="906">MJ127</f>
        <v>24v6</v>
      </c>
      <c r="MQ128">
        <f t="shared" ref="MQ128:MQ132" si="907">MQ127</f>
        <v>1</v>
      </c>
      <c r="MR128">
        <f t="shared" ref="MR128:MR132" si="908">MR127</f>
        <v>2</v>
      </c>
    </row>
    <row r="129" spans="1:356" x14ac:dyDescent="0.25">
      <c r="A129" t="s">
        <v>1051</v>
      </c>
      <c r="B129" t="s">
        <v>922</v>
      </c>
      <c r="P129" t="s">
        <v>423</v>
      </c>
      <c r="T129" s="12" t="s">
        <v>487</v>
      </c>
      <c r="AC129" t="str">
        <f t="shared" si="896"/>
        <v>A5.12</v>
      </c>
      <c r="AD129" s="37" cm="1">
        <f t="array" ref="AD129">IF(COUNTIFS(AC$2:AC129,AC129)=1,"1",VALUE(SUBSTITUTE(INDEX(AD:AD,_xlfn.XMATCH(AC129,AC$1:AC128,0,-1)),"A",""))+INDEX(AE:AE,_xlfn.XMATCH(AC129,AC$1:AC128,0,-1))+1)</f>
        <v>4</v>
      </c>
      <c r="AE129" s="37" cm="1">
        <f t="array" ref="AE129">SUM(IF(ISNUMBER(FIND("TmDi",$BE$1:$AAL$1)),IF(IFERROR(ISNUMBER(VALUE(SUBSTITUTE($BE129:$AAL129,"B",""))),FALSE),IF(ISNUMBER(VALUE(SUBSTITUTE($BE129:$AAL129,"B",""))),1,0),0)))</f>
        <v>0</v>
      </c>
      <c r="AF129" t="str">
        <f t="shared" si="355"/>
        <v>C4</v>
      </c>
      <c r="AG129" t="str">
        <f t="shared" si="356"/>
        <v>B4</v>
      </c>
      <c r="AP129" t="s">
        <v>489</v>
      </c>
      <c r="AT129" t="s">
        <v>242</v>
      </c>
      <c r="AU129" t="s">
        <v>412</v>
      </c>
      <c r="LY129" t="str">
        <f t="shared" si="897"/>
        <v>DI12-C4</v>
      </c>
      <c r="MA129" t="s">
        <v>430</v>
      </c>
      <c r="MB129" t="s">
        <v>431</v>
      </c>
      <c r="MC129">
        <f t="shared" si="899"/>
        <v>11</v>
      </c>
      <c r="MD129">
        <f t="shared" si="900"/>
        <v>14</v>
      </c>
      <c r="ME129" t="str">
        <f t="shared" si="901"/>
        <v>A1</v>
      </c>
      <c r="MF129" t="str">
        <f t="shared" si="902"/>
        <v>A2</v>
      </c>
      <c r="MG129" t="str">
        <f t="shared" si="903"/>
        <v>0v3</v>
      </c>
      <c r="MH129" t="str">
        <f t="shared" si="904"/>
        <v>24v3</v>
      </c>
      <c r="MI129" t="str">
        <f t="shared" si="905"/>
        <v>0v6</v>
      </c>
      <c r="MJ129" t="str">
        <f t="shared" si="906"/>
        <v>24v6</v>
      </c>
      <c r="MQ129">
        <f t="shared" si="907"/>
        <v>1</v>
      </c>
      <c r="MR129">
        <f t="shared" si="908"/>
        <v>2</v>
      </c>
    </row>
    <row r="130" spans="1:356" x14ac:dyDescent="0.25">
      <c r="A130" t="s">
        <v>1052</v>
      </c>
      <c r="B130" t="s">
        <v>921</v>
      </c>
      <c r="P130" t="s">
        <v>423</v>
      </c>
      <c r="T130" s="12" t="s">
        <v>487</v>
      </c>
      <c r="AC130" t="str">
        <f t="shared" si="896"/>
        <v>A5.12</v>
      </c>
      <c r="AD130" s="37" cm="1">
        <f t="array" ref="AD130">IF(COUNTIFS(AC$2:AC130,AC130)=1,"1",VALUE(SUBSTITUTE(INDEX(AD:AD,_xlfn.XMATCH(AC130,AC$1:AC129,0,-1)),"A",""))+INDEX(AE:AE,_xlfn.XMATCH(AC130,AC$1:AC129,0,-1))+1)</f>
        <v>5</v>
      </c>
      <c r="AE130" s="37" cm="1">
        <f t="array" ref="AE130">SUM(IF(ISNUMBER(FIND("TmDi",$BE$1:$AAL$1)),IF(IFERROR(ISNUMBER(VALUE(SUBSTITUTE($BE130:$AAL130,"B",""))),FALSE),IF(ISNUMBER(VALUE(SUBSTITUTE($BE130:$AAL130,"B",""))),1,0),0)))</f>
        <v>0</v>
      </c>
      <c r="AF130" t="str">
        <f t="shared" si="355"/>
        <v>C5</v>
      </c>
      <c r="AG130" t="str">
        <f t="shared" si="356"/>
        <v>B5</v>
      </c>
      <c r="AP130" t="s">
        <v>489</v>
      </c>
      <c r="AT130" t="s">
        <v>242</v>
      </c>
      <c r="AU130" t="s">
        <v>412</v>
      </c>
      <c r="LY130" t="str">
        <f t="shared" si="897"/>
        <v>DI12-C5</v>
      </c>
      <c r="MA130" t="s">
        <v>432</v>
      </c>
      <c r="MB130" t="s">
        <v>433</v>
      </c>
      <c r="MC130">
        <f t="shared" si="899"/>
        <v>11</v>
      </c>
      <c r="MD130">
        <f t="shared" si="900"/>
        <v>14</v>
      </c>
      <c r="ME130" t="str">
        <f t="shared" si="901"/>
        <v>A1</v>
      </c>
      <c r="MF130" t="str">
        <f t="shared" si="902"/>
        <v>A2</v>
      </c>
      <c r="MG130" t="str">
        <f t="shared" si="903"/>
        <v>0v3</v>
      </c>
      <c r="MH130" t="str">
        <f t="shared" si="904"/>
        <v>24v3</v>
      </c>
      <c r="MI130" t="str">
        <f t="shared" si="905"/>
        <v>0v6</v>
      </c>
      <c r="MJ130" t="str">
        <f t="shared" si="906"/>
        <v>24v6</v>
      </c>
      <c r="MQ130">
        <f t="shared" si="907"/>
        <v>1</v>
      </c>
      <c r="MR130">
        <f t="shared" si="908"/>
        <v>2</v>
      </c>
    </row>
    <row r="131" spans="1:356" x14ac:dyDescent="0.25">
      <c r="A131" t="s">
        <v>1053</v>
      </c>
      <c r="B131" t="s">
        <v>920</v>
      </c>
      <c r="P131" t="s">
        <v>423</v>
      </c>
      <c r="T131" s="12" t="s">
        <v>487</v>
      </c>
      <c r="AC131" t="str">
        <f t="shared" si="896"/>
        <v>A5.12</v>
      </c>
      <c r="AD131" s="37" cm="1">
        <f t="array" ref="AD131">IF(COUNTIFS(AC$2:AC131,AC131)=1,"1",VALUE(SUBSTITUTE(INDEX(AD:AD,_xlfn.XMATCH(AC131,AC$1:AC130,0,-1)),"A",""))+INDEX(AE:AE,_xlfn.XMATCH(AC131,AC$1:AC130,0,-1))+1)</f>
        <v>6</v>
      </c>
      <c r="AE131" s="37" cm="1">
        <f t="array" ref="AE131">SUM(IF(ISNUMBER(FIND("TmDi",$BE$1:$AAL$1)),IF(IFERROR(ISNUMBER(VALUE(SUBSTITUTE($BE131:$AAL131,"B",""))),FALSE),IF(ISNUMBER(VALUE(SUBSTITUTE($BE131:$AAL131,"B",""))),1,0),0)))</f>
        <v>0</v>
      </c>
      <c r="AF131" t="str">
        <f t="shared" si="355"/>
        <v>C6</v>
      </c>
      <c r="AG131" t="str">
        <f t="shared" si="356"/>
        <v>B6</v>
      </c>
      <c r="AP131" t="s">
        <v>489</v>
      </c>
      <c r="AT131" t="s">
        <v>242</v>
      </c>
      <c r="AU131" t="s">
        <v>412</v>
      </c>
      <c r="LY131" t="str">
        <f t="shared" si="897"/>
        <v>DI12-C6</v>
      </c>
      <c r="MA131" t="s">
        <v>434</v>
      </c>
      <c r="MB131" t="s">
        <v>435</v>
      </c>
      <c r="MC131">
        <f t="shared" si="899"/>
        <v>11</v>
      </c>
      <c r="MD131">
        <f t="shared" si="900"/>
        <v>14</v>
      </c>
      <c r="ME131" t="str">
        <f t="shared" si="901"/>
        <v>A1</v>
      </c>
      <c r="MF131" t="str">
        <f t="shared" si="902"/>
        <v>A2</v>
      </c>
      <c r="MG131" t="str">
        <f t="shared" si="903"/>
        <v>0v3</v>
      </c>
      <c r="MH131" t="str">
        <f t="shared" si="904"/>
        <v>24v3</v>
      </c>
      <c r="MI131" t="str">
        <f t="shared" si="905"/>
        <v>0v6</v>
      </c>
      <c r="MJ131" t="str">
        <f t="shared" si="906"/>
        <v>24v6</v>
      </c>
      <c r="MQ131">
        <f t="shared" si="907"/>
        <v>1</v>
      </c>
      <c r="MR131">
        <f t="shared" si="908"/>
        <v>2</v>
      </c>
    </row>
    <row r="132" spans="1:356" s="16" customFormat="1" ht="15.75" thickBot="1" x14ac:dyDescent="0.3">
      <c r="A132" s="16" t="s">
        <v>1054</v>
      </c>
      <c r="B132" s="16" t="s">
        <v>919</v>
      </c>
      <c r="P132" s="16" t="s">
        <v>423</v>
      </c>
      <c r="T132" s="15" t="s">
        <v>487</v>
      </c>
      <c r="AC132" s="16" t="str">
        <f t="shared" si="896"/>
        <v>A5.12</v>
      </c>
      <c r="AD132" s="45" cm="1">
        <f t="array" ref="AD132">IF(COUNTIFS(AC$2:AC132,AC132)=1,"1",VALUE(SUBSTITUTE(INDEX(AD:AD,_xlfn.XMATCH(AC132,AC$1:AC131,0,-1)),"A",""))+INDEX(AE:AE,_xlfn.XMATCH(AC132,AC$1:AC131,0,-1))+1)</f>
        <v>7</v>
      </c>
      <c r="AE132" s="45" cm="1">
        <f t="array" ref="AE132">SUM(IF(ISNUMBER(FIND("TmDi",$BE$1:$AAL$1)),IF(IFERROR(ISNUMBER(VALUE(SUBSTITUTE($BE132:$AAL132,"B",""))),FALSE),IF(ISNUMBER(VALUE(SUBSTITUTE($BE132:$AAL132,"B",""))),1,0),0)))</f>
        <v>0</v>
      </c>
      <c r="AF132" s="16" t="str">
        <f t="shared" si="355"/>
        <v>C7</v>
      </c>
      <c r="AG132" s="16" t="str">
        <f t="shared" si="356"/>
        <v>B7</v>
      </c>
      <c r="AI132" s="48"/>
      <c r="AJ132" s="48"/>
      <c r="AP132" s="16" t="s">
        <v>489</v>
      </c>
      <c r="AT132" s="16" t="s">
        <v>242</v>
      </c>
      <c r="AU132" s="16" t="s">
        <v>412</v>
      </c>
      <c r="LY132" s="16" t="str">
        <f t="shared" si="897"/>
        <v>DI12-C7</v>
      </c>
      <c r="MA132" s="16" t="s">
        <v>436</v>
      </c>
      <c r="MB132" s="16" t="s">
        <v>437</v>
      </c>
      <c r="MC132" s="16">
        <f t="shared" si="899"/>
        <v>11</v>
      </c>
      <c r="MD132" s="16">
        <f t="shared" si="900"/>
        <v>14</v>
      </c>
      <c r="ME132" s="16" t="str">
        <f t="shared" si="901"/>
        <v>A1</v>
      </c>
      <c r="MF132" s="16" t="str">
        <f t="shared" si="902"/>
        <v>A2</v>
      </c>
      <c r="MG132" s="16" t="str">
        <f t="shared" si="903"/>
        <v>0v3</v>
      </c>
      <c r="MH132" s="16" t="str">
        <f t="shared" si="904"/>
        <v>24v3</v>
      </c>
      <c r="MI132" s="16" t="str">
        <f t="shared" si="905"/>
        <v>0v6</v>
      </c>
      <c r="MJ132" s="16" t="str">
        <f t="shared" si="906"/>
        <v>24v6</v>
      </c>
      <c r="MQ132" s="16">
        <f t="shared" si="907"/>
        <v>1</v>
      </c>
      <c r="MR132" s="16">
        <f t="shared" si="908"/>
        <v>2</v>
      </c>
    </row>
  </sheetData>
  <autoFilter ref="P1" xr:uid="{00000000-0001-0000-0000-000000000000}"/>
  <customSheetViews>
    <customSheetView guid="{FF0A9AC6-3E8C-4AE0-B1AB-88458BDDC2AD}" scale="70" filter="1" showAutoFilter="1" hiddenColumns="1">
      <pane ySplit="1" topLeftCell="A43" activePane="bottomLeft" state="frozen"/>
      <selection pane="bottomLeft" activeCell="P45" sqref="P45"/>
      <pageMargins left="0.7" right="0.7" top="0.75" bottom="0.75" header="0.3" footer="0.3"/>
      <autoFilter ref="P1:P44" xr:uid="{ED10C542-2D8A-4F7F-9332-DA756F0F7FD5}">
        <filterColumn colId="0">
          <filters>
            <filter val="se0004"/>
          </filters>
        </filterColumn>
      </autoFilter>
    </customSheetView>
    <customSheetView guid="{C835B057-266C-4AD9-BD8A-E692A165D221}" scale="70" filter="1" showAutoFilter="1" hiddenColumns="1">
      <selection activeCell="B7" sqref="B7"/>
      <pageMargins left="0.7" right="0.7" top="0.75" bottom="0.75" header="0.3" footer="0.3"/>
      <autoFilter ref="P1:P42" xr:uid="{5A28F837-D12F-451A-893E-F066D8E925CB}">
        <filterColumn colId="0">
          <filters>
            <filter val="se0001"/>
            <filter val="se0002"/>
          </filters>
        </filterColumn>
      </autoFilter>
    </customSheetView>
    <customSheetView guid="{A7A1A132-6B40-4748-B234-5C4C7FE3C00A}" scale="70" filter="1" showAutoFilter="1" hiddenColumns="1">
      <selection activeCell="Z38" sqref="Z38"/>
      <pageMargins left="0.7" right="0.7" top="0.75" bottom="0.75" header="0.3" footer="0.3"/>
      <autoFilter ref="P1:P42" xr:uid="{8D591745-418A-4F08-8C80-D99FED9E3657}">
        <filterColumn colId="0">
          <filters>
            <filter val="se0003"/>
          </filters>
        </filterColumn>
      </autoFilter>
    </customSheetView>
    <customSheetView guid="{2AA7760F-427D-46EA-9E7F-EB5415B3542C}" scale="70" filter="1" showAutoFilter="1" hiddenColumns="1" topLeftCell="A105">
      <selection activeCell="V58" sqref="V58"/>
      <pageMargins left="0.7" right="0.7" top="0.75" bottom="0.75" header="0.3" footer="0.3"/>
      <autoFilter ref="P1:P152" xr:uid="{A23518A6-3E19-4ED0-A020-F250F142E142}">
        <filterColumn colId="0">
          <filters>
            <filter val="se0005"/>
            <filter val="se0006"/>
            <filter val="se0007"/>
          </filters>
        </filterColumn>
      </autoFilter>
    </customSheetView>
    <customSheetView guid="{6000112E-A5E6-4231-BD98-47DC722AA734}" scale="70" filter="1" showAutoFilter="1" hiddenColumns="1">
      <pane ySplit="1" topLeftCell="A169" activePane="bottomLeft" state="frozen"/>
      <selection pane="bottomLeft" activeCell="P169" sqref="P169"/>
      <pageMargins left="0.7" right="0.7" top="0.75" bottom="0.75" header="0.3" footer="0.3"/>
      <autoFilter ref="P1:P186" xr:uid="{91435838-3FA5-48EB-B180-9A78CF4FF65C}">
        <filterColumn colId="0">
          <filters>
            <filter val="se0008"/>
          </filters>
        </filterColumn>
      </autoFilter>
    </customSheetView>
    <customSheetView guid="{7FEA431A-A608-4A51-A317-26884A517696}" scale="85" filter="1" showAutoFilter="1" hiddenColumns="1">
      <pane ySplit="54" topLeftCell="A170" activePane="bottomLeft" state="frozen"/>
      <selection pane="bottomLeft" activeCell="Y178" sqref="Y178"/>
      <pageMargins left="0.7" right="0.7" top="0.75" bottom="0.75" header="0.3" footer="0.3"/>
      <autoFilter ref="P1:P186" xr:uid="{F8EE0DE5-476B-4742-BED4-B7323D90AF03}">
        <filterColumn colId="0">
          <filters>
            <filter val="se0009"/>
          </filters>
        </filterColumn>
      </autoFilter>
    </customSheetView>
    <customSheetView guid="{9CAC7FA4-7183-4976-BDEB-B1D0832FBE64}" scale="70" showAutoFilter="1" hiddenColumns="1">
      <selection activeCell="P17" sqref="P17"/>
      <pageMargins left="0.7" right="0.7" top="0.75" bottom="0.75" header="0.3" footer="0.3"/>
      <autoFilter ref="P1:P186" xr:uid="{C9DBB377-1CF6-4233-9782-F701C6BC8901}"/>
    </customSheetView>
  </customSheetViews>
  <phoneticPr fontId="4" type="noConversion"/>
  <conditionalFormatting sqref="A1">
    <cfRule type="duplicateValues" dxfId="12" priority="160"/>
  </conditionalFormatting>
  <conditionalFormatting sqref="A3 A1 A5:A48 A69:A71 A126:A1048576">
    <cfRule type="duplicateValues" dxfId="11" priority="128"/>
  </conditionalFormatting>
  <conditionalFormatting sqref="A72">
    <cfRule type="duplicateValues" dxfId="10" priority="13"/>
    <cfRule type="duplicateValues" dxfId="9" priority="14"/>
  </conditionalFormatting>
  <conditionalFormatting sqref="B69 B1 B72:B124 B126:B1048576">
    <cfRule type="duplicateValues" dxfId="8" priority="142"/>
  </conditionalFormatting>
  <conditionalFormatting sqref="V1:W1048576">
    <cfRule type="duplicateValues" dxfId="7" priority="161"/>
  </conditionalFormatting>
  <conditionalFormatting sqref="V116:W119 V53 V58 V63 W49:W68 V120:V121 V122:W122 V68:V115 V123:V1048576 V1:V48">
    <cfRule type="duplicateValues" dxfId="6" priority="159"/>
  </conditionalFormatting>
  <conditionalFormatting sqref="Y1:Y1048576">
    <cfRule type="cellIs" dxfId="5" priority="5" operator="greaterThan">
      <formula>8</formula>
    </cfRule>
    <cfRule type="cellIs" dxfId="4" priority="37" operator="equal">
      <formula>"Y:Y+Z:Z&gt;8"</formula>
    </cfRule>
  </conditionalFormatting>
  <conditionalFormatting sqref="AD1">
    <cfRule type="cellIs" dxfId="3" priority="35" operator="equal">
      <formula>"Y:Y+Z:Z&gt;8"</formula>
    </cfRule>
  </conditionalFormatting>
  <conditionalFormatting sqref="AD73:AD124">
    <cfRule type="cellIs" dxfId="2" priority="18" operator="equal">
      <formula>"Y:Y+Z:Z&gt;8"</formula>
    </cfRule>
  </conditionalFormatting>
  <conditionalFormatting sqref="AI1">
    <cfRule type="cellIs" dxfId="1" priority="32" operator="equal">
      <formula>"Y:Y+Z:Z&gt;8"</formula>
    </cfRule>
  </conditionalFormatting>
  <conditionalFormatting sqref="AI73">
    <cfRule type="cellIs" dxfId="0" priority="19" operator="equal">
      <formula>"Y:Y+Z:Z&gt;8"</formula>
    </cfRule>
  </conditionalFormatting>
  <pageMargins left="0.7" right="0.7" top="0.75" bottom="0.75" header="0.3" footer="0.3"/>
  <pageSetup paperSize="9" orientation="portrait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64774-E616-40C5-A368-D4384F05BD61}">
  <dimension ref="A1:E38"/>
  <sheetViews>
    <sheetView workbookViewId="0">
      <selection activeCell="C27" sqref="C27"/>
    </sheetView>
  </sheetViews>
  <sheetFormatPr defaultRowHeight="15" x14ac:dyDescent="0.25"/>
  <cols>
    <col min="1" max="1" width="20.5703125" bestFit="1" customWidth="1"/>
    <col min="2" max="2" width="12.28515625" bestFit="1" customWidth="1"/>
    <col min="3" max="3" width="23.7109375" bestFit="1" customWidth="1"/>
    <col min="4" max="4" width="20.85546875" bestFit="1" customWidth="1"/>
  </cols>
  <sheetData>
    <row r="1" spans="1:5" ht="15.75" thickBot="1" x14ac:dyDescent="0.3">
      <c r="A1" s="4" t="s">
        <v>270</v>
      </c>
      <c r="B1" s="5" t="s">
        <v>272</v>
      </c>
      <c r="C1" s="5" t="s">
        <v>273</v>
      </c>
      <c r="D1" s="9" t="s">
        <v>271</v>
      </c>
    </row>
    <row r="2" spans="1:5" x14ac:dyDescent="0.25">
      <c r="A2" t="s">
        <v>267</v>
      </c>
      <c r="B2" t="s">
        <v>268</v>
      </c>
      <c r="C2" t="s">
        <v>269</v>
      </c>
      <c r="D2" t="s">
        <v>274</v>
      </c>
      <c r="E2" t="s">
        <v>416</v>
      </c>
    </row>
    <row r="3" spans="1:5" x14ac:dyDescent="0.25">
      <c r="A3" t="s">
        <v>275</v>
      </c>
      <c r="B3" t="s">
        <v>276</v>
      </c>
      <c r="C3" t="s">
        <v>269</v>
      </c>
      <c r="D3" t="s">
        <v>274</v>
      </c>
      <c r="E3" t="s">
        <v>416</v>
      </c>
    </row>
    <row r="4" spans="1:5" x14ac:dyDescent="0.25">
      <c r="A4" t="s">
        <v>277</v>
      </c>
      <c r="B4" t="s">
        <v>278</v>
      </c>
      <c r="C4" t="s">
        <v>269</v>
      </c>
      <c r="D4" t="s">
        <v>274</v>
      </c>
      <c r="E4" t="s">
        <v>416</v>
      </c>
    </row>
    <row r="5" spans="1:5" x14ac:dyDescent="0.25">
      <c r="A5" t="s">
        <v>279</v>
      </c>
      <c r="B5" t="s">
        <v>280</v>
      </c>
      <c r="C5" t="s">
        <v>269</v>
      </c>
      <c r="D5" t="s">
        <v>274</v>
      </c>
      <c r="E5" t="s">
        <v>416</v>
      </c>
    </row>
    <row r="6" spans="1:5" x14ac:dyDescent="0.25">
      <c r="A6" t="s">
        <v>281</v>
      </c>
      <c r="B6" t="s">
        <v>282</v>
      </c>
      <c r="C6" t="s">
        <v>269</v>
      </c>
      <c r="D6" t="s">
        <v>274</v>
      </c>
      <c r="E6" t="s">
        <v>416</v>
      </c>
    </row>
    <row r="7" spans="1:5" x14ac:dyDescent="0.25">
      <c r="A7" t="s">
        <v>283</v>
      </c>
      <c r="B7" t="s">
        <v>284</v>
      </c>
      <c r="C7" t="s">
        <v>269</v>
      </c>
      <c r="D7" t="s">
        <v>274</v>
      </c>
      <c r="E7" t="s">
        <v>416</v>
      </c>
    </row>
    <row r="8" spans="1:5" x14ac:dyDescent="0.25">
      <c r="A8" t="s">
        <v>285</v>
      </c>
      <c r="B8" t="s">
        <v>286</v>
      </c>
      <c r="C8" t="s">
        <v>269</v>
      </c>
      <c r="D8" t="s">
        <v>274</v>
      </c>
      <c r="E8" t="s">
        <v>416</v>
      </c>
    </row>
    <row r="9" spans="1:5" x14ac:dyDescent="0.25">
      <c r="A9" t="s">
        <v>287</v>
      </c>
      <c r="B9" t="s">
        <v>288</v>
      </c>
      <c r="C9" t="s">
        <v>269</v>
      </c>
      <c r="D9" t="s">
        <v>274</v>
      </c>
      <c r="E9" t="s">
        <v>416</v>
      </c>
    </row>
    <row r="10" spans="1:5" x14ac:dyDescent="0.25">
      <c r="A10" t="s">
        <v>290</v>
      </c>
      <c r="B10" t="s">
        <v>289</v>
      </c>
      <c r="C10" t="s">
        <v>269</v>
      </c>
      <c r="D10" t="s">
        <v>274</v>
      </c>
      <c r="E10" t="s">
        <v>416</v>
      </c>
    </row>
    <row r="11" spans="1:5" x14ac:dyDescent="0.25">
      <c r="A11" t="s">
        <v>291</v>
      </c>
      <c r="B11" t="s">
        <v>292</v>
      </c>
      <c r="C11" t="s">
        <v>269</v>
      </c>
      <c r="D11" t="s">
        <v>274</v>
      </c>
      <c r="E11" t="s">
        <v>416</v>
      </c>
    </row>
    <row r="12" spans="1:5" x14ac:dyDescent="0.25">
      <c r="A12" t="s">
        <v>293</v>
      </c>
      <c r="B12" t="s">
        <v>294</v>
      </c>
      <c r="C12" t="s">
        <v>269</v>
      </c>
      <c r="D12" t="s">
        <v>274</v>
      </c>
      <c r="E12" t="s">
        <v>416</v>
      </c>
    </row>
    <row r="13" spans="1:5" x14ac:dyDescent="0.25">
      <c r="A13" t="s">
        <v>295</v>
      </c>
      <c r="B13" t="s">
        <v>296</v>
      </c>
      <c r="C13" t="s">
        <v>269</v>
      </c>
      <c r="D13" t="s">
        <v>274</v>
      </c>
      <c r="E13" t="s">
        <v>416</v>
      </c>
    </row>
    <row r="14" spans="1:5" x14ac:dyDescent="0.25">
      <c r="A14" t="s">
        <v>297</v>
      </c>
      <c r="B14" t="s">
        <v>298</v>
      </c>
      <c r="C14" t="s">
        <v>269</v>
      </c>
      <c r="D14" t="s">
        <v>274</v>
      </c>
      <c r="E14" t="s">
        <v>416</v>
      </c>
    </row>
    <row r="15" spans="1:5" x14ac:dyDescent="0.25">
      <c r="A15" t="s">
        <v>299</v>
      </c>
      <c r="B15" t="s">
        <v>300</v>
      </c>
      <c r="C15" t="s">
        <v>269</v>
      </c>
      <c r="D15" t="s">
        <v>274</v>
      </c>
      <c r="E15" t="s">
        <v>416</v>
      </c>
    </row>
    <row r="16" spans="1:5" x14ac:dyDescent="0.25">
      <c r="A16" t="s">
        <v>301</v>
      </c>
      <c r="B16" t="s">
        <v>302</v>
      </c>
      <c r="C16" t="s">
        <v>269</v>
      </c>
      <c r="D16" t="s">
        <v>274</v>
      </c>
      <c r="E16" t="s">
        <v>416</v>
      </c>
    </row>
    <row r="17" spans="1:5" x14ac:dyDescent="0.25">
      <c r="A17" t="s">
        <v>303</v>
      </c>
      <c r="B17" t="s">
        <v>304</v>
      </c>
      <c r="C17" t="s">
        <v>269</v>
      </c>
      <c r="D17" t="s">
        <v>274</v>
      </c>
      <c r="E17" t="s">
        <v>416</v>
      </c>
    </row>
    <row r="18" spans="1:5" x14ac:dyDescent="0.25">
      <c r="A18" t="s">
        <v>305</v>
      </c>
      <c r="B18" t="s">
        <v>446</v>
      </c>
      <c r="C18" t="s">
        <v>306</v>
      </c>
      <c r="D18" t="s">
        <v>274</v>
      </c>
      <c r="E18" t="s">
        <v>416</v>
      </c>
    </row>
    <row r="19" spans="1:5" x14ac:dyDescent="0.25">
      <c r="A19" t="s">
        <v>403</v>
      </c>
      <c r="B19" t="s">
        <v>448</v>
      </c>
      <c r="C19" t="s">
        <v>306</v>
      </c>
      <c r="D19" t="s">
        <v>274</v>
      </c>
      <c r="E19" t="s">
        <v>416</v>
      </c>
    </row>
    <row r="20" spans="1:5" x14ac:dyDescent="0.25">
      <c r="A20" t="s">
        <v>404</v>
      </c>
      <c r="B20" t="s">
        <v>449</v>
      </c>
      <c r="C20" t="s">
        <v>306</v>
      </c>
      <c r="D20" t="s">
        <v>274</v>
      </c>
      <c r="E20" t="s">
        <v>416</v>
      </c>
    </row>
    <row r="21" spans="1:5" x14ac:dyDescent="0.25">
      <c r="A21" t="s">
        <v>405</v>
      </c>
      <c r="B21" t="s">
        <v>450</v>
      </c>
      <c r="C21" t="s">
        <v>306</v>
      </c>
      <c r="D21" t="s">
        <v>274</v>
      </c>
      <c r="E21" t="s">
        <v>416</v>
      </c>
    </row>
    <row r="22" spans="1:5" x14ac:dyDescent="0.25">
      <c r="A22" t="s">
        <v>406</v>
      </c>
      <c r="B22" t="s">
        <v>451</v>
      </c>
      <c r="C22" t="s">
        <v>306</v>
      </c>
      <c r="D22" t="s">
        <v>274</v>
      </c>
      <c r="E22" t="s">
        <v>416</v>
      </c>
    </row>
    <row r="23" spans="1:5" x14ac:dyDescent="0.25">
      <c r="A23" t="s">
        <v>407</v>
      </c>
      <c r="B23" t="s">
        <v>452</v>
      </c>
      <c r="C23" t="s">
        <v>306</v>
      </c>
      <c r="D23" t="s">
        <v>274</v>
      </c>
      <c r="E23" t="s">
        <v>416</v>
      </c>
    </row>
    <row r="24" spans="1:5" x14ac:dyDescent="0.25">
      <c r="A24" t="s">
        <v>408</v>
      </c>
      <c r="B24" t="s">
        <v>453</v>
      </c>
      <c r="C24" t="s">
        <v>306</v>
      </c>
      <c r="D24" t="s">
        <v>274</v>
      </c>
      <c r="E24" t="s">
        <v>416</v>
      </c>
    </row>
    <row r="25" spans="1:5" x14ac:dyDescent="0.25">
      <c r="A25" t="s">
        <v>413</v>
      </c>
      <c r="B25" t="s">
        <v>447</v>
      </c>
      <c r="C25" t="s">
        <v>414</v>
      </c>
      <c r="D25" t="s">
        <v>274</v>
      </c>
      <c r="E25" t="s">
        <v>417</v>
      </c>
    </row>
    <row r="26" spans="1:5" x14ac:dyDescent="0.25">
      <c r="A26" t="s">
        <v>415</v>
      </c>
      <c r="B26" t="s">
        <v>445</v>
      </c>
      <c r="C26" t="s">
        <v>306</v>
      </c>
      <c r="D26" t="s">
        <v>274</v>
      </c>
      <c r="E26" t="s">
        <v>418</v>
      </c>
    </row>
    <row r="27" spans="1:5" x14ac:dyDescent="0.25">
      <c r="A27" t="s">
        <v>438</v>
      </c>
      <c r="B27" t="s">
        <v>729</v>
      </c>
      <c r="C27" t="s">
        <v>741</v>
      </c>
      <c r="D27" t="s">
        <v>274</v>
      </c>
      <c r="E27" t="s">
        <v>418</v>
      </c>
    </row>
    <row r="28" spans="1:5" x14ac:dyDescent="0.25">
      <c r="A28" t="s">
        <v>438</v>
      </c>
      <c r="B28" t="s">
        <v>733</v>
      </c>
      <c r="C28" t="s">
        <v>269</v>
      </c>
      <c r="D28" t="s">
        <v>274</v>
      </c>
      <c r="E28" t="s">
        <v>418</v>
      </c>
    </row>
    <row r="29" spans="1:5" x14ac:dyDescent="0.25">
      <c r="A29" t="s">
        <v>439</v>
      </c>
      <c r="B29" t="s">
        <v>730</v>
      </c>
      <c r="C29" t="s">
        <v>269</v>
      </c>
      <c r="D29" t="s">
        <v>274</v>
      </c>
      <c r="E29" t="s">
        <v>418</v>
      </c>
    </row>
    <row r="30" spans="1:5" x14ac:dyDescent="0.25">
      <c r="A30" t="s">
        <v>439</v>
      </c>
      <c r="B30" t="s">
        <v>734</v>
      </c>
      <c r="C30" t="s">
        <v>269</v>
      </c>
      <c r="D30" t="s">
        <v>274</v>
      </c>
      <c r="E30" t="s">
        <v>418</v>
      </c>
    </row>
    <row r="31" spans="1:5" x14ac:dyDescent="0.25">
      <c r="A31" t="s">
        <v>440</v>
      </c>
      <c r="B31" t="s">
        <v>731</v>
      </c>
      <c r="C31" t="s">
        <v>269</v>
      </c>
      <c r="D31" t="s">
        <v>274</v>
      </c>
      <c r="E31" t="s">
        <v>416</v>
      </c>
    </row>
    <row r="32" spans="1:5" x14ac:dyDescent="0.25">
      <c r="A32" t="s">
        <v>440</v>
      </c>
      <c r="B32" t="s">
        <v>735</v>
      </c>
      <c r="C32" t="s">
        <v>269</v>
      </c>
      <c r="D32" t="s">
        <v>274</v>
      </c>
      <c r="E32" t="s">
        <v>416</v>
      </c>
    </row>
    <row r="33" spans="1:5" x14ac:dyDescent="0.25">
      <c r="A33" t="s">
        <v>441</v>
      </c>
      <c r="B33" t="s">
        <v>732</v>
      </c>
      <c r="C33" t="s">
        <v>269</v>
      </c>
      <c r="D33" t="s">
        <v>274</v>
      </c>
      <c r="E33" t="s">
        <v>416</v>
      </c>
    </row>
    <row r="34" spans="1:5" x14ac:dyDescent="0.25">
      <c r="A34" t="s">
        <v>441</v>
      </c>
      <c r="B34" t="s">
        <v>736</v>
      </c>
      <c r="C34" t="s">
        <v>269</v>
      </c>
      <c r="D34" t="s">
        <v>274</v>
      </c>
      <c r="E34" t="s">
        <v>416</v>
      </c>
    </row>
    <row r="35" spans="1:5" x14ac:dyDescent="0.25">
      <c r="A35" t="s">
        <v>442</v>
      </c>
      <c r="C35" t="s">
        <v>269</v>
      </c>
      <c r="D35" t="s">
        <v>443</v>
      </c>
    </row>
    <row r="36" spans="1:5" x14ac:dyDescent="0.25">
      <c r="A36" t="s">
        <v>442</v>
      </c>
      <c r="C36" t="s">
        <v>269</v>
      </c>
      <c r="D36" t="s">
        <v>444</v>
      </c>
    </row>
    <row r="37" spans="1:5" x14ac:dyDescent="0.25">
      <c r="A37" t="s">
        <v>274</v>
      </c>
      <c r="B37" t="s">
        <v>268</v>
      </c>
      <c r="C37" t="s">
        <v>269</v>
      </c>
      <c r="D37" t="s">
        <v>443</v>
      </c>
    </row>
    <row r="38" spans="1:5" x14ac:dyDescent="0.25">
      <c r="A38" t="s">
        <v>274</v>
      </c>
      <c r="B38" t="s">
        <v>276</v>
      </c>
      <c r="C38" t="s">
        <v>269</v>
      </c>
      <c r="D38" t="s">
        <v>444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Кабеля между шкафами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Илья Чураков</cp:lastModifiedBy>
  <dcterms:created xsi:type="dcterms:W3CDTF">2015-06-05T18:19:34Z</dcterms:created>
  <dcterms:modified xsi:type="dcterms:W3CDTF">2025-07-25T06:57:17Z</dcterms:modified>
</cp:coreProperties>
</file>