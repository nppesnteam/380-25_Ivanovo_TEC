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ВК\"/>
    </mc:Choice>
  </mc:AlternateContent>
  <xr:revisionPtr revIDLastSave="0" documentId="13_ncr:1_{CA73190C-0F31-4D30-861B-DAF3D41AE684}" xr6:coauthVersionLast="47" xr6:coauthVersionMax="47" xr10:uidLastSave="{00000000-0000-0000-0000-000000000000}"/>
  <bookViews>
    <workbookView xWindow="38280" yWindow="-120" windowWidth="29040" windowHeight="158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Лист1!$P$1:$P$315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Лист1!$P$1:$P$152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Лист1!$P$1:$P$186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Лист1!$D:$O,Лист1!$Q:$S,Лист1!$W:$W,Лист1!$AC:$AO,Лист1!$AR:$AR,Лист1!$AT:$AU,Лист1!$AY:$LN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Лист1!$P$1:$P$186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Лист1!$P$1:$P$186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Лист1!$P$1:$P$42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Лист1!$P$1:$P$42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Лист1!$P$1:$P$44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A315" i="1" l="1"/>
  <c r="MA314" i="1"/>
  <c r="MA313" i="1"/>
  <c r="MA312" i="1"/>
  <c r="MA311" i="1"/>
  <c r="MA310" i="1"/>
  <c r="MA309" i="1"/>
  <c r="MA308" i="1"/>
  <c r="MA307" i="1"/>
  <c r="NJ180" i="1"/>
  <c r="NJ179" i="1"/>
  <c r="MA178" i="1"/>
  <c r="MA177" i="1"/>
  <c r="LZ177" i="1"/>
  <c r="KV169" i="1"/>
  <c r="CB33" i="1"/>
  <c r="CC33" i="1"/>
  <c r="CD33" i="1"/>
  <c r="CE33" i="1"/>
  <c r="AD7" i="1" a="1"/>
  <c r="AD7" i="1" s="1"/>
  <c r="AD12" i="1" a="1"/>
  <c r="AD12" i="1" s="1"/>
  <c r="AD17" i="1" a="1"/>
  <c r="AD17" i="1" s="1"/>
  <c r="AD22" i="1" a="1"/>
  <c r="AD22" i="1" s="1"/>
  <c r="AD27" i="1" a="1"/>
  <c r="AD27" i="1" s="1"/>
  <c r="AD32" i="1" a="1"/>
  <c r="AD32" i="1" s="1"/>
  <c r="AD34" i="1" a="1"/>
  <c r="AD34" i="1" s="1"/>
  <c r="AD43" i="1" a="1"/>
  <c r="AD43" i="1" s="1"/>
  <c r="AD48" i="1" a="1"/>
  <c r="AD48" i="1" s="1"/>
  <c r="AD53" i="1" a="1"/>
  <c r="AD53" i="1" s="1"/>
  <c r="AD169" i="1" a="1"/>
  <c r="AD169" i="1" s="1"/>
  <c r="AD225" i="1" a="1"/>
  <c r="AD225" i="1" s="1"/>
  <c r="AD2" i="1" a="1"/>
  <c r="AD2" i="1" s="1"/>
  <c r="MS302" i="1" l="1"/>
  <c r="MS303" i="1" s="1"/>
  <c r="MS304" i="1" s="1"/>
  <c r="MS305" i="1" s="1"/>
  <c r="MS306" i="1" s="1"/>
  <c r="MR302" i="1"/>
  <c r="MR303" i="1" s="1"/>
  <c r="MR304" i="1" s="1"/>
  <c r="MR305" i="1" s="1"/>
  <c r="MR306" i="1" s="1"/>
  <c r="MK302" i="1"/>
  <c r="MK303" i="1" s="1"/>
  <c r="MK304" i="1" s="1"/>
  <c r="MK305" i="1" s="1"/>
  <c r="MK306" i="1" s="1"/>
  <c r="MJ302" i="1"/>
  <c r="MJ303" i="1" s="1"/>
  <c r="MJ304" i="1" s="1"/>
  <c r="MJ305" i="1" s="1"/>
  <c r="MJ306" i="1" s="1"/>
  <c r="MI302" i="1"/>
  <c r="MI303" i="1" s="1"/>
  <c r="MI304" i="1" s="1"/>
  <c r="MI305" i="1" s="1"/>
  <c r="MI306" i="1" s="1"/>
  <c r="MH302" i="1"/>
  <c r="MH303" i="1" s="1"/>
  <c r="MH304" i="1" s="1"/>
  <c r="MH305" i="1" s="1"/>
  <c r="MH306" i="1" s="1"/>
  <c r="MG302" i="1"/>
  <c r="MG303" i="1" s="1"/>
  <c r="MG304" i="1" s="1"/>
  <c r="MG305" i="1" s="1"/>
  <c r="MG306" i="1" s="1"/>
  <c r="MF302" i="1"/>
  <c r="MF303" i="1" s="1"/>
  <c r="MF304" i="1" s="1"/>
  <c r="MF305" i="1" s="1"/>
  <c r="MF306" i="1" s="1"/>
  <c r="ME302" i="1"/>
  <c r="ME303" i="1" s="1"/>
  <c r="ME304" i="1" s="1"/>
  <c r="ME305" i="1" s="1"/>
  <c r="ME306" i="1" s="1"/>
  <c r="MD302" i="1"/>
  <c r="MD303" i="1" s="1"/>
  <c r="MD304" i="1" s="1"/>
  <c r="MD305" i="1" s="1"/>
  <c r="MD306" i="1" s="1"/>
  <c r="MS296" i="1" l="1"/>
  <c r="MS297" i="1" s="1"/>
  <c r="MS298" i="1" s="1"/>
  <c r="MS299" i="1" s="1"/>
  <c r="MS300" i="1" s="1"/>
  <c r="MR296" i="1"/>
  <c r="MR297" i="1" s="1"/>
  <c r="MR298" i="1" s="1"/>
  <c r="MR299" i="1" s="1"/>
  <c r="MR300" i="1" s="1"/>
  <c r="MK296" i="1"/>
  <c r="MK297" i="1" s="1"/>
  <c r="MK298" i="1" s="1"/>
  <c r="MK299" i="1" s="1"/>
  <c r="MK300" i="1" s="1"/>
  <c r="MJ296" i="1"/>
  <c r="MJ297" i="1" s="1"/>
  <c r="MJ298" i="1" s="1"/>
  <c r="MJ299" i="1" s="1"/>
  <c r="MJ300" i="1" s="1"/>
  <c r="MI296" i="1"/>
  <c r="MI297" i="1" s="1"/>
  <c r="MI298" i="1" s="1"/>
  <c r="MI299" i="1" s="1"/>
  <c r="MI300" i="1" s="1"/>
  <c r="MH296" i="1"/>
  <c r="MH297" i="1" s="1"/>
  <c r="MH298" i="1" s="1"/>
  <c r="MH299" i="1" s="1"/>
  <c r="MH300" i="1" s="1"/>
  <c r="MG296" i="1"/>
  <c r="MG297" i="1" s="1"/>
  <c r="MG298" i="1" s="1"/>
  <c r="MG299" i="1" s="1"/>
  <c r="MG300" i="1" s="1"/>
  <c r="MF296" i="1"/>
  <c r="MF297" i="1" s="1"/>
  <c r="MF298" i="1" s="1"/>
  <c r="MF299" i="1" s="1"/>
  <c r="MF300" i="1" s="1"/>
  <c r="ME296" i="1"/>
  <c r="ME297" i="1" s="1"/>
  <c r="ME298" i="1" s="1"/>
  <c r="ME299" i="1" s="1"/>
  <c r="ME300" i="1" s="1"/>
  <c r="MD296" i="1"/>
  <c r="MD297" i="1" s="1"/>
  <c r="MD298" i="1" s="1"/>
  <c r="MD299" i="1" s="1"/>
  <c r="MD300" i="1" s="1"/>
  <c r="AI12" i="1" l="1" a="1"/>
  <c r="AI12" i="1" s="1"/>
  <c r="AL12" i="1" s="1"/>
  <c r="BQ12" i="1" s="1"/>
  <c r="BS12" i="1" s="1"/>
  <c r="AI22" i="1" a="1"/>
  <c r="AI22" i="1" s="1"/>
  <c r="AL22" i="1" s="1"/>
  <c r="BQ22" i="1" s="1"/>
  <c r="BS22" i="1" s="1"/>
  <c r="AI32" i="1" a="1"/>
  <c r="AI32" i="1" s="1"/>
  <c r="AL32" i="1" s="1"/>
  <c r="BQ32" i="1" s="1"/>
  <c r="BS32" i="1" s="1"/>
  <c r="AI34" i="1" a="1"/>
  <c r="AI34" i="1" s="1"/>
  <c r="AK34" i="1" s="1"/>
  <c r="EW34" i="1" s="1"/>
  <c r="AI43" i="1" a="1"/>
  <c r="AI43" i="1" s="1"/>
  <c r="AL43" i="1" s="1"/>
  <c r="HF43" i="1" s="1"/>
  <c r="AI2" i="1" a="1"/>
  <c r="AI2" i="1" s="1"/>
  <c r="AK2" i="1" s="1"/>
  <c r="BP2" i="1" s="1"/>
  <c r="AI225" i="1" a="1"/>
  <c r="AI225" i="1" s="1"/>
  <c r="AL225" i="1" s="1"/>
  <c r="EX225" i="1" s="1"/>
  <c r="SB202" i="1"/>
  <c r="SC202" i="1" s="1"/>
  <c r="SD202" i="1" s="1"/>
  <c r="SE202" i="1" s="1"/>
  <c r="SF202" i="1" s="1"/>
  <c r="SG202" i="1" s="1"/>
  <c r="SH202" i="1" s="1"/>
  <c r="SI202" i="1" s="1"/>
  <c r="SJ202" i="1" s="1"/>
  <c r="SK202" i="1" s="1"/>
  <c r="SL202" i="1" s="1"/>
  <c r="SM202" i="1" s="1"/>
  <c r="SN202" i="1" s="1"/>
  <c r="SO202" i="1" s="1"/>
  <c r="SP202" i="1" s="1"/>
  <c r="SQ202" i="1" s="1"/>
  <c r="SR202" i="1" s="1"/>
  <c r="SS202" i="1" s="1"/>
  <c r="ST202" i="1" s="1"/>
  <c r="SU202" i="1" s="1"/>
  <c r="SV202" i="1" s="1"/>
  <c r="SW202" i="1" s="1"/>
  <c r="SX202" i="1" s="1"/>
  <c r="SY202" i="1" s="1"/>
  <c r="SB197" i="1"/>
  <c r="SC197" i="1" s="1"/>
  <c r="SD197" i="1" s="1"/>
  <c r="SE197" i="1" s="1"/>
  <c r="SF197" i="1" s="1"/>
  <c r="SG197" i="1" s="1"/>
  <c r="SH197" i="1" s="1"/>
  <c r="SI197" i="1" s="1"/>
  <c r="SJ197" i="1" s="1"/>
  <c r="SK197" i="1" s="1"/>
  <c r="SL197" i="1" s="1"/>
  <c r="SM197" i="1" s="1"/>
  <c r="SN197" i="1" s="1"/>
  <c r="SO197" i="1" s="1"/>
  <c r="SP197" i="1" s="1"/>
  <c r="SQ197" i="1" s="1"/>
  <c r="SR197" i="1" s="1"/>
  <c r="SS197" i="1" s="1"/>
  <c r="ST197" i="1" s="1"/>
  <c r="SU197" i="1" s="1"/>
  <c r="SV197" i="1" s="1"/>
  <c r="SW197" i="1" s="1"/>
  <c r="SX197" i="1" s="1"/>
  <c r="SY197" i="1" s="1"/>
  <c r="SB192" i="1"/>
  <c r="SC192" i="1" s="1"/>
  <c r="SD192" i="1" s="1"/>
  <c r="SE192" i="1" s="1"/>
  <c r="SF192" i="1" s="1"/>
  <c r="SG192" i="1" s="1"/>
  <c r="SH192" i="1" s="1"/>
  <c r="SI192" i="1" s="1"/>
  <c r="SJ192" i="1" s="1"/>
  <c r="SK192" i="1" s="1"/>
  <c r="SL192" i="1" s="1"/>
  <c r="SM192" i="1" s="1"/>
  <c r="SN192" i="1" s="1"/>
  <c r="SO192" i="1" s="1"/>
  <c r="SP192" i="1" s="1"/>
  <c r="SQ192" i="1" s="1"/>
  <c r="SR192" i="1" s="1"/>
  <c r="SS192" i="1" s="1"/>
  <c r="ST192" i="1" s="1"/>
  <c r="SU192" i="1" s="1"/>
  <c r="SV192" i="1" s="1"/>
  <c r="SW192" i="1" s="1"/>
  <c r="SX192" i="1" s="1"/>
  <c r="SY192" i="1" s="1"/>
  <c r="SB187" i="1"/>
  <c r="SC187" i="1" s="1"/>
  <c r="SD187" i="1" s="1"/>
  <c r="SE187" i="1" s="1"/>
  <c r="SF187" i="1" s="1"/>
  <c r="SG187" i="1" s="1"/>
  <c r="SH187" i="1" s="1"/>
  <c r="SI187" i="1" s="1"/>
  <c r="SJ187" i="1" s="1"/>
  <c r="SK187" i="1" s="1"/>
  <c r="SL187" i="1" s="1"/>
  <c r="SM187" i="1" s="1"/>
  <c r="SN187" i="1" s="1"/>
  <c r="SO187" i="1" s="1"/>
  <c r="SP187" i="1" s="1"/>
  <c r="SQ187" i="1" s="1"/>
  <c r="SR187" i="1" s="1"/>
  <c r="SS187" i="1" s="1"/>
  <c r="ST187" i="1" s="1"/>
  <c r="SU187" i="1" s="1"/>
  <c r="SV187" i="1" s="1"/>
  <c r="SW187" i="1" s="1"/>
  <c r="SX187" i="1" s="1"/>
  <c r="SY187" i="1" s="1"/>
  <c r="BR2" i="1" l="1"/>
  <c r="AK32" i="1"/>
  <c r="BP32" i="1" s="1"/>
  <c r="AL34" i="1"/>
  <c r="EX34" i="1" s="1"/>
  <c r="AK43" i="1"/>
  <c r="HE43" i="1" s="1"/>
  <c r="AL2" i="1"/>
  <c r="BQ2" i="1" s="1"/>
  <c r="BS2" i="1" s="1"/>
  <c r="AK22" i="1"/>
  <c r="BP22" i="1" s="1"/>
  <c r="AK12" i="1"/>
  <c r="BP12" i="1" s="1"/>
  <c r="AK225" i="1"/>
  <c r="EW225" i="1" s="1"/>
  <c r="BR12" i="1" l="1"/>
  <c r="BR32" i="1"/>
  <c r="BR22" i="1"/>
  <c r="MA230" i="1" l="1"/>
  <c r="LZ232" i="1"/>
  <c r="LZ231" i="1"/>
  <c r="LZ230" i="1"/>
  <c r="MA231" i="1"/>
  <c r="MA232" i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TZ298" i="5"/>
  <c r="TZ299" i="5" s="1"/>
  <c r="TY298" i="5"/>
  <c r="V298" i="5"/>
  <c r="TZ297" i="5"/>
  <c r="UA297" i="5" s="1"/>
  <c r="UB297" i="5" s="1"/>
  <c r="TY297" i="5"/>
  <c r="V297" i="5"/>
  <c r="UA296" i="5"/>
  <c r="UB296" i="5" s="1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H288" i="5" s="1"/>
  <c r="MH289" i="5" s="1"/>
  <c r="MH290" i="5" s="1"/>
  <c r="MH291" i="5" s="1"/>
  <c r="MH292" i="5" s="1"/>
  <c r="MH293" i="5" s="1"/>
  <c r="MH294" i="5" s="1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D288" i="5" s="1"/>
  <c r="MD289" i="5" s="1"/>
  <c r="MD290" i="5" s="1"/>
  <c r="MD291" i="5" s="1"/>
  <c r="MD292" i="5" s="1"/>
  <c r="MD293" i="5" s="1"/>
  <c r="MD294" i="5" s="1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Q285" i="5"/>
  <c r="BS285" i="5" s="1"/>
  <c r="BP285" i="5"/>
  <c r="BR285" i="5" s="1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Q284" i="5"/>
  <c r="BS284" i="5" s="1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BE268" i="5"/>
  <c r="AC268" i="5"/>
  <c r="CE268" i="5" s="1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D267" i="5" a="1"/>
  <c r="AD267" i="5" s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F227" i="5"/>
  <c r="FE227" i="5"/>
  <c r="FA227" i="5"/>
  <c r="EZ227" i="5"/>
  <c r="EY227" i="5"/>
  <c r="EX227" i="5"/>
  <c r="FH227" i="5" s="1"/>
  <c r="EW227" i="5"/>
  <c r="FG227" i="5" s="1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F226" i="5"/>
  <c r="FE226" i="5"/>
  <c r="EZ226" i="5"/>
  <c r="EY226" i="5"/>
  <c r="EX226" i="5"/>
  <c r="FH226" i="5" s="1"/>
  <c r="EW226" i="5"/>
  <c r="FG226" i="5" s="1"/>
  <c r="ET226" i="5"/>
  <c r="EV226" i="5" s="1"/>
  <c r="FD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F225" i="5"/>
  <c r="FE225" i="5"/>
  <c r="EZ225" i="5"/>
  <c r="EY225" i="5"/>
  <c r="EX225" i="5"/>
  <c r="FH225" i="5" s="1"/>
  <c r="EW225" i="5"/>
  <c r="FG225" i="5" s="1"/>
  <c r="EV225" i="5"/>
  <c r="FD225" i="5" s="1"/>
  <c r="ET225" i="5"/>
  <c r="FB225" i="5" s="1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J208" i="5"/>
  <c r="KK208" i="5" s="1"/>
  <c r="JZ208" i="5"/>
  <c r="OE207" i="5"/>
  <c r="KJ206" i="5"/>
  <c r="KK206" i="5" s="1"/>
  <c r="JZ206" i="5"/>
  <c r="OE205" i="5"/>
  <c r="KJ204" i="5"/>
  <c r="KK204" i="5" s="1"/>
  <c r="JZ204" i="5"/>
  <c r="OE203" i="5"/>
  <c r="RS202" i="5"/>
  <c r="QL202" i="5"/>
  <c r="QN202" i="5" s="1"/>
  <c r="QP202" i="5" s="1"/>
  <c r="QR202" i="5" s="1"/>
  <c r="QT202" i="5" s="1"/>
  <c r="QK202" i="5"/>
  <c r="QM202" i="5" s="1"/>
  <c r="QO202" i="5" s="1"/>
  <c r="QQ202" i="5" s="1"/>
  <c r="QS202" i="5" s="1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M192" i="5"/>
  <c r="QO192" i="5" s="1"/>
  <c r="QQ192" i="5" s="1"/>
  <c r="QS192" i="5" s="1"/>
  <c r="QL192" i="5"/>
  <c r="QN192" i="5" s="1"/>
  <c r="QP192" i="5" s="1"/>
  <c r="QR192" i="5" s="1"/>
  <c r="QT192" i="5" s="1"/>
  <c r="QK192" i="5"/>
  <c r="KJ191" i="5"/>
  <c r="KK191" i="5" s="1"/>
  <c r="JZ191" i="5"/>
  <c r="OE190" i="5"/>
  <c r="OE189" i="5"/>
  <c r="OE188" i="5"/>
  <c r="RS187" i="5"/>
  <c r="QM187" i="5"/>
  <c r="QO187" i="5" s="1"/>
  <c r="QQ187" i="5" s="1"/>
  <c r="QS187" i="5" s="1"/>
  <c r="QL187" i="5"/>
  <c r="QN187" i="5" s="1"/>
  <c r="QP187" i="5" s="1"/>
  <c r="QR187" i="5" s="1"/>
  <c r="QT187" i="5" s="1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Y179" i="5"/>
  <c r="NA179" i="5" s="1"/>
  <c r="NH179" i="5" s="1"/>
  <c r="MX179" i="5"/>
  <c r="MZ179" i="5" s="1"/>
  <c r="NB179" i="5" s="1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N172" i="5"/>
  <c r="LQ171" i="5"/>
  <c r="LQ172" i="5" s="1"/>
  <c r="LN171" i="5"/>
  <c r="LR170" i="5"/>
  <c r="LS170" i="5" s="1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HV54" i="5"/>
  <c r="HU54" i="5"/>
  <c r="HL54" i="5"/>
  <c r="HJ54" i="5"/>
  <c r="HI54" i="5"/>
  <c r="HF54" i="5"/>
  <c r="HX54" i="5" s="1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K52" i="5"/>
  <c r="HJ52" i="5"/>
  <c r="HI52" i="5"/>
  <c r="HF52" i="5"/>
  <c r="HE52" i="5"/>
  <c r="GW52" i="5"/>
  <c r="GY52" i="5" s="1"/>
  <c r="GV52" i="5"/>
  <c r="HL52" i="5" s="1"/>
  <c r="GU52" i="5"/>
  <c r="IY51" i="5"/>
  <c r="IY52" i="5" s="1"/>
  <c r="IY53" i="5" s="1"/>
  <c r="IY54" i="5" s="1"/>
  <c r="IY55" i="5" s="1"/>
  <c r="HV51" i="5"/>
  <c r="HU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HN51" i="5" s="1"/>
  <c r="GU51" i="5"/>
  <c r="HX50" i="5"/>
  <c r="HV50" i="5"/>
  <c r="HU50" i="5"/>
  <c r="HK50" i="5"/>
  <c r="HJ50" i="5"/>
  <c r="HI50" i="5"/>
  <c r="HF50" i="5"/>
  <c r="HE50" i="5"/>
  <c r="HW50" i="5" s="1"/>
  <c r="GX50" i="5"/>
  <c r="GV50" i="5"/>
  <c r="HL50" i="5" s="1"/>
  <c r="GU50" i="5"/>
  <c r="GW50" i="5" s="1"/>
  <c r="GY50" i="5" s="1"/>
  <c r="HV49" i="5"/>
  <c r="HU49" i="5"/>
  <c r="HK49" i="5"/>
  <c r="HJ49" i="5"/>
  <c r="HI49" i="5"/>
  <c r="HF49" i="5"/>
  <c r="HX49" i="5" s="1"/>
  <c r="HE49" i="5"/>
  <c r="HW49" i="5" s="1"/>
  <c r="GX49" i="5"/>
  <c r="GV49" i="5"/>
  <c r="HL49" i="5" s="1"/>
  <c r="GU49" i="5"/>
  <c r="GW49" i="5" s="1"/>
  <c r="GY49" i="5" s="1"/>
  <c r="JR48" i="5"/>
  <c r="JR49" i="5" s="1"/>
  <c r="JR50" i="5" s="1"/>
  <c r="JR51" i="5" s="1"/>
  <c r="JR52" i="5" s="1"/>
  <c r="JR53" i="5" s="1"/>
  <c r="JR54" i="5" s="1"/>
  <c r="JR55" i="5" s="1"/>
  <c r="HV48" i="5"/>
  <c r="HU48" i="5"/>
  <c r="HJ48" i="5"/>
  <c r="HI48" i="5"/>
  <c r="HF48" i="5"/>
  <c r="HX48" i="5" s="1"/>
  <c r="HE48" i="5"/>
  <c r="HW48" i="5" s="1"/>
  <c r="GW48" i="5"/>
  <c r="GY48" i="5" s="1"/>
  <c r="HA48" i="5" s="1"/>
  <c r="HQ48" i="5" s="1"/>
  <c r="GV48" i="5"/>
  <c r="GX48" i="5" s="1"/>
  <c r="GU48" i="5"/>
  <c r="HK48" i="5" s="1"/>
  <c r="JS47" i="5"/>
  <c r="JS48" i="5" s="1"/>
  <c r="JS49" i="5" s="1"/>
  <c r="JS50" i="5" s="1"/>
  <c r="JS51" i="5" s="1"/>
  <c r="JS52" i="5" s="1"/>
  <c r="JS53" i="5" s="1"/>
  <c r="JS54" i="5" s="1"/>
  <c r="JS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K47" i="5"/>
  <c r="HJ47" i="5"/>
  <c r="HI47" i="5"/>
  <c r="HF47" i="5"/>
  <c r="HE47" i="5"/>
  <c r="HW47" i="5" s="1"/>
  <c r="GV47" i="5"/>
  <c r="HL47" i="5" s="1"/>
  <c r="GU47" i="5"/>
  <c r="GW47" i="5" s="1"/>
  <c r="GY47" i="5" s="1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IT46" i="5"/>
  <c r="IT47" i="5" s="1"/>
  <c r="IT48" i="5" s="1"/>
  <c r="IT49" i="5" s="1"/>
  <c r="IT50" i="5" s="1"/>
  <c r="IT51" i="5" s="1"/>
  <c r="IT52" i="5" s="1"/>
  <c r="IT53" i="5" s="1"/>
  <c r="IT54" i="5" s="1"/>
  <c r="IT55" i="5" s="1"/>
  <c r="HX46" i="5"/>
  <c r="HV46" i="5"/>
  <c r="HU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HN46" i="5" s="1"/>
  <c r="G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R45" i="5"/>
  <c r="JR46" i="5" s="1"/>
  <c r="JR47" i="5" s="1"/>
  <c r="JO45" i="5"/>
  <c r="JO46" i="5" s="1"/>
  <c r="JO47" i="5" s="1"/>
  <c r="JO48" i="5" s="1"/>
  <c r="JO49" i="5" s="1"/>
  <c r="JO50" i="5" s="1"/>
  <c r="JO51" i="5" s="1"/>
  <c r="JO52" i="5" s="1"/>
  <c r="JO53" i="5" s="1"/>
  <c r="JO54" i="5" s="1"/>
  <c r="JO55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HX45" i="5"/>
  <c r="HV45" i="5"/>
  <c r="HU45" i="5"/>
  <c r="HJ45" i="5"/>
  <c r="HI45" i="5"/>
  <c r="HF45" i="5"/>
  <c r="HE45" i="5"/>
  <c r="HW45" i="5" s="1"/>
  <c r="GV45" i="5"/>
  <c r="HL45" i="5" s="1"/>
  <c r="GU45" i="5"/>
  <c r="HK45" i="5" s="1"/>
  <c r="U45" i="5"/>
  <c r="IL45" i="5" s="1"/>
  <c r="JY44" i="5"/>
  <c r="JX44" i="5"/>
  <c r="JX45" i="5" s="1"/>
  <c r="JX46" i="5" s="1"/>
  <c r="JX47" i="5" s="1"/>
  <c r="JX48" i="5" s="1"/>
  <c r="JX49" i="5" s="1"/>
  <c r="JX50" i="5" s="1"/>
  <c r="JX51" i="5" s="1"/>
  <c r="JX52" i="5" s="1"/>
  <c r="JX53" i="5" s="1"/>
  <c r="JX54" i="5" s="1"/>
  <c r="JX55" i="5" s="1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Q45" i="5" s="1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N45" i="5" s="1"/>
  <c r="JN46" i="5" s="1"/>
  <c r="JN47" i="5" s="1"/>
  <c r="JN48" i="5" s="1"/>
  <c r="JN49" i="5" s="1"/>
  <c r="JN50" i="5" s="1"/>
  <c r="JN51" i="5" s="1"/>
  <c r="JN52" i="5" s="1"/>
  <c r="JN53" i="5" s="1"/>
  <c r="JN54" i="5" s="1"/>
  <c r="JN55" i="5" s="1"/>
  <c r="JM44" i="5"/>
  <c r="JM45" i="5" s="1"/>
  <c r="JM46" i="5" s="1"/>
  <c r="JM47" i="5" s="1"/>
  <c r="JM48" i="5" s="1"/>
  <c r="JM49" i="5" s="1"/>
  <c r="JM50" i="5" s="1"/>
  <c r="JM51" i="5" s="1"/>
  <c r="JM52" i="5" s="1"/>
  <c r="JM53" i="5" s="1"/>
  <c r="JM54" i="5" s="1"/>
  <c r="JM55" i="5" s="1"/>
  <c r="JL44" i="5"/>
  <c r="JK44" i="5"/>
  <c r="JK45" i="5" s="1"/>
  <c r="JK46" i="5" s="1"/>
  <c r="JK47" i="5" s="1"/>
  <c r="JK48" i="5" s="1"/>
  <c r="JK49" i="5" s="1"/>
  <c r="JK50" i="5" s="1"/>
  <c r="JK51" i="5" s="1"/>
  <c r="JK52" i="5" s="1"/>
  <c r="JK53" i="5" s="1"/>
  <c r="JK54" i="5" s="1"/>
  <c r="JK55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F49" i="5" s="1"/>
  <c r="JF50" i="5" s="1"/>
  <c r="JF51" i="5" s="1"/>
  <c r="JF52" i="5" s="1"/>
  <c r="JF53" i="5" s="1"/>
  <c r="JF54" i="5" s="1"/>
  <c r="JF55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C45" i="5" s="1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4" i="5"/>
  <c r="JB45" i="5" s="1"/>
  <c r="JB46" i="5" s="1"/>
  <c r="JB47" i="5" s="1"/>
  <c r="JB48" i="5" s="1"/>
  <c r="JB49" i="5" s="1"/>
  <c r="JB50" i="5" s="1"/>
  <c r="JB51" i="5" s="1"/>
  <c r="JB52" i="5" s="1"/>
  <c r="JB53" i="5" s="1"/>
  <c r="JB54" i="5" s="1"/>
  <c r="JB55" i="5" s="1"/>
  <c r="JA44" i="5"/>
  <c r="IZ44" i="5"/>
  <c r="IZ45" i="5" s="1"/>
  <c r="IZ46" i="5" s="1"/>
  <c r="IZ47" i="5" s="1"/>
  <c r="IZ48" i="5" s="1"/>
  <c r="IZ49" i="5" s="1"/>
  <c r="IZ50" i="5" s="1"/>
  <c r="IZ51" i="5" s="1"/>
  <c r="IZ52" i="5" s="1"/>
  <c r="IZ53" i="5" s="1"/>
  <c r="IZ54" i="5" s="1"/>
  <c r="IZ55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R45" i="5" s="1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O44" i="5"/>
  <c r="IN44" i="5"/>
  <c r="IM44" i="5"/>
  <c r="IL44" i="5"/>
  <c r="II44" i="5"/>
  <c r="IH44" i="5"/>
  <c r="IG44" i="5"/>
  <c r="ID44" i="5"/>
  <c r="IC44" i="5"/>
  <c r="IB44" i="5"/>
  <c r="IA44" i="5"/>
  <c r="HZ44" i="5"/>
  <c r="HY44" i="5"/>
  <c r="HV44" i="5"/>
  <c r="HU44" i="5"/>
  <c r="HK44" i="5"/>
  <c r="HJ44" i="5"/>
  <c r="HI44" i="5"/>
  <c r="HF44" i="5"/>
  <c r="HX44" i="5" s="1"/>
  <c r="HE44" i="5"/>
  <c r="HW44" i="5" s="1"/>
  <c r="GV44" i="5"/>
  <c r="GX44" i="5" s="1"/>
  <c r="GZ44" i="5" s="1"/>
  <c r="HB44" i="5" s="1"/>
  <c r="GU44" i="5"/>
  <c r="GW44" i="5" s="1"/>
  <c r="GT44" i="5"/>
  <c r="X44" i="5"/>
  <c r="U44" i="5"/>
  <c r="IJ44" i="5" s="1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J43" i="5"/>
  <c r="HI43" i="5"/>
  <c r="HF43" i="5"/>
  <c r="HX43" i="5" s="1"/>
  <c r="HE43" i="5"/>
  <c r="GW43" i="5"/>
  <c r="HM43" i="5" s="1"/>
  <c r="GV43" i="5"/>
  <c r="GX43" i="5" s="1"/>
  <c r="GU43" i="5"/>
  <c r="HK43" i="5" s="1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F42" i="5"/>
  <c r="FE42" i="5"/>
  <c r="EZ42" i="5"/>
  <c r="EY42" i="5"/>
  <c r="EX42" i="5"/>
  <c r="FH42" i="5" s="1"/>
  <c r="EW42" i="5"/>
  <c r="FG42" i="5" s="1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F40" i="5"/>
  <c r="FE40" i="5"/>
  <c r="EZ40" i="5"/>
  <c r="EY40" i="5"/>
  <c r="EX40" i="5"/>
  <c r="FH40" i="5" s="1"/>
  <c r="EW40" i="5"/>
  <c r="FG40" i="5" s="1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F39" i="5"/>
  <c r="FE39" i="5"/>
  <c r="FA39" i="5"/>
  <c r="EZ39" i="5"/>
  <c r="EY39" i="5"/>
  <c r="EX39" i="5"/>
  <c r="FH39" i="5" s="1"/>
  <c r="EW39" i="5"/>
  <c r="FG39" i="5" s="1"/>
  <c r="EV39" i="5"/>
  <c r="FD39" i="5" s="1"/>
  <c r="ET39" i="5"/>
  <c r="FB39" i="5" s="1"/>
  <c r="ES39" i="5"/>
  <c r="EU39" i="5" s="1"/>
  <c r="FC39" i="5" s="1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EZ38" i="5"/>
  <c r="EY38" i="5"/>
  <c r="EX38" i="5"/>
  <c r="FH38" i="5" s="1"/>
  <c r="EW38" i="5"/>
  <c r="FG38" i="5" s="1"/>
  <c r="EV38" i="5"/>
  <c r="FD38" i="5" s="1"/>
  <c r="ET38" i="5"/>
  <c r="FB38" i="5" s="1"/>
  <c r="ES38" i="5"/>
  <c r="FA38" i="5" s="1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B37" i="5"/>
  <c r="EZ37" i="5"/>
  <c r="EY37" i="5"/>
  <c r="EX37" i="5"/>
  <c r="FH37" i="5" s="1"/>
  <c r="EW37" i="5"/>
  <c r="FG37" i="5" s="1"/>
  <c r="EV37" i="5"/>
  <c r="FD37" i="5" s="1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F36" i="5"/>
  <c r="FE36" i="5"/>
  <c r="EZ36" i="5"/>
  <c r="EY36" i="5"/>
  <c r="EX36" i="5"/>
  <c r="FH36" i="5" s="1"/>
  <c r="EW36" i="5"/>
  <c r="FG36" i="5" s="1"/>
  <c r="ET36" i="5"/>
  <c r="EV36" i="5" s="1"/>
  <c r="FD36" i="5" s="1"/>
  <c r="ES36" i="5"/>
  <c r="EU36" i="5" s="1"/>
  <c r="FC36" i="5" s="1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B35" i="5"/>
  <c r="EZ35" i="5"/>
  <c r="EY35" i="5"/>
  <c r="EX35" i="5"/>
  <c r="EW35" i="5"/>
  <c r="FG35" i="5" s="1"/>
  <c r="EV35" i="5"/>
  <c r="FD35" i="5" s="1"/>
  <c r="EU35" i="5"/>
  <c r="FC35" i="5" s="1"/>
  <c r="ET35" i="5"/>
  <c r="ES35" i="5"/>
  <c r="FA35" i="5" s="1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T34" i="5"/>
  <c r="EV34" i="5" s="1"/>
  <c r="FD34" i="5" s="1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Q33" i="5"/>
  <c r="BS33" i="5" s="1"/>
  <c r="CK33" i="5" s="1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J32" i="5"/>
  <c r="CG32" i="5"/>
  <c r="CF32" i="5"/>
  <c r="BU32" i="5"/>
  <c r="BT32" i="5"/>
  <c r="BQ32" i="5"/>
  <c r="CI32" i="5" s="1"/>
  <c r="BP32" i="5"/>
  <c r="BR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G31" i="5"/>
  <c r="CF31" i="5"/>
  <c r="BY31" i="5"/>
  <c r="BU31" i="5"/>
  <c r="BT31" i="5"/>
  <c r="BQ31" i="5"/>
  <c r="BS31" i="5" s="1"/>
  <c r="CK31" i="5" s="1"/>
  <c r="BP31" i="5"/>
  <c r="BR31" i="5" s="1"/>
  <c r="CJ31" i="5" s="1"/>
  <c r="BI31" i="5"/>
  <c r="BK31" i="5" s="1"/>
  <c r="CA31" i="5" s="1"/>
  <c r="BG31" i="5"/>
  <c r="BW31" i="5" s="1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G30" i="5"/>
  <c r="CF30" i="5"/>
  <c r="BU30" i="5"/>
  <c r="BT30" i="5"/>
  <c r="BS30" i="5"/>
  <c r="CK30" i="5" s="1"/>
  <c r="BQ30" i="5"/>
  <c r="CI30" i="5" s="1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I28" i="5"/>
  <c r="CG28" i="5"/>
  <c r="CF28" i="5"/>
  <c r="BW28" i="5"/>
  <c r="BU28" i="5"/>
  <c r="BT28" i="5"/>
  <c r="BQ28" i="5"/>
  <c r="BS28" i="5" s="1"/>
  <c r="CK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U27" i="5"/>
  <c r="BT27" i="5"/>
  <c r="BQ27" i="5"/>
  <c r="CI27" i="5" s="1"/>
  <c r="BP27" i="5"/>
  <c r="BR27" i="5" s="1"/>
  <c r="CJ27" i="5" s="1"/>
  <c r="BH27" i="5"/>
  <c r="BX27" i="5" s="1"/>
  <c r="BG27" i="5"/>
  <c r="BI27" i="5" s="1"/>
  <c r="BK27" i="5" s="1"/>
  <c r="CA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G26" i="5"/>
  <c r="CF26" i="5"/>
  <c r="BU26" i="5"/>
  <c r="BT26" i="5"/>
  <c r="BR26" i="5"/>
  <c r="CJ26" i="5" s="1"/>
  <c r="BQ26" i="5"/>
  <c r="CI26" i="5" s="1"/>
  <c r="BP26" i="5"/>
  <c r="CH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V25" i="5"/>
  <c r="BU25" i="5"/>
  <c r="BT25" i="5"/>
  <c r="BQ25" i="5"/>
  <c r="BS25" i="5" s="1"/>
  <c r="CK25" i="5" s="1"/>
  <c r="BP25" i="5"/>
  <c r="CH25" i="5" s="1"/>
  <c r="BG25" i="5"/>
  <c r="BI25" i="5" s="1"/>
  <c r="BF25" i="5"/>
  <c r="BH25" i="5" s="1"/>
  <c r="BJ25" i="5" s="1"/>
  <c r="BZ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G24" i="5"/>
  <c r="CF24" i="5"/>
  <c r="BW24" i="5"/>
  <c r="BU24" i="5"/>
  <c r="BT24" i="5"/>
  <c r="BS24" i="5"/>
  <c r="CK24" i="5" s="1"/>
  <c r="BQ24" i="5"/>
  <c r="CI24" i="5" s="1"/>
  <c r="BP24" i="5"/>
  <c r="CH24" i="5" s="1"/>
  <c r="BI24" i="5"/>
  <c r="BK24" i="5" s="1"/>
  <c r="BG24" i="5"/>
  <c r="BF24" i="5"/>
  <c r="BV24" i="5" s="1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H23" i="5"/>
  <c r="CG23" i="5"/>
  <c r="CF23" i="5"/>
  <c r="BU23" i="5"/>
  <c r="BT23" i="5"/>
  <c r="BQ23" i="5"/>
  <c r="CI23" i="5" s="1"/>
  <c r="BP23" i="5"/>
  <c r="BR23" i="5" s="1"/>
  <c r="CJ23" i="5" s="1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G22" i="5"/>
  <c r="CF22" i="5"/>
  <c r="BU22" i="5"/>
  <c r="BT22" i="5"/>
  <c r="BQ22" i="5"/>
  <c r="BP22" i="5"/>
  <c r="CH22" i="5" s="1"/>
  <c r="BH22" i="5"/>
  <c r="BX22" i="5" s="1"/>
  <c r="BG22" i="5"/>
  <c r="BW22" i="5" s="1"/>
  <c r="BF22" i="5"/>
  <c r="BV22" i="5" s="1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G19" i="5"/>
  <c r="CF19" i="5"/>
  <c r="BU19" i="5"/>
  <c r="BT19" i="5"/>
  <c r="BQ19" i="5"/>
  <c r="CI19" i="5" s="1"/>
  <c r="BP19" i="5"/>
  <c r="BR19" i="5" s="1"/>
  <c r="CJ19" i="5" s="1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V18" i="5"/>
  <c r="BU18" i="5"/>
  <c r="BT18" i="5"/>
  <c r="BS18" i="5"/>
  <c r="CK18" i="5" s="1"/>
  <c r="BQ18" i="5"/>
  <c r="BP18" i="5"/>
  <c r="BR18" i="5" s="1"/>
  <c r="CJ18" i="5" s="1"/>
  <c r="BG18" i="5"/>
  <c r="BI18" i="5" s="1"/>
  <c r="BY18" i="5" s="1"/>
  <c r="BF18" i="5"/>
  <c r="BH18" i="5" s="1"/>
  <c r="BX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G16" i="5"/>
  <c r="CF16" i="5"/>
  <c r="BW16" i="5"/>
  <c r="BU16" i="5"/>
  <c r="BT16" i="5"/>
  <c r="BS16" i="5"/>
  <c r="CK16" i="5" s="1"/>
  <c r="BR16" i="5"/>
  <c r="CJ16" i="5" s="1"/>
  <c r="BQ16" i="5"/>
  <c r="CI16" i="5" s="1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G14" i="5"/>
  <c r="CF14" i="5"/>
  <c r="BW14" i="5"/>
  <c r="BU14" i="5"/>
  <c r="BT14" i="5"/>
  <c r="BR14" i="5"/>
  <c r="BQ14" i="5"/>
  <c r="BS14" i="5" s="1"/>
  <c r="CK14" i="5" s="1"/>
  <c r="BP14" i="5"/>
  <c r="CH14" i="5" s="1"/>
  <c r="BI14" i="5"/>
  <c r="BY14" i="5" s="1"/>
  <c r="BG14" i="5"/>
  <c r="BF14" i="5"/>
  <c r="BV14" i="5" s="1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G13" i="5"/>
  <c r="CF13" i="5"/>
  <c r="BU13" i="5"/>
  <c r="BT13" i="5"/>
  <c r="BQ13" i="5"/>
  <c r="CI13" i="5" s="1"/>
  <c r="BP13" i="5"/>
  <c r="CH13" i="5" s="1"/>
  <c r="BI13" i="5"/>
  <c r="BG13" i="5"/>
  <c r="BW13" i="5" s="1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X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G11" i="5"/>
  <c r="BI11" i="5" s="1"/>
  <c r="BY11" i="5" s="1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G10" i="5"/>
  <c r="CF10" i="5"/>
  <c r="BU10" i="5"/>
  <c r="BT10" i="5"/>
  <c r="BQ10" i="5"/>
  <c r="BS10" i="5" s="1"/>
  <c r="CK10" i="5" s="1"/>
  <c r="BP10" i="5"/>
  <c r="CH10" i="5" s="1"/>
  <c r="BG10" i="5"/>
  <c r="BW10" i="5" s="1"/>
  <c r="BF10" i="5"/>
  <c r="BH10" i="5" s="1"/>
  <c r="BX10" i="5" s="1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G8" i="5"/>
  <c r="CF8" i="5"/>
  <c r="BV8" i="5"/>
  <c r="BU8" i="5"/>
  <c r="BT8" i="5"/>
  <c r="BQ8" i="5"/>
  <c r="CI8" i="5" s="1"/>
  <c r="BP8" i="5"/>
  <c r="CH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G7" i="5"/>
  <c r="CF7" i="5"/>
  <c r="BV7" i="5"/>
  <c r="BU7" i="5"/>
  <c r="BT7" i="5"/>
  <c r="BQ7" i="5"/>
  <c r="CI7" i="5" s="1"/>
  <c r="BP7" i="5"/>
  <c r="BR7" i="5" s="1"/>
  <c r="CJ7" i="5" s="1"/>
  <c r="BG7" i="5"/>
  <c r="BW7" i="5" s="1"/>
  <c r="BF7" i="5"/>
  <c r="BH7" i="5" s="1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G6" i="5"/>
  <c r="CF6" i="5"/>
  <c r="BX6" i="5"/>
  <c r="BW6" i="5"/>
  <c r="BU6" i="5"/>
  <c r="BT6" i="5"/>
  <c r="BQ6" i="5"/>
  <c r="BS6" i="5" s="1"/>
  <c r="CK6" i="5" s="1"/>
  <c r="BP6" i="5"/>
  <c r="CH6" i="5" s="1"/>
  <c r="BK6" i="5"/>
  <c r="BM6" i="5" s="1"/>
  <c r="BG6" i="5"/>
  <c r="BI6" i="5" s="1"/>
  <c r="BY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G5" i="5"/>
  <c r="CF5" i="5"/>
  <c r="BU5" i="5"/>
  <c r="BT5" i="5"/>
  <c r="BQ5" i="5"/>
  <c r="CI5" i="5" s="1"/>
  <c r="BP5" i="5"/>
  <c r="BR5" i="5" s="1"/>
  <c r="CJ5" i="5" s="1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Q4" i="5"/>
  <c r="BS4" i="5" s="1"/>
  <c r="CK4" i="5" s="1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H3" i="5"/>
  <c r="CG3" i="5"/>
  <c r="CF3" i="5"/>
  <c r="BU3" i="5"/>
  <c r="BT3" i="5"/>
  <c r="BR3" i="5"/>
  <c r="CJ3" i="5" s="1"/>
  <c r="BQ3" i="5"/>
  <c r="CI3" i="5" s="1"/>
  <c r="BP3" i="5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G2" i="5"/>
  <c r="CF2" i="5"/>
  <c r="BZ2" i="5"/>
  <c r="BU2" i="5"/>
  <c r="BT2" i="5"/>
  <c r="BR2" i="5"/>
  <c r="CJ2" i="5" s="1"/>
  <c r="BQ2" i="5"/>
  <c r="CI2" i="5" s="1"/>
  <c r="BP2" i="5"/>
  <c r="CH2" i="5" s="1"/>
  <c r="BH2" i="5"/>
  <c r="BJ2" i="5" s="1"/>
  <c r="BL2" i="5" s="1"/>
  <c r="BG2" i="5"/>
  <c r="BW2" i="5" s="1"/>
  <c r="BF2" i="5"/>
  <c r="BV2" i="5" s="1"/>
  <c r="BE2" i="5"/>
  <c r="G2" i="5"/>
  <c r="LQ173" i="5" l="1"/>
  <c r="LQ174" i="5" s="1"/>
  <c r="LR174" i="5" s="1"/>
  <c r="LS174" i="5" s="1"/>
  <c r="LR172" i="5"/>
  <c r="LS172" i="5" s="1"/>
  <c r="AG267" i="5"/>
  <c r="HJ267" i="5" s="1"/>
  <c r="AF267" i="5"/>
  <c r="BX7" i="5"/>
  <c r="BJ7" i="5"/>
  <c r="BL7" i="5" s="1"/>
  <c r="BN7" i="5" s="1"/>
  <c r="CD7" i="5" s="1"/>
  <c r="HA50" i="5"/>
  <c r="HO50" i="5"/>
  <c r="BY25" i="5"/>
  <c r="BK25" i="5"/>
  <c r="CA25" i="5" s="1"/>
  <c r="CH5" i="5"/>
  <c r="BV10" i="5"/>
  <c r="CI17" i="5"/>
  <c r="CH19" i="5"/>
  <c r="BI22" i="5"/>
  <c r="BY22" i="5" s="1"/>
  <c r="BW25" i="5"/>
  <c r="BW27" i="5"/>
  <c r="CI31" i="5"/>
  <c r="CH32" i="5"/>
  <c r="FA36" i="5"/>
  <c r="GY43" i="5"/>
  <c r="HA43" i="5" s="1"/>
  <c r="IP44" i="5"/>
  <c r="GT45" i="5"/>
  <c r="IN45" i="5"/>
  <c r="HL48" i="5"/>
  <c r="HM54" i="5"/>
  <c r="BH14" i="5"/>
  <c r="BX14" i="5" s="1"/>
  <c r="BH24" i="5"/>
  <c r="BX25" i="5"/>
  <c r="BH31" i="5"/>
  <c r="BJ31" i="5" s="1"/>
  <c r="BZ31" i="5" s="1"/>
  <c r="IO45" i="5"/>
  <c r="GX47" i="5"/>
  <c r="HY45" i="5"/>
  <c r="BR8" i="5"/>
  <c r="CJ8" i="5" s="1"/>
  <c r="IM45" i="5"/>
  <c r="IQ45" i="5"/>
  <c r="BI3" i="5"/>
  <c r="CI6" i="5"/>
  <c r="CH9" i="5"/>
  <c r="CI10" i="5"/>
  <c r="BI17" i="5"/>
  <c r="BK17" i="5" s="1"/>
  <c r="CA17" i="5" s="1"/>
  <c r="BJ18" i="5"/>
  <c r="BZ18" i="5" s="1"/>
  <c r="BR22" i="5"/>
  <c r="CJ22" i="5" s="1"/>
  <c r="BI32" i="5"/>
  <c r="BK32" i="5" s="1"/>
  <c r="IF44" i="5"/>
  <c r="GW45" i="5"/>
  <c r="GY45" i="5" s="1"/>
  <c r="HZ45" i="5"/>
  <c r="GX52" i="5"/>
  <c r="LR171" i="5"/>
  <c r="LS171" i="5" s="1"/>
  <c r="CD268" i="5"/>
  <c r="UA298" i="5"/>
  <c r="UB298" i="5" s="1"/>
  <c r="BR13" i="5"/>
  <c r="CJ13" i="5" s="1"/>
  <c r="FA37" i="5"/>
  <c r="EU38" i="5"/>
  <c r="FC38" i="5" s="1"/>
  <c r="GX45" i="5"/>
  <c r="HN45" i="5" s="1"/>
  <c r="IA45" i="5"/>
  <c r="CH7" i="5"/>
  <c r="IB45" i="5"/>
  <c r="HL46" i="5"/>
  <c r="HL44" i="5"/>
  <c r="ID45" i="5"/>
  <c r="FB226" i="5"/>
  <c r="BS3" i="5"/>
  <c r="CK3" i="5" s="1"/>
  <c r="BR6" i="5"/>
  <c r="CJ6" i="5" s="1"/>
  <c r="BH26" i="5"/>
  <c r="BJ26" i="5" s="1"/>
  <c r="BL26" i="5" s="1"/>
  <c r="BS32" i="5"/>
  <c r="CK32" i="5" s="1"/>
  <c r="EU34" i="5"/>
  <c r="FC34" i="5" s="1"/>
  <c r="HL43" i="5"/>
  <c r="IE45" i="5"/>
  <c r="U46" i="5"/>
  <c r="HL51" i="5"/>
  <c r="BX2" i="5"/>
  <c r="BJ8" i="5"/>
  <c r="BR25" i="5"/>
  <c r="CJ25" i="5" s="1"/>
  <c r="IG45" i="5"/>
  <c r="FA41" i="5"/>
  <c r="IK45" i="5"/>
  <c r="BX3" i="5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O6" i="5"/>
  <c r="CE6" i="5" s="1"/>
  <c r="CC6" i="5"/>
  <c r="BY15" i="5"/>
  <c r="BK15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UF315" i="1"/>
  <c r="UF314" i="1"/>
  <c r="UF313" i="1"/>
  <c r="UF312" i="1"/>
  <c r="UF311" i="1"/>
  <c r="UF309" i="1"/>
  <c r="UF310" i="1"/>
  <c r="UF308" i="1"/>
  <c r="UG308" i="1"/>
  <c r="UG309" i="1" s="1"/>
  <c r="HN52" i="5" l="1"/>
  <c r="GZ52" i="5"/>
  <c r="HO43" i="5"/>
  <c r="HY46" i="5"/>
  <c r="IG46" i="5"/>
  <c r="IQ46" i="5"/>
  <c r="IL46" i="5"/>
  <c r="IE46" i="5"/>
  <c r="IB46" i="5"/>
  <c r="HZ46" i="5"/>
  <c r="HA45" i="5"/>
  <c r="HO45" i="5"/>
  <c r="CA32" i="5"/>
  <c r="BM32" i="5"/>
  <c r="HQ43" i="5"/>
  <c r="HC43" i="5"/>
  <c r="HS43" i="5" s="1"/>
  <c r="BL8" i="5"/>
  <c r="BZ8" i="5"/>
  <c r="BK3" i="5"/>
  <c r="BY3" i="5"/>
  <c r="UH308" i="1"/>
  <c r="UI308" i="1" s="1"/>
  <c r="UH309" i="1"/>
  <c r="UI309" i="1" s="1"/>
  <c r="UG310" i="1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UH307" i="1"/>
  <c r="UI307" i="1" s="1"/>
  <c r="UF307" i="1"/>
  <c r="GT281" i="1"/>
  <c r="HQ45" i="5" l="1"/>
  <c r="HC45" i="5"/>
  <c r="HS45" i="5" s="1"/>
  <c r="BN8" i="5"/>
  <c r="CD8" i="5" s="1"/>
  <c r="CB8" i="5"/>
  <c r="BM3" i="5"/>
  <c r="CA3" i="5"/>
  <c r="BO32" i="5"/>
  <c r="CE32" i="5" s="1"/>
  <c r="CC32" i="5"/>
  <c r="HB52" i="5"/>
  <c r="HP52" i="5"/>
  <c r="UH310" i="1"/>
  <c r="UI310" i="1" s="1"/>
  <c r="UG311" i="1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HS267" i="1"/>
  <c r="HT267" i="1"/>
  <c r="HS271" i="1"/>
  <c r="HT271" i="1"/>
  <c r="HS275" i="1"/>
  <c r="HT275" i="1"/>
  <c r="HS279" i="1"/>
  <c r="HT279" i="1"/>
  <c r="MS287" i="1"/>
  <c r="MS288" i="1" s="1"/>
  <c r="MS289" i="1" s="1"/>
  <c r="MS290" i="1" s="1"/>
  <c r="MS291" i="1" s="1"/>
  <c r="MS292" i="1" s="1"/>
  <c r="MS293" i="1" s="1"/>
  <c r="MS294" i="1" s="1"/>
  <c r="MR287" i="1"/>
  <c r="MR288" i="1" s="1"/>
  <c r="MR289" i="1" s="1"/>
  <c r="MR290" i="1" s="1"/>
  <c r="MR291" i="1" s="1"/>
  <c r="MR292" i="1" s="1"/>
  <c r="MR293" i="1" s="1"/>
  <c r="MR294" i="1" s="1"/>
  <c r="MK287" i="1"/>
  <c r="MK288" i="1" s="1"/>
  <c r="MK289" i="1" s="1"/>
  <c r="MK290" i="1" s="1"/>
  <c r="MK291" i="1" s="1"/>
  <c r="MK292" i="1" s="1"/>
  <c r="MK293" i="1" s="1"/>
  <c r="MK294" i="1" s="1"/>
  <c r="MJ287" i="1"/>
  <c r="MJ288" i="1" s="1"/>
  <c r="MJ289" i="1" s="1"/>
  <c r="MJ290" i="1" s="1"/>
  <c r="MJ291" i="1" s="1"/>
  <c r="MJ292" i="1" s="1"/>
  <c r="MJ293" i="1" s="1"/>
  <c r="MJ294" i="1" s="1"/>
  <c r="MI287" i="1"/>
  <c r="MI288" i="1" s="1"/>
  <c r="MI289" i="1" s="1"/>
  <c r="MI290" i="1" s="1"/>
  <c r="MI291" i="1" s="1"/>
  <c r="MI292" i="1" s="1"/>
  <c r="MI293" i="1" s="1"/>
  <c r="MI294" i="1" s="1"/>
  <c r="MH287" i="1"/>
  <c r="MH288" i="1" s="1"/>
  <c r="MH289" i="1" s="1"/>
  <c r="MH290" i="1" s="1"/>
  <c r="MH291" i="1" s="1"/>
  <c r="MH292" i="1" s="1"/>
  <c r="MH293" i="1" s="1"/>
  <c r="MH294" i="1" s="1"/>
  <c r="MG287" i="1"/>
  <c r="MG288" i="1" s="1"/>
  <c r="MG289" i="1" s="1"/>
  <c r="MG290" i="1" s="1"/>
  <c r="MG291" i="1" s="1"/>
  <c r="MG292" i="1" s="1"/>
  <c r="MG293" i="1" s="1"/>
  <c r="MG294" i="1" s="1"/>
  <c r="MF287" i="1"/>
  <c r="MF288" i="1" s="1"/>
  <c r="MF289" i="1" s="1"/>
  <c r="MF290" i="1" s="1"/>
  <c r="MF291" i="1" s="1"/>
  <c r="MF292" i="1" s="1"/>
  <c r="MF293" i="1" s="1"/>
  <c r="MF294" i="1" s="1"/>
  <c r="ME287" i="1"/>
  <c r="ME288" i="1" s="1"/>
  <c r="ME289" i="1" s="1"/>
  <c r="ME290" i="1" s="1"/>
  <c r="ME291" i="1" s="1"/>
  <c r="ME292" i="1" s="1"/>
  <c r="ME293" i="1" s="1"/>
  <c r="ME294" i="1" s="1"/>
  <c r="MD287" i="1"/>
  <c r="MD288" i="1" s="1"/>
  <c r="MD289" i="1" s="1"/>
  <c r="MD290" i="1" s="1"/>
  <c r="MD291" i="1" s="1"/>
  <c r="MD292" i="1" s="1"/>
  <c r="MD293" i="1" s="1"/>
  <c r="MD294" i="1" s="1"/>
  <c r="BE285" i="1"/>
  <c r="CL285" i="1"/>
  <c r="CM285" i="1"/>
  <c r="CN285" i="1"/>
  <c r="CO285" i="1"/>
  <c r="CP285" i="1"/>
  <c r="CQ285" i="1"/>
  <c r="CR285" i="1"/>
  <c r="CS285" i="1"/>
  <c r="CT285" i="1"/>
  <c r="CU285" i="1"/>
  <c r="CV285" i="1"/>
  <c r="CW285" i="1"/>
  <c r="CX285" i="1"/>
  <c r="CY285" i="1"/>
  <c r="CZ285" i="1"/>
  <c r="DA285" i="1"/>
  <c r="DB285" i="1"/>
  <c r="DC285" i="1"/>
  <c r="DD285" i="1"/>
  <c r="DE285" i="1"/>
  <c r="DF285" i="1"/>
  <c r="DG285" i="1"/>
  <c r="DH285" i="1"/>
  <c r="BE284" i="1"/>
  <c r="CL284" i="1"/>
  <c r="CM284" i="1"/>
  <c r="CN284" i="1"/>
  <c r="CO284" i="1"/>
  <c r="CP284" i="1"/>
  <c r="CQ284" i="1"/>
  <c r="CR284" i="1"/>
  <c r="CS284" i="1"/>
  <c r="CT284" i="1"/>
  <c r="CU284" i="1"/>
  <c r="CV284" i="1"/>
  <c r="CW284" i="1"/>
  <c r="CX284" i="1"/>
  <c r="CY284" i="1"/>
  <c r="CZ284" i="1"/>
  <c r="DA284" i="1"/>
  <c r="DB284" i="1"/>
  <c r="DC284" i="1"/>
  <c r="DD284" i="1"/>
  <c r="DE284" i="1"/>
  <c r="DF284" i="1"/>
  <c r="DG284" i="1"/>
  <c r="DH284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BE283" i="1"/>
  <c r="GT269" i="1"/>
  <c r="HY269" i="1"/>
  <c r="HZ269" i="1"/>
  <c r="IA269" i="1"/>
  <c r="IB269" i="1"/>
  <c r="IC269" i="1"/>
  <c r="ID269" i="1"/>
  <c r="IE269" i="1"/>
  <c r="IF269" i="1"/>
  <c r="IG269" i="1"/>
  <c r="IH269" i="1"/>
  <c r="II269" i="1"/>
  <c r="IJ269" i="1"/>
  <c r="IK269" i="1"/>
  <c r="IL269" i="1"/>
  <c r="IM269" i="1"/>
  <c r="IN269" i="1"/>
  <c r="IO269" i="1"/>
  <c r="IP269" i="1"/>
  <c r="IQ269" i="1"/>
  <c r="BE270" i="1"/>
  <c r="CL270" i="1"/>
  <c r="CM270" i="1"/>
  <c r="CN270" i="1"/>
  <c r="CO270" i="1"/>
  <c r="CP270" i="1"/>
  <c r="CQ270" i="1"/>
  <c r="CR270" i="1"/>
  <c r="CS270" i="1"/>
  <c r="CT270" i="1"/>
  <c r="CU270" i="1"/>
  <c r="CV270" i="1"/>
  <c r="CW270" i="1"/>
  <c r="CX270" i="1"/>
  <c r="CY270" i="1"/>
  <c r="CZ270" i="1"/>
  <c r="DA270" i="1"/>
  <c r="DB270" i="1"/>
  <c r="DC270" i="1"/>
  <c r="DD270" i="1"/>
  <c r="DE270" i="1"/>
  <c r="DF270" i="1"/>
  <c r="DG270" i="1"/>
  <c r="DH270" i="1"/>
  <c r="GT271" i="1"/>
  <c r="HY271" i="1"/>
  <c r="HZ271" i="1"/>
  <c r="IA271" i="1"/>
  <c r="IB271" i="1"/>
  <c r="IC271" i="1"/>
  <c r="ID271" i="1"/>
  <c r="IE271" i="1"/>
  <c r="IF271" i="1"/>
  <c r="IG271" i="1"/>
  <c r="IH271" i="1"/>
  <c r="II271" i="1"/>
  <c r="IJ271" i="1"/>
  <c r="IK271" i="1"/>
  <c r="IL271" i="1"/>
  <c r="IM271" i="1"/>
  <c r="IN271" i="1"/>
  <c r="IO271" i="1"/>
  <c r="IP271" i="1"/>
  <c r="IQ271" i="1"/>
  <c r="BE272" i="1"/>
  <c r="CL272" i="1"/>
  <c r="CM272" i="1"/>
  <c r="CN272" i="1"/>
  <c r="CO272" i="1"/>
  <c r="CP272" i="1"/>
  <c r="CQ272" i="1"/>
  <c r="CR272" i="1"/>
  <c r="CS272" i="1"/>
  <c r="CT272" i="1"/>
  <c r="CU272" i="1"/>
  <c r="CV272" i="1"/>
  <c r="CW272" i="1"/>
  <c r="CX272" i="1"/>
  <c r="CY272" i="1"/>
  <c r="CZ272" i="1"/>
  <c r="DA272" i="1"/>
  <c r="DB272" i="1"/>
  <c r="DC272" i="1"/>
  <c r="DD272" i="1"/>
  <c r="DE272" i="1"/>
  <c r="DF272" i="1"/>
  <c r="DG272" i="1"/>
  <c r="DH272" i="1"/>
  <c r="GT273" i="1"/>
  <c r="HY273" i="1"/>
  <c r="HZ273" i="1"/>
  <c r="IA273" i="1"/>
  <c r="IB273" i="1"/>
  <c r="IC273" i="1"/>
  <c r="ID273" i="1"/>
  <c r="IE273" i="1"/>
  <c r="IF273" i="1"/>
  <c r="IG273" i="1"/>
  <c r="IH273" i="1"/>
  <c r="II273" i="1"/>
  <c r="IJ273" i="1"/>
  <c r="IK273" i="1"/>
  <c r="IL273" i="1"/>
  <c r="IM273" i="1"/>
  <c r="IN273" i="1"/>
  <c r="IO273" i="1"/>
  <c r="IP273" i="1"/>
  <c r="IQ273" i="1"/>
  <c r="BE274" i="1"/>
  <c r="CL274" i="1"/>
  <c r="CM274" i="1"/>
  <c r="CN274" i="1"/>
  <c r="CO274" i="1"/>
  <c r="CP274" i="1"/>
  <c r="CQ274" i="1"/>
  <c r="CR274" i="1"/>
  <c r="CS274" i="1"/>
  <c r="CT274" i="1"/>
  <c r="CU274" i="1"/>
  <c r="CV274" i="1"/>
  <c r="CW274" i="1"/>
  <c r="CX274" i="1"/>
  <c r="CY274" i="1"/>
  <c r="CZ274" i="1"/>
  <c r="DA274" i="1"/>
  <c r="DB274" i="1"/>
  <c r="DC274" i="1"/>
  <c r="DD274" i="1"/>
  <c r="DE274" i="1"/>
  <c r="DF274" i="1"/>
  <c r="DG274" i="1"/>
  <c r="DH274" i="1"/>
  <c r="GT275" i="1"/>
  <c r="HY275" i="1"/>
  <c r="HZ275" i="1"/>
  <c r="IA275" i="1"/>
  <c r="IB275" i="1"/>
  <c r="IC275" i="1"/>
  <c r="ID275" i="1"/>
  <c r="IE275" i="1"/>
  <c r="IF275" i="1"/>
  <c r="IG275" i="1"/>
  <c r="IH275" i="1"/>
  <c r="II275" i="1"/>
  <c r="IJ275" i="1"/>
  <c r="IK275" i="1"/>
  <c r="IL275" i="1"/>
  <c r="IM275" i="1"/>
  <c r="IN275" i="1"/>
  <c r="IO275" i="1"/>
  <c r="IP275" i="1"/>
  <c r="IQ275" i="1"/>
  <c r="BE276" i="1"/>
  <c r="CL276" i="1"/>
  <c r="CM276" i="1"/>
  <c r="CN276" i="1"/>
  <c r="CO276" i="1"/>
  <c r="CP276" i="1"/>
  <c r="CQ276" i="1"/>
  <c r="CR276" i="1"/>
  <c r="CS276" i="1"/>
  <c r="CT276" i="1"/>
  <c r="CU276" i="1"/>
  <c r="CV276" i="1"/>
  <c r="CW276" i="1"/>
  <c r="CX276" i="1"/>
  <c r="CY276" i="1"/>
  <c r="CZ276" i="1"/>
  <c r="DA276" i="1"/>
  <c r="DB276" i="1"/>
  <c r="DC276" i="1"/>
  <c r="DD276" i="1"/>
  <c r="DE276" i="1"/>
  <c r="DF276" i="1"/>
  <c r="DG276" i="1"/>
  <c r="DH276" i="1"/>
  <c r="GT277" i="1"/>
  <c r="HY277" i="1"/>
  <c r="HZ277" i="1"/>
  <c r="IA277" i="1"/>
  <c r="IB277" i="1"/>
  <c r="IC277" i="1"/>
  <c r="ID277" i="1"/>
  <c r="IE277" i="1"/>
  <c r="IF277" i="1"/>
  <c r="IG277" i="1"/>
  <c r="IH277" i="1"/>
  <c r="II277" i="1"/>
  <c r="IJ277" i="1"/>
  <c r="IK277" i="1"/>
  <c r="IL277" i="1"/>
  <c r="IM277" i="1"/>
  <c r="IN277" i="1"/>
  <c r="IO277" i="1"/>
  <c r="IP277" i="1"/>
  <c r="IQ277" i="1"/>
  <c r="BE278" i="1"/>
  <c r="CL278" i="1"/>
  <c r="CM278" i="1"/>
  <c r="CN278" i="1"/>
  <c r="CO278" i="1"/>
  <c r="CP278" i="1"/>
  <c r="CQ278" i="1"/>
  <c r="CR278" i="1"/>
  <c r="CS278" i="1"/>
  <c r="CT278" i="1"/>
  <c r="CU278" i="1"/>
  <c r="CV278" i="1"/>
  <c r="CW278" i="1"/>
  <c r="CX278" i="1"/>
  <c r="CY278" i="1"/>
  <c r="CZ278" i="1"/>
  <c r="DA278" i="1"/>
  <c r="DB278" i="1"/>
  <c r="DC278" i="1"/>
  <c r="DD278" i="1"/>
  <c r="DE278" i="1"/>
  <c r="DF278" i="1"/>
  <c r="DG278" i="1"/>
  <c r="DH278" i="1"/>
  <c r="GT279" i="1"/>
  <c r="HY279" i="1"/>
  <c r="HZ279" i="1"/>
  <c r="IA279" i="1"/>
  <c r="IB279" i="1"/>
  <c r="IC279" i="1"/>
  <c r="ID279" i="1"/>
  <c r="IE279" i="1"/>
  <c r="IF279" i="1"/>
  <c r="IG279" i="1"/>
  <c r="IH279" i="1"/>
  <c r="II279" i="1"/>
  <c r="IJ279" i="1"/>
  <c r="IK279" i="1"/>
  <c r="IL279" i="1"/>
  <c r="IM279" i="1"/>
  <c r="IN279" i="1"/>
  <c r="IO279" i="1"/>
  <c r="IP279" i="1"/>
  <c r="IQ279" i="1"/>
  <c r="BE280" i="1"/>
  <c r="CL280" i="1"/>
  <c r="CM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G280" i="1"/>
  <c r="DH280" i="1"/>
  <c r="HY281" i="1"/>
  <c r="HZ281" i="1"/>
  <c r="IA281" i="1"/>
  <c r="IB281" i="1"/>
  <c r="IC281" i="1"/>
  <c r="ID281" i="1"/>
  <c r="IE281" i="1"/>
  <c r="IF281" i="1"/>
  <c r="IG281" i="1"/>
  <c r="IH281" i="1"/>
  <c r="II281" i="1"/>
  <c r="IJ281" i="1"/>
  <c r="IK281" i="1"/>
  <c r="IL281" i="1"/>
  <c r="IM281" i="1"/>
  <c r="IN281" i="1"/>
  <c r="IO281" i="1"/>
  <c r="IP281" i="1"/>
  <c r="IQ281" i="1"/>
  <c r="BE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G282" i="1"/>
  <c r="DH282" i="1"/>
  <c r="AI267" i="1" a="1"/>
  <c r="AI267" i="1" s="1"/>
  <c r="AC268" i="1"/>
  <c r="AD267" i="1" a="1"/>
  <c r="AD267" i="1" s="1"/>
  <c r="AF267" i="1" s="1"/>
  <c r="DH268" i="1"/>
  <c r="DG268" i="1"/>
  <c r="DF268" i="1"/>
  <c r="DE268" i="1"/>
  <c r="DD268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BE268" i="1"/>
  <c r="IQ267" i="1"/>
  <c r="IP267" i="1"/>
  <c r="IO267" i="1"/>
  <c r="IN267" i="1"/>
  <c r="IM267" i="1"/>
  <c r="IL267" i="1"/>
  <c r="IK267" i="1"/>
  <c r="IJ267" i="1"/>
  <c r="II267" i="1"/>
  <c r="IH267" i="1"/>
  <c r="IG267" i="1"/>
  <c r="IF267" i="1"/>
  <c r="IE267" i="1"/>
  <c r="ID267" i="1"/>
  <c r="IC267" i="1"/>
  <c r="IB267" i="1"/>
  <c r="IA267" i="1"/>
  <c r="HZ267" i="1"/>
  <c r="HY267" i="1"/>
  <c r="GT267" i="1"/>
  <c r="JZ247" i="1"/>
  <c r="JZ248" i="1"/>
  <c r="JZ249" i="1"/>
  <c r="JZ250" i="1"/>
  <c r="JZ251" i="1"/>
  <c r="JZ252" i="1"/>
  <c r="JZ253" i="1"/>
  <c r="JZ254" i="1"/>
  <c r="JZ255" i="1"/>
  <c r="JZ256" i="1"/>
  <c r="JZ257" i="1"/>
  <c r="JZ258" i="1"/>
  <c r="JZ259" i="1"/>
  <c r="JZ260" i="1"/>
  <c r="JZ261" i="1"/>
  <c r="JZ262" i="1"/>
  <c r="JZ263" i="1"/>
  <c r="JZ264" i="1"/>
  <c r="JZ265" i="1"/>
  <c r="JZ266" i="1"/>
  <c r="JZ243" i="1"/>
  <c r="JZ244" i="1"/>
  <c r="JZ245" i="1"/>
  <c r="JZ246" i="1"/>
  <c r="JZ239" i="1"/>
  <c r="JZ240" i="1"/>
  <c r="JZ241" i="1"/>
  <c r="JZ242" i="1"/>
  <c r="JZ235" i="1"/>
  <c r="JZ236" i="1"/>
  <c r="JZ237" i="1"/>
  <c r="JZ238" i="1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B227" i="4"/>
  <c r="FA227" i="4"/>
  <c r="EW227" i="4"/>
  <c r="EV227" i="4"/>
  <c r="EU227" i="4"/>
  <c r="ET227" i="4"/>
  <c r="FD227" i="4" s="1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V226" i="4"/>
  <c r="EU226" i="4"/>
  <c r="ET226" i="4"/>
  <c r="ES226" i="4"/>
  <c r="ER226" i="4"/>
  <c r="EZ226" i="4" s="1"/>
  <c r="EP226" i="4"/>
  <c r="EX226" i="4" s="1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B225" i="4"/>
  <c r="FA225" i="4"/>
  <c r="EV225" i="4"/>
  <c r="EU225" i="4"/>
  <c r="ET225" i="4"/>
  <c r="FD225" i="4" s="1"/>
  <c r="ES225" i="4"/>
  <c r="FC225" i="4" s="1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F212" i="4"/>
  <c r="KG212" i="4" s="1"/>
  <c r="JV212" i="4"/>
  <c r="OA211" i="4"/>
  <c r="KG210" i="4"/>
  <c r="KF210" i="4"/>
  <c r="JV210" i="4"/>
  <c r="OA209" i="4"/>
  <c r="KF208" i="4"/>
  <c r="KG208" i="4" s="1"/>
  <c r="JV208" i="4"/>
  <c r="OA207" i="4"/>
  <c r="KF206" i="4"/>
  <c r="KG206" i="4" s="1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H202" i="4"/>
  <c r="QG202" i="4"/>
  <c r="QI202" i="4" s="1"/>
  <c r="QK202" i="4" s="1"/>
  <c r="QM202" i="4" s="1"/>
  <c r="QO202" i="4" s="1"/>
  <c r="KF201" i="4"/>
  <c r="KG201" i="4" s="1"/>
  <c r="JV201" i="4"/>
  <c r="OA200" i="4"/>
  <c r="OA199" i="4"/>
  <c r="OA198" i="4"/>
  <c r="RO197" i="4"/>
  <c r="QJ197" i="4"/>
  <c r="QL197" i="4" s="1"/>
  <c r="QN197" i="4" s="1"/>
  <c r="QP197" i="4" s="1"/>
  <c r="QH197" i="4"/>
  <c r="QG197" i="4"/>
  <c r="QI197" i="4" s="1"/>
  <c r="QK197" i="4" s="1"/>
  <c r="QM197" i="4" s="1"/>
  <c r="QO197" i="4" s="1"/>
  <c r="KF196" i="4"/>
  <c r="KG196" i="4" s="1"/>
  <c r="JV196" i="4"/>
  <c r="OA195" i="4"/>
  <c r="OA194" i="4"/>
  <c r="OA193" i="4"/>
  <c r="RO192" i="4"/>
  <c r="QH192" i="4"/>
  <c r="QJ192" i="4" s="1"/>
  <c r="QL192" i="4" s="1"/>
  <c r="QN192" i="4" s="1"/>
  <c r="QP192" i="4" s="1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H187" i="4"/>
  <c r="QJ187" i="4" s="1"/>
  <c r="QL187" i="4" s="1"/>
  <c r="QN187" i="4" s="1"/>
  <c r="QP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U180" i="4"/>
  <c r="NC180" i="4" s="1"/>
  <c r="MT180" i="4"/>
  <c r="MV180" i="4" s="1"/>
  <c r="MS180" i="4"/>
  <c r="NB179" i="4"/>
  <c r="MU179" i="4"/>
  <c r="NC179" i="4" s="1"/>
  <c r="MT179" i="4"/>
  <c r="MV179" i="4" s="1"/>
  <c r="MX179" i="4" s="1"/>
  <c r="MS179" i="4"/>
  <c r="MF178" i="4"/>
  <c r="MG178" i="4" s="1"/>
  <c r="MH178" i="4" s="1"/>
  <c r="ME178" i="4"/>
  <c r="LV178" i="4"/>
  <c r="LT178" i="4"/>
  <c r="LS178" i="4"/>
  <c r="MF177" i="4"/>
  <c r="MG177" i="4" s="1"/>
  <c r="MH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N170" i="4"/>
  <c r="LO170" i="4" s="1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R55" i="4"/>
  <c r="GT55" i="4" s="1"/>
  <c r="GV55" i="4" s="1"/>
  <c r="GQ55" i="4"/>
  <c r="HG55" i="4" s="1"/>
  <c r="HT54" i="4"/>
  <c r="HR54" i="4"/>
  <c r="HQ54" i="4"/>
  <c r="HJ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T53" i="4"/>
  <c r="HJ53" i="4" s="1"/>
  <c r="GR53" i="4"/>
  <c r="GQ53" i="4"/>
  <c r="HR52" i="4"/>
  <c r="HQ52" i="4"/>
  <c r="HL52" i="4"/>
  <c r="HF52" i="4"/>
  <c r="HE52" i="4"/>
  <c r="HB52" i="4"/>
  <c r="HT52" i="4" s="1"/>
  <c r="HA52" i="4"/>
  <c r="HS52" i="4" s="1"/>
  <c r="GR52" i="4"/>
  <c r="GT52" i="4" s="1"/>
  <c r="GV52" i="4" s="1"/>
  <c r="GX52" i="4" s="1"/>
  <c r="GQ52" i="4"/>
  <c r="JR51" i="4"/>
  <c r="JR52" i="4" s="1"/>
  <c r="JR53" i="4" s="1"/>
  <c r="JR54" i="4" s="1"/>
  <c r="JR55" i="4" s="1"/>
  <c r="HT51" i="4"/>
  <c r="HS51" i="4"/>
  <c r="HR51" i="4"/>
  <c r="HQ51" i="4"/>
  <c r="HG51" i="4"/>
  <c r="HF51" i="4"/>
  <c r="HE51" i="4"/>
  <c r="HB51" i="4"/>
  <c r="HA51" i="4"/>
  <c r="GT51" i="4"/>
  <c r="GV51" i="4" s="1"/>
  <c r="GR51" i="4"/>
  <c r="HH51" i="4" s="1"/>
  <c r="GQ51" i="4"/>
  <c r="GS51" i="4" s="1"/>
  <c r="HR50" i="4"/>
  <c r="HQ50" i="4"/>
  <c r="HG50" i="4"/>
  <c r="HF50" i="4"/>
  <c r="HE50" i="4"/>
  <c r="HB50" i="4"/>
  <c r="HT50" i="4" s="1"/>
  <c r="HA50" i="4"/>
  <c r="HS50" i="4" s="1"/>
  <c r="GR50" i="4"/>
  <c r="GQ50" i="4"/>
  <c r="GS50" i="4" s="1"/>
  <c r="HT49" i="4"/>
  <c r="HR49" i="4"/>
  <c r="HQ49" i="4"/>
  <c r="HH49" i="4"/>
  <c r="HF49" i="4"/>
  <c r="HE49" i="4"/>
  <c r="HB49" i="4"/>
  <c r="HA49" i="4"/>
  <c r="HS49" i="4" s="1"/>
  <c r="GR49" i="4"/>
  <c r="GT49" i="4" s="1"/>
  <c r="GV49" i="4" s="1"/>
  <c r="GQ49" i="4"/>
  <c r="HG49" i="4" s="1"/>
  <c r="HS48" i="4"/>
  <c r="HR48" i="4"/>
  <c r="HQ48" i="4"/>
  <c r="HG48" i="4"/>
  <c r="HF48" i="4"/>
  <c r="HE48" i="4"/>
  <c r="HB48" i="4"/>
  <c r="HT48" i="4" s="1"/>
  <c r="HA48" i="4"/>
  <c r="GS48" i="4"/>
  <c r="GU48" i="4" s="1"/>
  <c r="GW48" i="4" s="1"/>
  <c r="GR48" i="4"/>
  <c r="GQ48" i="4"/>
  <c r="JC47" i="4"/>
  <c r="JC48" i="4" s="1"/>
  <c r="JC49" i="4" s="1"/>
  <c r="JC50" i="4" s="1"/>
  <c r="JC51" i="4" s="1"/>
  <c r="JC52" i="4" s="1"/>
  <c r="JC53" i="4" s="1"/>
  <c r="JC54" i="4" s="1"/>
  <c r="JC55" i="4" s="1"/>
  <c r="HR47" i="4"/>
  <c r="HQ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HJ47" i="4" s="1"/>
  <c r="GQ47" i="4"/>
  <c r="JF46" i="4"/>
  <c r="JF47" i="4" s="1"/>
  <c r="JF48" i="4" s="1"/>
  <c r="JF49" i="4" s="1"/>
  <c r="JF50" i="4" s="1"/>
  <c r="JF51" i="4" s="1"/>
  <c r="JF52" i="4" s="1"/>
  <c r="JF53" i="4" s="1"/>
  <c r="JF54" i="4" s="1"/>
  <c r="JF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HT46" i="4"/>
  <c r="HR46" i="4"/>
  <c r="HQ46" i="4"/>
  <c r="HF46" i="4"/>
  <c r="HE46" i="4"/>
  <c r="HB46" i="4"/>
  <c r="HA46" i="4"/>
  <c r="HS46" i="4" s="1"/>
  <c r="GS46" i="4"/>
  <c r="GU46" i="4" s="1"/>
  <c r="HK46" i="4" s="1"/>
  <c r="GR46" i="4"/>
  <c r="HH46" i="4" s="1"/>
  <c r="GQ46" i="4"/>
  <c r="HG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IZ45" i="4"/>
  <c r="IZ46" i="4" s="1"/>
  <c r="IZ47" i="4" s="1"/>
  <c r="IZ48" i="4" s="1"/>
  <c r="IZ49" i="4" s="1"/>
  <c r="IZ50" i="4" s="1"/>
  <c r="IZ51" i="4" s="1"/>
  <c r="IZ52" i="4" s="1"/>
  <c r="IZ53" i="4" s="1"/>
  <c r="IZ54" i="4" s="1"/>
  <c r="IZ55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U48" i="4" s="1"/>
  <c r="IU49" i="4" s="1"/>
  <c r="IU50" i="4" s="1"/>
  <c r="IU51" i="4" s="1"/>
  <c r="IU52" i="4" s="1"/>
  <c r="IU53" i="4" s="1"/>
  <c r="IU54" i="4" s="1"/>
  <c r="IU55" i="4" s="1"/>
  <c r="IR45" i="4"/>
  <c r="IR46" i="4" s="1"/>
  <c r="IR47" i="4" s="1"/>
  <c r="IR48" i="4" s="1"/>
  <c r="IR49" i="4" s="1"/>
  <c r="IR50" i="4" s="1"/>
  <c r="IR51" i="4" s="1"/>
  <c r="IR52" i="4" s="1"/>
  <c r="IR53" i="4" s="1"/>
  <c r="IR54" i="4" s="1"/>
  <c r="IR55" i="4" s="1"/>
  <c r="HR45" i="4"/>
  <c r="HQ45" i="4"/>
  <c r="HF45" i="4"/>
  <c r="HE45" i="4"/>
  <c r="HB45" i="4"/>
  <c r="HT45" i="4" s="1"/>
  <c r="HA45" i="4"/>
  <c r="HS45" i="4" s="1"/>
  <c r="GS45" i="4"/>
  <c r="HI45" i="4" s="1"/>
  <c r="GR45" i="4"/>
  <c r="GQ45" i="4"/>
  <c r="HG45" i="4" s="1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T45" i="4" s="1"/>
  <c r="JT46" i="4" s="1"/>
  <c r="JT47" i="4" s="1"/>
  <c r="JT48" i="4" s="1"/>
  <c r="JT49" i="4" s="1"/>
  <c r="JT50" i="4" s="1"/>
  <c r="JT51" i="4" s="1"/>
  <c r="JT52" i="4" s="1"/>
  <c r="JT53" i="4" s="1"/>
  <c r="JT54" i="4" s="1"/>
  <c r="JT55" i="4" s="1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P46" i="4" s="1"/>
  <c r="JP47" i="4" s="1"/>
  <c r="JP48" i="4" s="1"/>
  <c r="JP49" i="4" s="1"/>
  <c r="JP50" i="4" s="1"/>
  <c r="JP51" i="4" s="1"/>
  <c r="JP52" i="4" s="1"/>
  <c r="JP53" i="4" s="1"/>
  <c r="JP54" i="4" s="1"/>
  <c r="JP5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L45" i="4" s="1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K44" i="4"/>
  <c r="JK45" i="4" s="1"/>
  <c r="JK46" i="4" s="1"/>
  <c r="JK47" i="4" s="1"/>
  <c r="JK48" i="4" s="1"/>
  <c r="JK49" i="4" s="1"/>
  <c r="JK50" i="4" s="1"/>
  <c r="JK51" i="4" s="1"/>
  <c r="JK52" i="4" s="1"/>
  <c r="JK53" i="4" s="1"/>
  <c r="JK54" i="4" s="1"/>
  <c r="JK55" i="4" s="1"/>
  <c r="JJ44" i="4"/>
  <c r="JJ45" i="4" s="1"/>
  <c r="JJ46" i="4" s="1"/>
  <c r="JJ47" i="4" s="1"/>
  <c r="JJ48" i="4" s="1"/>
  <c r="JJ49" i="4" s="1"/>
  <c r="JJ50" i="4" s="1"/>
  <c r="JJ51" i="4" s="1"/>
  <c r="JJ52" i="4" s="1"/>
  <c r="JJ53" i="4" s="1"/>
  <c r="JJ54" i="4" s="1"/>
  <c r="JJ55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H45" i="4" s="1"/>
  <c r="JH46" i="4" s="1"/>
  <c r="JH47" i="4" s="1"/>
  <c r="JH48" i="4" s="1"/>
  <c r="JH49" i="4" s="1"/>
  <c r="JH50" i="4" s="1"/>
  <c r="JH51" i="4" s="1"/>
  <c r="JH52" i="4" s="1"/>
  <c r="JH53" i="4" s="1"/>
  <c r="JH54" i="4" s="1"/>
  <c r="JH55" i="4" s="1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B46" i="4" s="1"/>
  <c r="JB47" i="4" s="1"/>
  <c r="JB48" i="4" s="1"/>
  <c r="JB49" i="4" s="1"/>
  <c r="JB50" i="4" s="1"/>
  <c r="JB51" i="4" s="1"/>
  <c r="JB52" i="4" s="1"/>
  <c r="JB53" i="4" s="1"/>
  <c r="JB54" i="4" s="1"/>
  <c r="JB55" i="4" s="1"/>
  <c r="JA44" i="4"/>
  <c r="JA45" i="4" s="1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T46" i="4" s="1"/>
  <c r="IT47" i="4" s="1"/>
  <c r="IT48" i="4" s="1"/>
  <c r="IT49" i="4" s="1"/>
  <c r="IT50" i="4" s="1"/>
  <c r="IT51" i="4" s="1"/>
  <c r="IT52" i="4" s="1"/>
  <c r="IT53" i="4" s="1"/>
  <c r="IT54" i="4" s="1"/>
  <c r="IT5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Q45" i="4" s="1"/>
  <c r="IQ46" i="4" s="1"/>
  <c r="IQ47" i="4" s="1"/>
  <c r="IQ48" i="4" s="1"/>
  <c r="IQ49" i="4" s="1"/>
  <c r="IQ50" i="4" s="1"/>
  <c r="IQ51" i="4" s="1"/>
  <c r="IQ52" i="4" s="1"/>
  <c r="IQ53" i="4" s="1"/>
  <c r="IQ54" i="4" s="1"/>
  <c r="IQ55" i="4" s="1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N46" i="4" s="1"/>
  <c r="IN47" i="4" s="1"/>
  <c r="IN48" i="4" s="1"/>
  <c r="IN49" i="4" s="1"/>
  <c r="IN50" i="4" s="1"/>
  <c r="IN51" i="4" s="1"/>
  <c r="IN52" i="4" s="1"/>
  <c r="IN53" i="4" s="1"/>
  <c r="IN54" i="4" s="1"/>
  <c r="IN55" i="4" s="1"/>
  <c r="HR44" i="4"/>
  <c r="HQ44" i="4"/>
  <c r="HJ44" i="4"/>
  <c r="HF44" i="4"/>
  <c r="HE44" i="4"/>
  <c r="HB44" i="4"/>
  <c r="HT44" i="4" s="1"/>
  <c r="HA44" i="4"/>
  <c r="HS44" i="4" s="1"/>
  <c r="GV44" i="4"/>
  <c r="HL44" i="4" s="1"/>
  <c r="GR44" i="4"/>
  <c r="GT44" i="4" s="1"/>
  <c r="GQ44" i="4"/>
  <c r="HG44" i="4" s="1"/>
  <c r="X44" i="4"/>
  <c r="U44" i="4"/>
  <c r="IF44" i="4" s="1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U43" i="4"/>
  <c r="GR43" i="4"/>
  <c r="GT43" i="4" s="1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V42" i="4"/>
  <c r="EU42" i="4"/>
  <c r="ET42" i="4"/>
  <c r="FD42" i="4" s="1"/>
  <c r="ES42" i="4"/>
  <c r="FC42" i="4" s="1"/>
  <c r="EQ42" i="4"/>
  <c r="EY42" i="4" s="1"/>
  <c r="EP42" i="4"/>
  <c r="EO42" i="4"/>
  <c r="EW42" i="4" s="1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W40" i="4"/>
  <c r="EV40" i="4"/>
  <c r="EU40" i="4"/>
  <c r="ET40" i="4"/>
  <c r="FD40" i="4" s="1"/>
  <c r="ES40" i="4"/>
  <c r="FC40" i="4" s="1"/>
  <c r="EP40" i="4"/>
  <c r="ER40" i="4" s="1"/>
  <c r="EZ40" i="4" s="1"/>
  <c r="EO40" i="4"/>
  <c r="EQ40" i="4" s="1"/>
  <c r="EY40" i="4" s="1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V37" i="4"/>
  <c r="EU37" i="4"/>
  <c r="ET37" i="4"/>
  <c r="FD37" i="4" s="1"/>
  <c r="ES37" i="4"/>
  <c r="FC37" i="4" s="1"/>
  <c r="EP37" i="4"/>
  <c r="ER37" i="4" s="1"/>
  <c r="EO37" i="4"/>
  <c r="EQ37" i="4" s="1"/>
  <c r="EY37" i="4" s="1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B36" i="4"/>
  <c r="FA36" i="4"/>
  <c r="EZ36" i="4"/>
  <c r="EV36" i="4"/>
  <c r="EU36" i="4"/>
  <c r="ET36" i="4"/>
  <c r="FD36" i="4" s="1"/>
  <c r="ES36" i="4"/>
  <c r="FC36" i="4" s="1"/>
  <c r="ER36" i="4"/>
  <c r="EP36" i="4"/>
  <c r="EX36" i="4" s="1"/>
  <c r="EO36" i="4"/>
  <c r="EW36" i="4" s="1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B35" i="4"/>
  <c r="FA35" i="4"/>
  <c r="EW35" i="4"/>
  <c r="EV35" i="4"/>
  <c r="EU35" i="4"/>
  <c r="ET35" i="4"/>
  <c r="FD35" i="4" s="1"/>
  <c r="ES35" i="4"/>
  <c r="FC35" i="4" s="1"/>
  <c r="ER35" i="4"/>
  <c r="EZ35" i="4" s="1"/>
  <c r="EP35" i="4"/>
  <c r="EX35" i="4" s="1"/>
  <c r="EO35" i="4"/>
  <c r="EQ35" i="4" s="1"/>
  <c r="EY35" i="4" s="1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C32" i="4"/>
  <c r="CB32" i="4"/>
  <c r="BS32" i="4"/>
  <c r="BQ32" i="4"/>
  <c r="BP32" i="4"/>
  <c r="BM32" i="4"/>
  <c r="BL32" i="4"/>
  <c r="BN32" i="4" s="1"/>
  <c r="CF32" i="4" s="1"/>
  <c r="BD32" i="4"/>
  <c r="BC32" i="4"/>
  <c r="BE32" i="4" s="1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Q31" i="4"/>
  <c r="BP31" i="4"/>
  <c r="BM31" i="4"/>
  <c r="CE31" i="4" s="1"/>
  <c r="BL31" i="4"/>
  <c r="BN31" i="4" s="1"/>
  <c r="BE31" i="4"/>
  <c r="BC31" i="4"/>
  <c r="BS31" i="4" s="1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C29" i="4"/>
  <c r="CB29" i="4"/>
  <c r="BQ29" i="4"/>
  <c r="BP29" i="4"/>
  <c r="BN29" i="4"/>
  <c r="CF29" i="4" s="1"/>
  <c r="BM29" i="4"/>
  <c r="BO29" i="4" s="1"/>
  <c r="CG29" i="4" s="1"/>
  <c r="BL29" i="4"/>
  <c r="CD29" i="4" s="1"/>
  <c r="BD29" i="4"/>
  <c r="BF29" i="4" s="1"/>
  <c r="BV29" i="4" s="1"/>
  <c r="BC29" i="4"/>
  <c r="BS29" i="4" s="1"/>
  <c r="BB29" i="4"/>
  <c r="BR29" i="4" s="1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C27" i="4"/>
  <c r="CB27" i="4"/>
  <c r="BQ27" i="4"/>
  <c r="BP27" i="4"/>
  <c r="BM27" i="4"/>
  <c r="BL27" i="4"/>
  <c r="BN27" i="4" s="1"/>
  <c r="CF27" i="4" s="1"/>
  <c r="BD27" i="4"/>
  <c r="BC27" i="4"/>
  <c r="BS27" i="4" s="1"/>
  <c r="BB27" i="4"/>
  <c r="BR27" i="4" s="1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Q26" i="4"/>
  <c r="BP26" i="4"/>
  <c r="BM26" i="4"/>
  <c r="BO26" i="4" s="1"/>
  <c r="CG26" i="4" s="1"/>
  <c r="BL26" i="4"/>
  <c r="BN26" i="4" s="1"/>
  <c r="CF26" i="4" s="1"/>
  <c r="BE26" i="4"/>
  <c r="BC26" i="4"/>
  <c r="BS26" i="4" s="1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Q25" i="4"/>
  <c r="BP25" i="4"/>
  <c r="BM25" i="4"/>
  <c r="BO25" i="4" s="1"/>
  <c r="BL25" i="4"/>
  <c r="BN25" i="4" s="1"/>
  <c r="CF25" i="4" s="1"/>
  <c r="BE25" i="4"/>
  <c r="BG25" i="4" s="1"/>
  <c r="BC25" i="4"/>
  <c r="BS25" i="4" s="1"/>
  <c r="BB25" i="4"/>
  <c r="BR25" i="4" s="1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C24" i="4"/>
  <c r="CB24" i="4"/>
  <c r="BQ24" i="4"/>
  <c r="BP24" i="4"/>
  <c r="BO24" i="4"/>
  <c r="CG24" i="4" s="1"/>
  <c r="BM24" i="4"/>
  <c r="CE24" i="4" s="1"/>
  <c r="BL24" i="4"/>
  <c r="CD24" i="4" s="1"/>
  <c r="BE24" i="4"/>
  <c r="BD24" i="4"/>
  <c r="BF24" i="4" s="1"/>
  <c r="BC24" i="4"/>
  <c r="BS24" i="4" s="1"/>
  <c r="BB24" i="4"/>
  <c r="BR24" i="4" s="1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C23" i="4"/>
  <c r="CB23" i="4"/>
  <c r="BS23" i="4"/>
  <c r="BQ23" i="4"/>
  <c r="BP23" i="4"/>
  <c r="BM23" i="4"/>
  <c r="BO23" i="4" s="1"/>
  <c r="BL23" i="4"/>
  <c r="BN23" i="4" s="1"/>
  <c r="CF23" i="4" s="1"/>
  <c r="BF23" i="4"/>
  <c r="BV23" i="4" s="1"/>
  <c r="BD23" i="4"/>
  <c r="BT23" i="4" s="1"/>
  <c r="BC23" i="4"/>
  <c r="BE23" i="4" s="1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D22" i="4"/>
  <c r="CC22" i="4"/>
  <c r="CB22" i="4"/>
  <c r="BQ22" i="4"/>
  <c r="BP22" i="4"/>
  <c r="BO22" i="4"/>
  <c r="CG22" i="4" s="1"/>
  <c r="BM22" i="4"/>
  <c r="CE22" i="4" s="1"/>
  <c r="BL22" i="4"/>
  <c r="BN22" i="4" s="1"/>
  <c r="CF22" i="4" s="1"/>
  <c r="BE22" i="4"/>
  <c r="BG22" i="4" s="1"/>
  <c r="BW22" i="4" s="1"/>
  <c r="BC22" i="4"/>
  <c r="BS22" i="4" s="1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C21" i="4"/>
  <c r="CB21" i="4"/>
  <c r="BQ21" i="4"/>
  <c r="BP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C20" i="4"/>
  <c r="CB20" i="4"/>
  <c r="BS20" i="4"/>
  <c r="BR20" i="4"/>
  <c r="BQ20" i="4"/>
  <c r="BP20" i="4"/>
  <c r="BM20" i="4"/>
  <c r="BO20" i="4" s="1"/>
  <c r="CG20" i="4" s="1"/>
  <c r="BL20" i="4"/>
  <c r="BN20" i="4" s="1"/>
  <c r="CF20" i="4" s="1"/>
  <c r="BD20" i="4"/>
  <c r="BF20" i="4" s="1"/>
  <c r="BH20" i="4" s="1"/>
  <c r="BC20" i="4"/>
  <c r="BE20" i="4" s="1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T19" i="4"/>
  <c r="BR19" i="4"/>
  <c r="BQ19" i="4"/>
  <c r="BP19" i="4"/>
  <c r="BM19" i="4"/>
  <c r="BO19" i="4" s="1"/>
  <c r="CG19" i="4" s="1"/>
  <c r="BL19" i="4"/>
  <c r="CD19" i="4" s="1"/>
  <c r="BC19" i="4"/>
  <c r="BS19" i="4" s="1"/>
  <c r="BB19" i="4"/>
  <c r="BD19" i="4" s="1"/>
  <c r="BF19" i="4" s="1"/>
  <c r="BH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D17" i="4"/>
  <c r="CC17" i="4"/>
  <c r="CB17" i="4"/>
  <c r="BQ17" i="4"/>
  <c r="BP17" i="4"/>
  <c r="BN17" i="4"/>
  <c r="CF17" i="4" s="1"/>
  <c r="BM17" i="4"/>
  <c r="BO17" i="4" s="1"/>
  <c r="CG17" i="4" s="1"/>
  <c r="BL17" i="4"/>
  <c r="BC17" i="4"/>
  <c r="BE17" i="4" s="1"/>
  <c r="BG17" i="4" s="1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R15" i="4"/>
  <c r="BQ15" i="4"/>
  <c r="BP15" i="4"/>
  <c r="BM15" i="4"/>
  <c r="BL15" i="4"/>
  <c r="CD15" i="4" s="1"/>
  <c r="BC15" i="4"/>
  <c r="BS15" i="4" s="1"/>
  <c r="BB15" i="4"/>
  <c r="BD15" i="4" s="1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C14" i="4"/>
  <c r="CB14" i="4"/>
  <c r="BT14" i="4"/>
  <c r="BQ14" i="4"/>
  <c r="BP14" i="4"/>
  <c r="BM14" i="4"/>
  <c r="BO14" i="4" s="1"/>
  <c r="CG14" i="4" s="1"/>
  <c r="BL14" i="4"/>
  <c r="CD14" i="4" s="1"/>
  <c r="BF14" i="4"/>
  <c r="BH14" i="4" s="1"/>
  <c r="BJ14" i="4" s="1"/>
  <c r="BZ14" i="4" s="1"/>
  <c r="BC14" i="4"/>
  <c r="BS14" i="4" s="1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C13" i="4"/>
  <c r="CB13" i="4"/>
  <c r="BQ13" i="4"/>
  <c r="BP13" i="4"/>
  <c r="BM13" i="4"/>
  <c r="BO13" i="4" s="1"/>
  <c r="CG13" i="4" s="1"/>
  <c r="BL13" i="4"/>
  <c r="CD13" i="4" s="1"/>
  <c r="BE13" i="4"/>
  <c r="BG13" i="4" s="1"/>
  <c r="BC13" i="4"/>
  <c r="BS13" i="4" s="1"/>
  <c r="BB13" i="4"/>
  <c r="BD13" i="4" s="1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D12" i="4"/>
  <c r="CC12" i="4"/>
  <c r="CB12" i="4"/>
  <c r="BR12" i="4"/>
  <c r="BQ12" i="4"/>
  <c r="BP12" i="4"/>
  <c r="BN12" i="4"/>
  <c r="CF12" i="4" s="1"/>
  <c r="BM12" i="4"/>
  <c r="CE12" i="4" s="1"/>
  <c r="BL12" i="4"/>
  <c r="BE12" i="4"/>
  <c r="BC12" i="4"/>
  <c r="BS12" i="4" s="1"/>
  <c r="BB12" i="4"/>
  <c r="BD12" i="4" s="1"/>
  <c r="BF12" i="4" s="1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Q11" i="4"/>
  <c r="BP11" i="4"/>
  <c r="BM11" i="4"/>
  <c r="BO11" i="4" s="1"/>
  <c r="BL11" i="4"/>
  <c r="BC11" i="4"/>
  <c r="BS11" i="4" s="1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C10" i="4"/>
  <c r="CB10" i="4"/>
  <c r="BQ10" i="4"/>
  <c r="BP10" i="4"/>
  <c r="BO10" i="4"/>
  <c r="CG10" i="4" s="1"/>
  <c r="BM10" i="4"/>
  <c r="BL10" i="4"/>
  <c r="CD10" i="4" s="1"/>
  <c r="BC10" i="4"/>
  <c r="BS10" i="4" s="1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C9" i="4"/>
  <c r="CB9" i="4"/>
  <c r="BQ9" i="4"/>
  <c r="BP9" i="4"/>
  <c r="BO9" i="4"/>
  <c r="CG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C8" i="4"/>
  <c r="CB8" i="4"/>
  <c r="BS8" i="4"/>
  <c r="BQ8" i="4"/>
  <c r="BP8" i="4"/>
  <c r="BM8" i="4"/>
  <c r="CE8" i="4" s="1"/>
  <c r="BL8" i="4"/>
  <c r="CD8" i="4" s="1"/>
  <c r="BG8" i="4"/>
  <c r="BI8" i="4" s="1"/>
  <c r="BY8" i="4" s="1"/>
  <c r="BC8" i="4"/>
  <c r="BE8" i="4" s="1"/>
  <c r="BU8" i="4" s="1"/>
  <c r="BB8" i="4"/>
  <c r="BD8" i="4" s="1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D7" i="4"/>
  <c r="CC7" i="4"/>
  <c r="CB7" i="4"/>
  <c r="BQ7" i="4"/>
  <c r="BP7" i="4"/>
  <c r="BN7" i="4"/>
  <c r="CF7" i="4" s="1"/>
  <c r="BM7" i="4"/>
  <c r="BO7" i="4" s="1"/>
  <c r="CG7" i="4" s="1"/>
  <c r="BL7" i="4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Q6" i="4"/>
  <c r="BP6" i="4"/>
  <c r="BN6" i="4"/>
  <c r="CF6" i="4" s="1"/>
  <c r="BM6" i="4"/>
  <c r="BO6" i="4" s="1"/>
  <c r="CG6" i="4" s="1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C5" i="4"/>
  <c r="CB5" i="4"/>
  <c r="BQ5" i="4"/>
  <c r="BP5" i="4"/>
  <c r="BN5" i="4"/>
  <c r="CF5" i="4" s="1"/>
  <c r="BM5" i="4"/>
  <c r="BO5" i="4" s="1"/>
  <c r="CG5" i="4" s="1"/>
  <c r="BL5" i="4"/>
  <c r="CD5" i="4" s="1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Q4" i="4"/>
  <c r="BP4" i="4"/>
  <c r="BO4" i="4"/>
  <c r="CG4" i="4" s="1"/>
  <c r="BM4" i="4"/>
  <c r="BL4" i="4"/>
  <c r="CD4" i="4" s="1"/>
  <c r="BC4" i="4"/>
  <c r="BE4" i="4" s="1"/>
  <c r="BU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C3" i="4"/>
  <c r="CB3" i="4"/>
  <c r="BQ3" i="4"/>
  <c r="BP3" i="4"/>
  <c r="BN3" i="4"/>
  <c r="CF3" i="4" s="1"/>
  <c r="BM3" i="4"/>
  <c r="BO3" i="4" s="1"/>
  <c r="CG3" i="4" s="1"/>
  <c r="BL3" i="4"/>
  <c r="CD3" i="4" s="1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R2" i="4"/>
  <c r="BQ2" i="4"/>
  <c r="BP2" i="4"/>
  <c r="BM2" i="4"/>
  <c r="BO2" i="4" s="1"/>
  <c r="CG2" i="4" s="1"/>
  <c r="BL2" i="4"/>
  <c r="CD2" i="4" s="1"/>
  <c r="BD2" i="4"/>
  <c r="BC2" i="4"/>
  <c r="BE2" i="4" s="1"/>
  <c r="BU2" i="4" s="1"/>
  <c r="BB2" i="4"/>
  <c r="BA2" i="4"/>
  <c r="G2" i="4"/>
  <c r="JZ234" i="1"/>
  <c r="JZ233" i="1"/>
  <c r="LY231" i="1"/>
  <c r="AE231" i="1" s="1" a="1"/>
  <c r="AE231" i="1" s="1"/>
  <c r="LY232" i="1"/>
  <c r="AE232" i="1" s="1" a="1"/>
  <c r="AE232" i="1" s="1"/>
  <c r="MM230" i="1"/>
  <c r="LY230" i="1"/>
  <c r="AE230" i="1" s="1" a="1"/>
  <c r="AE230" i="1" s="1"/>
  <c r="FM228" i="1"/>
  <c r="FM229" i="1"/>
  <c r="AN228" i="1"/>
  <c r="AO228" i="1"/>
  <c r="ER228" i="1"/>
  <c r="EY228" i="1"/>
  <c r="EZ228" i="1"/>
  <c r="FI228" i="1"/>
  <c r="FN228" i="1"/>
  <c r="FO228" i="1"/>
  <c r="FP228" i="1"/>
  <c r="FT228" i="1"/>
  <c r="FU228" i="1"/>
  <c r="AN229" i="1"/>
  <c r="AO229" i="1"/>
  <c r="ER229" i="1"/>
  <c r="EY229" i="1"/>
  <c r="EZ229" i="1"/>
  <c r="FI229" i="1"/>
  <c r="FN229" i="1"/>
  <c r="FO229" i="1"/>
  <c r="FP229" i="1"/>
  <c r="FT229" i="1"/>
  <c r="FU229" i="1"/>
  <c r="AN226" i="1"/>
  <c r="AO226" i="1"/>
  <c r="ER226" i="1"/>
  <c r="ES226" i="1"/>
  <c r="EU226" i="1" s="1"/>
  <c r="FC226" i="1" s="1"/>
  <c r="ET226" i="1"/>
  <c r="FB226" i="1" s="1"/>
  <c r="EY226" i="1"/>
  <c r="EZ226" i="1"/>
  <c r="FI226" i="1"/>
  <c r="FJ226" i="1"/>
  <c r="FK226" i="1"/>
  <c r="FL226" i="1"/>
  <c r="FM226" i="1"/>
  <c r="FN226" i="1"/>
  <c r="FO226" i="1"/>
  <c r="FP226" i="1"/>
  <c r="FQ226" i="1"/>
  <c r="FR226" i="1"/>
  <c r="FS226" i="1"/>
  <c r="FT226" i="1"/>
  <c r="FU226" i="1"/>
  <c r="AN227" i="1"/>
  <c r="AO227" i="1"/>
  <c r="ER227" i="1"/>
  <c r="ES227" i="1"/>
  <c r="EU227" i="1" s="1"/>
  <c r="FC227" i="1" s="1"/>
  <c r="ET227" i="1"/>
  <c r="EV227" i="1" s="1"/>
  <c r="FD227" i="1" s="1"/>
  <c r="EY227" i="1"/>
  <c r="EZ227" i="1"/>
  <c r="FI227" i="1"/>
  <c r="FJ227" i="1"/>
  <c r="FK227" i="1"/>
  <c r="FL227" i="1"/>
  <c r="FM227" i="1"/>
  <c r="FN227" i="1"/>
  <c r="FO227" i="1"/>
  <c r="FP227" i="1"/>
  <c r="FQ227" i="1"/>
  <c r="FR227" i="1"/>
  <c r="FS227" i="1"/>
  <c r="FT227" i="1"/>
  <c r="FU227" i="1"/>
  <c r="FU225" i="1"/>
  <c r="FT225" i="1"/>
  <c r="FS225" i="1"/>
  <c r="FR225" i="1"/>
  <c r="FQ225" i="1"/>
  <c r="FP225" i="1"/>
  <c r="FO225" i="1"/>
  <c r="FN225" i="1"/>
  <c r="FM225" i="1"/>
  <c r="FL225" i="1"/>
  <c r="FK225" i="1"/>
  <c r="FJ225" i="1"/>
  <c r="FI225" i="1"/>
  <c r="FF225" i="1"/>
  <c r="FE225" i="1"/>
  <c r="EZ225" i="1"/>
  <c r="EY225" i="1"/>
  <c r="FH225" i="1"/>
  <c r="ET225" i="1"/>
  <c r="EV225" i="1" s="1"/>
  <c r="FD225" i="1" s="1"/>
  <c r="ES225" i="1"/>
  <c r="EU225" i="1" s="1"/>
  <c r="FC225" i="1" s="1"/>
  <c r="ER225" i="1"/>
  <c r="AO225" i="1"/>
  <c r="AN225" i="1"/>
  <c r="JZ224" i="1"/>
  <c r="JZ223" i="1"/>
  <c r="Y43" i="1" a="1"/>
  <c r="Y43" i="1" s="1"/>
  <c r="X44" i="1"/>
  <c r="JZ222" i="1"/>
  <c r="JZ221" i="1"/>
  <c r="JZ220" i="1"/>
  <c r="JZ219" i="1"/>
  <c r="JZ218" i="1"/>
  <c r="KJ217" i="1"/>
  <c r="KK217" i="1" s="1"/>
  <c r="JZ217" i="1"/>
  <c r="BJ19" i="4" l="1"/>
  <c r="BZ19" i="4" s="1"/>
  <c r="BX19" i="4"/>
  <c r="BU20" i="4"/>
  <c r="BG20" i="4"/>
  <c r="BI17" i="4"/>
  <c r="BK17" i="4" s="1"/>
  <c r="CA17" i="4" s="1"/>
  <c r="BW17" i="4"/>
  <c r="HM48" i="4"/>
  <c r="GY48" i="4"/>
  <c r="HO48" i="4" s="1"/>
  <c r="BF13" i="4"/>
  <c r="BT13" i="4"/>
  <c r="BG23" i="4"/>
  <c r="BI23" i="4" s="1"/>
  <c r="BU23" i="4"/>
  <c r="HJ43" i="4"/>
  <c r="GV43" i="4"/>
  <c r="GX43" i="4" s="1"/>
  <c r="HN43" i="4" s="1"/>
  <c r="HI51" i="4"/>
  <c r="GU51" i="4"/>
  <c r="BF8" i="4"/>
  <c r="BT8" i="4"/>
  <c r="BT29" i="4"/>
  <c r="IH44" i="4"/>
  <c r="BE10" i="4"/>
  <c r="BG10" i="4" s="1"/>
  <c r="BW10" i="4" s="1"/>
  <c r="BE14" i="4"/>
  <c r="IJ44" i="4"/>
  <c r="HI48" i="4"/>
  <c r="HI54" i="4"/>
  <c r="BG4" i="4"/>
  <c r="BO8" i="4"/>
  <c r="CG8" i="4" s="1"/>
  <c r="BE11" i="4"/>
  <c r="BS17" i="4"/>
  <c r="BI22" i="4"/>
  <c r="BE29" i="4"/>
  <c r="CD32" i="4"/>
  <c r="EX40" i="4"/>
  <c r="IL44" i="4"/>
  <c r="GT46" i="4"/>
  <c r="HJ46" i="4" s="1"/>
  <c r="BG2" i="4"/>
  <c r="BI2" i="4" s="1"/>
  <c r="BN24" i="4"/>
  <c r="CF24" i="4" s="1"/>
  <c r="BD25" i="4"/>
  <c r="EQ36" i="4"/>
  <c r="EY36" i="4" s="1"/>
  <c r="EW37" i="4"/>
  <c r="GP44" i="4"/>
  <c r="HU44" i="4"/>
  <c r="GW46" i="4"/>
  <c r="MW179" i="4"/>
  <c r="HD52" i="5"/>
  <c r="HT52" i="5" s="1"/>
  <c r="HR52" i="5"/>
  <c r="HV44" i="4"/>
  <c r="BX14" i="4"/>
  <c r="BN9" i="4"/>
  <c r="CF9" i="4" s="1"/>
  <c r="BN10" i="4"/>
  <c r="CF10" i="4" s="1"/>
  <c r="BR13" i="4"/>
  <c r="BG7" i="4"/>
  <c r="CE7" i="4"/>
  <c r="BR8" i="4"/>
  <c r="BO21" i="4"/>
  <c r="CG21" i="4" s="1"/>
  <c r="BE27" i="4"/>
  <c r="BG27" i="4" s="1"/>
  <c r="BE33" i="4"/>
  <c r="BG33" i="4" s="1"/>
  <c r="BW33" i="4" s="1"/>
  <c r="EX41" i="4"/>
  <c r="HY44" i="4"/>
  <c r="GU45" i="4"/>
  <c r="EQ226" i="4"/>
  <c r="EY226" i="4" s="1"/>
  <c r="BN13" i="4"/>
  <c r="CF13" i="4" s="1"/>
  <c r="BS2" i="4"/>
  <c r="BN14" i="4"/>
  <c r="CF14" i="4" s="1"/>
  <c r="BV20" i="4"/>
  <c r="CE23" i="4"/>
  <c r="BD30" i="4"/>
  <c r="EX38" i="4"/>
  <c r="GX44" i="4"/>
  <c r="GZ44" i="4" s="1"/>
  <c r="HP44" i="4" s="1"/>
  <c r="IB44" i="4"/>
  <c r="GV53" i="4"/>
  <c r="GX53" i="4" s="1"/>
  <c r="EX225" i="4"/>
  <c r="CC3" i="5"/>
  <c r="BO3" i="5"/>
  <c r="CE3" i="5" s="1"/>
  <c r="U45" i="4"/>
  <c r="BE15" i="4"/>
  <c r="BG15" i="4" s="1"/>
  <c r="ID44" i="4"/>
  <c r="HI46" i="4"/>
  <c r="GS55" i="4"/>
  <c r="HI55" i="4" s="1"/>
  <c r="BN8" i="4"/>
  <c r="CF8" i="4" s="1"/>
  <c r="IK44" i="4"/>
  <c r="BS4" i="4"/>
  <c r="IE44" i="4"/>
  <c r="IA44" i="4"/>
  <c r="BS6" i="4"/>
  <c r="BO12" i="4"/>
  <c r="CG12" i="4" s="1"/>
  <c r="CD20" i="4"/>
  <c r="GS49" i="4"/>
  <c r="HI49" i="4" s="1"/>
  <c r="HH52" i="4"/>
  <c r="MW180" i="4"/>
  <c r="ND180" i="4" s="1"/>
  <c r="AC269" i="1"/>
  <c r="AC270" i="1" s="1"/>
  <c r="CD270" i="1" s="1"/>
  <c r="FG225" i="1"/>
  <c r="AE225" i="1" s="1" a="1"/>
  <c r="AE225" i="1" s="1"/>
  <c r="AD226" i="1" s="1" a="1"/>
  <c r="AD226" i="1" s="1"/>
  <c r="AL267" i="1"/>
  <c r="HF267" i="1" s="1"/>
  <c r="AK267" i="1"/>
  <c r="X45" i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UH311" i="1"/>
  <c r="UI311" i="1" s="1"/>
  <c r="UG312" i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AG267" i="1"/>
  <c r="GU267" i="1"/>
  <c r="FA225" i="1"/>
  <c r="FB225" i="1"/>
  <c r="HI267" i="1"/>
  <c r="BN11" i="4"/>
  <c r="CF11" i="4" s="1"/>
  <c r="CD11" i="4"/>
  <c r="BH24" i="4"/>
  <c r="BV24" i="4"/>
  <c r="BF28" i="4"/>
  <c r="BT28" i="4"/>
  <c r="BH12" i="4"/>
  <c r="BV12" i="4"/>
  <c r="BW25" i="4"/>
  <c r="BI25" i="4"/>
  <c r="BF2" i="4"/>
  <c r="BT2" i="4"/>
  <c r="BV8" i="4"/>
  <c r="BH8" i="4"/>
  <c r="BT17" i="4"/>
  <c r="BF17" i="4"/>
  <c r="GW54" i="4"/>
  <c r="HK54" i="4"/>
  <c r="BR9" i="4"/>
  <c r="BD9" i="4"/>
  <c r="BW13" i="4"/>
  <c r="BI13" i="4"/>
  <c r="BW16" i="4"/>
  <c r="BI16" i="4"/>
  <c r="BR5" i="4"/>
  <c r="BD5" i="4"/>
  <c r="BT10" i="4"/>
  <c r="BF10" i="4"/>
  <c r="BJ20" i="4"/>
  <c r="BZ20" i="4" s="1"/>
  <c r="BX20" i="4"/>
  <c r="BK22" i="4"/>
  <c r="CA22" i="4" s="1"/>
  <c r="BY22" i="4"/>
  <c r="BG32" i="4"/>
  <c r="BU32" i="4"/>
  <c r="BN19" i="4"/>
  <c r="CF19" i="4" s="1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GW43" i="4"/>
  <c r="HK43" i="4"/>
  <c r="HN44" i="4"/>
  <c r="GS53" i="4"/>
  <c r="HG53" i="4"/>
  <c r="BH23" i="4"/>
  <c r="BU31" i="4"/>
  <c r="BG31" i="4"/>
  <c r="BG6" i="4"/>
  <c r="BI10" i="4"/>
  <c r="BR17" i="4"/>
  <c r="BE19" i="4"/>
  <c r="CD23" i="4"/>
  <c r="BI33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K48" i="4"/>
  <c r="GU49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O31" i="4"/>
  <c r="CG31" i="4" s="1"/>
  <c r="EW38" i="4"/>
  <c r="ER39" i="4"/>
  <c r="EZ39" i="4" s="1"/>
  <c r="GT45" i="4"/>
  <c r="HH45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FB227" i="1"/>
  <c r="FA226" i="1"/>
  <c r="FA227" i="1"/>
  <c r="EV226" i="1"/>
  <c r="FD226" i="1" s="1"/>
  <c r="KJ216" i="1"/>
  <c r="KK216" i="1" s="1"/>
  <c r="JZ216" i="1"/>
  <c r="OL215" i="1"/>
  <c r="KJ214" i="1"/>
  <c r="KK214" i="1" s="1"/>
  <c r="JZ214" i="1"/>
  <c r="OL213" i="1"/>
  <c r="KJ212" i="1"/>
  <c r="KK212" i="1" s="1"/>
  <c r="JZ212" i="1"/>
  <c r="OL211" i="1"/>
  <c r="KJ210" i="1"/>
  <c r="KK210" i="1" s="1"/>
  <c r="JZ210" i="1"/>
  <c r="OL209" i="1"/>
  <c r="KJ208" i="1"/>
  <c r="KK208" i="1" s="1"/>
  <c r="JZ208" i="1"/>
  <c r="OL207" i="1"/>
  <c r="OL205" i="1"/>
  <c r="JZ206" i="1"/>
  <c r="KJ206" i="1"/>
  <c r="KK206" i="1" s="1"/>
  <c r="KJ204" i="1"/>
  <c r="KK204" i="1" s="1"/>
  <c r="JZ204" i="1"/>
  <c r="OL203" i="1"/>
  <c r="RZ202" i="1"/>
  <c r="QS202" i="1"/>
  <c r="QU202" i="1" s="1"/>
  <c r="QW202" i="1" s="1"/>
  <c r="QY202" i="1" s="1"/>
  <c r="RA202" i="1" s="1"/>
  <c r="QR202" i="1"/>
  <c r="QT202" i="1" s="1"/>
  <c r="QV202" i="1" s="1"/>
  <c r="QX202" i="1" s="1"/>
  <c r="QZ202" i="1" s="1"/>
  <c r="KJ201" i="1"/>
  <c r="KK201" i="1" s="1"/>
  <c r="JZ201" i="1"/>
  <c r="OL200" i="1"/>
  <c r="OL199" i="1"/>
  <c r="OL198" i="1"/>
  <c r="RZ197" i="1"/>
  <c r="QS197" i="1"/>
  <c r="QU197" i="1" s="1"/>
  <c r="QW197" i="1" s="1"/>
  <c r="QY197" i="1" s="1"/>
  <c r="RA197" i="1" s="1"/>
  <c r="QR197" i="1"/>
  <c r="QT197" i="1" s="1"/>
  <c r="QV197" i="1" s="1"/>
  <c r="QX197" i="1" s="1"/>
  <c r="QZ197" i="1" s="1"/>
  <c r="KJ196" i="1"/>
  <c r="KK196" i="1" s="1"/>
  <c r="JZ196" i="1"/>
  <c r="OL195" i="1"/>
  <c r="OL194" i="1"/>
  <c r="OL193" i="1"/>
  <c r="RZ192" i="1"/>
  <c r="QS192" i="1"/>
  <c r="QU192" i="1" s="1"/>
  <c r="QW192" i="1" s="1"/>
  <c r="QY192" i="1" s="1"/>
  <c r="RA192" i="1" s="1"/>
  <c r="QR192" i="1"/>
  <c r="QT192" i="1" s="1"/>
  <c r="QV192" i="1" s="1"/>
  <c r="QX192" i="1" s="1"/>
  <c r="QZ192" i="1" s="1"/>
  <c r="KJ191" i="1"/>
  <c r="KK191" i="1" s="1"/>
  <c r="JZ191" i="1"/>
  <c r="OL190" i="1"/>
  <c r="OL189" i="1"/>
  <c r="OL188" i="1"/>
  <c r="RZ187" i="1"/>
  <c r="QR187" i="1"/>
  <c r="QT187" i="1" s="1"/>
  <c r="QV187" i="1" s="1"/>
  <c r="QX187" i="1" s="1"/>
  <c r="QZ187" i="1" s="1"/>
  <c r="QS187" i="1"/>
  <c r="QU187" i="1" s="1"/>
  <c r="QW187" i="1" s="1"/>
  <c r="QY187" i="1" s="1"/>
  <c r="RA187" i="1" s="1"/>
  <c r="JZ186" i="1"/>
  <c r="OL184" i="1"/>
  <c r="OL185" i="1"/>
  <c r="OL183" i="1"/>
  <c r="JZ182" i="1"/>
  <c r="JZ181" i="1"/>
  <c r="MZ180" i="1"/>
  <c r="NA180" i="1"/>
  <c r="NB180" i="1"/>
  <c r="NK180" i="1" s="1"/>
  <c r="NI180" i="1"/>
  <c r="NB179" i="1"/>
  <c r="ND179" i="1" s="1"/>
  <c r="NM179" i="1" s="1"/>
  <c r="NA179" i="1"/>
  <c r="NI179" i="1"/>
  <c r="MZ179" i="1"/>
  <c r="LY178" i="1"/>
  <c r="MC178" i="1"/>
  <c r="MC177" i="1"/>
  <c r="ML178" i="1"/>
  <c r="MM178" i="1" s="1"/>
  <c r="MN178" i="1" s="1"/>
  <c r="MO178" i="1" s="1"/>
  <c r="LZ178" i="1"/>
  <c r="KU169" i="1"/>
  <c r="LY177" i="1"/>
  <c r="MM177" i="1"/>
  <c r="MN177" i="1" s="1"/>
  <c r="MO177" i="1" s="1"/>
  <c r="LR171" i="1"/>
  <c r="LS171" i="1" s="1"/>
  <c r="LT171" i="1" s="1"/>
  <c r="LO176" i="1"/>
  <c r="LO175" i="1"/>
  <c r="LO174" i="1"/>
  <c r="LO173" i="1"/>
  <c r="LO172" i="1"/>
  <c r="LO171" i="1"/>
  <c r="LS170" i="1"/>
  <c r="LT170" i="1" s="1"/>
  <c r="LO170" i="1"/>
  <c r="KT169" i="1"/>
  <c r="KX169" i="1"/>
  <c r="JZ168" i="1"/>
  <c r="JZ167" i="1"/>
  <c r="JZ166" i="1"/>
  <c r="JZ165" i="1"/>
  <c r="JZ164" i="1"/>
  <c r="JZ163" i="1"/>
  <c r="JZ162" i="1"/>
  <c r="JZ161" i="1"/>
  <c r="JZ160" i="1"/>
  <c r="JZ159" i="1"/>
  <c r="JZ158" i="1"/>
  <c r="JZ157" i="1"/>
  <c r="JZ156" i="1"/>
  <c r="JZ155" i="1"/>
  <c r="JZ154" i="1"/>
  <c r="JZ153" i="1"/>
  <c r="JZ152" i="1"/>
  <c r="JZ151" i="1"/>
  <c r="JZ150" i="1"/>
  <c r="JZ149" i="1"/>
  <c r="JZ148" i="1"/>
  <c r="JZ147" i="1"/>
  <c r="JZ146" i="1"/>
  <c r="JZ145" i="1"/>
  <c r="JZ144" i="1"/>
  <c r="JZ143" i="1"/>
  <c r="JZ142" i="1"/>
  <c r="JZ141" i="1"/>
  <c r="JZ140" i="1"/>
  <c r="JZ139" i="1"/>
  <c r="JZ138" i="1"/>
  <c r="JZ137" i="1"/>
  <c r="JZ136" i="1"/>
  <c r="JZ135" i="1"/>
  <c r="JZ134" i="1"/>
  <c r="JZ133" i="1"/>
  <c r="JZ132" i="1"/>
  <c r="JZ131" i="1"/>
  <c r="JZ130" i="1"/>
  <c r="JZ129" i="1"/>
  <c r="JZ128" i="1"/>
  <c r="JZ127" i="1"/>
  <c r="JZ126" i="1"/>
  <c r="JZ125" i="1"/>
  <c r="JZ124" i="1"/>
  <c r="JZ123" i="1"/>
  <c r="JZ122" i="1"/>
  <c r="JZ121" i="1"/>
  <c r="JZ120" i="1"/>
  <c r="JZ119" i="1"/>
  <c r="JZ118" i="1"/>
  <c r="JZ117" i="1"/>
  <c r="JZ116" i="1"/>
  <c r="JZ115" i="1"/>
  <c r="JZ114" i="1"/>
  <c r="JZ113" i="1"/>
  <c r="JZ112" i="1"/>
  <c r="JZ111" i="1"/>
  <c r="JZ110" i="1"/>
  <c r="JZ109" i="1"/>
  <c r="JZ108" i="1"/>
  <c r="JZ107" i="1"/>
  <c r="JZ106" i="1"/>
  <c r="JZ105" i="1"/>
  <c r="JZ104" i="1"/>
  <c r="JZ103" i="1"/>
  <c r="JZ102" i="1"/>
  <c r="JZ101" i="1"/>
  <c r="JZ100" i="1"/>
  <c r="JZ99" i="1"/>
  <c r="JZ98" i="1"/>
  <c r="JZ97" i="1"/>
  <c r="JZ96" i="1"/>
  <c r="JZ95" i="1"/>
  <c r="JZ94" i="1"/>
  <c r="JZ93" i="1"/>
  <c r="JZ92" i="1"/>
  <c r="JZ91" i="1"/>
  <c r="JZ90" i="1"/>
  <c r="JZ89" i="1"/>
  <c r="JZ88" i="1"/>
  <c r="JZ87" i="1"/>
  <c r="JZ86" i="1"/>
  <c r="JZ85" i="1"/>
  <c r="JZ84" i="1"/>
  <c r="JZ83" i="1"/>
  <c r="JZ82" i="1"/>
  <c r="JZ81" i="1"/>
  <c r="JZ80" i="1"/>
  <c r="JZ79" i="1"/>
  <c r="JZ78" i="1"/>
  <c r="JZ77" i="1"/>
  <c r="JZ76" i="1"/>
  <c r="JZ75" i="1"/>
  <c r="JZ74" i="1"/>
  <c r="JZ73" i="1"/>
  <c r="JZ72" i="1"/>
  <c r="JZ71" i="1"/>
  <c r="JZ70" i="1"/>
  <c r="JZ69" i="1"/>
  <c r="JZ68" i="1"/>
  <c r="JZ67" i="1"/>
  <c r="JZ66" i="1"/>
  <c r="JZ65" i="1"/>
  <c r="JZ64" i="1"/>
  <c r="JZ63" i="1"/>
  <c r="JZ62" i="1"/>
  <c r="JZ61" i="1"/>
  <c r="JZ60" i="1"/>
  <c r="JZ59" i="1"/>
  <c r="JZ58" i="1"/>
  <c r="JZ57" i="1"/>
  <c r="JZ56" i="1"/>
  <c r="U44" i="1"/>
  <c r="GU45" i="1"/>
  <c r="GW45" i="1" s="1"/>
  <c r="GV45" i="1"/>
  <c r="GX45" i="1" s="1"/>
  <c r="HI45" i="1"/>
  <c r="HJ45" i="1"/>
  <c r="GU46" i="1"/>
  <c r="GW46" i="1" s="1"/>
  <c r="GV46" i="1"/>
  <c r="GX46" i="1" s="1"/>
  <c r="HI46" i="1"/>
  <c r="HJ46" i="1"/>
  <c r="GU47" i="1"/>
  <c r="GW47" i="1" s="1"/>
  <c r="GV47" i="1"/>
  <c r="GX47" i="1" s="1"/>
  <c r="HI47" i="1"/>
  <c r="HJ47" i="1"/>
  <c r="GU48" i="1"/>
  <c r="GW48" i="1" s="1"/>
  <c r="GV48" i="1"/>
  <c r="GX48" i="1" s="1"/>
  <c r="HI48" i="1"/>
  <c r="HJ48" i="1"/>
  <c r="GU49" i="1"/>
  <c r="GW49" i="1" s="1"/>
  <c r="GV49" i="1"/>
  <c r="GX49" i="1" s="1"/>
  <c r="HI49" i="1"/>
  <c r="HJ49" i="1"/>
  <c r="GU50" i="1"/>
  <c r="GW50" i="1" s="1"/>
  <c r="GV50" i="1"/>
  <c r="GX50" i="1" s="1"/>
  <c r="HI50" i="1"/>
  <c r="HJ50" i="1"/>
  <c r="GU51" i="1"/>
  <c r="GW51" i="1" s="1"/>
  <c r="GV51" i="1"/>
  <c r="GX51" i="1" s="1"/>
  <c r="HI51" i="1"/>
  <c r="HJ51" i="1"/>
  <c r="GU52" i="1"/>
  <c r="GW52" i="1" s="1"/>
  <c r="GV52" i="1"/>
  <c r="GX52" i="1" s="1"/>
  <c r="HI52" i="1"/>
  <c r="HJ52" i="1"/>
  <c r="GU53" i="1"/>
  <c r="GW53" i="1" s="1"/>
  <c r="GV53" i="1"/>
  <c r="GX53" i="1" s="1"/>
  <c r="HI53" i="1"/>
  <c r="HJ53" i="1"/>
  <c r="GU54" i="1"/>
  <c r="GW54" i="1" s="1"/>
  <c r="GV54" i="1"/>
  <c r="GX54" i="1" s="1"/>
  <c r="HI54" i="1"/>
  <c r="HJ54" i="1"/>
  <c r="GU55" i="1"/>
  <c r="GW55" i="1" s="1"/>
  <c r="GV55" i="1"/>
  <c r="GX55" i="1" s="1"/>
  <c r="HI55" i="1"/>
  <c r="HJ55" i="1"/>
  <c r="IF43" i="1"/>
  <c r="IZ44" i="1"/>
  <c r="IZ45" i="1" s="1"/>
  <c r="IZ46" i="1" s="1"/>
  <c r="IZ47" i="1" s="1"/>
  <c r="IZ48" i="1" s="1"/>
  <c r="IZ49" i="1" s="1"/>
  <c r="IZ50" i="1" s="1"/>
  <c r="IZ51" i="1" s="1"/>
  <c r="IZ52" i="1" s="1"/>
  <c r="IZ53" i="1" s="1"/>
  <c r="IZ54" i="1" s="1"/>
  <c r="IZ55" i="1" s="1"/>
  <c r="JA44" i="1"/>
  <c r="JA45" i="1" s="1"/>
  <c r="JA46" i="1" s="1"/>
  <c r="JA47" i="1" s="1"/>
  <c r="JA48" i="1" s="1"/>
  <c r="JA49" i="1" s="1"/>
  <c r="JA50" i="1" s="1"/>
  <c r="JA51" i="1" s="1"/>
  <c r="JA52" i="1" s="1"/>
  <c r="JA53" i="1" s="1"/>
  <c r="JA54" i="1" s="1"/>
  <c r="JA55" i="1" s="1"/>
  <c r="JB44" i="1"/>
  <c r="JB45" i="1" s="1"/>
  <c r="JB46" i="1" s="1"/>
  <c r="JB47" i="1" s="1"/>
  <c r="JB48" i="1" s="1"/>
  <c r="JB49" i="1" s="1"/>
  <c r="JB50" i="1" s="1"/>
  <c r="JB51" i="1" s="1"/>
  <c r="JB52" i="1" s="1"/>
  <c r="JB53" i="1" s="1"/>
  <c r="JB54" i="1" s="1"/>
  <c r="JB55" i="1" s="1"/>
  <c r="JC44" i="1"/>
  <c r="JC45" i="1" s="1"/>
  <c r="JC46" i="1" s="1"/>
  <c r="JC47" i="1" s="1"/>
  <c r="JC48" i="1" s="1"/>
  <c r="JC49" i="1" s="1"/>
  <c r="JC50" i="1" s="1"/>
  <c r="JC51" i="1" s="1"/>
  <c r="JC52" i="1" s="1"/>
  <c r="JC53" i="1" s="1"/>
  <c r="JC54" i="1" s="1"/>
  <c r="JC55" i="1" s="1"/>
  <c r="JD44" i="1"/>
  <c r="JD45" i="1" s="1"/>
  <c r="JD46" i="1" s="1"/>
  <c r="JD47" i="1" s="1"/>
  <c r="JD48" i="1" s="1"/>
  <c r="JD49" i="1" s="1"/>
  <c r="JD50" i="1" s="1"/>
  <c r="JD51" i="1" s="1"/>
  <c r="JD52" i="1" s="1"/>
  <c r="JD53" i="1" s="1"/>
  <c r="JD54" i="1" s="1"/>
  <c r="JD55" i="1" s="1"/>
  <c r="JE44" i="1"/>
  <c r="JE45" i="1" s="1"/>
  <c r="JE46" i="1" s="1"/>
  <c r="JE47" i="1" s="1"/>
  <c r="JE48" i="1" s="1"/>
  <c r="JE49" i="1" s="1"/>
  <c r="JE50" i="1" s="1"/>
  <c r="JE51" i="1" s="1"/>
  <c r="JE52" i="1" s="1"/>
  <c r="JE53" i="1" s="1"/>
  <c r="JE54" i="1" s="1"/>
  <c r="JE55" i="1" s="1"/>
  <c r="JF44" i="1"/>
  <c r="JF45" i="1" s="1"/>
  <c r="JF46" i="1" s="1"/>
  <c r="JF47" i="1" s="1"/>
  <c r="JF48" i="1" s="1"/>
  <c r="JF49" i="1" s="1"/>
  <c r="JF50" i="1" s="1"/>
  <c r="JF51" i="1" s="1"/>
  <c r="JF52" i="1" s="1"/>
  <c r="JF53" i="1" s="1"/>
  <c r="JF54" i="1" s="1"/>
  <c r="JF55" i="1" s="1"/>
  <c r="JG44" i="1"/>
  <c r="JG45" i="1" s="1"/>
  <c r="JG46" i="1" s="1"/>
  <c r="JG47" i="1" s="1"/>
  <c r="JG48" i="1" s="1"/>
  <c r="JG49" i="1" s="1"/>
  <c r="JG50" i="1" s="1"/>
  <c r="JG51" i="1" s="1"/>
  <c r="JG52" i="1" s="1"/>
  <c r="JG53" i="1" s="1"/>
  <c r="JG54" i="1" s="1"/>
  <c r="JG55" i="1" s="1"/>
  <c r="JH44" i="1"/>
  <c r="JH45" i="1" s="1"/>
  <c r="JH46" i="1" s="1"/>
  <c r="JH47" i="1" s="1"/>
  <c r="JH48" i="1" s="1"/>
  <c r="JH49" i="1" s="1"/>
  <c r="JH50" i="1" s="1"/>
  <c r="JH51" i="1" s="1"/>
  <c r="JH52" i="1" s="1"/>
  <c r="JH53" i="1" s="1"/>
  <c r="JH54" i="1" s="1"/>
  <c r="JH55" i="1" s="1"/>
  <c r="JI44" i="1"/>
  <c r="JI45" i="1" s="1"/>
  <c r="JI46" i="1" s="1"/>
  <c r="JI47" i="1" s="1"/>
  <c r="JI48" i="1" s="1"/>
  <c r="JI49" i="1" s="1"/>
  <c r="JI50" i="1" s="1"/>
  <c r="JI51" i="1" s="1"/>
  <c r="JI52" i="1" s="1"/>
  <c r="JI53" i="1" s="1"/>
  <c r="JI54" i="1" s="1"/>
  <c r="JI55" i="1" s="1"/>
  <c r="JJ44" i="1"/>
  <c r="JJ45" i="1" s="1"/>
  <c r="JJ46" i="1" s="1"/>
  <c r="JJ47" i="1" s="1"/>
  <c r="JJ48" i="1" s="1"/>
  <c r="JJ49" i="1" s="1"/>
  <c r="JJ50" i="1" s="1"/>
  <c r="JJ51" i="1" s="1"/>
  <c r="JJ52" i="1" s="1"/>
  <c r="JJ53" i="1" s="1"/>
  <c r="JJ54" i="1" s="1"/>
  <c r="JJ55" i="1" s="1"/>
  <c r="JK44" i="1"/>
  <c r="JK45" i="1" s="1"/>
  <c r="JK46" i="1" s="1"/>
  <c r="JK47" i="1" s="1"/>
  <c r="JK48" i="1" s="1"/>
  <c r="JK49" i="1" s="1"/>
  <c r="JK50" i="1" s="1"/>
  <c r="JK51" i="1" s="1"/>
  <c r="JK52" i="1" s="1"/>
  <c r="JK53" i="1" s="1"/>
  <c r="JK54" i="1" s="1"/>
  <c r="JK55" i="1" s="1"/>
  <c r="JL44" i="1"/>
  <c r="JL45" i="1" s="1"/>
  <c r="JL46" i="1" s="1"/>
  <c r="JL47" i="1" s="1"/>
  <c r="JL48" i="1" s="1"/>
  <c r="JL49" i="1" s="1"/>
  <c r="JL50" i="1" s="1"/>
  <c r="JL51" i="1" s="1"/>
  <c r="JL52" i="1" s="1"/>
  <c r="JL53" i="1" s="1"/>
  <c r="JL54" i="1" s="1"/>
  <c r="JL55" i="1" s="1"/>
  <c r="JM44" i="1"/>
  <c r="JM45" i="1" s="1"/>
  <c r="JM46" i="1" s="1"/>
  <c r="JM47" i="1" s="1"/>
  <c r="JM48" i="1" s="1"/>
  <c r="JM49" i="1" s="1"/>
  <c r="JM50" i="1" s="1"/>
  <c r="JM51" i="1" s="1"/>
  <c r="JM52" i="1" s="1"/>
  <c r="JM53" i="1" s="1"/>
  <c r="JM54" i="1" s="1"/>
  <c r="JM55" i="1" s="1"/>
  <c r="JN44" i="1"/>
  <c r="JN45" i="1" s="1"/>
  <c r="JN46" i="1" s="1"/>
  <c r="JN47" i="1" s="1"/>
  <c r="JN48" i="1" s="1"/>
  <c r="JN49" i="1" s="1"/>
  <c r="JN50" i="1" s="1"/>
  <c r="JN51" i="1" s="1"/>
  <c r="JN52" i="1" s="1"/>
  <c r="JN53" i="1" s="1"/>
  <c r="JN54" i="1" s="1"/>
  <c r="JN55" i="1" s="1"/>
  <c r="JO44" i="1"/>
  <c r="JO45" i="1" s="1"/>
  <c r="JO46" i="1" s="1"/>
  <c r="JO47" i="1" s="1"/>
  <c r="JO48" i="1" s="1"/>
  <c r="JO49" i="1" s="1"/>
  <c r="JO50" i="1" s="1"/>
  <c r="JO51" i="1" s="1"/>
  <c r="JO52" i="1" s="1"/>
  <c r="JO53" i="1" s="1"/>
  <c r="JO54" i="1" s="1"/>
  <c r="JO55" i="1" s="1"/>
  <c r="JP44" i="1"/>
  <c r="JP45" i="1" s="1"/>
  <c r="JP46" i="1" s="1"/>
  <c r="JP47" i="1" s="1"/>
  <c r="JP48" i="1" s="1"/>
  <c r="JP49" i="1" s="1"/>
  <c r="JP50" i="1" s="1"/>
  <c r="JP51" i="1" s="1"/>
  <c r="JP52" i="1" s="1"/>
  <c r="JP53" i="1" s="1"/>
  <c r="JP54" i="1" s="1"/>
  <c r="JP55" i="1" s="1"/>
  <c r="JQ44" i="1"/>
  <c r="JQ45" i="1" s="1"/>
  <c r="JQ46" i="1" s="1"/>
  <c r="JQ47" i="1" s="1"/>
  <c r="JQ48" i="1" s="1"/>
  <c r="JQ49" i="1" s="1"/>
  <c r="JQ50" i="1" s="1"/>
  <c r="JQ51" i="1" s="1"/>
  <c r="JQ52" i="1" s="1"/>
  <c r="JQ53" i="1" s="1"/>
  <c r="JQ54" i="1" s="1"/>
  <c r="JQ55" i="1" s="1"/>
  <c r="JR44" i="1"/>
  <c r="JR45" i="1" s="1"/>
  <c r="JR46" i="1" s="1"/>
  <c r="JR47" i="1" s="1"/>
  <c r="JR48" i="1" s="1"/>
  <c r="JR49" i="1" s="1"/>
  <c r="JR50" i="1" s="1"/>
  <c r="JR51" i="1" s="1"/>
  <c r="JR52" i="1" s="1"/>
  <c r="JR53" i="1" s="1"/>
  <c r="JR54" i="1" s="1"/>
  <c r="JR55" i="1" s="1"/>
  <c r="JS44" i="1"/>
  <c r="JS45" i="1" s="1"/>
  <c r="JS46" i="1" s="1"/>
  <c r="JS47" i="1" s="1"/>
  <c r="JS48" i="1" s="1"/>
  <c r="JS49" i="1" s="1"/>
  <c r="JS50" i="1" s="1"/>
  <c r="JS51" i="1" s="1"/>
  <c r="JS52" i="1" s="1"/>
  <c r="JS53" i="1" s="1"/>
  <c r="JS54" i="1" s="1"/>
  <c r="JS55" i="1" s="1"/>
  <c r="JT44" i="1"/>
  <c r="JT45" i="1" s="1"/>
  <c r="JT46" i="1" s="1"/>
  <c r="JT47" i="1" s="1"/>
  <c r="JT48" i="1" s="1"/>
  <c r="JT49" i="1" s="1"/>
  <c r="JT50" i="1" s="1"/>
  <c r="JT51" i="1" s="1"/>
  <c r="JT52" i="1" s="1"/>
  <c r="JT53" i="1" s="1"/>
  <c r="JT54" i="1" s="1"/>
  <c r="JT55" i="1" s="1"/>
  <c r="JU44" i="1"/>
  <c r="JU45" i="1" s="1"/>
  <c r="JU46" i="1" s="1"/>
  <c r="JU47" i="1" s="1"/>
  <c r="JU48" i="1" s="1"/>
  <c r="JU49" i="1" s="1"/>
  <c r="JU50" i="1" s="1"/>
  <c r="JU51" i="1" s="1"/>
  <c r="JU52" i="1" s="1"/>
  <c r="JU53" i="1" s="1"/>
  <c r="JU54" i="1" s="1"/>
  <c r="JU55" i="1" s="1"/>
  <c r="JV44" i="1"/>
  <c r="JV45" i="1" s="1"/>
  <c r="JV46" i="1" s="1"/>
  <c r="JV47" i="1" s="1"/>
  <c r="JV48" i="1" s="1"/>
  <c r="JV49" i="1" s="1"/>
  <c r="JV50" i="1" s="1"/>
  <c r="JV51" i="1" s="1"/>
  <c r="JV52" i="1" s="1"/>
  <c r="JV53" i="1" s="1"/>
  <c r="JV54" i="1" s="1"/>
  <c r="JV55" i="1" s="1"/>
  <c r="JW44" i="1"/>
  <c r="JW45" i="1" s="1"/>
  <c r="JW46" i="1" s="1"/>
  <c r="JW47" i="1" s="1"/>
  <c r="JW48" i="1" s="1"/>
  <c r="JW49" i="1" s="1"/>
  <c r="JW50" i="1" s="1"/>
  <c r="JW51" i="1" s="1"/>
  <c r="JW52" i="1" s="1"/>
  <c r="JW53" i="1" s="1"/>
  <c r="JW54" i="1" s="1"/>
  <c r="JW55" i="1" s="1"/>
  <c r="JX44" i="1"/>
  <c r="JX45" i="1" s="1"/>
  <c r="JX46" i="1" s="1"/>
  <c r="JX47" i="1" s="1"/>
  <c r="JX48" i="1" s="1"/>
  <c r="JX49" i="1" s="1"/>
  <c r="JX50" i="1" s="1"/>
  <c r="JX51" i="1" s="1"/>
  <c r="JX52" i="1" s="1"/>
  <c r="JX53" i="1" s="1"/>
  <c r="JX54" i="1" s="1"/>
  <c r="JX55" i="1" s="1"/>
  <c r="JY44" i="1"/>
  <c r="JY45" i="1" s="1"/>
  <c r="JY46" i="1" s="1"/>
  <c r="JY47" i="1" s="1"/>
  <c r="JY48" i="1" s="1"/>
  <c r="JY49" i="1" s="1"/>
  <c r="JY50" i="1" s="1"/>
  <c r="JY51" i="1" s="1"/>
  <c r="JY52" i="1" s="1"/>
  <c r="JY53" i="1" s="1"/>
  <c r="JY54" i="1" s="1"/>
  <c r="JY55" i="1" s="1"/>
  <c r="IY44" i="1"/>
  <c r="IY45" i="1" s="1"/>
  <c r="IY46" i="1" s="1"/>
  <c r="IY47" i="1" s="1"/>
  <c r="IY48" i="1" s="1"/>
  <c r="IY49" i="1" s="1"/>
  <c r="IY50" i="1" s="1"/>
  <c r="IY51" i="1" s="1"/>
  <c r="IY52" i="1" s="1"/>
  <c r="IY53" i="1" s="1"/>
  <c r="IY54" i="1" s="1"/>
  <c r="IY55" i="1" s="1"/>
  <c r="IX44" i="1"/>
  <c r="IX45" i="1" s="1"/>
  <c r="IX46" i="1" s="1"/>
  <c r="IX47" i="1" s="1"/>
  <c r="IX48" i="1" s="1"/>
  <c r="IX49" i="1" s="1"/>
  <c r="IX50" i="1" s="1"/>
  <c r="IX51" i="1" s="1"/>
  <c r="IX52" i="1" s="1"/>
  <c r="IX53" i="1" s="1"/>
  <c r="IX54" i="1" s="1"/>
  <c r="IX55" i="1" s="1"/>
  <c r="IW44" i="1"/>
  <c r="IW45" i="1" s="1"/>
  <c r="IW46" i="1" s="1"/>
  <c r="IW47" i="1" s="1"/>
  <c r="IW48" i="1" s="1"/>
  <c r="IW49" i="1" s="1"/>
  <c r="IW50" i="1" s="1"/>
  <c r="IW51" i="1" s="1"/>
  <c r="IW52" i="1" s="1"/>
  <c r="IW53" i="1" s="1"/>
  <c r="IW54" i="1" s="1"/>
  <c r="IW55" i="1" s="1"/>
  <c r="IV44" i="1"/>
  <c r="IV45" i="1" s="1"/>
  <c r="IV46" i="1" s="1"/>
  <c r="IV47" i="1" s="1"/>
  <c r="IV48" i="1" s="1"/>
  <c r="IV49" i="1" s="1"/>
  <c r="IV50" i="1" s="1"/>
  <c r="IV51" i="1" s="1"/>
  <c r="IV52" i="1" s="1"/>
  <c r="IV53" i="1" s="1"/>
  <c r="IV54" i="1" s="1"/>
  <c r="IV55" i="1" s="1"/>
  <c r="IU44" i="1"/>
  <c r="IU45" i="1" s="1"/>
  <c r="IU46" i="1" s="1"/>
  <c r="IU47" i="1" s="1"/>
  <c r="IU48" i="1" s="1"/>
  <c r="IU49" i="1" s="1"/>
  <c r="IU50" i="1" s="1"/>
  <c r="IU51" i="1" s="1"/>
  <c r="IU52" i="1" s="1"/>
  <c r="IU53" i="1" s="1"/>
  <c r="IU54" i="1" s="1"/>
  <c r="IU55" i="1" s="1"/>
  <c r="IT44" i="1"/>
  <c r="IT45" i="1" s="1"/>
  <c r="IT46" i="1" s="1"/>
  <c r="IT47" i="1" s="1"/>
  <c r="IT48" i="1" s="1"/>
  <c r="IT49" i="1" s="1"/>
  <c r="IT50" i="1" s="1"/>
  <c r="IT51" i="1" s="1"/>
  <c r="IT52" i="1" s="1"/>
  <c r="IT53" i="1" s="1"/>
  <c r="IT54" i="1" s="1"/>
  <c r="IT55" i="1" s="1"/>
  <c r="IS44" i="1"/>
  <c r="IS45" i="1" s="1"/>
  <c r="IS46" i="1" s="1"/>
  <c r="IS47" i="1" s="1"/>
  <c r="IS48" i="1" s="1"/>
  <c r="IS49" i="1" s="1"/>
  <c r="IS50" i="1" s="1"/>
  <c r="IS51" i="1" s="1"/>
  <c r="IS52" i="1" s="1"/>
  <c r="IS53" i="1" s="1"/>
  <c r="IS54" i="1" s="1"/>
  <c r="IS55" i="1" s="1"/>
  <c r="IR44" i="1"/>
  <c r="IR45" i="1" s="1"/>
  <c r="IR46" i="1" s="1"/>
  <c r="IR47" i="1" s="1"/>
  <c r="IR48" i="1" s="1"/>
  <c r="IR49" i="1" s="1"/>
  <c r="IR50" i="1" s="1"/>
  <c r="IR51" i="1" s="1"/>
  <c r="IR52" i="1" s="1"/>
  <c r="IR53" i="1" s="1"/>
  <c r="IR54" i="1" s="1"/>
  <c r="IR55" i="1" s="1"/>
  <c r="GU44" i="1"/>
  <c r="GW44" i="1" s="1"/>
  <c r="GV44" i="1"/>
  <c r="GX44" i="1" s="1"/>
  <c r="HI44" i="1"/>
  <c r="HJ44" i="1"/>
  <c r="IP43" i="1"/>
  <c r="IO43" i="1"/>
  <c r="IN43" i="1"/>
  <c r="IM43" i="1"/>
  <c r="IL43" i="1"/>
  <c r="IK43" i="1"/>
  <c r="IJ43" i="1"/>
  <c r="II43" i="1"/>
  <c r="IH43" i="1"/>
  <c r="IG43" i="1"/>
  <c r="IE43" i="1"/>
  <c r="ID43" i="1"/>
  <c r="IB43" i="1"/>
  <c r="IA43" i="1"/>
  <c r="HZ43" i="1"/>
  <c r="HY43" i="1"/>
  <c r="HX43" i="1"/>
  <c r="HV43" i="1"/>
  <c r="HW43" i="1"/>
  <c r="HU43" i="1"/>
  <c r="GV43" i="1"/>
  <c r="GX43" i="1" s="1"/>
  <c r="HJ43" i="1"/>
  <c r="GU43" i="1"/>
  <c r="GW43" i="1" s="1"/>
  <c r="HI43" i="1"/>
  <c r="GT43" i="1"/>
  <c r="IC43" i="1"/>
  <c r="IQ43" i="1"/>
  <c r="ER36" i="1"/>
  <c r="ES36" i="1"/>
  <c r="EU36" i="1" s="1"/>
  <c r="FC36" i="1" s="1"/>
  <c r="ET36" i="1"/>
  <c r="EV36" i="1" s="1"/>
  <c r="FD36" i="1" s="1"/>
  <c r="EY36" i="1"/>
  <c r="EZ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ER37" i="1"/>
  <c r="ES37" i="1"/>
  <c r="FA37" i="1" s="1"/>
  <c r="ET37" i="1"/>
  <c r="FB37" i="1" s="1"/>
  <c r="EY37" i="1"/>
  <c r="EZ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ER38" i="1"/>
  <c r="ES38" i="1"/>
  <c r="EU38" i="1" s="1"/>
  <c r="FC38" i="1" s="1"/>
  <c r="ET38" i="1"/>
  <c r="EV38" i="1" s="1"/>
  <c r="FD38" i="1" s="1"/>
  <c r="EY38" i="1"/>
  <c r="EZ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ER39" i="1"/>
  <c r="ES39" i="1"/>
  <c r="FA39" i="1" s="1"/>
  <c r="ET39" i="1"/>
  <c r="FB39" i="1" s="1"/>
  <c r="EY39" i="1"/>
  <c r="EZ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ER40" i="1"/>
  <c r="ES40" i="1"/>
  <c r="EU40" i="1" s="1"/>
  <c r="FC40" i="1" s="1"/>
  <c r="ET40" i="1"/>
  <c r="EV40" i="1" s="1"/>
  <c r="FD40" i="1" s="1"/>
  <c r="EY40" i="1"/>
  <c r="EZ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ER41" i="1"/>
  <c r="ES41" i="1"/>
  <c r="FA41" i="1" s="1"/>
  <c r="ET41" i="1"/>
  <c r="FB41" i="1" s="1"/>
  <c r="EY41" i="1"/>
  <c r="EZ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ER42" i="1"/>
  <c r="ES42" i="1"/>
  <c r="EU42" i="1" s="1"/>
  <c r="FC42" i="1" s="1"/>
  <c r="ET42" i="1"/>
  <c r="EV42" i="1" s="1"/>
  <c r="FD42" i="1" s="1"/>
  <c r="EY42" i="1"/>
  <c r="EZ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AR39" i="1"/>
  <c r="AR40" i="1"/>
  <c r="AR41" i="1"/>
  <c r="AR42" i="1"/>
  <c r="AR34" i="1"/>
  <c r="AR35" i="1"/>
  <c r="AR36" i="1"/>
  <c r="AR37" i="1"/>
  <c r="AR38" i="1"/>
  <c r="AN38" i="1"/>
  <c r="AO38" i="1"/>
  <c r="AN39" i="1"/>
  <c r="AO39" i="1"/>
  <c r="AN40" i="1"/>
  <c r="AO40" i="1"/>
  <c r="AN41" i="1"/>
  <c r="AO41" i="1"/>
  <c r="AN42" i="1"/>
  <c r="AO42" i="1"/>
  <c r="AO35" i="1"/>
  <c r="AO36" i="1"/>
  <c r="AO37" i="1"/>
  <c r="AO34" i="1"/>
  <c r="AN35" i="1"/>
  <c r="AN36" i="1"/>
  <c r="AN37" i="1"/>
  <c r="AN34" i="1"/>
  <c r="FN35" i="1"/>
  <c r="FO35" i="1"/>
  <c r="FP35" i="1"/>
  <c r="FQ35" i="1"/>
  <c r="FR35" i="1"/>
  <c r="FS35" i="1"/>
  <c r="FT35" i="1"/>
  <c r="FU35" i="1"/>
  <c r="FT34" i="1"/>
  <c r="FU34" i="1"/>
  <c r="FS34" i="1"/>
  <c r="FR34" i="1"/>
  <c r="FQ34" i="1"/>
  <c r="FO34" i="1"/>
  <c r="FP34" i="1"/>
  <c r="FI35" i="1"/>
  <c r="FJ35" i="1"/>
  <c r="FK35" i="1"/>
  <c r="FL35" i="1"/>
  <c r="FM35" i="1"/>
  <c r="FM34" i="1"/>
  <c r="FL34" i="1"/>
  <c r="FK34" i="1"/>
  <c r="FJ34" i="1"/>
  <c r="FI34" i="1"/>
  <c r="FN34" i="1"/>
  <c r="FF34" i="1"/>
  <c r="FE34" i="1"/>
  <c r="EY35" i="1"/>
  <c r="EZ35" i="1"/>
  <c r="EZ34" i="1"/>
  <c r="EY34" i="1"/>
  <c r="FH34" i="1"/>
  <c r="ET35" i="1"/>
  <c r="EV35" i="1" s="1"/>
  <c r="FD35" i="1" s="1"/>
  <c r="ES35" i="1"/>
  <c r="EU35" i="1" s="1"/>
  <c r="FC35" i="1" s="1"/>
  <c r="ET34" i="1"/>
  <c r="EV34" i="1" s="1"/>
  <c r="FD34" i="1" s="1"/>
  <c r="ES34" i="1"/>
  <c r="EU34" i="1" s="1"/>
  <c r="FC34" i="1" s="1"/>
  <c r="CM3" i="1"/>
  <c r="CN3" i="1"/>
  <c r="CM4" i="1"/>
  <c r="CN4" i="1"/>
  <c r="CM5" i="1"/>
  <c r="CN5" i="1"/>
  <c r="CM6" i="1"/>
  <c r="CN6" i="1"/>
  <c r="CM7" i="1"/>
  <c r="CN7" i="1"/>
  <c r="CM8" i="1"/>
  <c r="CN8" i="1"/>
  <c r="CM9" i="1"/>
  <c r="CN9" i="1"/>
  <c r="CM10" i="1"/>
  <c r="CN10" i="1"/>
  <c r="CM11" i="1"/>
  <c r="CN11" i="1"/>
  <c r="CM12" i="1"/>
  <c r="CN12" i="1"/>
  <c r="CM13" i="1"/>
  <c r="CN13" i="1"/>
  <c r="CM14" i="1"/>
  <c r="CN14" i="1"/>
  <c r="CM15" i="1"/>
  <c r="CN15" i="1"/>
  <c r="CM16" i="1"/>
  <c r="CN16" i="1"/>
  <c r="CM17" i="1"/>
  <c r="CN17" i="1"/>
  <c r="CM18" i="1"/>
  <c r="CN18" i="1"/>
  <c r="CM19" i="1"/>
  <c r="CN19" i="1"/>
  <c r="CM20" i="1"/>
  <c r="CN20" i="1"/>
  <c r="CM21" i="1"/>
  <c r="CN21" i="1"/>
  <c r="CM22" i="1"/>
  <c r="CN22" i="1"/>
  <c r="CM23" i="1"/>
  <c r="CN23" i="1"/>
  <c r="CM24" i="1"/>
  <c r="CN24" i="1"/>
  <c r="CM25" i="1"/>
  <c r="CN25" i="1"/>
  <c r="CM26" i="1"/>
  <c r="CN26" i="1"/>
  <c r="CM27" i="1"/>
  <c r="CN27" i="1"/>
  <c r="CM28" i="1"/>
  <c r="CN28" i="1"/>
  <c r="CM29" i="1"/>
  <c r="CN29" i="1"/>
  <c r="CM30" i="1"/>
  <c r="CN30" i="1"/>
  <c r="CM31" i="1"/>
  <c r="CN31" i="1"/>
  <c r="CM32" i="1"/>
  <c r="CN32" i="1"/>
  <c r="CM33" i="1"/>
  <c r="CN33" i="1"/>
  <c r="CN2" i="1"/>
  <c r="CM2" i="1"/>
  <c r="CL33" i="1"/>
  <c r="CO3" i="1"/>
  <c r="CP3" i="1"/>
  <c r="CQ3" i="1"/>
  <c r="CR3" i="1"/>
  <c r="CS3" i="1"/>
  <c r="CT3" i="1"/>
  <c r="CO4" i="1"/>
  <c r="CP4" i="1"/>
  <c r="CQ4" i="1"/>
  <c r="CR4" i="1"/>
  <c r="CS4" i="1"/>
  <c r="CT4" i="1"/>
  <c r="CO5" i="1"/>
  <c r="CP5" i="1"/>
  <c r="CQ5" i="1"/>
  <c r="CR5" i="1"/>
  <c r="CS5" i="1"/>
  <c r="CT5" i="1"/>
  <c r="CO6" i="1"/>
  <c r="CP6" i="1"/>
  <c r="CQ6" i="1"/>
  <c r="CR6" i="1"/>
  <c r="CS6" i="1"/>
  <c r="CT6" i="1"/>
  <c r="CO7" i="1"/>
  <c r="CP7" i="1"/>
  <c r="CQ7" i="1"/>
  <c r="CR7" i="1"/>
  <c r="CS7" i="1"/>
  <c r="CT7" i="1"/>
  <c r="CO8" i="1"/>
  <c r="CP8" i="1"/>
  <c r="CQ8" i="1"/>
  <c r="CR8" i="1"/>
  <c r="CS8" i="1"/>
  <c r="CT8" i="1"/>
  <c r="CO9" i="1"/>
  <c r="CP9" i="1"/>
  <c r="CQ9" i="1"/>
  <c r="CR9" i="1"/>
  <c r="CS9" i="1"/>
  <c r="CT9" i="1"/>
  <c r="CO10" i="1"/>
  <c r="CP10" i="1"/>
  <c r="CQ10" i="1"/>
  <c r="CR10" i="1"/>
  <c r="CS10" i="1"/>
  <c r="CT10" i="1"/>
  <c r="CO11" i="1"/>
  <c r="CP11" i="1"/>
  <c r="CQ11" i="1"/>
  <c r="CR11" i="1"/>
  <c r="CS11" i="1"/>
  <c r="CT11" i="1"/>
  <c r="CO12" i="1"/>
  <c r="CP12" i="1"/>
  <c r="CQ12" i="1"/>
  <c r="CR12" i="1"/>
  <c r="CS12" i="1"/>
  <c r="CT12" i="1"/>
  <c r="CO13" i="1"/>
  <c r="CP13" i="1"/>
  <c r="CQ13" i="1"/>
  <c r="CR13" i="1"/>
  <c r="CS13" i="1"/>
  <c r="CT13" i="1"/>
  <c r="CO14" i="1"/>
  <c r="CP14" i="1"/>
  <c r="CQ14" i="1"/>
  <c r="CR14" i="1"/>
  <c r="CS14" i="1"/>
  <c r="CT14" i="1"/>
  <c r="CO15" i="1"/>
  <c r="CP15" i="1"/>
  <c r="CQ15" i="1"/>
  <c r="CR15" i="1"/>
  <c r="CS15" i="1"/>
  <c r="CT15" i="1"/>
  <c r="CO16" i="1"/>
  <c r="CP16" i="1"/>
  <c r="CQ16" i="1"/>
  <c r="CR16" i="1"/>
  <c r="CS16" i="1"/>
  <c r="CT16" i="1"/>
  <c r="CO17" i="1"/>
  <c r="CP17" i="1"/>
  <c r="CQ17" i="1"/>
  <c r="CR17" i="1"/>
  <c r="CS17" i="1"/>
  <c r="CT17" i="1"/>
  <c r="CO18" i="1"/>
  <c r="CP18" i="1"/>
  <c r="CQ18" i="1"/>
  <c r="CR18" i="1"/>
  <c r="CS18" i="1"/>
  <c r="CT18" i="1"/>
  <c r="CO19" i="1"/>
  <c r="CP19" i="1"/>
  <c r="CQ19" i="1"/>
  <c r="CR19" i="1"/>
  <c r="CS19" i="1"/>
  <c r="CT19" i="1"/>
  <c r="CO20" i="1"/>
  <c r="CP20" i="1"/>
  <c r="CQ20" i="1"/>
  <c r="CR20" i="1"/>
  <c r="CS20" i="1"/>
  <c r="CT20" i="1"/>
  <c r="CO21" i="1"/>
  <c r="CP21" i="1"/>
  <c r="CQ21" i="1"/>
  <c r="CR21" i="1"/>
  <c r="CS21" i="1"/>
  <c r="CT21" i="1"/>
  <c r="CO22" i="1"/>
  <c r="CP22" i="1"/>
  <c r="CQ22" i="1"/>
  <c r="CR22" i="1"/>
  <c r="CS22" i="1"/>
  <c r="CT22" i="1"/>
  <c r="CO23" i="1"/>
  <c r="CP23" i="1"/>
  <c r="CQ23" i="1"/>
  <c r="CR23" i="1"/>
  <c r="CS23" i="1"/>
  <c r="CT23" i="1"/>
  <c r="CO24" i="1"/>
  <c r="CP24" i="1"/>
  <c r="CQ24" i="1"/>
  <c r="CR24" i="1"/>
  <c r="CS24" i="1"/>
  <c r="CT24" i="1"/>
  <c r="CO25" i="1"/>
  <c r="CP25" i="1"/>
  <c r="CQ25" i="1"/>
  <c r="CR25" i="1"/>
  <c r="CS25" i="1"/>
  <c r="CT25" i="1"/>
  <c r="CO26" i="1"/>
  <c r="CP26" i="1"/>
  <c r="CQ26" i="1"/>
  <c r="CR26" i="1"/>
  <c r="CS26" i="1"/>
  <c r="CT26" i="1"/>
  <c r="CO27" i="1"/>
  <c r="CP27" i="1"/>
  <c r="CQ27" i="1"/>
  <c r="CR27" i="1"/>
  <c r="CS27" i="1"/>
  <c r="CT27" i="1"/>
  <c r="CO28" i="1"/>
  <c r="CP28" i="1"/>
  <c r="CQ28" i="1"/>
  <c r="CR28" i="1"/>
  <c r="CS28" i="1"/>
  <c r="CT28" i="1"/>
  <c r="CO29" i="1"/>
  <c r="CP29" i="1"/>
  <c r="CQ29" i="1"/>
  <c r="CR29" i="1"/>
  <c r="CS29" i="1"/>
  <c r="CT29" i="1"/>
  <c r="CO30" i="1"/>
  <c r="CP30" i="1"/>
  <c r="CQ30" i="1"/>
  <c r="CR30" i="1"/>
  <c r="CS30" i="1"/>
  <c r="CT30" i="1"/>
  <c r="CO31" i="1"/>
  <c r="CP31" i="1"/>
  <c r="CQ31" i="1"/>
  <c r="CR31" i="1"/>
  <c r="CS31" i="1"/>
  <c r="CT31" i="1"/>
  <c r="CO32" i="1"/>
  <c r="CP32" i="1"/>
  <c r="CQ32" i="1"/>
  <c r="CR32" i="1"/>
  <c r="CS32" i="1"/>
  <c r="CT32" i="1"/>
  <c r="CO33" i="1"/>
  <c r="CP33" i="1"/>
  <c r="CQ33" i="1"/>
  <c r="CR33" i="1"/>
  <c r="CS33" i="1"/>
  <c r="CT33" i="1"/>
  <c r="CT2" i="1"/>
  <c r="CS2" i="1"/>
  <c r="CR2" i="1"/>
  <c r="CP2" i="1"/>
  <c r="CQ2" i="1"/>
  <c r="CO2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2" i="1"/>
  <c r="BG33" i="1"/>
  <c r="BI33" i="1" s="1"/>
  <c r="BU33" i="1"/>
  <c r="BF33" i="1"/>
  <c r="BH33" i="1" s="1"/>
  <c r="BJ33" i="1" s="1"/>
  <c r="BT33" i="1"/>
  <c r="BE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ER35" i="1"/>
  <c r="ER34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2" i="1"/>
  <c r="DH32" i="1"/>
  <c r="DG32" i="1"/>
  <c r="DF32" i="1"/>
  <c r="DE32" i="1"/>
  <c r="DD32" i="1"/>
  <c r="DC32" i="1"/>
  <c r="DB32" i="1"/>
  <c r="CZ32" i="1"/>
  <c r="CY32" i="1"/>
  <c r="CX32" i="1"/>
  <c r="CW32" i="1"/>
  <c r="CV32" i="1"/>
  <c r="CU32" i="1"/>
  <c r="CG32" i="1"/>
  <c r="CF32" i="1"/>
  <c r="BU32" i="1"/>
  <c r="BT32" i="1"/>
  <c r="CI32" i="1"/>
  <c r="BG32" i="1"/>
  <c r="BW32" i="1" s="1"/>
  <c r="BF32" i="1"/>
  <c r="BV32" i="1" s="1"/>
  <c r="BE32" i="1"/>
  <c r="DH31" i="1"/>
  <c r="DG31" i="1"/>
  <c r="DF31" i="1"/>
  <c r="DE31" i="1"/>
  <c r="DD31" i="1"/>
  <c r="DC31" i="1"/>
  <c r="DB31" i="1"/>
  <c r="CZ31" i="1"/>
  <c r="CY31" i="1"/>
  <c r="CX31" i="1"/>
  <c r="CW31" i="1"/>
  <c r="CV31" i="1"/>
  <c r="CU31" i="1"/>
  <c r="BU31" i="1"/>
  <c r="BT31" i="1"/>
  <c r="BG31" i="1"/>
  <c r="BI31" i="1" s="1"/>
  <c r="BF31" i="1"/>
  <c r="BH31" i="1" s="1"/>
  <c r="BE31" i="1"/>
  <c r="DH30" i="1"/>
  <c r="DG30" i="1"/>
  <c r="DF30" i="1"/>
  <c r="DE30" i="1"/>
  <c r="DD30" i="1"/>
  <c r="DC30" i="1"/>
  <c r="DB30" i="1"/>
  <c r="CZ30" i="1"/>
  <c r="CY30" i="1"/>
  <c r="CX30" i="1"/>
  <c r="CW30" i="1"/>
  <c r="CV30" i="1"/>
  <c r="CU30" i="1"/>
  <c r="BU30" i="1"/>
  <c r="BT30" i="1"/>
  <c r="BG30" i="1"/>
  <c r="BI30" i="1" s="1"/>
  <c r="BY30" i="1" s="1"/>
  <c r="BF30" i="1"/>
  <c r="BV30" i="1" s="1"/>
  <c r="BE30" i="1"/>
  <c r="DH29" i="1"/>
  <c r="DG29" i="1"/>
  <c r="DF29" i="1"/>
  <c r="DE29" i="1"/>
  <c r="DD29" i="1"/>
  <c r="DC29" i="1"/>
  <c r="DB29" i="1"/>
  <c r="CZ29" i="1"/>
  <c r="CY29" i="1"/>
  <c r="CX29" i="1"/>
  <c r="CW29" i="1"/>
  <c r="CV29" i="1"/>
  <c r="CU29" i="1"/>
  <c r="BU29" i="1"/>
  <c r="BT29" i="1"/>
  <c r="BG29" i="1"/>
  <c r="BW29" i="1" s="1"/>
  <c r="BF29" i="1"/>
  <c r="BV29" i="1" s="1"/>
  <c r="BE29" i="1"/>
  <c r="DH28" i="1"/>
  <c r="DG28" i="1"/>
  <c r="DF28" i="1"/>
  <c r="DE28" i="1"/>
  <c r="DD28" i="1"/>
  <c r="DC28" i="1"/>
  <c r="DB28" i="1"/>
  <c r="CZ28" i="1"/>
  <c r="CY28" i="1"/>
  <c r="CX28" i="1"/>
  <c r="CW28" i="1"/>
  <c r="CV28" i="1"/>
  <c r="CU28" i="1"/>
  <c r="BU28" i="1"/>
  <c r="BT28" i="1"/>
  <c r="BG28" i="1"/>
  <c r="BW28" i="1" s="1"/>
  <c r="BF28" i="1"/>
  <c r="BV28" i="1" s="1"/>
  <c r="BE28" i="1"/>
  <c r="DH27" i="1"/>
  <c r="DG27" i="1"/>
  <c r="DF27" i="1"/>
  <c r="DE27" i="1"/>
  <c r="DD27" i="1"/>
  <c r="DC27" i="1"/>
  <c r="DB27" i="1"/>
  <c r="CZ27" i="1"/>
  <c r="CY27" i="1"/>
  <c r="CX27" i="1"/>
  <c r="CW27" i="1"/>
  <c r="CV27" i="1"/>
  <c r="CU27" i="1"/>
  <c r="BU27" i="1"/>
  <c r="BT27" i="1"/>
  <c r="BG27" i="1"/>
  <c r="BI27" i="1" s="1"/>
  <c r="BF27" i="1"/>
  <c r="BH27" i="1" s="1"/>
  <c r="BE27" i="1"/>
  <c r="DH26" i="1"/>
  <c r="DG26" i="1"/>
  <c r="DF26" i="1"/>
  <c r="DE26" i="1"/>
  <c r="DD26" i="1"/>
  <c r="DC26" i="1"/>
  <c r="DB26" i="1"/>
  <c r="CZ26" i="1"/>
  <c r="CY26" i="1"/>
  <c r="CX26" i="1"/>
  <c r="CW26" i="1"/>
  <c r="CV26" i="1"/>
  <c r="CU26" i="1"/>
  <c r="BU26" i="1"/>
  <c r="BT26" i="1"/>
  <c r="BG26" i="1"/>
  <c r="BI26" i="1" s="1"/>
  <c r="BY26" i="1" s="1"/>
  <c r="BF26" i="1"/>
  <c r="BH26" i="1" s="1"/>
  <c r="BX26" i="1" s="1"/>
  <c r="BE26" i="1"/>
  <c r="DH25" i="1"/>
  <c r="DG25" i="1"/>
  <c r="DF25" i="1"/>
  <c r="DE25" i="1"/>
  <c r="DD25" i="1"/>
  <c r="DC25" i="1"/>
  <c r="DB25" i="1"/>
  <c r="CZ25" i="1"/>
  <c r="CY25" i="1"/>
  <c r="CX25" i="1"/>
  <c r="CW25" i="1"/>
  <c r="CV25" i="1"/>
  <c r="CU25" i="1"/>
  <c r="BU25" i="1"/>
  <c r="BT25" i="1"/>
  <c r="BG25" i="1"/>
  <c r="BW25" i="1" s="1"/>
  <c r="BF25" i="1"/>
  <c r="BV25" i="1" s="1"/>
  <c r="BE25" i="1"/>
  <c r="DH24" i="1"/>
  <c r="DG24" i="1"/>
  <c r="DF24" i="1"/>
  <c r="DE24" i="1"/>
  <c r="DD24" i="1"/>
  <c r="DC24" i="1"/>
  <c r="DB24" i="1"/>
  <c r="CZ24" i="1"/>
  <c r="CY24" i="1"/>
  <c r="CX24" i="1"/>
  <c r="CW24" i="1"/>
  <c r="CV24" i="1"/>
  <c r="CU24" i="1"/>
  <c r="BU24" i="1"/>
  <c r="BT24" i="1"/>
  <c r="BG24" i="1"/>
  <c r="BW24" i="1" s="1"/>
  <c r="BF24" i="1"/>
  <c r="BV24" i="1" s="1"/>
  <c r="BE24" i="1"/>
  <c r="DH23" i="1"/>
  <c r="DG23" i="1"/>
  <c r="DF23" i="1"/>
  <c r="DE23" i="1"/>
  <c r="DD23" i="1"/>
  <c r="DC23" i="1"/>
  <c r="DB23" i="1"/>
  <c r="CZ23" i="1"/>
  <c r="CY23" i="1"/>
  <c r="CX23" i="1"/>
  <c r="CW23" i="1"/>
  <c r="CV23" i="1"/>
  <c r="CU23" i="1"/>
  <c r="BU23" i="1"/>
  <c r="BT23" i="1"/>
  <c r="BG23" i="1"/>
  <c r="BI23" i="1" s="1"/>
  <c r="BF23" i="1"/>
  <c r="BH23" i="1" s="1"/>
  <c r="BE23" i="1"/>
  <c r="DH22" i="1"/>
  <c r="DG22" i="1"/>
  <c r="DF22" i="1"/>
  <c r="DE22" i="1"/>
  <c r="DD22" i="1"/>
  <c r="DC22" i="1"/>
  <c r="DB22" i="1"/>
  <c r="CZ22" i="1"/>
  <c r="CY22" i="1"/>
  <c r="CX22" i="1"/>
  <c r="CW22" i="1"/>
  <c r="CV22" i="1"/>
  <c r="CU22" i="1"/>
  <c r="CG22" i="1"/>
  <c r="CF22" i="1"/>
  <c r="BU22" i="1"/>
  <c r="BT22" i="1"/>
  <c r="CK22" i="1"/>
  <c r="BG22" i="1"/>
  <c r="BI22" i="1" s="1"/>
  <c r="BY22" i="1" s="1"/>
  <c r="BF22" i="1"/>
  <c r="BV22" i="1" s="1"/>
  <c r="BE22" i="1"/>
  <c r="DH21" i="1"/>
  <c r="DG21" i="1"/>
  <c r="DF21" i="1"/>
  <c r="DE21" i="1"/>
  <c r="DD21" i="1"/>
  <c r="DC21" i="1"/>
  <c r="DB21" i="1"/>
  <c r="CZ21" i="1"/>
  <c r="CY21" i="1"/>
  <c r="CX21" i="1"/>
  <c r="CW21" i="1"/>
  <c r="CV21" i="1"/>
  <c r="CU21" i="1"/>
  <c r="BU21" i="1"/>
  <c r="BT21" i="1"/>
  <c r="BG21" i="1"/>
  <c r="BW21" i="1" s="1"/>
  <c r="BF21" i="1"/>
  <c r="BV21" i="1" s="1"/>
  <c r="BE21" i="1"/>
  <c r="DH20" i="1"/>
  <c r="DG20" i="1"/>
  <c r="DF20" i="1"/>
  <c r="DE20" i="1"/>
  <c r="DD20" i="1"/>
  <c r="DC20" i="1"/>
  <c r="DB20" i="1"/>
  <c r="CZ20" i="1"/>
  <c r="CY20" i="1"/>
  <c r="CX20" i="1"/>
  <c r="CW20" i="1"/>
  <c r="CV20" i="1"/>
  <c r="CU20" i="1"/>
  <c r="BU20" i="1"/>
  <c r="BT20" i="1"/>
  <c r="BG20" i="1"/>
  <c r="BW20" i="1" s="1"/>
  <c r="BF20" i="1"/>
  <c r="BV20" i="1" s="1"/>
  <c r="BE20" i="1"/>
  <c r="DH19" i="1"/>
  <c r="DG19" i="1"/>
  <c r="DF19" i="1"/>
  <c r="DE19" i="1"/>
  <c r="DD19" i="1"/>
  <c r="DC19" i="1"/>
  <c r="DB19" i="1"/>
  <c r="CZ19" i="1"/>
  <c r="CY19" i="1"/>
  <c r="CX19" i="1"/>
  <c r="CW19" i="1"/>
  <c r="CV19" i="1"/>
  <c r="CU19" i="1"/>
  <c r="BU19" i="1"/>
  <c r="BT19" i="1"/>
  <c r="BG19" i="1"/>
  <c r="BW19" i="1" s="1"/>
  <c r="BF19" i="1"/>
  <c r="BH19" i="1" s="1"/>
  <c r="BE19" i="1"/>
  <c r="DH18" i="1"/>
  <c r="DG18" i="1"/>
  <c r="DF18" i="1"/>
  <c r="DE18" i="1"/>
  <c r="DD18" i="1"/>
  <c r="DC18" i="1"/>
  <c r="DB18" i="1"/>
  <c r="CZ18" i="1"/>
  <c r="CY18" i="1"/>
  <c r="CX18" i="1"/>
  <c r="CW18" i="1"/>
  <c r="CV18" i="1"/>
  <c r="CU18" i="1"/>
  <c r="BU18" i="1"/>
  <c r="BT18" i="1"/>
  <c r="BG18" i="1"/>
  <c r="BW18" i="1" s="1"/>
  <c r="BF18" i="1"/>
  <c r="BH18" i="1" s="1"/>
  <c r="BX18" i="1" s="1"/>
  <c r="BE18" i="1"/>
  <c r="DH17" i="1"/>
  <c r="DG17" i="1"/>
  <c r="DF17" i="1"/>
  <c r="DE17" i="1"/>
  <c r="DD17" i="1"/>
  <c r="DC17" i="1"/>
  <c r="DB17" i="1"/>
  <c r="CZ17" i="1"/>
  <c r="CY17" i="1"/>
  <c r="CX17" i="1"/>
  <c r="CW17" i="1"/>
  <c r="CV17" i="1"/>
  <c r="CU17" i="1"/>
  <c r="BU17" i="1"/>
  <c r="BT17" i="1"/>
  <c r="BG17" i="1"/>
  <c r="BW17" i="1" s="1"/>
  <c r="BF17" i="1"/>
  <c r="BV17" i="1" s="1"/>
  <c r="BE17" i="1"/>
  <c r="DH16" i="1"/>
  <c r="DG16" i="1"/>
  <c r="DF16" i="1"/>
  <c r="DE16" i="1"/>
  <c r="DD16" i="1"/>
  <c r="DC16" i="1"/>
  <c r="DB16" i="1"/>
  <c r="CZ16" i="1"/>
  <c r="CY16" i="1"/>
  <c r="CX16" i="1"/>
  <c r="CW16" i="1"/>
  <c r="CV16" i="1"/>
  <c r="CU16" i="1"/>
  <c r="BU16" i="1"/>
  <c r="BT16" i="1"/>
  <c r="BG16" i="1"/>
  <c r="BW16" i="1" s="1"/>
  <c r="BF16" i="1"/>
  <c r="BV16" i="1" s="1"/>
  <c r="BE16" i="1"/>
  <c r="DH15" i="1"/>
  <c r="DG15" i="1"/>
  <c r="DF15" i="1"/>
  <c r="DE15" i="1"/>
  <c r="DD15" i="1"/>
  <c r="DC15" i="1"/>
  <c r="DB15" i="1"/>
  <c r="CZ15" i="1"/>
  <c r="CY15" i="1"/>
  <c r="CX15" i="1"/>
  <c r="CW15" i="1"/>
  <c r="CV15" i="1"/>
  <c r="CU15" i="1"/>
  <c r="BU15" i="1"/>
  <c r="BT15" i="1"/>
  <c r="BG15" i="1"/>
  <c r="BW15" i="1" s="1"/>
  <c r="BF15" i="1"/>
  <c r="BH15" i="1" s="1"/>
  <c r="BE15" i="1"/>
  <c r="DH14" i="1"/>
  <c r="DG14" i="1"/>
  <c r="DF14" i="1"/>
  <c r="DE14" i="1"/>
  <c r="DD14" i="1"/>
  <c r="DC14" i="1"/>
  <c r="DB14" i="1"/>
  <c r="CZ14" i="1"/>
  <c r="CY14" i="1"/>
  <c r="CX14" i="1"/>
  <c r="CW14" i="1"/>
  <c r="CV14" i="1"/>
  <c r="CU14" i="1"/>
  <c r="BU14" i="1"/>
  <c r="BT14" i="1"/>
  <c r="BG14" i="1"/>
  <c r="BW14" i="1" s="1"/>
  <c r="BF14" i="1"/>
  <c r="BH14" i="1" s="1"/>
  <c r="BX14" i="1" s="1"/>
  <c r="BE14" i="1"/>
  <c r="DH13" i="1"/>
  <c r="DG13" i="1"/>
  <c r="DF13" i="1"/>
  <c r="DE13" i="1"/>
  <c r="DD13" i="1"/>
  <c r="DC13" i="1"/>
  <c r="DB13" i="1"/>
  <c r="CZ13" i="1"/>
  <c r="CY13" i="1"/>
  <c r="CX13" i="1"/>
  <c r="CW13" i="1"/>
  <c r="CV13" i="1"/>
  <c r="CU13" i="1"/>
  <c r="BU13" i="1"/>
  <c r="BT13" i="1"/>
  <c r="BG13" i="1"/>
  <c r="BW13" i="1" s="1"/>
  <c r="BF13" i="1"/>
  <c r="BV13" i="1" s="1"/>
  <c r="BE13" i="1"/>
  <c r="DH12" i="1"/>
  <c r="DG12" i="1"/>
  <c r="DF12" i="1"/>
  <c r="DE12" i="1"/>
  <c r="DD12" i="1"/>
  <c r="DC12" i="1"/>
  <c r="DB12" i="1"/>
  <c r="CZ12" i="1"/>
  <c r="CY12" i="1"/>
  <c r="CX12" i="1"/>
  <c r="CW12" i="1"/>
  <c r="CV12" i="1"/>
  <c r="CU12" i="1"/>
  <c r="CG12" i="1"/>
  <c r="CF12" i="1"/>
  <c r="BU12" i="1"/>
  <c r="BT12" i="1"/>
  <c r="CI12" i="1"/>
  <c r="BG12" i="1"/>
  <c r="BW12" i="1" s="1"/>
  <c r="BF12" i="1"/>
  <c r="BV12" i="1" s="1"/>
  <c r="BE12" i="1"/>
  <c r="DH11" i="1"/>
  <c r="DG11" i="1"/>
  <c r="DF11" i="1"/>
  <c r="DE11" i="1"/>
  <c r="DD11" i="1"/>
  <c r="DC11" i="1"/>
  <c r="DB11" i="1"/>
  <c r="CZ11" i="1"/>
  <c r="CY11" i="1"/>
  <c r="CX11" i="1"/>
  <c r="CW11" i="1"/>
  <c r="CV11" i="1"/>
  <c r="CU11" i="1"/>
  <c r="BU11" i="1"/>
  <c r="BT11" i="1"/>
  <c r="BG11" i="1"/>
  <c r="BW11" i="1" s="1"/>
  <c r="BF11" i="1"/>
  <c r="BH11" i="1" s="1"/>
  <c r="BE11" i="1"/>
  <c r="DH10" i="1"/>
  <c r="DG10" i="1"/>
  <c r="DF10" i="1"/>
  <c r="DE10" i="1"/>
  <c r="DD10" i="1"/>
  <c r="DC10" i="1"/>
  <c r="DB10" i="1"/>
  <c r="CZ10" i="1"/>
  <c r="CY10" i="1"/>
  <c r="CX10" i="1"/>
  <c r="CW10" i="1"/>
  <c r="CV10" i="1"/>
  <c r="CU10" i="1"/>
  <c r="BU10" i="1"/>
  <c r="BT10" i="1"/>
  <c r="BG10" i="1"/>
  <c r="BI10" i="1" s="1"/>
  <c r="BY10" i="1" s="1"/>
  <c r="BF10" i="1"/>
  <c r="BV10" i="1" s="1"/>
  <c r="BE10" i="1"/>
  <c r="DH9" i="1"/>
  <c r="DG9" i="1"/>
  <c r="DF9" i="1"/>
  <c r="DE9" i="1"/>
  <c r="DD9" i="1"/>
  <c r="DC9" i="1"/>
  <c r="DB9" i="1"/>
  <c r="CZ9" i="1"/>
  <c r="CY9" i="1"/>
  <c r="CX9" i="1"/>
  <c r="CW9" i="1"/>
  <c r="CV9" i="1"/>
  <c r="CU9" i="1"/>
  <c r="BU9" i="1"/>
  <c r="BT9" i="1"/>
  <c r="BG9" i="1"/>
  <c r="BW9" i="1" s="1"/>
  <c r="BF9" i="1"/>
  <c r="BV9" i="1" s="1"/>
  <c r="BE9" i="1"/>
  <c r="DH8" i="1"/>
  <c r="DG8" i="1"/>
  <c r="DF8" i="1"/>
  <c r="DE8" i="1"/>
  <c r="DD8" i="1"/>
  <c r="DC8" i="1"/>
  <c r="DB8" i="1"/>
  <c r="CZ8" i="1"/>
  <c r="CY8" i="1"/>
  <c r="CX8" i="1"/>
  <c r="CW8" i="1"/>
  <c r="CV8" i="1"/>
  <c r="CU8" i="1"/>
  <c r="BU8" i="1"/>
  <c r="BT8" i="1"/>
  <c r="BG8" i="1"/>
  <c r="BW8" i="1" s="1"/>
  <c r="BF8" i="1"/>
  <c r="BV8" i="1" s="1"/>
  <c r="BE8" i="1"/>
  <c r="DH7" i="1"/>
  <c r="DG7" i="1"/>
  <c r="DF7" i="1"/>
  <c r="DE7" i="1"/>
  <c r="DD7" i="1"/>
  <c r="DC7" i="1"/>
  <c r="DB7" i="1"/>
  <c r="CZ7" i="1"/>
  <c r="CY7" i="1"/>
  <c r="CX7" i="1"/>
  <c r="CW7" i="1"/>
  <c r="CV7" i="1"/>
  <c r="CU7" i="1"/>
  <c r="BU7" i="1"/>
  <c r="BT7" i="1"/>
  <c r="BG7" i="1"/>
  <c r="BI7" i="1" s="1"/>
  <c r="BF7" i="1"/>
  <c r="BH7" i="1" s="1"/>
  <c r="BE7" i="1"/>
  <c r="DH6" i="1"/>
  <c r="DG6" i="1"/>
  <c r="DF6" i="1"/>
  <c r="DE6" i="1"/>
  <c r="DD6" i="1"/>
  <c r="DC6" i="1"/>
  <c r="DB6" i="1"/>
  <c r="CZ6" i="1"/>
  <c r="CY6" i="1"/>
  <c r="CX6" i="1"/>
  <c r="CW6" i="1"/>
  <c r="CV6" i="1"/>
  <c r="CU6" i="1"/>
  <c r="BU6" i="1"/>
  <c r="BT6" i="1"/>
  <c r="BG6" i="1"/>
  <c r="BW6" i="1" s="1"/>
  <c r="BF6" i="1"/>
  <c r="BV6" i="1" s="1"/>
  <c r="BE6" i="1"/>
  <c r="DH5" i="1"/>
  <c r="DG5" i="1"/>
  <c r="DF5" i="1"/>
  <c r="DE5" i="1"/>
  <c r="DD5" i="1"/>
  <c r="DC5" i="1"/>
  <c r="DB5" i="1"/>
  <c r="CZ5" i="1"/>
  <c r="CY5" i="1"/>
  <c r="CX5" i="1"/>
  <c r="CW5" i="1"/>
  <c r="CV5" i="1"/>
  <c r="CU5" i="1"/>
  <c r="BU5" i="1"/>
  <c r="BT5" i="1"/>
  <c r="BG5" i="1"/>
  <c r="BW5" i="1" s="1"/>
  <c r="BF5" i="1"/>
  <c r="BV5" i="1" s="1"/>
  <c r="BE5" i="1"/>
  <c r="DH4" i="1"/>
  <c r="DG4" i="1"/>
  <c r="DF4" i="1"/>
  <c r="DE4" i="1"/>
  <c r="DD4" i="1"/>
  <c r="DC4" i="1"/>
  <c r="DB4" i="1"/>
  <c r="CZ4" i="1"/>
  <c r="CY4" i="1"/>
  <c r="CX4" i="1"/>
  <c r="CW4" i="1"/>
  <c r="CV4" i="1"/>
  <c r="CU4" i="1"/>
  <c r="BU4" i="1"/>
  <c r="BT4" i="1"/>
  <c r="BG4" i="1"/>
  <c r="BW4" i="1" s="1"/>
  <c r="BF4" i="1"/>
  <c r="BV4" i="1" s="1"/>
  <c r="BE4" i="1"/>
  <c r="DH3" i="1"/>
  <c r="DG3" i="1"/>
  <c r="DF3" i="1"/>
  <c r="DE3" i="1"/>
  <c r="DD3" i="1"/>
  <c r="DC3" i="1"/>
  <c r="DB3" i="1"/>
  <c r="CZ3" i="1"/>
  <c r="CY3" i="1"/>
  <c r="CX3" i="1"/>
  <c r="CW3" i="1"/>
  <c r="CV3" i="1"/>
  <c r="CU3" i="1"/>
  <c r="BU3" i="1"/>
  <c r="BT3" i="1"/>
  <c r="BG3" i="1"/>
  <c r="BI3" i="1" s="1"/>
  <c r="BF3" i="1"/>
  <c r="BH3" i="1" s="1"/>
  <c r="BE3" i="1"/>
  <c r="DH2" i="1"/>
  <c r="DG2" i="1"/>
  <c r="DF2" i="1"/>
  <c r="DE2" i="1"/>
  <c r="DD2" i="1"/>
  <c r="DC2" i="1"/>
  <c r="DB2" i="1"/>
  <c r="CZ2" i="1"/>
  <c r="CY2" i="1"/>
  <c r="CX2" i="1"/>
  <c r="CW2" i="1"/>
  <c r="CV2" i="1"/>
  <c r="CU2" i="1"/>
  <c r="CG2" i="1"/>
  <c r="CF2" i="1"/>
  <c r="BU2" i="1"/>
  <c r="BT2" i="1"/>
  <c r="CK2" i="1"/>
  <c r="BG2" i="1"/>
  <c r="BI2" i="1" s="1"/>
  <c r="BY2" i="1" s="1"/>
  <c r="BF2" i="1"/>
  <c r="BV2" i="1" s="1"/>
  <c r="BE2" i="1"/>
  <c r="G2" i="1"/>
  <c r="NN180" i="1" l="1"/>
  <c r="NL180" i="1"/>
  <c r="NC179" i="1"/>
  <c r="NL179" i="1"/>
  <c r="AE177" i="1" a="1"/>
  <c r="AE177" i="1" s="1"/>
  <c r="AE178" i="1" a="1"/>
  <c r="AE178" i="1" s="1"/>
  <c r="BK23" i="4"/>
  <c r="CA23" i="4" s="1"/>
  <c r="BY23" i="4"/>
  <c r="BU33" i="4"/>
  <c r="BK2" i="4"/>
  <c r="CA2" i="4" s="1"/>
  <c r="BY2" i="4"/>
  <c r="BU14" i="4"/>
  <c r="BG14" i="4"/>
  <c r="BH13" i="4"/>
  <c r="BV13" i="4"/>
  <c r="BI27" i="4"/>
  <c r="BW27" i="4"/>
  <c r="BG29" i="4"/>
  <c r="BU29" i="4"/>
  <c r="BW23" i="4"/>
  <c r="HL53" i="4"/>
  <c r="GV46" i="4"/>
  <c r="BW15" i="4"/>
  <c r="BI15" i="4"/>
  <c r="BI7" i="4"/>
  <c r="BW7" i="4"/>
  <c r="BU11" i="4"/>
  <c r="BG11" i="4"/>
  <c r="HK51" i="4"/>
  <c r="GW51" i="4"/>
  <c r="BW20" i="4"/>
  <c r="BI20" i="4"/>
  <c r="U46" i="4"/>
  <c r="IE45" i="4"/>
  <c r="IK45" i="4"/>
  <c r="HW45" i="4"/>
  <c r="IJ45" i="4"/>
  <c r="II45" i="4"/>
  <c r="IC45" i="4"/>
  <c r="IB45" i="4"/>
  <c r="HZ45" i="4"/>
  <c r="HX45" i="4"/>
  <c r="BF25" i="4"/>
  <c r="BT25" i="4"/>
  <c r="BW4" i="4"/>
  <c r="BI4" i="4"/>
  <c r="AJ225" i="1" a="1"/>
  <c r="AJ225" i="1" s="1"/>
  <c r="AI226" i="1" s="1" a="1"/>
  <c r="AI226" i="1" s="1"/>
  <c r="AK226" i="1" s="1"/>
  <c r="EW226" i="1" s="1"/>
  <c r="HS269" i="1"/>
  <c r="CE270" i="1"/>
  <c r="HT269" i="1"/>
  <c r="HU267" i="1"/>
  <c r="HE267" i="1"/>
  <c r="HW267" i="1" s="1"/>
  <c r="CJ2" i="1"/>
  <c r="CH32" i="1"/>
  <c r="CH12" i="1"/>
  <c r="FG34" i="1"/>
  <c r="CH22" i="1"/>
  <c r="HY44" i="1"/>
  <c r="X57" i="1"/>
  <c r="X58" i="1" s="1"/>
  <c r="Y51" i="1" a="1"/>
  <c r="Y51" i="1" s="1"/>
  <c r="AA51" i="1" s="1"/>
  <c r="HG51" i="1" s="1"/>
  <c r="Y56" i="1" a="1"/>
  <c r="Y56" i="1" s="1"/>
  <c r="AA56" i="1" s="1"/>
  <c r="UH312" i="1"/>
  <c r="UI312" i="1" s="1"/>
  <c r="UG313" i="1"/>
  <c r="AB45" i="5"/>
  <c r="HH45" i="5" s="1"/>
  <c r="AA45" i="5"/>
  <c r="HG45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V267" i="1"/>
  <c r="HX267" i="1"/>
  <c r="GW267" i="1"/>
  <c r="HM267" i="1" s="1"/>
  <c r="HK267" i="1"/>
  <c r="HJ267" i="1"/>
  <c r="GV267" i="1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BX21" i="4"/>
  <c r="BJ21" i="4"/>
  <c r="BZ21" i="4" s="1"/>
  <c r="BT22" i="4"/>
  <c r="BF22" i="4"/>
  <c r="BU3" i="4"/>
  <c r="BG3" i="4"/>
  <c r="BI24" i="4"/>
  <c r="BW24" i="4"/>
  <c r="BV10" i="4"/>
  <c r="BH10" i="4"/>
  <c r="AA43" i="1"/>
  <c r="AB43" i="1"/>
  <c r="HH43" i="1" s="1"/>
  <c r="U45" i="1"/>
  <c r="IJ45" i="1" s="1"/>
  <c r="KJ186" i="1"/>
  <c r="KK186" i="1" s="1"/>
  <c r="NF179" i="1"/>
  <c r="NO179" i="1" s="1"/>
  <c r="NM180" i="1"/>
  <c r="NK179" i="1"/>
  <c r="NP180" i="1"/>
  <c r="LR172" i="1"/>
  <c r="IJ44" i="1"/>
  <c r="IL44" i="1"/>
  <c r="IK44" i="1"/>
  <c r="IE44" i="1"/>
  <c r="IQ44" i="1"/>
  <c r="ID44" i="1"/>
  <c r="IP44" i="1"/>
  <c r="IC44" i="1"/>
  <c r="IO44" i="1"/>
  <c r="IB44" i="1"/>
  <c r="IN44" i="1"/>
  <c r="IA44" i="1"/>
  <c r="IM44" i="1"/>
  <c r="HZ44" i="1"/>
  <c r="GT44" i="1"/>
  <c r="II44" i="1"/>
  <c r="IH44" i="1"/>
  <c r="IG44" i="1"/>
  <c r="IF44" i="1"/>
  <c r="HL45" i="1"/>
  <c r="GZ45" i="1"/>
  <c r="HB45" i="1" s="1"/>
  <c r="HN45" i="1"/>
  <c r="GY45" i="1"/>
  <c r="HO45" i="1" s="1"/>
  <c r="HM45" i="1"/>
  <c r="HK45" i="1"/>
  <c r="GZ55" i="1"/>
  <c r="HN55" i="1"/>
  <c r="GY48" i="1"/>
  <c r="HM48" i="1"/>
  <c r="GY50" i="1"/>
  <c r="HM50" i="1"/>
  <c r="GZ52" i="1"/>
  <c r="HN52" i="1"/>
  <c r="GY52" i="1"/>
  <c r="HM52" i="1"/>
  <c r="GZ47" i="1"/>
  <c r="HN47" i="1"/>
  <c r="GZ54" i="1"/>
  <c r="HN54" i="1"/>
  <c r="GY47" i="1"/>
  <c r="HM47" i="1"/>
  <c r="GY54" i="1"/>
  <c r="HM54" i="1"/>
  <c r="GZ49" i="1"/>
  <c r="HN49" i="1"/>
  <c r="GZ50" i="1"/>
  <c r="HN50" i="1"/>
  <c r="GY49" i="1"/>
  <c r="HM49" i="1"/>
  <c r="GZ51" i="1"/>
  <c r="HN51" i="1"/>
  <c r="GY55" i="1"/>
  <c r="HM55" i="1"/>
  <c r="GY51" i="1"/>
  <c r="HM51" i="1"/>
  <c r="GZ46" i="1"/>
  <c r="HN46" i="1"/>
  <c r="GZ53" i="1"/>
  <c r="HN53" i="1"/>
  <c r="GY46" i="1"/>
  <c r="HM46" i="1"/>
  <c r="GY53" i="1"/>
  <c r="HM53" i="1"/>
  <c r="GZ48" i="1"/>
  <c r="HN48" i="1"/>
  <c r="HL55" i="1"/>
  <c r="HL54" i="1"/>
  <c r="HL53" i="1"/>
  <c r="HL52" i="1"/>
  <c r="HL51" i="1"/>
  <c r="HL50" i="1"/>
  <c r="HL49" i="1"/>
  <c r="HL48" i="1"/>
  <c r="HL47" i="1"/>
  <c r="HL46" i="1"/>
  <c r="HK55" i="1"/>
  <c r="HK54" i="1"/>
  <c r="HK53" i="1"/>
  <c r="HK52" i="1"/>
  <c r="HK51" i="1"/>
  <c r="HK50" i="1"/>
  <c r="HK49" i="1"/>
  <c r="HK48" i="1"/>
  <c r="HK47" i="1"/>
  <c r="HK46" i="1"/>
  <c r="GZ44" i="1"/>
  <c r="HN44" i="1"/>
  <c r="GY44" i="1"/>
  <c r="HM44" i="1"/>
  <c r="HL44" i="1"/>
  <c r="HK44" i="1"/>
  <c r="HM43" i="1"/>
  <c r="HN43" i="1"/>
  <c r="GY43" i="1"/>
  <c r="GZ43" i="1"/>
  <c r="HL43" i="1"/>
  <c r="HK43" i="1"/>
  <c r="FB42" i="1"/>
  <c r="EV41" i="1"/>
  <c r="FD41" i="1" s="1"/>
  <c r="FB40" i="1"/>
  <c r="EV39" i="1"/>
  <c r="FD39" i="1" s="1"/>
  <c r="FB38" i="1"/>
  <c r="EV37" i="1"/>
  <c r="FD37" i="1" s="1"/>
  <c r="FB36" i="1"/>
  <c r="FA42" i="1"/>
  <c r="EU41" i="1"/>
  <c r="FC41" i="1" s="1"/>
  <c r="FA40" i="1"/>
  <c r="EU39" i="1"/>
  <c r="FC39" i="1" s="1"/>
  <c r="FA38" i="1"/>
  <c r="EU37" i="1"/>
  <c r="FC37" i="1" s="1"/>
  <c r="FA36" i="1"/>
  <c r="FA34" i="1"/>
  <c r="AJ34" i="1" s="1" a="1"/>
  <c r="AJ34" i="1" s="1"/>
  <c r="AI35" i="1" s="1" a="1"/>
  <c r="AI35" i="1" s="1"/>
  <c r="FB34" i="1"/>
  <c r="AE34" i="1" s="1" a="1"/>
  <c r="AE34" i="1" s="1"/>
  <c r="AD35" i="1" s="1" a="1"/>
  <c r="AD35" i="1" s="1"/>
  <c r="FB35" i="1"/>
  <c r="FA35" i="1"/>
  <c r="BV33" i="1"/>
  <c r="BI18" i="1"/>
  <c r="BY18" i="1" s="1"/>
  <c r="BW33" i="1"/>
  <c r="BK33" i="1"/>
  <c r="BY33" i="1"/>
  <c r="BZ33" i="1"/>
  <c r="BX33" i="1"/>
  <c r="BW2" i="1"/>
  <c r="BV14" i="1"/>
  <c r="BI11" i="1"/>
  <c r="BY11" i="1" s="1"/>
  <c r="BW3" i="1"/>
  <c r="CH2" i="1"/>
  <c r="BY3" i="1"/>
  <c r="BK3" i="1"/>
  <c r="BM3" i="1" s="1"/>
  <c r="BW7" i="1"/>
  <c r="BH10" i="1"/>
  <c r="BX10" i="1" s="1"/>
  <c r="BH28" i="1"/>
  <c r="BX28" i="1" s="1"/>
  <c r="BW31" i="1"/>
  <c r="CI2" i="1"/>
  <c r="BH2" i="1"/>
  <c r="BJ2" i="1" s="1"/>
  <c r="BH22" i="1"/>
  <c r="BX22" i="1" s="1"/>
  <c r="BW30" i="1"/>
  <c r="BH4" i="1"/>
  <c r="BJ4" i="1" s="1"/>
  <c r="BL4" i="1" s="1"/>
  <c r="BW10" i="1"/>
  <c r="BI14" i="1"/>
  <c r="BY14" i="1" s="1"/>
  <c r="BH24" i="1"/>
  <c r="BX24" i="1" s="1"/>
  <c r="BH30" i="1"/>
  <c r="BX30" i="1" s="1"/>
  <c r="BK27" i="1"/>
  <c r="CA27" i="1" s="1"/>
  <c r="BY27" i="1"/>
  <c r="BW27" i="1"/>
  <c r="BY23" i="1"/>
  <c r="BK23" i="1"/>
  <c r="CA23" i="1" s="1"/>
  <c r="BV26" i="1"/>
  <c r="BW26" i="1"/>
  <c r="BW22" i="1"/>
  <c r="BW23" i="1"/>
  <c r="BI19" i="1"/>
  <c r="BH20" i="1"/>
  <c r="BX20" i="1" s="1"/>
  <c r="BV18" i="1"/>
  <c r="BI15" i="1"/>
  <c r="BH16" i="1"/>
  <c r="BX16" i="1" s="1"/>
  <c r="BH12" i="1"/>
  <c r="BY7" i="1"/>
  <c r="BK7" i="1"/>
  <c r="CA7" i="1" s="1"/>
  <c r="BH8" i="1"/>
  <c r="CI22" i="1"/>
  <c r="CJ22" i="1"/>
  <c r="BI6" i="1"/>
  <c r="BY6" i="1" s="1"/>
  <c r="BH6" i="1"/>
  <c r="BX6" i="1" s="1"/>
  <c r="BX7" i="1"/>
  <c r="BJ7" i="1"/>
  <c r="BX11" i="1"/>
  <c r="BJ11" i="1"/>
  <c r="BX27" i="1"/>
  <c r="BJ27" i="1"/>
  <c r="BX23" i="1"/>
  <c r="BJ23" i="1"/>
  <c r="BX31" i="1"/>
  <c r="BJ31" i="1"/>
  <c r="BX15" i="1"/>
  <c r="BJ15" i="1"/>
  <c r="BK31" i="1"/>
  <c r="BY31" i="1"/>
  <c r="BX3" i="1"/>
  <c r="BJ3" i="1"/>
  <c r="BX19" i="1"/>
  <c r="BJ19" i="1"/>
  <c r="BV3" i="1"/>
  <c r="BV7" i="1"/>
  <c r="BV11" i="1"/>
  <c r="BV15" i="1"/>
  <c r="BV19" i="1"/>
  <c r="BV23" i="1"/>
  <c r="BV27" i="1"/>
  <c r="BV31" i="1"/>
  <c r="BJ14" i="1"/>
  <c r="BJ18" i="1"/>
  <c r="BJ26" i="1"/>
  <c r="BH5" i="1"/>
  <c r="BH9" i="1"/>
  <c r="BK10" i="1"/>
  <c r="BH13" i="1"/>
  <c r="BH17" i="1"/>
  <c r="BH21" i="1"/>
  <c r="BK22" i="1"/>
  <c r="BH25" i="1"/>
  <c r="BK26" i="1"/>
  <c r="BH29" i="1"/>
  <c r="BK30" i="1"/>
  <c r="BK2" i="1"/>
  <c r="BI5" i="1"/>
  <c r="BI9" i="1"/>
  <c r="CJ12" i="1"/>
  <c r="BI13" i="1"/>
  <c r="BI17" i="1"/>
  <c r="BI21" i="1"/>
  <c r="BI25" i="1"/>
  <c r="BI29" i="1"/>
  <c r="CJ32" i="1"/>
  <c r="CK12" i="1"/>
  <c r="CK32" i="1"/>
  <c r="BH32" i="1"/>
  <c r="BI4" i="1"/>
  <c r="BI8" i="1"/>
  <c r="BI12" i="1"/>
  <c r="BI16" i="1"/>
  <c r="BI20" i="1"/>
  <c r="BI24" i="1"/>
  <c r="BI28" i="1"/>
  <c r="BI32" i="1"/>
  <c r="NE179" i="1" l="1"/>
  <c r="NP179" i="1" s="1"/>
  <c r="NN179" i="1"/>
  <c r="HM51" i="4"/>
  <c r="GY51" i="4"/>
  <c r="HO51" i="4" s="1"/>
  <c r="BI11" i="4"/>
  <c r="BW11" i="4"/>
  <c r="BK27" i="4"/>
  <c r="CA27" i="4" s="1"/>
  <c r="BY27" i="4"/>
  <c r="BX13" i="4"/>
  <c r="BJ13" i="4"/>
  <c r="BZ13" i="4" s="1"/>
  <c r="BW29" i="4"/>
  <c r="BI29" i="4"/>
  <c r="BY7" i="4"/>
  <c r="BK7" i="4"/>
  <c r="CA7" i="4" s="1"/>
  <c r="BI14" i="4"/>
  <c r="BW14" i="4"/>
  <c r="BK15" i="4"/>
  <c r="CA15" i="4" s="1"/>
  <c r="BY15" i="4"/>
  <c r="BY4" i="4"/>
  <c r="BK4" i="4"/>
  <c r="CA4" i="4" s="1"/>
  <c r="IJ46" i="4"/>
  <c r="HW46" i="4"/>
  <c r="IF46" i="4"/>
  <c r="IL46" i="4"/>
  <c r="IC46" i="4"/>
  <c r="HZ46" i="4"/>
  <c r="IK46" i="4"/>
  <c r="IE46" i="4"/>
  <c r="GP46" i="4"/>
  <c r="IG46" i="4"/>
  <c r="HV46" i="4"/>
  <c r="IB46" i="4"/>
  <c r="IA46" i="4"/>
  <c r="HX46" i="4"/>
  <c r="ID46" i="4"/>
  <c r="IM46" i="4"/>
  <c r="HU46" i="4"/>
  <c r="II46" i="4"/>
  <c r="HY46" i="4"/>
  <c r="U47" i="4"/>
  <c r="IH46" i="4"/>
  <c r="BK20" i="4"/>
  <c r="CA20" i="4" s="1"/>
  <c r="BY20" i="4"/>
  <c r="Z45" i="5" a="1"/>
  <c r="Z45" i="5" s="1"/>
  <c r="Y46" i="5" s="1" a="1"/>
  <c r="Y46" i="5" s="1"/>
  <c r="AB46" i="5" s="1"/>
  <c r="HH46" i="5" s="1"/>
  <c r="BH25" i="4"/>
  <c r="BV25" i="4"/>
  <c r="AL226" i="1"/>
  <c r="EX226" i="1" s="1"/>
  <c r="FH226" i="1" s="1"/>
  <c r="AK35" i="1"/>
  <c r="EW35" i="1" s="1"/>
  <c r="AL35" i="1"/>
  <c r="EX35" i="1" s="1"/>
  <c r="FE226" i="1"/>
  <c r="AB56" i="1"/>
  <c r="AB51" i="1"/>
  <c r="HH51" i="1" s="1"/>
  <c r="UG314" i="1"/>
  <c r="UH313" i="1"/>
  <c r="UI313" i="1" s="1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GY267" i="1"/>
  <c r="HO267" i="1" s="1"/>
  <c r="GX267" i="1"/>
  <c r="HL267" i="1"/>
  <c r="CD268" i="1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IB45" i="1"/>
  <c r="II45" i="1"/>
  <c r="IF45" i="1"/>
  <c r="ID45" i="1"/>
  <c r="X59" i="1"/>
  <c r="IC45" i="1"/>
  <c r="IL45" i="1"/>
  <c r="IA45" i="1"/>
  <c r="IM45" i="1"/>
  <c r="IN45" i="1"/>
  <c r="U46" i="1"/>
  <c r="IP46" i="1" s="1"/>
  <c r="IE45" i="1"/>
  <c r="IG45" i="1"/>
  <c r="IQ45" i="1"/>
  <c r="HY45" i="1"/>
  <c r="IH45" i="1"/>
  <c r="IK45" i="1"/>
  <c r="IP45" i="1"/>
  <c r="GT45" i="1"/>
  <c r="IO45" i="1"/>
  <c r="HZ45" i="1"/>
  <c r="LR173" i="1"/>
  <c r="LS172" i="1"/>
  <c r="LT172" i="1" s="1"/>
  <c r="HA45" i="1"/>
  <c r="HC45" i="1" s="1"/>
  <c r="HS45" i="1" s="1"/>
  <c r="HP45" i="1"/>
  <c r="HA50" i="1"/>
  <c r="HO50" i="1"/>
  <c r="HA47" i="1"/>
  <c r="HO47" i="1"/>
  <c r="HA51" i="1"/>
  <c r="HO51" i="1"/>
  <c r="HB46" i="1"/>
  <c r="HP46" i="1"/>
  <c r="HB53" i="1"/>
  <c r="HP53" i="1"/>
  <c r="HA55" i="1"/>
  <c r="HO55" i="1"/>
  <c r="HB50" i="1"/>
  <c r="HP50" i="1"/>
  <c r="HB54" i="1"/>
  <c r="HP54" i="1"/>
  <c r="HB52" i="1"/>
  <c r="HP52" i="1"/>
  <c r="HB49" i="1"/>
  <c r="HP49" i="1"/>
  <c r="HR45" i="1"/>
  <c r="HD45" i="1"/>
  <c r="HT45" i="1" s="1"/>
  <c r="HA48" i="1"/>
  <c r="HO48" i="1"/>
  <c r="HA46" i="1"/>
  <c r="HO46" i="1"/>
  <c r="HA53" i="1"/>
  <c r="HO53" i="1"/>
  <c r="HB51" i="1"/>
  <c r="HP51" i="1"/>
  <c r="HA54" i="1"/>
  <c r="HO54" i="1"/>
  <c r="HA49" i="1"/>
  <c r="HO49" i="1"/>
  <c r="HB47" i="1"/>
  <c r="HP47" i="1"/>
  <c r="HB55" i="1"/>
  <c r="HP55" i="1"/>
  <c r="HB48" i="1"/>
  <c r="HP48" i="1"/>
  <c r="HA52" i="1"/>
  <c r="HO52" i="1"/>
  <c r="HA44" i="1"/>
  <c r="HO44" i="1"/>
  <c r="HB44" i="1"/>
  <c r="HP44" i="1"/>
  <c r="HB43" i="1"/>
  <c r="HR43" i="1" s="1"/>
  <c r="HP43" i="1"/>
  <c r="HA43" i="1"/>
  <c r="HO43" i="1"/>
  <c r="BK18" i="1"/>
  <c r="CA18" i="1" s="1"/>
  <c r="BJ28" i="1"/>
  <c r="BZ28" i="1" s="1"/>
  <c r="BK11" i="1"/>
  <c r="CA11" i="1" s="1"/>
  <c r="CA33" i="1"/>
  <c r="BJ10" i="1"/>
  <c r="BL10" i="1" s="1"/>
  <c r="BK6" i="1"/>
  <c r="CA6" i="1" s="1"/>
  <c r="BJ24" i="1"/>
  <c r="BL24" i="1" s="1"/>
  <c r="BK14" i="1"/>
  <c r="CA14" i="1" s="1"/>
  <c r="CA3" i="1"/>
  <c r="BJ30" i="1"/>
  <c r="BZ30" i="1" s="1"/>
  <c r="BJ20" i="1"/>
  <c r="BL20" i="1" s="1"/>
  <c r="BJ6" i="1"/>
  <c r="BZ6" i="1" s="1"/>
  <c r="BX2" i="1"/>
  <c r="BJ22" i="1"/>
  <c r="BJ16" i="1"/>
  <c r="BL16" i="1" s="1"/>
  <c r="BZ4" i="1"/>
  <c r="BM23" i="1"/>
  <c r="BO23" i="1" s="1"/>
  <c r="CE23" i="1" s="1"/>
  <c r="BX4" i="1"/>
  <c r="BM27" i="1"/>
  <c r="BO27" i="1" s="1"/>
  <c r="CE27" i="1" s="1"/>
  <c r="BY19" i="1"/>
  <c r="BK19" i="1"/>
  <c r="BJ12" i="1"/>
  <c r="BX12" i="1"/>
  <c r="BY15" i="1"/>
  <c r="BK15" i="1"/>
  <c r="BM7" i="1"/>
  <c r="BO7" i="1" s="1"/>
  <c r="CE7" i="1" s="1"/>
  <c r="BJ8" i="1"/>
  <c r="BX8" i="1"/>
  <c r="BK16" i="1"/>
  <c r="BY16" i="1"/>
  <c r="BY9" i="1"/>
  <c r="BK9" i="1"/>
  <c r="BX17" i="1"/>
  <c r="BJ17" i="1"/>
  <c r="BL3" i="1"/>
  <c r="BZ3" i="1"/>
  <c r="BK4" i="1"/>
  <c r="BY4" i="1"/>
  <c r="CA10" i="1"/>
  <c r="BM10" i="1"/>
  <c r="CA31" i="1"/>
  <c r="BM31" i="1"/>
  <c r="BK20" i="1"/>
  <c r="BY20" i="1"/>
  <c r="BZ27" i="1"/>
  <c r="BL27" i="1"/>
  <c r="BX32" i="1"/>
  <c r="BJ32" i="1"/>
  <c r="BY25" i="1"/>
  <c r="BK25" i="1"/>
  <c r="CA2" i="1"/>
  <c r="BM2" i="1"/>
  <c r="BX9" i="1"/>
  <c r="BJ9" i="1"/>
  <c r="BZ18" i="1"/>
  <c r="BL18" i="1"/>
  <c r="BL15" i="1"/>
  <c r="BZ15" i="1"/>
  <c r="BL11" i="1"/>
  <c r="BZ11" i="1"/>
  <c r="CA30" i="1"/>
  <c r="BM30" i="1"/>
  <c r="BY5" i="1"/>
  <c r="BK5" i="1"/>
  <c r="BY21" i="1"/>
  <c r="BK21" i="1"/>
  <c r="BX29" i="1"/>
  <c r="BJ29" i="1"/>
  <c r="BX5" i="1"/>
  <c r="BJ5" i="1"/>
  <c r="BY29" i="1"/>
  <c r="BK29" i="1"/>
  <c r="CA26" i="1"/>
  <c r="BM26" i="1"/>
  <c r="BZ14" i="1"/>
  <c r="BL14" i="1"/>
  <c r="BN4" i="1"/>
  <c r="CD4" i="1" s="1"/>
  <c r="CB4" i="1"/>
  <c r="BK8" i="1"/>
  <c r="BY8" i="1"/>
  <c r="BX25" i="1"/>
  <c r="BJ25" i="1"/>
  <c r="BL19" i="1"/>
  <c r="BZ19" i="1"/>
  <c r="BL31" i="1"/>
  <c r="BZ31" i="1"/>
  <c r="CC3" i="1"/>
  <c r="BO3" i="1"/>
  <c r="CE3" i="1" s="1"/>
  <c r="BK12" i="1"/>
  <c r="BY12" i="1"/>
  <c r="BX13" i="1"/>
  <c r="BJ13" i="1"/>
  <c r="BK32" i="1"/>
  <c r="BY32" i="1"/>
  <c r="BY17" i="1"/>
  <c r="BK17" i="1"/>
  <c r="BK28" i="1"/>
  <c r="BY28" i="1"/>
  <c r="CA22" i="1"/>
  <c r="BM22" i="1"/>
  <c r="BK24" i="1"/>
  <c r="BY24" i="1"/>
  <c r="BY13" i="1"/>
  <c r="BK13" i="1"/>
  <c r="BX21" i="1"/>
  <c r="BJ21" i="1"/>
  <c r="BZ26" i="1"/>
  <c r="BL26" i="1"/>
  <c r="BZ2" i="1"/>
  <c r="BL2" i="1"/>
  <c r="BL23" i="1"/>
  <c r="BZ23" i="1"/>
  <c r="BL7" i="1"/>
  <c r="BZ7" i="1"/>
  <c r="AE2" i="1" l="1" a="1"/>
  <c r="AE2" i="1" s="1"/>
  <c r="AD3" i="1" s="1" a="1"/>
  <c r="AD3" i="1" s="1"/>
  <c r="BY29" i="4"/>
  <c r="BK29" i="4"/>
  <c r="CA29" i="4" s="1"/>
  <c r="AA46" i="5"/>
  <c r="HG46" i="5" s="1"/>
  <c r="Z46" i="5" s="1" a="1"/>
  <c r="Z46" i="5" s="1"/>
  <c r="Y47" i="5" s="1" a="1"/>
  <c r="Y47" i="5" s="1"/>
  <c r="AA47" i="5" s="1"/>
  <c r="HG47" i="5" s="1"/>
  <c r="BX25" i="4"/>
  <c r="BJ25" i="4"/>
  <c r="BZ25" i="4" s="1"/>
  <c r="BK11" i="4"/>
  <c r="CA11" i="4" s="1"/>
  <c r="BY11" i="4"/>
  <c r="IG47" i="4"/>
  <c r="HZ47" i="4"/>
  <c r="IA47" i="4"/>
  <c r="GP47" i="4"/>
  <c r="HX47" i="4"/>
  <c r="II47" i="4"/>
  <c r="HU47" i="4"/>
  <c r="IM47" i="4"/>
  <c r="HW47" i="4"/>
  <c r="IL47" i="4"/>
  <c r="IC47" i="4"/>
  <c r="IF47" i="4"/>
  <c r="HV47" i="4"/>
  <c r="U48" i="4"/>
  <c r="IH47" i="4"/>
  <c r="IE47" i="4"/>
  <c r="ID47" i="4"/>
  <c r="IJ47" i="4"/>
  <c r="HY47" i="4"/>
  <c r="IB47" i="4"/>
  <c r="IK47" i="4"/>
  <c r="BY14" i="4"/>
  <c r="BK14" i="4"/>
  <c r="CA14" i="4" s="1"/>
  <c r="FF226" i="1"/>
  <c r="AE226" i="1" s="1" a="1"/>
  <c r="AE226" i="1" s="1"/>
  <c r="AD227" i="1" s="1" a="1"/>
  <c r="AD227" i="1" s="1"/>
  <c r="AJ2" i="1" a="1"/>
  <c r="AJ2" i="1" s="1"/>
  <c r="AI3" i="1" s="1" a="1"/>
  <c r="AI3" i="1" s="1"/>
  <c r="BL22" i="1"/>
  <c r="BN22" i="1" s="1"/>
  <c r="CD22" i="1" s="1"/>
  <c r="FE35" i="1"/>
  <c r="FH35" i="1"/>
  <c r="FF35" i="1"/>
  <c r="FG226" i="1"/>
  <c r="AJ226" i="1" a="1"/>
  <c r="AJ226" i="1" s="1"/>
  <c r="AI227" i="1" s="1" a="1"/>
  <c r="AI227" i="1" s="1"/>
  <c r="UG315" i="1"/>
  <c r="UH315" i="1" s="1"/>
  <c r="UI315" i="1" s="1"/>
  <c r="UH314" i="1"/>
  <c r="UI314" i="1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HA267" i="1"/>
  <c r="HN267" i="1"/>
  <c r="GZ267" i="1"/>
  <c r="CE268" i="1"/>
  <c r="BY3" i="4"/>
  <c r="BK3" i="4"/>
  <c r="CA3" i="4" s="1"/>
  <c r="HM52" i="4"/>
  <c r="GY52" i="4"/>
  <c r="HO52" i="4" s="1"/>
  <c r="BX6" i="4"/>
  <c r="BJ6" i="4"/>
  <c r="BZ6" i="4" s="1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IK46" i="1"/>
  <c r="GT46" i="1"/>
  <c r="IG46" i="1"/>
  <c r="NO180" i="1"/>
  <c r="IH46" i="1"/>
  <c r="HY46" i="1"/>
  <c r="IF46" i="1"/>
  <c r="IM46" i="1"/>
  <c r="ID46" i="1"/>
  <c r="IJ46" i="1"/>
  <c r="HZ46" i="1"/>
  <c r="IA46" i="1"/>
  <c r="IB46" i="1"/>
  <c r="IC46" i="1"/>
  <c r="IO46" i="1"/>
  <c r="IL46" i="1"/>
  <c r="IE46" i="1"/>
  <c r="II46" i="1"/>
  <c r="U47" i="1"/>
  <c r="IN46" i="1"/>
  <c r="IQ46" i="1"/>
  <c r="LR174" i="1"/>
  <c r="LS173" i="1"/>
  <c r="LT173" i="1" s="1"/>
  <c r="HQ45" i="1"/>
  <c r="HC52" i="1"/>
  <c r="HS52" i="1" s="1"/>
  <c r="HQ52" i="1"/>
  <c r="HD49" i="1"/>
  <c r="HT49" i="1" s="1"/>
  <c r="HR49" i="1"/>
  <c r="HD52" i="1"/>
  <c r="HT52" i="1" s="1"/>
  <c r="HR52" i="1"/>
  <c r="HD46" i="1"/>
  <c r="HT46" i="1" s="1"/>
  <c r="HR46" i="1"/>
  <c r="HD51" i="1"/>
  <c r="HT51" i="1" s="1"/>
  <c r="HR51" i="1"/>
  <c r="HC53" i="1"/>
  <c r="HS53" i="1" s="1"/>
  <c r="HQ53" i="1"/>
  <c r="HD54" i="1"/>
  <c r="HT54" i="1" s="1"/>
  <c r="HR54" i="1"/>
  <c r="HC50" i="1"/>
  <c r="HS50" i="1" s="1"/>
  <c r="HQ50" i="1"/>
  <c r="HC46" i="1"/>
  <c r="HS46" i="1" s="1"/>
  <c r="HQ46" i="1"/>
  <c r="HD50" i="1"/>
  <c r="HT50" i="1" s="1"/>
  <c r="HR50" i="1"/>
  <c r="HD55" i="1"/>
  <c r="HT55" i="1" s="1"/>
  <c r="HR55" i="1"/>
  <c r="HD48" i="1"/>
  <c r="HT48" i="1" s="1"/>
  <c r="HR48" i="1"/>
  <c r="HD47" i="1"/>
  <c r="HT47" i="1" s="1"/>
  <c r="HR47" i="1"/>
  <c r="HC48" i="1"/>
  <c r="HS48" i="1" s="1"/>
  <c r="HQ48" i="1"/>
  <c r="HC55" i="1"/>
  <c r="HS55" i="1" s="1"/>
  <c r="HQ55" i="1"/>
  <c r="HC51" i="1"/>
  <c r="HS51" i="1" s="1"/>
  <c r="HQ51" i="1"/>
  <c r="HC49" i="1"/>
  <c r="HS49" i="1" s="1"/>
  <c r="HQ49" i="1"/>
  <c r="HC54" i="1"/>
  <c r="HS54" i="1" s="1"/>
  <c r="HQ54" i="1"/>
  <c r="HD53" i="1"/>
  <c r="HT53" i="1" s="1"/>
  <c r="HR53" i="1"/>
  <c r="HC47" i="1"/>
  <c r="HS47" i="1" s="1"/>
  <c r="HQ47" i="1"/>
  <c r="HR44" i="1"/>
  <c r="HD44" i="1"/>
  <c r="HT44" i="1" s="1"/>
  <c r="HC44" i="1"/>
  <c r="HS44" i="1" s="1"/>
  <c r="HQ44" i="1"/>
  <c r="HC43" i="1"/>
  <c r="HS43" i="1" s="1"/>
  <c r="HQ43" i="1"/>
  <c r="HD43" i="1"/>
  <c r="HT43" i="1" s="1"/>
  <c r="BM18" i="1"/>
  <c r="CC18" i="1" s="1"/>
  <c r="BL28" i="1"/>
  <c r="BN28" i="1" s="1"/>
  <c r="CD28" i="1" s="1"/>
  <c r="BZ10" i="1"/>
  <c r="BZ20" i="1"/>
  <c r="BM11" i="1"/>
  <c r="CC11" i="1" s="1"/>
  <c r="BZ24" i="1"/>
  <c r="BM6" i="1"/>
  <c r="BO6" i="1" s="1"/>
  <c r="CE6" i="1" s="1"/>
  <c r="BM14" i="1"/>
  <c r="CC14" i="1" s="1"/>
  <c r="BL30" i="1"/>
  <c r="BN30" i="1" s="1"/>
  <c r="CD30" i="1" s="1"/>
  <c r="BZ22" i="1"/>
  <c r="BL6" i="1"/>
  <c r="BN6" i="1" s="1"/>
  <c r="CD6" i="1" s="1"/>
  <c r="BZ16" i="1"/>
  <c r="CC23" i="1"/>
  <c r="CC27" i="1"/>
  <c r="CC7" i="1"/>
  <c r="CA19" i="1"/>
  <c r="BM19" i="1"/>
  <c r="CA15" i="1"/>
  <c r="BM15" i="1"/>
  <c r="BZ12" i="1"/>
  <c r="BL12" i="1"/>
  <c r="BL8" i="1"/>
  <c r="BZ8" i="1"/>
  <c r="BM5" i="1"/>
  <c r="CA5" i="1"/>
  <c r="BZ9" i="1"/>
  <c r="BL9" i="1"/>
  <c r="CB23" i="1"/>
  <c r="BN23" i="1"/>
  <c r="CD23" i="1" s="1"/>
  <c r="CB2" i="1"/>
  <c r="BN2" i="1"/>
  <c r="CD2" i="1" s="1"/>
  <c r="CC26" i="1"/>
  <c r="BO26" i="1"/>
  <c r="CE26" i="1" s="1"/>
  <c r="CC31" i="1"/>
  <c r="BO31" i="1"/>
  <c r="CE31" i="1" s="1"/>
  <c r="BM32" i="1"/>
  <c r="CA32" i="1"/>
  <c r="CB19" i="1"/>
  <c r="BN19" i="1"/>
  <c r="CD19" i="1" s="1"/>
  <c r="CB3" i="1"/>
  <c r="BN3" i="1"/>
  <c r="CD3" i="1" s="1"/>
  <c r="BZ25" i="1"/>
  <c r="BL25" i="1"/>
  <c r="CC2" i="1"/>
  <c r="BO2" i="1"/>
  <c r="CE2" i="1" s="1"/>
  <c r="CB10" i="1"/>
  <c r="BN10" i="1"/>
  <c r="CD10" i="1" s="1"/>
  <c r="BZ13" i="1"/>
  <c r="BL13" i="1"/>
  <c r="BZ29" i="1"/>
  <c r="BL29" i="1"/>
  <c r="CC30" i="1"/>
  <c r="BO30" i="1"/>
  <c r="CE30" i="1" s="1"/>
  <c r="CA25" i="1"/>
  <c r="BM25" i="1"/>
  <c r="CA20" i="1"/>
  <c r="BM20" i="1"/>
  <c r="BZ5" i="1"/>
  <c r="BL5" i="1"/>
  <c r="CA8" i="1"/>
  <c r="BM8" i="1"/>
  <c r="BN16" i="1"/>
  <c r="CD16" i="1" s="1"/>
  <c r="CB16" i="1"/>
  <c r="CB26" i="1"/>
  <c r="BN26" i="1"/>
  <c r="CD26" i="1" s="1"/>
  <c r="CA21" i="1"/>
  <c r="BM21" i="1"/>
  <c r="BL32" i="1"/>
  <c r="BZ32" i="1"/>
  <c r="CC10" i="1"/>
  <c r="BO10" i="1"/>
  <c r="CE10" i="1" s="1"/>
  <c r="BZ17" i="1"/>
  <c r="BL17" i="1"/>
  <c r="CA17" i="1"/>
  <c r="BM17" i="1"/>
  <c r="CB24" i="1"/>
  <c r="BN24" i="1"/>
  <c r="CD24" i="1" s="1"/>
  <c r="CC22" i="1"/>
  <c r="BO22" i="1"/>
  <c r="CE22" i="1" s="1"/>
  <c r="CA9" i="1"/>
  <c r="BM9" i="1"/>
  <c r="CA24" i="1"/>
  <c r="BM24" i="1"/>
  <c r="CA12" i="1"/>
  <c r="BM12" i="1"/>
  <c r="CB11" i="1"/>
  <c r="BN11" i="1"/>
  <c r="CD11" i="1" s="1"/>
  <c r="BZ21" i="1"/>
  <c r="BL21" i="1"/>
  <c r="CA29" i="1"/>
  <c r="BM29" i="1"/>
  <c r="CB20" i="1"/>
  <c r="BN20" i="1"/>
  <c r="CD20" i="1" s="1"/>
  <c r="CB15" i="1"/>
  <c r="BN15" i="1"/>
  <c r="CD15" i="1" s="1"/>
  <c r="BM4" i="1"/>
  <c r="CA4" i="1"/>
  <c r="CA13" i="1"/>
  <c r="BM13" i="1"/>
  <c r="CB14" i="1"/>
  <c r="BN14" i="1"/>
  <c r="CD14" i="1" s="1"/>
  <c r="CB18" i="1"/>
  <c r="BN18" i="1"/>
  <c r="CD18" i="1" s="1"/>
  <c r="CB27" i="1"/>
  <c r="BN27" i="1"/>
  <c r="CD27" i="1" s="1"/>
  <c r="CB7" i="1"/>
  <c r="BN7" i="1"/>
  <c r="CD7" i="1" s="1"/>
  <c r="CA28" i="1"/>
  <c r="BM28" i="1"/>
  <c r="CB31" i="1"/>
  <c r="BN31" i="1"/>
  <c r="CD31" i="1" s="1"/>
  <c r="CA16" i="1"/>
  <c r="BM16" i="1"/>
  <c r="AE22" i="1" l="1" a="1"/>
  <c r="AE22" i="1" s="1"/>
  <c r="AD23" i="1" s="1" a="1"/>
  <c r="AD23" i="1" s="1"/>
  <c r="AE32" i="1" a="1"/>
  <c r="AE32" i="1" s="1"/>
  <c r="AD33" i="1" s="1" a="1"/>
  <c r="AD33" i="1" s="1"/>
  <c r="CB22" i="1"/>
  <c r="Z47" i="5" a="1"/>
  <c r="Z47" i="5" s="1"/>
  <c r="Y48" i="5" s="1" a="1"/>
  <c r="Y48" i="5" s="1"/>
  <c r="AB48" i="5" s="1"/>
  <c r="HH48" i="5" s="1"/>
  <c r="IH48" i="4"/>
  <c r="HY48" i="4"/>
  <c r="HV48" i="4"/>
  <c r="IB48" i="4"/>
  <c r="IL48" i="4"/>
  <c r="IK48" i="4"/>
  <c r="HW48" i="4"/>
  <c r="IC48" i="4"/>
  <c r="IG48" i="4"/>
  <c r="HU48" i="4"/>
  <c r="IJ48" i="4"/>
  <c r="HX48" i="4"/>
  <c r="IE48" i="4"/>
  <c r="II48" i="4"/>
  <c r="IA48" i="4"/>
  <c r="ID48" i="4"/>
  <c r="IF48" i="4"/>
  <c r="U49" i="4"/>
  <c r="GP48" i="4"/>
  <c r="IM48" i="4"/>
  <c r="HZ48" i="4"/>
  <c r="AB47" i="5"/>
  <c r="HH47" i="5" s="1"/>
  <c r="AJ22" i="1" a="1"/>
  <c r="AJ22" i="1" s="1"/>
  <c r="AI23" i="1" s="1" a="1"/>
  <c r="AI23" i="1" s="1"/>
  <c r="AK23" i="1" s="1"/>
  <c r="AJ32" i="1" a="1"/>
  <c r="AJ32" i="1" s="1"/>
  <c r="AI33" i="1" s="1" a="1"/>
  <c r="AI33" i="1" s="1"/>
  <c r="AL3" i="1"/>
  <c r="AK3" i="1"/>
  <c r="FG35" i="1"/>
  <c r="AE35" i="1" s="1" a="1"/>
  <c r="AE35" i="1" s="1"/>
  <c r="AD36" i="1" s="1" a="1"/>
  <c r="AD36" i="1" s="1"/>
  <c r="AJ35" i="1" a="1"/>
  <c r="AJ35" i="1" s="1"/>
  <c r="AI36" i="1" s="1" a="1"/>
  <c r="AI36" i="1" s="1"/>
  <c r="AL227" i="1"/>
  <c r="EX227" i="1" s="1"/>
  <c r="AK227" i="1"/>
  <c r="EW227" i="1" s="1"/>
  <c r="IP47" i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HQ267" i="1"/>
  <c r="HP267" i="1"/>
  <c r="HB267" i="1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X61" i="1"/>
  <c r="IF47" i="1"/>
  <c r="IE47" i="1"/>
  <c r="IC47" i="1"/>
  <c r="ID47" i="1"/>
  <c r="IA47" i="1"/>
  <c r="HY47" i="1"/>
  <c r="HZ47" i="1"/>
  <c r="IH47" i="1"/>
  <c r="IK47" i="1"/>
  <c r="IJ47" i="1"/>
  <c r="IO47" i="1"/>
  <c r="II47" i="1"/>
  <c r="IB47" i="1"/>
  <c r="U48" i="1"/>
  <c r="IQ47" i="1"/>
  <c r="GT47" i="1"/>
  <c r="IL47" i="1"/>
  <c r="IN47" i="1"/>
  <c r="IG47" i="1"/>
  <c r="IM47" i="1"/>
  <c r="LS174" i="1"/>
  <c r="LT174" i="1" s="1"/>
  <c r="LR175" i="1"/>
  <c r="CB28" i="1"/>
  <c r="BO18" i="1"/>
  <c r="CE18" i="1" s="1"/>
  <c r="CC6" i="1"/>
  <c r="CB6" i="1"/>
  <c r="CB30" i="1"/>
  <c r="BO14" i="1"/>
  <c r="CE14" i="1" s="1"/>
  <c r="BO11" i="1"/>
  <c r="CE11" i="1" s="1"/>
  <c r="CC19" i="1"/>
  <c r="BO19" i="1"/>
  <c r="CE19" i="1" s="1"/>
  <c r="BN12" i="1"/>
  <c r="CB12" i="1"/>
  <c r="CC15" i="1"/>
  <c r="BO15" i="1"/>
  <c r="CE15" i="1" s="1"/>
  <c r="CB8" i="1"/>
  <c r="BN8" i="1"/>
  <c r="CD8" i="1" s="1"/>
  <c r="BO29" i="1"/>
  <c r="CE29" i="1" s="1"/>
  <c r="CC29" i="1"/>
  <c r="BO21" i="1"/>
  <c r="CE21" i="1" s="1"/>
  <c r="CC21" i="1"/>
  <c r="BO20" i="1"/>
  <c r="CE20" i="1" s="1"/>
  <c r="CC20" i="1"/>
  <c r="BN21" i="1"/>
  <c r="CD21" i="1" s="1"/>
  <c r="CB21" i="1"/>
  <c r="BO25" i="1"/>
  <c r="CE25" i="1" s="1"/>
  <c r="CC25" i="1"/>
  <c r="BN25" i="1"/>
  <c r="CD25" i="1" s="1"/>
  <c r="CB25" i="1"/>
  <c r="BN5" i="1"/>
  <c r="CD5" i="1" s="1"/>
  <c r="CB5" i="1"/>
  <c r="BO17" i="1"/>
  <c r="CE17" i="1" s="1"/>
  <c r="CC17" i="1"/>
  <c r="CB32" i="1"/>
  <c r="BN32" i="1"/>
  <c r="CD32" i="1" s="1"/>
  <c r="BO4" i="1"/>
  <c r="CE4" i="1" s="1"/>
  <c r="CC4" i="1"/>
  <c r="BO13" i="1"/>
  <c r="CE13" i="1" s="1"/>
  <c r="CC13" i="1"/>
  <c r="BO12" i="1"/>
  <c r="CE12" i="1" s="1"/>
  <c r="CC12" i="1"/>
  <c r="BN17" i="1"/>
  <c r="CD17" i="1" s="1"/>
  <c r="CB17" i="1"/>
  <c r="BN29" i="1"/>
  <c r="CD29" i="1" s="1"/>
  <c r="CB29" i="1"/>
  <c r="BN9" i="1"/>
  <c r="CD9" i="1" s="1"/>
  <c r="CB9" i="1"/>
  <c r="BO9" i="1"/>
  <c r="CE9" i="1" s="1"/>
  <c r="CC9" i="1"/>
  <c r="BO16" i="1"/>
  <c r="CE16" i="1" s="1"/>
  <c r="CC16" i="1"/>
  <c r="BO28" i="1"/>
  <c r="CE28" i="1" s="1"/>
  <c r="CC28" i="1"/>
  <c r="CC8" i="1"/>
  <c r="BO8" i="1"/>
  <c r="CE8" i="1" s="1"/>
  <c r="BN13" i="1"/>
  <c r="CD13" i="1" s="1"/>
  <c r="CB13" i="1"/>
  <c r="BO24" i="1"/>
  <c r="CE24" i="1" s="1"/>
  <c r="CC24" i="1"/>
  <c r="BO32" i="1"/>
  <c r="CE32" i="1" s="1"/>
  <c r="CC32" i="1"/>
  <c r="BO5" i="1"/>
  <c r="CE5" i="1" s="1"/>
  <c r="CC5" i="1"/>
  <c r="AA48" i="5" l="1"/>
  <c r="HG48" i="5" s="1"/>
  <c r="Z48" i="5" s="1" a="1"/>
  <c r="Z48" i="5" s="1"/>
  <c r="Y49" i="5" s="1" a="1"/>
  <c r="Y49" i="5" s="1"/>
  <c r="AA49" i="5" s="1"/>
  <c r="HG49" i="5" s="1"/>
  <c r="IA49" i="4"/>
  <c r="HW49" i="4"/>
  <c r="GP49" i="4"/>
  <c r="HX49" i="4"/>
  <c r="U50" i="4"/>
  <c r="IC49" i="4"/>
  <c r="IM49" i="4"/>
  <c r="HU49" i="4"/>
  <c r="HV49" i="4"/>
  <c r="IJ49" i="4"/>
  <c r="II49" i="4"/>
  <c r="IB49" i="4"/>
  <c r="IH49" i="4"/>
  <c r="IL49" i="4"/>
  <c r="IF49" i="4"/>
  <c r="HY49" i="4"/>
  <c r="IE49" i="4"/>
  <c r="IK49" i="4"/>
  <c r="ID49" i="4"/>
  <c r="IG49" i="4"/>
  <c r="HZ49" i="4"/>
  <c r="AL23" i="1"/>
  <c r="BQ23" i="1" s="1"/>
  <c r="CD12" i="1"/>
  <c r="AE12" i="1" s="1" a="1"/>
  <c r="AE12" i="1" s="1"/>
  <c r="AD13" i="1" s="1" a="1"/>
  <c r="AD13" i="1" s="1"/>
  <c r="AJ12" i="1" a="1"/>
  <c r="AJ12" i="1" s="1"/>
  <c r="AI13" i="1" s="1" a="1"/>
  <c r="AI13" i="1" s="1"/>
  <c r="X62" i="1"/>
  <c r="X63" i="1" s="1"/>
  <c r="X64" i="1" s="1"/>
  <c r="X65" i="1" s="1"/>
  <c r="X67" i="1" s="1"/>
  <c r="X68" i="1" s="1"/>
  <c r="BP3" i="1"/>
  <c r="CF3" i="1"/>
  <c r="BQ3" i="1"/>
  <c r="CG3" i="1"/>
  <c r="BP23" i="1"/>
  <c r="CF23" i="1"/>
  <c r="AL33" i="1"/>
  <c r="AK33" i="1"/>
  <c r="AL36" i="1"/>
  <c r="EX36" i="1" s="1"/>
  <c r="AK36" i="1"/>
  <c r="EW36" i="1" s="1"/>
  <c r="FE227" i="1"/>
  <c r="FH227" i="1"/>
  <c r="FF227" i="1"/>
  <c r="IE48" i="1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HR267" i="1"/>
  <c r="IM48" i="1"/>
  <c r="II48" i="1"/>
  <c r="AB45" i="4"/>
  <c r="HD45" i="4" s="1"/>
  <c r="AA45" i="4"/>
  <c r="HC45" i="4" s="1"/>
  <c r="Z45" i="4" s="1" a="1"/>
  <c r="Z45" i="4" s="1"/>
  <c r="Y46" i="4" s="1" a="1"/>
  <c r="Y46" i="4" s="1"/>
  <c r="X50" i="4"/>
  <c r="IP48" i="1"/>
  <c r="IK48" i="1"/>
  <c r="U49" i="1"/>
  <c r="IC48" i="1"/>
  <c r="IQ48" i="1"/>
  <c r="IL48" i="1"/>
  <c r="IJ48" i="1"/>
  <c r="HZ48" i="1"/>
  <c r="IO48" i="1"/>
  <c r="IF48" i="1"/>
  <c r="HY48" i="1"/>
  <c r="IH48" i="1"/>
  <c r="IA48" i="1"/>
  <c r="IB48" i="1"/>
  <c r="IG48" i="1"/>
  <c r="ID48" i="1"/>
  <c r="IN48" i="1"/>
  <c r="GT48" i="1"/>
  <c r="LR176" i="1"/>
  <c r="LS176" i="1" s="1"/>
  <c r="LT176" i="1" s="1"/>
  <c r="LS175" i="1"/>
  <c r="LT175" i="1" s="1"/>
  <c r="AE23" i="1" l="1" a="1"/>
  <c r="AE23" i="1" s="1"/>
  <c r="AD24" i="1" s="1" a="1"/>
  <c r="AD24" i="1" s="1"/>
  <c r="AE3" i="1" a="1"/>
  <c r="AE3" i="1" s="1"/>
  <c r="AD4" i="1" s="1" a="1"/>
  <c r="AD4" i="1" s="1"/>
  <c r="Z49" i="5" a="1"/>
  <c r="Z49" i="5" s="1"/>
  <c r="Y50" i="5" s="1" a="1"/>
  <c r="Y50" i="5" s="1"/>
  <c r="AB50" i="5" s="1"/>
  <c r="HH50" i="5" s="1"/>
  <c r="AB49" i="5"/>
  <c r="HH49" i="5" s="1"/>
  <c r="IG50" i="4"/>
  <c r="GP50" i="4"/>
  <c r="II50" i="4"/>
  <c r="IE50" i="4"/>
  <c r="IA50" i="4"/>
  <c r="ID50" i="4"/>
  <c r="HY50" i="4"/>
  <c r="IH50" i="4"/>
  <c r="IJ50" i="4"/>
  <c r="IB50" i="4"/>
  <c r="HW50" i="4"/>
  <c r="IL50" i="4"/>
  <c r="IM50" i="4"/>
  <c r="HZ50" i="4"/>
  <c r="IK50" i="4"/>
  <c r="HX50" i="4"/>
  <c r="IC50" i="4"/>
  <c r="HV50" i="4"/>
  <c r="U51" i="4"/>
  <c r="IF50" i="4"/>
  <c r="HU50" i="4"/>
  <c r="CG23" i="1"/>
  <c r="AJ23" i="1" s="1" a="1"/>
  <c r="AJ23" i="1" s="1"/>
  <c r="AI24" i="1" s="1" a="1"/>
  <c r="AI24" i="1" s="1"/>
  <c r="Y69" i="1" a="1"/>
  <c r="Y69" i="1" s="1"/>
  <c r="AA69" i="1" s="1"/>
  <c r="X70" i="1"/>
  <c r="BS23" i="1"/>
  <c r="CK23" i="1" s="1"/>
  <c r="CI23" i="1"/>
  <c r="BS3" i="1"/>
  <c r="CK3" i="1" s="1"/>
  <c r="CI3" i="1"/>
  <c r="BR23" i="1"/>
  <c r="CJ23" i="1" s="1"/>
  <c r="CH23" i="1"/>
  <c r="BR3" i="1"/>
  <c r="CJ3" i="1" s="1"/>
  <c r="CH3" i="1"/>
  <c r="AJ3" i="1" s="1" a="1"/>
  <c r="AJ3" i="1" s="1"/>
  <c r="AI4" i="1" s="1" a="1"/>
  <c r="AI4" i="1" s="1"/>
  <c r="AK13" i="1"/>
  <c r="AL13" i="1"/>
  <c r="BP33" i="1"/>
  <c r="CF33" i="1"/>
  <c r="BQ33" i="1"/>
  <c r="CG33" i="1"/>
  <c r="FE36" i="1"/>
  <c r="FH36" i="1"/>
  <c r="FF36" i="1"/>
  <c r="FG227" i="1"/>
  <c r="AE227" i="1" s="1" a="1"/>
  <c r="AE227" i="1" s="1"/>
  <c r="AD228" i="1" s="1" a="1"/>
  <c r="AD228" i="1" s="1"/>
  <c r="AJ227" i="1" a="1"/>
  <c r="AJ227" i="1" s="1"/>
  <c r="AI228" i="1" s="1" a="1"/>
  <c r="AI228" i="1" s="1"/>
  <c r="II49" i="1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192" i="5" a="1"/>
  <c r="KI192" i="5" s="1"/>
  <c r="KI187" i="5" a="1"/>
  <c r="KI187" i="5" s="1"/>
  <c r="KI57" i="5" a="1"/>
  <c r="KI57" i="5" s="1"/>
  <c r="KJ57" i="5" s="1"/>
  <c r="KK57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GT49" i="1"/>
  <c r="HZ49" i="1"/>
  <c r="IE49" i="1"/>
  <c r="IK49" i="1"/>
  <c r="ID49" i="1"/>
  <c r="IA49" i="1"/>
  <c r="IB49" i="1"/>
  <c r="IN49" i="1"/>
  <c r="IM49" i="1"/>
  <c r="IO49" i="1"/>
  <c r="HY49" i="1"/>
  <c r="U50" i="1"/>
  <c r="IG49" i="1"/>
  <c r="IC49" i="1"/>
  <c r="IJ49" i="1"/>
  <c r="IF49" i="1"/>
  <c r="IP49" i="1"/>
  <c r="IQ49" i="1"/>
  <c r="IL49" i="1"/>
  <c r="IH49" i="1"/>
  <c r="AA46" i="4"/>
  <c r="HC46" i="4" s="1"/>
  <c r="Z46" i="4" s="1" a="1"/>
  <c r="Z46" i="4" s="1"/>
  <c r="Y47" i="4" s="1" a="1"/>
  <c r="Y47" i="4" s="1"/>
  <c r="AB46" i="4"/>
  <c r="HD46" i="4" s="1"/>
  <c r="X51" i="4"/>
  <c r="AE33" i="1" l="1" a="1"/>
  <c r="AE33" i="1" s="1"/>
  <c r="KI249" i="5" a="1"/>
  <c r="KI249" i="5" s="1"/>
  <c r="KJ249" i="5" s="1"/>
  <c r="KK249" i="5" s="1"/>
  <c r="IL51" i="4"/>
  <c r="IK51" i="4"/>
  <c r="U52" i="4"/>
  <c r="HZ51" i="4"/>
  <c r="II51" i="4"/>
  <c r="GP51" i="4"/>
  <c r="IH51" i="4"/>
  <c r="HV51" i="4"/>
  <c r="HY51" i="4"/>
  <c r="IA51" i="4"/>
  <c r="IM51" i="4"/>
  <c r="ID51" i="4"/>
  <c r="IF51" i="4"/>
  <c r="IB51" i="4"/>
  <c r="IC51" i="4"/>
  <c r="IJ51" i="4"/>
  <c r="IG51" i="4"/>
  <c r="IE51" i="4"/>
  <c r="HU51" i="4"/>
  <c r="HW51" i="4"/>
  <c r="HX51" i="4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222" i="5" a="1"/>
  <c r="KI222" i="5" s="1"/>
  <c r="AA50" i="5"/>
  <c r="HG50" i="5" s="1"/>
  <c r="Z50" i="5" s="1" a="1"/>
  <c r="Z50" i="5" s="1"/>
  <c r="KI253" i="5" a="1"/>
  <c r="KI253" i="5" s="1"/>
  <c r="AB69" i="1"/>
  <c r="KB69" i="1" s="1"/>
  <c r="KF69" i="1" s="1"/>
  <c r="AK4" i="1"/>
  <c r="AL4" i="1"/>
  <c r="AL24" i="1"/>
  <c r="AK24" i="1"/>
  <c r="BS33" i="1"/>
  <c r="CK33" i="1" s="1"/>
  <c r="CI33" i="1"/>
  <c r="BR33" i="1"/>
  <c r="CJ33" i="1" s="1"/>
  <c r="AJ33" i="1" a="1"/>
  <c r="AJ33" i="1" s="1"/>
  <c r="CH33" i="1"/>
  <c r="BQ13" i="1"/>
  <c r="CG13" i="1"/>
  <c r="BP13" i="1"/>
  <c r="CF13" i="1"/>
  <c r="FG36" i="1"/>
  <c r="AE36" i="1" s="1" a="1"/>
  <c r="AE36" i="1" s="1"/>
  <c r="AD37" i="1" s="1" a="1"/>
  <c r="AD37" i="1" s="1"/>
  <c r="AJ36" i="1" a="1"/>
  <c r="AJ36" i="1" s="1"/>
  <c r="AI37" i="1" s="1" a="1"/>
  <c r="AI37" i="1" s="1"/>
  <c r="AL228" i="1"/>
  <c r="FF228" i="1" s="1"/>
  <c r="AK228" i="1"/>
  <c r="FE228" i="1" s="1"/>
  <c r="AE228" i="1" s="1" a="1"/>
  <c r="AE228" i="1" s="1"/>
  <c r="AD229" i="1" s="1" a="1"/>
  <c r="AD229" i="1" s="1"/>
  <c r="IQ50" i="1"/>
  <c r="AB53" i="5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IA50" i="1"/>
  <c r="IC50" i="1"/>
  <c r="IE50" i="1"/>
  <c r="IG50" i="1"/>
  <c r="IN50" i="1"/>
  <c r="IH50" i="1"/>
  <c r="HY50" i="1"/>
  <c r="GT50" i="1"/>
  <c r="IF50" i="1"/>
  <c r="IK50" i="1"/>
  <c r="IO50" i="1"/>
  <c r="IL50" i="1"/>
  <c r="U51" i="1"/>
  <c r="IB51" i="1" s="1"/>
  <c r="ID50" i="1"/>
  <c r="IP50" i="1"/>
  <c r="HZ50" i="1"/>
  <c r="IJ50" i="1"/>
  <c r="II50" i="1"/>
  <c r="IB50" i="1"/>
  <c r="IM50" i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KD56" i="1"/>
  <c r="KC69" i="1"/>
  <c r="KA69" i="1"/>
  <c r="X72" i="1"/>
  <c r="AE13" i="1" l="1" a="1"/>
  <c r="AE13" i="1" s="1"/>
  <c r="AD14" i="1" s="1" a="1"/>
  <c r="AD14" i="1" s="1"/>
  <c r="KJ222" i="5"/>
  <c r="KK222" i="5" s="1"/>
  <c r="KL222" i="5" s="1"/>
  <c r="KI223" i="5" a="1"/>
  <c r="KI223" i="5" s="1"/>
  <c r="IB52" i="4"/>
  <c r="IC52" i="4"/>
  <c r="IG52" i="4"/>
  <c r="II52" i="4"/>
  <c r="IH52" i="4"/>
  <c r="IF52" i="4"/>
  <c r="IJ52" i="4"/>
  <c r="HY52" i="4"/>
  <c r="HV52" i="4"/>
  <c r="GP52" i="4"/>
  <c r="HZ52" i="4"/>
  <c r="IE52" i="4"/>
  <c r="HU52" i="4"/>
  <c r="IA52" i="4"/>
  <c r="HX52" i="4"/>
  <c r="HW52" i="4"/>
  <c r="IK52" i="4"/>
  <c r="IM52" i="4"/>
  <c r="IL52" i="4"/>
  <c r="ID52" i="4"/>
  <c r="U53" i="4"/>
  <c r="KJ253" i="5"/>
  <c r="KK253" i="5" s="1"/>
  <c r="KD69" i="1"/>
  <c r="BR13" i="1"/>
  <c r="CJ13" i="1" s="1"/>
  <c r="CH13" i="1"/>
  <c r="AJ13" i="1" a="1"/>
  <c r="AJ13" i="1" s="1"/>
  <c r="AI14" i="1" s="1" a="1"/>
  <c r="AI14" i="1" s="1"/>
  <c r="BS13" i="1"/>
  <c r="CK13" i="1" s="1"/>
  <c r="CI13" i="1"/>
  <c r="BP24" i="1"/>
  <c r="CF24" i="1"/>
  <c r="BQ24" i="1"/>
  <c r="CG24" i="1"/>
  <c r="BQ4" i="1"/>
  <c r="CG4" i="1"/>
  <c r="BP4" i="1"/>
  <c r="CF4" i="1"/>
  <c r="AK37" i="1"/>
  <c r="EW37" i="1" s="1"/>
  <c r="AL37" i="1"/>
  <c r="EX37" i="1" s="1"/>
  <c r="AJ228" i="1" a="1"/>
  <c r="AJ228" i="1" s="1"/>
  <c r="AI229" i="1" s="1" a="1"/>
  <c r="AI229" i="1" s="1"/>
  <c r="AL229" i="1" s="1"/>
  <c r="FF229" i="1" s="1"/>
  <c r="IJ51" i="1"/>
  <c r="IQ51" i="1"/>
  <c r="IA51" i="1"/>
  <c r="IP51" i="1"/>
  <c r="IG51" i="1"/>
  <c r="IH51" i="1"/>
  <c r="II51" i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J237" i="5"/>
  <c r="KK237" i="5" s="1"/>
  <c r="KI238" i="5" a="1"/>
  <c r="KI238" i="5" s="1"/>
  <c r="KJ238" i="5" s="1"/>
  <c r="KK238" i="5" s="1"/>
  <c r="HZ51" i="1"/>
  <c r="U52" i="1"/>
  <c r="IF51" i="1"/>
  <c r="IC51" i="1"/>
  <c r="IE51" i="1"/>
  <c r="HY51" i="1"/>
  <c r="GT51" i="1"/>
  <c r="IK51" i="1"/>
  <c r="IL51" i="1"/>
  <c r="IO51" i="1"/>
  <c r="IM51" i="1"/>
  <c r="IN51" i="1"/>
  <c r="ID51" i="1"/>
  <c r="AB48" i="4"/>
  <c r="HD48" i="4" s="1"/>
  <c r="AA48" i="4"/>
  <c r="HC48" i="4" s="1"/>
  <c r="Z48" i="4" s="1" a="1"/>
  <c r="Z48" i="4" s="1"/>
  <c r="Y49" i="4" s="1" a="1"/>
  <c r="Y49" i="4" s="1"/>
  <c r="AA51" i="4"/>
  <c r="HC51" i="4" s="1"/>
  <c r="Z51" i="4" s="1" a="1"/>
  <c r="Z51" i="4" s="1"/>
  <c r="Y52" i="4" s="1" a="1"/>
  <c r="Y52" i="4" s="1"/>
  <c r="AB51" i="4"/>
  <c r="HD51" i="4" s="1"/>
  <c r="X53" i="4"/>
  <c r="KE69" i="1"/>
  <c r="X73" i="1"/>
  <c r="AE24" i="1" l="1" a="1"/>
  <c r="AE24" i="1" s="1"/>
  <c r="AD25" i="1" s="1" a="1"/>
  <c r="AD25" i="1" s="1"/>
  <c r="AE4" i="1" a="1"/>
  <c r="AE4" i="1" s="1"/>
  <c r="AD5" i="1" s="1" a="1"/>
  <c r="AD5" i="1" s="1"/>
  <c r="U54" i="4"/>
  <c r="IH53" i="4"/>
  <c r="IJ53" i="4"/>
  <c r="IL53" i="4"/>
  <c r="IK53" i="4"/>
  <c r="HV53" i="4"/>
  <c r="IG53" i="4"/>
  <c r="IA53" i="4"/>
  <c r="ID53" i="4"/>
  <c r="GP53" i="4"/>
  <c r="IB53" i="4"/>
  <c r="HZ53" i="4"/>
  <c r="HX53" i="4"/>
  <c r="HU53" i="4"/>
  <c r="II53" i="4"/>
  <c r="IC53" i="4"/>
  <c r="IF53" i="4"/>
  <c r="HY53" i="4"/>
  <c r="IM53" i="4"/>
  <c r="HW53" i="4"/>
  <c r="IE53" i="4"/>
  <c r="KI266" i="5" a="1"/>
  <c r="KI266" i="5" s="1"/>
  <c r="KJ266" i="5" s="1"/>
  <c r="KK266" i="5" s="1"/>
  <c r="KI220" i="5" a="1"/>
  <c r="KI220" i="5" s="1"/>
  <c r="KJ220" i="5" s="1"/>
  <c r="KK220" i="5" s="1"/>
  <c r="KJ223" i="5"/>
  <c r="KK223" i="5" s="1"/>
  <c r="KI224" i="5" a="1"/>
  <c r="KI224" i="5" s="1"/>
  <c r="KJ224" i="5" s="1"/>
  <c r="KK224" i="5" s="1"/>
  <c r="KI254" i="5" a="1"/>
  <c r="KI254" i="5" s="1"/>
  <c r="KJ254" i="5" s="1"/>
  <c r="KK254" i="5" s="1"/>
  <c r="BR4" i="1"/>
  <c r="CJ4" i="1" s="1"/>
  <c r="CH4" i="1"/>
  <c r="AJ4" i="1" a="1"/>
  <c r="AJ4" i="1" s="1"/>
  <c r="AI5" i="1" s="1" a="1"/>
  <c r="AI5" i="1" s="1"/>
  <c r="BS4" i="1"/>
  <c r="CK4" i="1" s="1"/>
  <c r="CI4" i="1"/>
  <c r="BS24" i="1"/>
  <c r="CK24" i="1" s="1"/>
  <c r="CI24" i="1"/>
  <c r="AJ24" i="1" s="1" a="1"/>
  <c r="AJ24" i="1" s="1"/>
  <c r="AI25" i="1" s="1" a="1"/>
  <c r="AI25" i="1" s="1"/>
  <c r="BR24" i="1"/>
  <c r="CJ24" i="1" s="1"/>
  <c r="CH24" i="1"/>
  <c r="AL14" i="1"/>
  <c r="AK14" i="1"/>
  <c r="FE37" i="1"/>
  <c r="FH37" i="1"/>
  <c r="FF37" i="1"/>
  <c r="AK229" i="1"/>
  <c r="FE229" i="1" s="1"/>
  <c r="AE229" i="1" s="1" a="1"/>
  <c r="AE229" i="1" s="1"/>
  <c r="AD230" i="1" s="1" a="1"/>
  <c r="AD230" i="1" s="1"/>
  <c r="AD231" i="1" s="1" a="1"/>
  <c r="AD231" i="1" s="1"/>
  <c r="AD232" i="1" s="1" a="1"/>
  <c r="AD232" i="1" s="1"/>
  <c r="HY52" i="1"/>
  <c r="IO52" i="1"/>
  <c r="GT52" i="1"/>
  <c r="IM52" i="1"/>
  <c r="IJ52" i="1"/>
  <c r="IP52" i="1"/>
  <c r="IG52" i="1"/>
  <c r="IH52" i="1"/>
  <c r="IA52" i="1"/>
  <c r="IB52" i="1"/>
  <c r="IE52" i="1"/>
  <c r="U53" i="1"/>
  <c r="IH53" i="1" s="1"/>
  <c r="IQ52" i="1"/>
  <c r="II52" i="1"/>
  <c r="IL52" i="1"/>
  <c r="ID52" i="1"/>
  <c r="IF52" i="1"/>
  <c r="IK52" i="1"/>
  <c r="IN52" i="1"/>
  <c r="IC52" i="1"/>
  <c r="HZ52" i="1"/>
  <c r="AB55" i="5"/>
  <c r="HH55" i="5" s="1"/>
  <c r="AA55" i="5"/>
  <c r="HG55" i="5" s="1"/>
  <c r="Z55" i="5" s="1" a="1"/>
  <c r="Z55" i="5" s="1"/>
  <c r="KJ257" i="5"/>
  <c r="KK257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X74" i="1"/>
  <c r="AJ229" i="1" l="1" a="1"/>
  <c r="AJ229" i="1" s="1"/>
  <c r="KI258" i="5" a="1"/>
  <c r="KI258" i="5" s="1"/>
  <c r="KJ258" i="5" s="1"/>
  <c r="KK258" i="5" s="1"/>
  <c r="IL54" i="4"/>
  <c r="IJ54" i="4"/>
  <c r="HZ54" i="4"/>
  <c r="IH54" i="4"/>
  <c r="IM54" i="4"/>
  <c r="IC54" i="4"/>
  <c r="GP54" i="4"/>
  <c r="IF54" i="4"/>
  <c r="HY54" i="4"/>
  <c r="HW54" i="4"/>
  <c r="PB198" i="4" a="1"/>
  <c r="PB198" i="4" s="1"/>
  <c r="PC198" i="4" s="1"/>
  <c r="PD198" i="4" s="1"/>
  <c r="PE198" i="4" s="1"/>
  <c r="PF198" i="4" s="1"/>
  <c r="PG198" i="4" s="1"/>
  <c r="IG54" i="4"/>
  <c r="IE54" i="4"/>
  <c r="ID54" i="4"/>
  <c r="II54" i="4"/>
  <c r="IA54" i="4"/>
  <c r="PB209" i="4" a="1"/>
  <c r="PB209" i="4" s="1"/>
  <c r="PC209" i="4" s="1"/>
  <c r="PD209" i="4" s="1"/>
  <c r="PE209" i="4" s="1"/>
  <c r="PF209" i="4" s="1"/>
  <c r="PG209" i="4" s="1"/>
  <c r="IB54" i="4"/>
  <c r="HV54" i="4"/>
  <c r="KE56" i="4" a="1"/>
  <c r="KE56" i="4" s="1"/>
  <c r="KF56" i="4" s="1"/>
  <c r="KG56" i="4" s="1"/>
  <c r="U55" i="4"/>
  <c r="HU54" i="4"/>
  <c r="HX54" i="4"/>
  <c r="IK54" i="4"/>
  <c r="BP14" i="1"/>
  <c r="CF14" i="1"/>
  <c r="BQ14" i="1"/>
  <c r="CG14" i="1"/>
  <c r="AK25" i="1"/>
  <c r="AL25" i="1"/>
  <c r="AK5" i="1"/>
  <c r="AL5" i="1"/>
  <c r="FG37" i="1"/>
  <c r="AE37" i="1" s="1" a="1"/>
  <c r="AE37" i="1" s="1"/>
  <c r="AD38" i="1" s="1" a="1"/>
  <c r="AD38" i="1" s="1"/>
  <c r="AJ37" i="1" a="1"/>
  <c r="AJ37" i="1" s="1"/>
  <c r="AI38" i="1" s="1" a="1"/>
  <c r="AI38" i="1" s="1"/>
  <c r="IF53" i="1"/>
  <c r="IN53" i="1"/>
  <c r="IA53" i="1"/>
  <c r="IJ53" i="1"/>
  <c r="IO53" i="1"/>
  <c r="HZ53" i="1"/>
  <c r="IQ53" i="1"/>
  <c r="IE53" i="1"/>
  <c r="IM53" i="1"/>
  <c r="II53" i="1"/>
  <c r="IL53" i="1"/>
  <c r="ID53" i="1"/>
  <c r="IK53" i="1"/>
  <c r="HY53" i="1"/>
  <c r="IB53" i="1"/>
  <c r="IG53" i="1"/>
  <c r="IC53" i="1"/>
  <c r="IP53" i="1"/>
  <c r="GT53" i="1"/>
  <c r="U54" i="1"/>
  <c r="IH54" i="1" s="1"/>
  <c r="AB57" i="5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X55" i="4"/>
  <c r="X75" i="1"/>
  <c r="X76" i="1" s="1"/>
  <c r="AE14" i="1" l="1" a="1"/>
  <c r="AE14" i="1" s="1"/>
  <c r="AD15" i="1" s="1" a="1"/>
  <c r="AD15" i="1" s="1"/>
  <c r="HY55" i="4"/>
  <c r="IK55" i="4"/>
  <c r="KE233" i="4" a="1"/>
  <c r="KE233" i="4" s="1"/>
  <c r="PB215" i="4" a="1"/>
  <c r="PB215" i="4" s="1"/>
  <c r="PC215" i="4" s="1"/>
  <c r="PD215" i="4" s="1"/>
  <c r="PE215" i="4" s="1"/>
  <c r="PF215" i="4" s="1"/>
  <c r="PG215" i="4" s="1"/>
  <c r="IA55" i="4"/>
  <c r="HV55" i="4"/>
  <c r="PB193" i="4" a="1"/>
  <c r="PB193" i="4" s="1"/>
  <c r="PC193" i="4" s="1"/>
  <c r="PD193" i="4" s="1"/>
  <c r="PE193" i="4" s="1"/>
  <c r="PF193" i="4" s="1"/>
  <c r="PG193" i="4" s="1"/>
  <c r="PB207" i="4" a="1"/>
  <c r="PB207" i="4" s="1"/>
  <c r="PC207" i="4" s="1"/>
  <c r="PD207" i="4" s="1"/>
  <c r="PE207" i="4" s="1"/>
  <c r="PF207" i="4" s="1"/>
  <c r="PG207" i="4" s="1"/>
  <c r="IL55" i="4"/>
  <c r="HZ55" i="4"/>
  <c r="KE221" i="4" a="1"/>
  <c r="KE221" i="4" s="1"/>
  <c r="KF221" i="4" s="1"/>
  <c r="KG221" i="4" s="1"/>
  <c r="KH221" i="4" s="1"/>
  <c r="IJ55" i="4"/>
  <c r="IB55" i="4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KE197" i="4" a="1"/>
  <c r="KE197" i="4" s="1"/>
  <c r="HW55" i="4"/>
  <c r="HX55" i="4"/>
  <c r="PB199" i="4" a="1"/>
  <c r="PB199" i="4" s="1"/>
  <c r="PC199" i="4" s="1"/>
  <c r="PD199" i="4" s="1"/>
  <c r="PE199" i="4" s="1"/>
  <c r="PF199" i="4" s="1"/>
  <c r="PG199" i="4" s="1"/>
  <c r="IM55" i="4"/>
  <c r="HU55" i="4"/>
  <c r="PB213" i="4" a="1"/>
  <c r="PB213" i="4" s="1"/>
  <c r="PC213" i="4" s="1"/>
  <c r="PD213" i="4" s="1"/>
  <c r="PE213" i="4" s="1"/>
  <c r="PF213" i="4" s="1"/>
  <c r="PG213" i="4" s="1"/>
  <c r="KE218" i="4" a="1"/>
  <c r="KE218" i="4" s="1"/>
  <c r="IG55" i="4"/>
  <c r="IH55" i="4"/>
  <c r="PB205" i="4" a="1"/>
  <c r="PB205" i="4" s="1"/>
  <c r="PC205" i="4" s="1"/>
  <c r="PD205" i="4" s="1"/>
  <c r="PE205" i="4" s="1"/>
  <c r="PF205" i="4" s="1"/>
  <c r="PG205" i="4" s="1"/>
  <c r="GP55" i="4"/>
  <c r="KE57" i="4" a="1"/>
  <c r="KE57" i="4" s="1"/>
  <c r="II55" i="4"/>
  <c r="PB203" i="4" a="1"/>
  <c r="PB203" i="4" s="1"/>
  <c r="PC203" i="4" s="1"/>
  <c r="PD203" i="4" s="1"/>
  <c r="PE203" i="4" s="1"/>
  <c r="PF203" i="4" s="1"/>
  <c r="PG203" i="4" s="1"/>
  <c r="IF55" i="4"/>
  <c r="PB211" i="4" a="1"/>
  <c r="PB211" i="4" s="1"/>
  <c r="PC211" i="4" s="1"/>
  <c r="PD211" i="4" s="1"/>
  <c r="PE211" i="4" s="1"/>
  <c r="PF211" i="4" s="1"/>
  <c r="PG211" i="4" s="1"/>
  <c r="IE55" i="4"/>
  <c r="KE187" i="4" a="1"/>
  <c r="KE187" i="4" s="1"/>
  <c r="KE192" i="4" a="1"/>
  <c r="KE192" i="4" s="1"/>
  <c r="ID55" i="4"/>
  <c r="IC55" i="4"/>
  <c r="LB169" i="4" a="1"/>
  <c r="LB169" i="4" s="1"/>
  <c r="LC169" i="4" s="1"/>
  <c r="LD169" i="4" s="1"/>
  <c r="KE202" i="4" a="1"/>
  <c r="KE202" i="4" s="1"/>
  <c r="KE222" i="4" a="1"/>
  <c r="KE222" i="4" s="1"/>
  <c r="PB194" i="4" a="1"/>
  <c r="PB194" i="4" s="1"/>
  <c r="PB183" i="4" a="1"/>
  <c r="PB183" i="4" s="1"/>
  <c r="PB188" i="4" a="1"/>
  <c r="PB188" i="4" s="1"/>
  <c r="PC188" i="4" s="1"/>
  <c r="PD188" i="4" s="1"/>
  <c r="PE188" i="4" s="1"/>
  <c r="PF188" i="4" s="1"/>
  <c r="PG188" i="4" s="1"/>
  <c r="BQ5" i="1"/>
  <c r="CG5" i="1"/>
  <c r="BP5" i="1"/>
  <c r="CF5" i="1"/>
  <c r="BQ25" i="1"/>
  <c r="CG25" i="1"/>
  <c r="BP25" i="1"/>
  <c r="CF25" i="1"/>
  <c r="BS14" i="1"/>
  <c r="CK14" i="1" s="1"/>
  <c r="CI14" i="1"/>
  <c r="BR14" i="1"/>
  <c r="CJ14" i="1" s="1"/>
  <c r="CH14" i="1"/>
  <c r="AJ14" i="1" a="1"/>
  <c r="AJ14" i="1" s="1"/>
  <c r="AI15" i="1" s="1" a="1"/>
  <c r="AI15" i="1" s="1"/>
  <c r="AK38" i="1"/>
  <c r="EW38" i="1" s="1"/>
  <c r="AL38" i="1"/>
  <c r="EX38" i="1" s="1"/>
  <c r="IP54" i="1"/>
  <c r="HY54" i="1"/>
  <c r="IK54" i="1"/>
  <c r="IE54" i="1"/>
  <c r="IC54" i="1"/>
  <c r="GT54" i="1"/>
  <c r="HZ54" i="1"/>
  <c r="IF54" i="1"/>
  <c r="IG54" i="1"/>
  <c r="IA54" i="1"/>
  <c r="IQ54" i="1"/>
  <c r="IN54" i="1"/>
  <c r="IL54" i="1"/>
  <c r="II54" i="1"/>
  <c r="U55" i="1"/>
  <c r="PM198" i="1" s="1" a="1"/>
  <c r="PM198" i="1" s="1"/>
  <c r="IM54" i="1"/>
  <c r="IJ54" i="1"/>
  <c r="IB54" i="1"/>
  <c r="IO54" i="1"/>
  <c r="ID54" i="1"/>
  <c r="AB58" i="5"/>
  <c r="KD58" i="5" s="1"/>
  <c r="AA58" i="5"/>
  <c r="KC58" i="5" s="1"/>
  <c r="Z58" i="5" s="1" a="1"/>
  <c r="Z58" i="5" s="1"/>
  <c r="Y59" i="5" s="1" a="1"/>
  <c r="Y59" i="5" s="1"/>
  <c r="KJ61" i="5"/>
  <c r="KK61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X77" i="1"/>
  <c r="PM209" i="1" l="1" a="1"/>
  <c r="PM209" i="1" s="1"/>
  <c r="PN209" i="1" s="1"/>
  <c r="PO209" i="1" s="1"/>
  <c r="PP209" i="1" s="1"/>
  <c r="PQ209" i="1" s="1"/>
  <c r="PR209" i="1" s="1"/>
  <c r="AE25" i="1" a="1"/>
  <c r="AE25" i="1" s="1"/>
  <c r="AD26" i="1" s="1" a="1"/>
  <c r="AD26" i="1" s="1"/>
  <c r="KF218" i="4"/>
  <c r="KG218" i="4" s="1"/>
  <c r="KE219" i="4" a="1"/>
  <c r="KE219" i="4" s="1"/>
  <c r="KI62" i="5" a="1"/>
  <c r="KI62" i="5" s="1"/>
  <c r="PB189" i="4" a="1"/>
  <c r="PB189" i="4" s="1"/>
  <c r="PC183" i="4"/>
  <c r="PD183" i="4" s="1"/>
  <c r="PE183" i="4" s="1"/>
  <c r="PF183" i="4" s="1"/>
  <c r="PG183" i="4" s="1"/>
  <c r="PB184" i="4" a="1"/>
  <c r="PB184" i="4" s="1"/>
  <c r="PC194" i="4"/>
  <c r="PD194" i="4" s="1"/>
  <c r="PE194" i="4" s="1"/>
  <c r="PF194" i="4" s="1"/>
  <c r="PG19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F222" i="4"/>
  <c r="KG222" i="4" s="1"/>
  <c r="KH222" i="4" s="1"/>
  <c r="KE223" i="4" a="1"/>
  <c r="KE223" i="4" s="1"/>
  <c r="KF57" i="4"/>
  <c r="KG57" i="4" s="1"/>
  <c r="KE58" i="4" a="1"/>
  <c r="KE58" i="4" s="1"/>
  <c r="KF233" i="4"/>
  <c r="KG233" i="4" s="1"/>
  <c r="KE234" i="4" a="1"/>
  <c r="KE234" i="4" s="1"/>
  <c r="KF234" i="4" s="1"/>
  <c r="KG234" i="4" s="1"/>
  <c r="PM215" i="1" a="1"/>
  <c r="PM215" i="1" s="1"/>
  <c r="PN215" i="1" s="1"/>
  <c r="PO215" i="1" s="1"/>
  <c r="PP215" i="1" s="1"/>
  <c r="PQ215" i="1" s="1"/>
  <c r="PR215" i="1" s="1"/>
  <c r="BR25" i="1"/>
  <c r="CJ25" i="1" s="1"/>
  <c r="CH25" i="1"/>
  <c r="AJ25" i="1" a="1"/>
  <c r="AJ25" i="1" s="1"/>
  <c r="AI26" i="1" s="1" a="1"/>
  <c r="AI26" i="1" s="1"/>
  <c r="BS25" i="1"/>
  <c r="CK25" i="1" s="1"/>
  <c r="CI25" i="1"/>
  <c r="IJ55" i="1"/>
  <c r="PM211" i="1" a="1"/>
  <c r="PM211" i="1" s="1"/>
  <c r="PN211" i="1" s="1"/>
  <c r="PO211" i="1" s="1"/>
  <c r="PP211" i="1" s="1"/>
  <c r="PQ211" i="1" s="1"/>
  <c r="PR211" i="1" s="1"/>
  <c r="BR5" i="1"/>
  <c r="CJ5" i="1" s="1"/>
  <c r="CH5" i="1"/>
  <c r="IB55" i="1"/>
  <c r="IE55" i="1"/>
  <c r="IG55" i="1"/>
  <c r="AL15" i="1"/>
  <c r="AK15" i="1"/>
  <c r="BS5" i="1"/>
  <c r="CK5" i="1" s="1"/>
  <c r="CI5" i="1"/>
  <c r="FE38" i="1"/>
  <c r="FH38" i="1"/>
  <c r="FF38" i="1"/>
  <c r="KI218" i="1" a="1"/>
  <c r="KI218" i="1" s="1"/>
  <c r="KJ218" i="1" s="1"/>
  <c r="KK218" i="1" s="1"/>
  <c r="PM205" i="1" a="1"/>
  <c r="PM205" i="1" s="1"/>
  <c r="PN205" i="1" s="1"/>
  <c r="PO205" i="1" s="1"/>
  <c r="PP205" i="1" s="1"/>
  <c r="PQ205" i="1" s="1"/>
  <c r="PR205" i="1" s="1"/>
  <c r="IL55" i="1"/>
  <c r="GT55" i="1"/>
  <c r="IM55" i="1"/>
  <c r="PM193" i="1" a="1"/>
  <c r="PM193" i="1" s="1"/>
  <c r="PN193" i="1" s="1"/>
  <c r="PO193" i="1" s="1"/>
  <c r="PP193" i="1" s="1"/>
  <c r="PQ193" i="1" s="1"/>
  <c r="PR193" i="1" s="1"/>
  <c r="PM194" i="1" s="1" a="1"/>
  <c r="PM194" i="1" s="1"/>
  <c r="PM183" i="1" a="1"/>
  <c r="PM183" i="1" s="1"/>
  <c r="PN183" i="1" s="1"/>
  <c r="PO183" i="1" s="1"/>
  <c r="PP183" i="1" s="1"/>
  <c r="PQ183" i="1" s="1"/>
  <c r="PR183" i="1" s="1"/>
  <c r="HZ55" i="1"/>
  <c r="IN55" i="1"/>
  <c r="PM203" i="1" a="1"/>
  <c r="PM203" i="1" s="1"/>
  <c r="PN203" i="1" s="1"/>
  <c r="PO203" i="1" s="1"/>
  <c r="PP203" i="1" s="1"/>
  <c r="PQ203" i="1" s="1"/>
  <c r="PR203" i="1" s="1"/>
  <c r="KI192" i="1" a="1"/>
  <c r="KI192" i="1" s="1"/>
  <c r="IK55" i="1"/>
  <c r="IA55" i="1"/>
  <c r="KI202" i="1" a="1"/>
  <c r="KI202" i="1" s="1"/>
  <c r="LG169" i="1" a="1"/>
  <c r="LG169" i="1" s="1"/>
  <c r="II55" i="1"/>
  <c r="IF55" i="1"/>
  <c r="KI197" i="1" a="1"/>
  <c r="KI197" i="1" s="1"/>
  <c r="IP55" i="1"/>
  <c r="IC55" i="1"/>
  <c r="IQ55" i="1"/>
  <c r="IH55" i="1"/>
  <c r="IO55" i="1"/>
  <c r="PM213" i="1" a="1"/>
  <c r="PM213" i="1" s="1"/>
  <c r="PN213" i="1" s="1"/>
  <c r="PO213" i="1" s="1"/>
  <c r="PP213" i="1" s="1"/>
  <c r="PQ213" i="1" s="1"/>
  <c r="PR213" i="1" s="1"/>
  <c r="ID55" i="1"/>
  <c r="PM188" i="1" a="1"/>
  <c r="PM188" i="1" s="1"/>
  <c r="PN188" i="1" s="1"/>
  <c r="PO188" i="1" s="1"/>
  <c r="PP188" i="1" s="1"/>
  <c r="PQ188" i="1" s="1"/>
  <c r="PR188" i="1" s="1"/>
  <c r="PM189" i="1" s="1" a="1"/>
  <c r="PM189" i="1" s="1"/>
  <c r="KI187" i="1" a="1"/>
  <c r="KI187" i="1" s="1"/>
  <c r="KI56" i="1" a="1"/>
  <c r="KI56" i="1" s="1"/>
  <c r="KJ56" i="1" s="1"/>
  <c r="KK56" i="1" s="1"/>
  <c r="KI57" i="1" s="1" a="1"/>
  <c r="KI57" i="1" s="1"/>
  <c r="PM207" i="1" a="1"/>
  <c r="PM207" i="1" s="1"/>
  <c r="PN207" i="1" s="1"/>
  <c r="PO207" i="1" s="1"/>
  <c r="PP207" i="1" s="1"/>
  <c r="PQ207" i="1" s="1"/>
  <c r="PR207" i="1" s="1"/>
  <c r="HY55" i="1"/>
  <c r="AB59" i="5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X58" i="4"/>
  <c r="AA56" i="4"/>
  <c r="JY56" i="4" s="1"/>
  <c r="Z56" i="4" s="1" a="1"/>
  <c r="Z56" i="4" s="1"/>
  <c r="Y57" i="4" s="1" a="1"/>
  <c r="Y57" i="4" s="1"/>
  <c r="AB56" i="4"/>
  <c r="JZ56" i="4" s="1"/>
  <c r="PN198" i="1"/>
  <c r="PO198" i="1" s="1"/>
  <c r="PP198" i="1" s="1"/>
  <c r="PQ198" i="1" s="1"/>
  <c r="PR198" i="1" s="1"/>
  <c r="X78" i="1"/>
  <c r="LH169" i="1" l="1"/>
  <c r="LI169" i="1" s="1"/>
  <c r="AJ5" i="1" a="1"/>
  <c r="AJ5" i="1" s="1"/>
  <c r="AI6" i="1" s="1" a="1"/>
  <c r="AI6" i="1" s="1"/>
  <c r="AL6" i="1" s="1"/>
  <c r="AE5" i="1" a="1"/>
  <c r="AE5" i="1" s="1"/>
  <c r="AD6" i="1" s="1" a="1"/>
  <c r="AD6" i="1" s="1"/>
  <c r="KF58" i="4"/>
  <c r="KG58" i="4" s="1"/>
  <c r="KE59" i="4" a="1"/>
  <c r="KE59" i="4" s="1"/>
  <c r="KF223" i="4"/>
  <c r="KG223" i="4" s="1"/>
  <c r="KE224" i="4" a="1"/>
  <c r="KE224" i="4" s="1"/>
  <c r="KF224" i="4" s="1"/>
  <c r="KG22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PC184" i="4"/>
  <c r="PD184" i="4" s="1"/>
  <c r="PE184" i="4" s="1"/>
  <c r="PF184" i="4" s="1"/>
  <c r="PG184" i="4" s="1"/>
  <c r="PC189" i="4"/>
  <c r="PD189" i="4" s="1"/>
  <c r="PE189" i="4" s="1"/>
  <c r="PF189" i="4" s="1"/>
  <c r="PG189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KF219" i="4"/>
  <c r="KG219" i="4" s="1"/>
  <c r="KE220" i="4" a="1"/>
  <c r="KE220" i="4" s="1"/>
  <c r="KF220" i="4" s="1"/>
  <c r="KG220" i="4" s="1"/>
  <c r="AK26" i="1"/>
  <c r="AL26" i="1"/>
  <c r="BP15" i="1"/>
  <c r="CF15" i="1"/>
  <c r="BQ15" i="1"/>
  <c r="CG15" i="1"/>
  <c r="FG38" i="1"/>
  <c r="AE38" i="1" s="1" a="1"/>
  <c r="AE38" i="1" s="1"/>
  <c r="AD39" i="1" s="1" a="1"/>
  <c r="AD39" i="1" s="1"/>
  <c r="AJ38" i="1" a="1"/>
  <c r="AJ38" i="1" s="1"/>
  <c r="AI39" i="1" s="1" a="1"/>
  <c r="AI39" i="1" s="1"/>
  <c r="KI219" i="1" a="1"/>
  <c r="KI219" i="1" s="1"/>
  <c r="KJ219" i="1" s="1"/>
  <c r="KK219" i="1" s="1"/>
  <c r="KI220" i="1" s="1" a="1"/>
  <c r="KI220" i="1" s="1"/>
  <c r="AA60" i="5"/>
  <c r="KC60" i="5" s="1"/>
  <c r="Z60" i="5" s="1" a="1"/>
  <c r="Z60" i="5" s="1"/>
  <c r="Y61" i="5" s="1" a="1"/>
  <c r="Y61" i="5" s="1"/>
  <c r="AB60" i="5"/>
  <c r="KD60" i="5" s="1"/>
  <c r="KJ63" i="5"/>
  <c r="KK63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PM184" i="1" a="1"/>
  <c r="PM184" i="1" s="1"/>
  <c r="PN184" i="1" s="1"/>
  <c r="PO184" i="1" s="1"/>
  <c r="KC56" i="1"/>
  <c r="AE56" i="1" s="1" a="1"/>
  <c r="AE56" i="1" s="1"/>
  <c r="KJ57" i="1"/>
  <c r="KK57" i="1" s="1"/>
  <c r="KI58" i="1" s="1" a="1"/>
  <c r="KI58" i="1" s="1"/>
  <c r="KJ58" i="1" s="1"/>
  <c r="KK58" i="1" s="1"/>
  <c r="PM199" i="1" a="1"/>
  <c r="PM199" i="1" s="1"/>
  <c r="PN189" i="1"/>
  <c r="PN194" i="1"/>
  <c r="PO194" i="1" s="1"/>
  <c r="PP194" i="1" s="1"/>
  <c r="PQ194" i="1" s="1"/>
  <c r="PR194" i="1" s="1"/>
  <c r="X79" i="1"/>
  <c r="AK6" i="1" l="1"/>
  <c r="BP6" i="1" s="1"/>
  <c r="AE15" i="1" a="1"/>
  <c r="AE15" i="1" s="1"/>
  <c r="AD16" i="1" s="1" a="1"/>
  <c r="AD16" i="1" s="1"/>
  <c r="Z56" i="1" a="1"/>
  <c r="Z56" i="1" s="1"/>
  <c r="Y57" i="1" s="1" a="1"/>
  <c r="Y57" i="1" s="1"/>
  <c r="AB57" i="1" s="1"/>
  <c r="KD57" i="1" s="1"/>
  <c r="KI64" i="5" a="1"/>
  <c r="KI64" i="5" s="1"/>
  <c r="KF59" i="4"/>
  <c r="KG59" i="4" s="1"/>
  <c r="KE60" i="4" a="1"/>
  <c r="KE60" i="4" s="1"/>
  <c r="BS15" i="1"/>
  <c r="CK15" i="1" s="1"/>
  <c r="CI15" i="1"/>
  <c r="BR15" i="1"/>
  <c r="CJ15" i="1" s="1"/>
  <c r="CH15" i="1"/>
  <c r="AJ15" i="1" a="1"/>
  <c r="AJ15" i="1" s="1"/>
  <c r="AI16" i="1" s="1" a="1"/>
  <c r="AI16" i="1" s="1"/>
  <c r="BQ26" i="1"/>
  <c r="CG26" i="1"/>
  <c r="BP26" i="1"/>
  <c r="CF26" i="1"/>
  <c r="BQ6" i="1"/>
  <c r="CG6" i="1"/>
  <c r="AL39" i="1"/>
  <c r="EX39" i="1" s="1"/>
  <c r="AK39" i="1"/>
  <c r="EW39" i="1" s="1"/>
  <c r="AA61" i="5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X60" i="4"/>
  <c r="KJ220" i="1"/>
  <c r="KK220" i="1" s="1"/>
  <c r="PM195" i="1" a="1"/>
  <c r="PM195" i="1" s="1"/>
  <c r="PN199" i="1"/>
  <c r="PO199" i="1" s="1"/>
  <c r="PP184" i="1"/>
  <c r="PO189" i="1"/>
  <c r="X80" i="1"/>
  <c r="KI59" i="1" a="1"/>
  <c r="KI59" i="1" s="1"/>
  <c r="CF6" i="1" l="1"/>
  <c r="AE26" i="1" a="1"/>
  <c r="AE26" i="1" s="1"/>
  <c r="AE6" i="1" a="1"/>
  <c r="AE6" i="1" s="1"/>
  <c r="AA57" i="1"/>
  <c r="KC57" i="1" s="1"/>
  <c r="AE57" i="1" s="1" a="1"/>
  <c r="AE57" i="1" s="1"/>
  <c r="KE61" i="4" a="1"/>
  <c r="KE61" i="4" s="1"/>
  <c r="KF60" i="4"/>
  <c r="KG60" i="4" s="1"/>
  <c r="BS6" i="1"/>
  <c r="CK6" i="1" s="1"/>
  <c r="CI6" i="1"/>
  <c r="BR6" i="1"/>
  <c r="CJ6" i="1" s="1"/>
  <c r="AJ6" i="1" a="1"/>
  <c r="AJ6" i="1" s="1"/>
  <c r="AI7" i="1" s="1" a="1"/>
  <c r="AI7" i="1" s="1"/>
  <c r="CH6" i="1"/>
  <c r="BR26" i="1"/>
  <c r="CJ26" i="1" s="1"/>
  <c r="AJ26" i="1" a="1"/>
  <c r="AJ26" i="1" s="1"/>
  <c r="AI27" i="1" s="1" a="1"/>
  <c r="AI27" i="1" s="1"/>
  <c r="CH26" i="1"/>
  <c r="BS26" i="1"/>
  <c r="CK26" i="1" s="1"/>
  <c r="CI26" i="1"/>
  <c r="AL16" i="1"/>
  <c r="AK16" i="1"/>
  <c r="FE39" i="1"/>
  <c r="FF39" i="1"/>
  <c r="FH39" i="1"/>
  <c r="AB62" i="5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X61" i="4"/>
  <c r="PN195" i="1"/>
  <c r="PO195" i="1" s="1"/>
  <c r="PP195" i="1" s="1"/>
  <c r="PQ195" i="1" s="1"/>
  <c r="PR195" i="1" s="1"/>
  <c r="PS195" i="1" s="1"/>
  <c r="PT195" i="1" s="1"/>
  <c r="PU195" i="1" s="1"/>
  <c r="KJ59" i="1"/>
  <c r="KK59" i="1" s="1"/>
  <c r="PP199" i="1"/>
  <c r="PQ184" i="1"/>
  <c r="PP189" i="1"/>
  <c r="X81" i="1"/>
  <c r="Z57" i="1" l="1" a="1"/>
  <c r="Z57" i="1" s="1"/>
  <c r="Y58" i="1" s="1" a="1"/>
  <c r="Y58" i="1" s="1"/>
  <c r="KF61" i="4"/>
  <c r="KG61" i="4" s="1"/>
  <c r="KE62" i="4" a="1"/>
  <c r="KE62" i="4" s="1"/>
  <c r="BQ16" i="1"/>
  <c r="CG16" i="1"/>
  <c r="BP16" i="1"/>
  <c r="CF16" i="1"/>
  <c r="AL27" i="1"/>
  <c r="AK27" i="1"/>
  <c r="AK7" i="1"/>
  <c r="AL7" i="1"/>
  <c r="FG39" i="1"/>
  <c r="AE39" i="1" s="1" a="1"/>
  <c r="AE39" i="1" s="1"/>
  <c r="AD40" i="1" s="1" a="1"/>
  <c r="AD40" i="1" s="1"/>
  <c r="AJ39" i="1" a="1"/>
  <c r="AJ39" i="1" s="1"/>
  <c r="AI40" i="1" s="1" a="1"/>
  <c r="AI40" i="1" s="1"/>
  <c r="AB63" i="5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KI60" i="1" a="1"/>
  <c r="KI60" i="1" s="1"/>
  <c r="AB60" i="4"/>
  <c r="JZ60" i="4" s="1"/>
  <c r="AA60" i="4"/>
  <c r="JY60" i="4" s="1"/>
  <c r="Z60" i="4" s="1" a="1"/>
  <c r="Z60" i="4" s="1"/>
  <c r="Y61" i="4" s="1" a="1"/>
  <c r="Y61" i="4" s="1"/>
  <c r="X62" i="4"/>
  <c r="PQ199" i="1"/>
  <c r="PR184" i="1"/>
  <c r="PM185" i="1" s="1" a="1"/>
  <c r="PM185" i="1" s="1"/>
  <c r="PQ189" i="1"/>
  <c r="X82" i="1"/>
  <c r="AE16" i="1" l="1" a="1"/>
  <c r="AE16" i="1" s="1"/>
  <c r="AB58" i="1"/>
  <c r="KD58" i="1" s="1"/>
  <c r="AA58" i="1"/>
  <c r="KC58" i="1" s="1"/>
  <c r="AE58" i="1" s="1" a="1"/>
  <c r="AE58" i="1" s="1"/>
  <c r="KF62" i="4"/>
  <c r="KG62" i="4" s="1"/>
  <c r="KE63" i="4" a="1"/>
  <c r="KE63" i="4" s="1"/>
  <c r="BQ7" i="1"/>
  <c r="CG7" i="1"/>
  <c r="BP7" i="1"/>
  <c r="CF7" i="1"/>
  <c r="BP27" i="1"/>
  <c r="CF27" i="1"/>
  <c r="BQ27" i="1"/>
  <c r="CG27" i="1"/>
  <c r="BR16" i="1"/>
  <c r="CJ16" i="1" s="1"/>
  <c r="CH16" i="1"/>
  <c r="AJ16" i="1" a="1"/>
  <c r="AJ16" i="1" s="1"/>
  <c r="AI17" i="1" s="1" a="1"/>
  <c r="AI17" i="1" s="1"/>
  <c r="BS16" i="1"/>
  <c r="CK16" i="1" s="1"/>
  <c r="CI16" i="1"/>
  <c r="AL40" i="1"/>
  <c r="EX40" i="1" s="1"/>
  <c r="AK40" i="1"/>
  <c r="EW40" i="1" s="1"/>
  <c r="X66" i="5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KJ60" i="1"/>
  <c r="KK60" i="1" s="1"/>
  <c r="AB61" i="4"/>
  <c r="JZ61" i="4" s="1"/>
  <c r="AA61" i="4"/>
  <c r="JY61" i="4" s="1"/>
  <c r="Z61" i="4" s="1" a="1"/>
  <c r="Z61" i="4" s="1"/>
  <c r="Y62" i="4" s="1" a="1"/>
  <c r="Y62" i="4" s="1"/>
  <c r="X63" i="4"/>
  <c r="PR199" i="1"/>
  <c r="PN185" i="1"/>
  <c r="PO185" i="1" s="1"/>
  <c r="PP185" i="1" s="1"/>
  <c r="PQ185" i="1" s="1"/>
  <c r="PR185" i="1" s="1"/>
  <c r="PS185" i="1" s="1"/>
  <c r="PT185" i="1" s="1"/>
  <c r="PU185" i="1" s="1"/>
  <c r="PR189" i="1"/>
  <c r="AE27" i="1" l="1" a="1"/>
  <c r="AE27" i="1" s="1"/>
  <c r="AD28" i="1" s="1" a="1"/>
  <c r="AD28" i="1" s="1"/>
  <c r="AE7" i="1" a="1"/>
  <c r="AE7" i="1" s="1"/>
  <c r="AD8" i="1" s="1" a="1"/>
  <c r="AD8" i="1" s="1"/>
  <c r="Z58" i="1" a="1"/>
  <c r="Z58" i="1" s="1"/>
  <c r="Y59" i="1" s="1" a="1"/>
  <c r="Y59" i="1" s="1"/>
  <c r="KF63" i="4"/>
  <c r="KG63" i="4" s="1"/>
  <c r="KE64" i="4" a="1"/>
  <c r="KE64" i="4" s="1"/>
  <c r="BS27" i="1"/>
  <c r="CK27" i="1" s="1"/>
  <c r="CI27" i="1"/>
  <c r="BR27" i="1"/>
  <c r="CJ27" i="1" s="1"/>
  <c r="CH27" i="1"/>
  <c r="AJ27" i="1" a="1"/>
  <c r="AJ27" i="1" s="1"/>
  <c r="AI28" i="1" s="1" a="1"/>
  <c r="AI28" i="1" s="1"/>
  <c r="BR7" i="1"/>
  <c r="CJ7" i="1" s="1"/>
  <c r="AJ7" i="1" a="1"/>
  <c r="AJ7" i="1" s="1"/>
  <c r="AI8" i="1" s="1" a="1"/>
  <c r="AI8" i="1" s="1"/>
  <c r="CH7" i="1"/>
  <c r="AK17" i="1"/>
  <c r="AL17" i="1"/>
  <c r="BS7" i="1"/>
  <c r="CK7" i="1" s="1"/>
  <c r="CI7" i="1"/>
  <c r="FE40" i="1"/>
  <c r="FF40" i="1"/>
  <c r="FH40" i="1"/>
  <c r="AA65" i="5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KI61" i="1" a="1"/>
  <c r="KI61" i="1" s="1"/>
  <c r="KJ61" i="1" s="1"/>
  <c r="KK61" i="1" s="1"/>
  <c r="KI62" i="1" s="1" a="1"/>
  <c r="KI62" i="1" s="1"/>
  <c r="KJ62" i="1" s="1"/>
  <c r="KK62" i="1" s="1"/>
  <c r="AB62" i="4"/>
  <c r="JZ62" i="4" s="1"/>
  <c r="AA62" i="4"/>
  <c r="JY62" i="4" s="1"/>
  <c r="Z62" i="4" s="1" a="1"/>
  <c r="Z62" i="4" s="1"/>
  <c r="Y63" i="4" s="1" a="1"/>
  <c r="Y63" i="4" s="1"/>
  <c r="X64" i="4"/>
  <c r="PM200" i="1" a="1"/>
  <c r="PM200" i="1" s="1"/>
  <c r="PN200" i="1" s="1"/>
  <c r="PO200" i="1" s="1"/>
  <c r="PP200" i="1" s="1"/>
  <c r="PQ200" i="1" s="1"/>
  <c r="PR200" i="1" s="1"/>
  <c r="PS200" i="1" s="1"/>
  <c r="PT200" i="1" s="1"/>
  <c r="PU200" i="1" s="1"/>
  <c r="PM190" i="1" a="1"/>
  <c r="PM190" i="1" s="1"/>
  <c r="X84" i="1"/>
  <c r="AB59" i="1" l="1"/>
  <c r="KD59" i="1" s="1"/>
  <c r="AA59" i="1"/>
  <c r="KC59" i="1" s="1"/>
  <c r="AE59" i="1" s="1" a="1"/>
  <c r="AE59" i="1" s="1"/>
  <c r="KF64" i="4"/>
  <c r="KG64" i="4" s="1"/>
  <c r="KE65" i="4" a="1"/>
  <c r="KE65" i="4" s="1"/>
  <c r="BP17" i="1"/>
  <c r="CF17" i="1"/>
  <c r="AK8" i="1"/>
  <c r="AL8" i="1"/>
  <c r="AK28" i="1"/>
  <c r="AL28" i="1"/>
  <c r="BQ17" i="1"/>
  <c r="CG17" i="1"/>
  <c r="FG40" i="1"/>
  <c r="AE40" i="1" s="1" a="1"/>
  <c r="AE40" i="1" s="1"/>
  <c r="AD41" i="1" s="1" a="1"/>
  <c r="AD41" i="1" s="1"/>
  <c r="AJ40" i="1" a="1"/>
  <c r="AJ40" i="1" s="1"/>
  <c r="AI41" i="1" s="1" a="1"/>
  <c r="AI41" i="1" s="1"/>
  <c r="AB66" i="5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PN190" i="1"/>
  <c r="PO190" i="1" s="1"/>
  <c r="PP190" i="1" s="1"/>
  <c r="PQ190" i="1" s="1"/>
  <c r="PR190" i="1" s="1"/>
  <c r="PS190" i="1" s="1"/>
  <c r="PT190" i="1" s="1"/>
  <c r="PU190" i="1" s="1"/>
  <c r="X85" i="1"/>
  <c r="KI63" i="1" a="1"/>
  <c r="KI63" i="1" s="1"/>
  <c r="AE17" i="1" l="1" a="1"/>
  <c r="AE17" i="1" s="1"/>
  <c r="AD18" i="1" s="1" a="1"/>
  <c r="AD18" i="1" s="1"/>
  <c r="Z59" i="1" a="1"/>
  <c r="Z59" i="1" s="1"/>
  <c r="Y60" i="1" s="1" a="1"/>
  <c r="Y60" i="1" s="1"/>
  <c r="KF65" i="4"/>
  <c r="KG65" i="4" s="1"/>
  <c r="KE66" i="4" a="1"/>
  <c r="KE66" i="4" s="1"/>
  <c r="BS17" i="1"/>
  <c r="CK17" i="1" s="1"/>
  <c r="CI17" i="1"/>
  <c r="BQ28" i="1"/>
  <c r="CG28" i="1"/>
  <c r="BP28" i="1"/>
  <c r="CF28" i="1"/>
  <c r="BQ8" i="1"/>
  <c r="CG8" i="1"/>
  <c r="BP8" i="1"/>
  <c r="CF8" i="1"/>
  <c r="BR17" i="1"/>
  <c r="CJ17" i="1" s="1"/>
  <c r="CH17" i="1"/>
  <c r="AL41" i="1"/>
  <c r="EX41" i="1" s="1"/>
  <c r="AK41" i="1"/>
  <c r="EW41" i="1" s="1"/>
  <c r="AB67" i="5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J63" i="1"/>
  <c r="KK63" i="1" s="1"/>
  <c r="KI64" i="1" s="1" a="1"/>
  <c r="KI64" i="1" s="1"/>
  <c r="X86" i="1"/>
  <c r="AE28" i="1" l="1" a="1"/>
  <c r="AE28" i="1" s="1"/>
  <c r="AD29" i="1" s="1" a="1"/>
  <c r="AD29" i="1" s="1"/>
  <c r="AE8" i="1" a="1"/>
  <c r="AE8" i="1" s="1"/>
  <c r="AD9" i="1" s="1" a="1"/>
  <c r="AD9" i="1" s="1"/>
  <c r="AB60" i="1"/>
  <c r="KD60" i="1" s="1"/>
  <c r="AA60" i="1"/>
  <c r="KC60" i="1" s="1"/>
  <c r="AE60" i="1" s="1" a="1"/>
  <c r="AE60" i="1" s="1"/>
  <c r="KE67" i="4" a="1"/>
  <c r="KE67" i="4" s="1"/>
  <c r="KF66" i="4"/>
  <c r="KG66" i="4" s="1"/>
  <c r="AJ17" i="1" a="1"/>
  <c r="AJ17" i="1" s="1"/>
  <c r="AI18" i="1" s="1" a="1"/>
  <c r="AI18" i="1" s="1"/>
  <c r="AL18" i="1" s="1"/>
  <c r="BS8" i="1"/>
  <c r="CK8" i="1" s="1"/>
  <c r="CI8" i="1"/>
  <c r="BR28" i="1"/>
  <c r="CJ28" i="1" s="1"/>
  <c r="CH28" i="1"/>
  <c r="AJ28" i="1" a="1"/>
  <c r="AJ28" i="1" s="1"/>
  <c r="AI29" i="1" s="1" a="1"/>
  <c r="AI29" i="1" s="1"/>
  <c r="BS28" i="1"/>
  <c r="CK28" i="1" s="1"/>
  <c r="CI28" i="1"/>
  <c r="BR8" i="1"/>
  <c r="CJ8" i="1" s="1"/>
  <c r="AJ8" i="1" s="1" a="1"/>
  <c r="AJ8" i="1" s="1"/>
  <c r="AI9" i="1" s="1" a="1"/>
  <c r="AI9" i="1" s="1"/>
  <c r="CH8" i="1"/>
  <c r="FE41" i="1"/>
  <c r="FH41" i="1"/>
  <c r="FF41" i="1"/>
  <c r="AB68" i="5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X67" i="4"/>
  <c r="KJ64" i="1"/>
  <c r="X87" i="1"/>
  <c r="Z60" i="1" l="1" a="1"/>
  <c r="Z60" i="1" s="1"/>
  <c r="Y61" i="1" s="1" a="1"/>
  <c r="Y61" i="1" s="1"/>
  <c r="KF67" i="4"/>
  <c r="KG67" i="4" s="1"/>
  <c r="KE68" i="4" a="1"/>
  <c r="KE68" i="4" s="1"/>
  <c r="AK18" i="1"/>
  <c r="BP18" i="1" s="1"/>
  <c r="AL9" i="1"/>
  <c r="AK9" i="1"/>
  <c r="AK29" i="1"/>
  <c r="AL29" i="1"/>
  <c r="BQ18" i="1"/>
  <c r="CG18" i="1"/>
  <c r="FG41" i="1"/>
  <c r="AE41" i="1" s="1" a="1"/>
  <c r="AE41" i="1" s="1"/>
  <c r="AD42" i="1" s="1" a="1"/>
  <c r="AD42" i="1" s="1"/>
  <c r="AJ41" i="1" a="1"/>
  <c r="AJ41" i="1" s="1"/>
  <c r="AI42" i="1" s="1" a="1"/>
  <c r="AI42" i="1" s="1"/>
  <c r="AB71" i="5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X68" i="4"/>
  <c r="KK64" i="1"/>
  <c r="X88" i="1"/>
  <c r="AE18" i="1" l="1" a="1"/>
  <c r="AE18" i="1" s="1"/>
  <c r="AD19" i="1" s="1" a="1"/>
  <c r="AD19" i="1" s="1"/>
  <c r="AA61" i="1"/>
  <c r="KC61" i="1" s="1"/>
  <c r="AE61" i="1" s="1" a="1"/>
  <c r="AE61" i="1" s="1"/>
  <c r="AB61" i="1"/>
  <c r="KD61" i="1" s="1"/>
  <c r="Z61" i="1" s="1" a="1"/>
  <c r="Z61" i="1" s="1"/>
  <c r="Y62" i="1" s="1" a="1"/>
  <c r="Y62" i="1" s="1"/>
  <c r="KE69" i="4" a="1"/>
  <c r="KE69" i="4" s="1"/>
  <c r="KF68" i="4"/>
  <c r="KG68" i="4" s="1"/>
  <c r="KH68" i="4" s="1"/>
  <c r="KI68" i="4" s="1"/>
  <c r="CF18" i="1"/>
  <c r="BS18" i="1"/>
  <c r="CK18" i="1" s="1"/>
  <c r="CI18" i="1"/>
  <c r="BR18" i="1"/>
  <c r="CJ18" i="1" s="1"/>
  <c r="CH18" i="1"/>
  <c r="AJ18" i="1" a="1"/>
  <c r="AJ18" i="1" s="1"/>
  <c r="AI19" i="1" s="1" a="1"/>
  <c r="AI19" i="1" s="1"/>
  <c r="BQ29" i="1"/>
  <c r="CG29" i="1"/>
  <c r="BP29" i="1"/>
  <c r="CF29" i="1"/>
  <c r="BP9" i="1"/>
  <c r="CF9" i="1"/>
  <c r="BQ9" i="1"/>
  <c r="CG9" i="1"/>
  <c r="AL42" i="1"/>
  <c r="EX42" i="1" s="1"/>
  <c r="AK42" i="1"/>
  <c r="EW42" i="1" s="1"/>
  <c r="KI65" i="1" a="1"/>
  <c r="KI65" i="1" s="1"/>
  <c r="KJ65" i="1" s="1"/>
  <c r="AB72" i="5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AE29" i="1" l="1" a="1"/>
  <c r="AE29" i="1" s="1"/>
  <c r="AD30" i="1" s="1" a="1"/>
  <c r="AD30" i="1" s="1"/>
  <c r="AE9" i="1" a="1"/>
  <c r="AE9" i="1" s="1"/>
  <c r="AD10" i="1" s="1" a="1"/>
  <c r="AD10" i="1" s="1"/>
  <c r="AB62" i="1"/>
  <c r="KD62" i="1" s="1"/>
  <c r="AA62" i="1"/>
  <c r="KC62" i="1" s="1"/>
  <c r="AE62" i="1" s="1" a="1"/>
  <c r="AE62" i="1" s="1"/>
  <c r="KF69" i="4"/>
  <c r="KG69" i="4" s="1"/>
  <c r="KH69" i="4" s="1"/>
  <c r="KE70" i="4" a="1"/>
  <c r="KE70" i="4" s="1"/>
  <c r="BS9" i="1"/>
  <c r="CK9" i="1" s="1"/>
  <c r="CI9" i="1"/>
  <c r="BR9" i="1"/>
  <c r="CJ9" i="1" s="1"/>
  <c r="CH9" i="1"/>
  <c r="AJ9" i="1" a="1"/>
  <c r="AJ9" i="1" s="1"/>
  <c r="AI10" i="1" s="1" a="1"/>
  <c r="AI10" i="1" s="1"/>
  <c r="BR29" i="1"/>
  <c r="CJ29" i="1" s="1"/>
  <c r="CH29" i="1"/>
  <c r="AJ29" i="1" a="1"/>
  <c r="AJ29" i="1" s="1"/>
  <c r="AI30" i="1" s="1" a="1"/>
  <c r="AI30" i="1" s="1"/>
  <c r="BS29" i="1"/>
  <c r="CK29" i="1" s="1"/>
  <c r="CI29" i="1"/>
  <c r="AK19" i="1"/>
  <c r="AL19" i="1"/>
  <c r="FE42" i="1"/>
  <c r="FF42" i="1"/>
  <c r="FH42" i="1"/>
  <c r="AA73" i="5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AB69" i="4"/>
  <c r="AA69" i="4"/>
  <c r="X72" i="4"/>
  <c r="KK65" i="1"/>
  <c r="KI66" i="1" s="1" a="1"/>
  <c r="KI66" i="1" s="1"/>
  <c r="X90" i="1"/>
  <c r="X91" i="1" s="1"/>
  <c r="Z62" i="1" l="1" a="1"/>
  <c r="Z62" i="1" s="1"/>
  <c r="Y63" i="1" s="1" a="1"/>
  <c r="Y63" i="1" s="1"/>
  <c r="KF70" i="4"/>
  <c r="KG70" i="4" s="1"/>
  <c r="KH70" i="4" s="1"/>
  <c r="KE71" i="4" a="1"/>
  <c r="KE71" i="4" s="1"/>
  <c r="BQ19" i="1"/>
  <c r="CG19" i="1"/>
  <c r="BP19" i="1"/>
  <c r="CF19" i="1"/>
  <c r="AL30" i="1"/>
  <c r="AK30" i="1"/>
  <c r="AL10" i="1"/>
  <c r="AK10" i="1"/>
  <c r="FG42" i="1"/>
  <c r="AE42" i="1" s="1" a="1"/>
  <c r="AE42" i="1" s="1"/>
  <c r="AJ42" i="1" a="1"/>
  <c r="AJ42" i="1" s="1"/>
  <c r="AB74" i="5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JY69" i="4"/>
  <c r="JW69" i="4"/>
  <c r="JX69" i="4"/>
  <c r="KB69" i="4" s="1"/>
  <c r="JZ69" i="4"/>
  <c r="X73" i="4"/>
  <c r="KJ66" i="1"/>
  <c r="KK66" i="1" s="1"/>
  <c r="AE19" i="1" l="1" a="1"/>
  <c r="AE19" i="1" s="1"/>
  <c r="AD20" i="1" s="1" a="1"/>
  <c r="AD20" i="1" s="1"/>
  <c r="AB63" i="1"/>
  <c r="KD63" i="1" s="1"/>
  <c r="Z63" i="1" s="1" a="1"/>
  <c r="Z63" i="1" s="1"/>
  <c r="Y64" i="1" s="1" a="1"/>
  <c r="Y64" i="1" s="1"/>
  <c r="AA63" i="1"/>
  <c r="KC63" i="1" s="1"/>
  <c r="AE63" i="1" s="1" a="1"/>
  <c r="AE63" i="1" s="1"/>
  <c r="Z71" i="4" a="1"/>
  <c r="Z71" i="4" s="1"/>
  <c r="Y72" i="4" s="1" a="1"/>
  <c r="Y72" i="4" s="1"/>
  <c r="AB72" i="4" s="1"/>
  <c r="JZ72" i="4" s="1"/>
  <c r="KF71" i="4"/>
  <c r="KG71" i="4" s="1"/>
  <c r="KE72" i="4" a="1"/>
  <c r="KE72" i="4" s="1"/>
  <c r="BQ10" i="1"/>
  <c r="CG10" i="1"/>
  <c r="BP30" i="1"/>
  <c r="CF30" i="1"/>
  <c r="BP10" i="1"/>
  <c r="CF10" i="1"/>
  <c r="BQ30" i="1"/>
  <c r="CG30" i="1"/>
  <c r="BR19" i="1"/>
  <c r="CJ19" i="1" s="1"/>
  <c r="CH19" i="1"/>
  <c r="AJ19" i="1" a="1"/>
  <c r="AJ19" i="1" s="1"/>
  <c r="AI20" i="1" s="1" a="1"/>
  <c r="AI20" i="1" s="1"/>
  <c r="BS19" i="1"/>
  <c r="CK19" i="1" s="1"/>
  <c r="CI19" i="1"/>
  <c r="AB75" i="5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I67" i="1" a="1"/>
  <c r="KI67" i="1" s="1"/>
  <c r="KJ67" i="1" s="1"/>
  <c r="KK67" i="1" s="1"/>
  <c r="KI68" i="1" s="1" a="1"/>
  <c r="KI68" i="1" s="1"/>
  <c r="KA69" i="4"/>
  <c r="Z69" i="4" a="1"/>
  <c r="Z69" i="4" s="1"/>
  <c r="Y70" i="4" s="1" a="1"/>
  <c r="Y70" i="4" s="1"/>
  <c r="X74" i="4"/>
  <c r="AE30" i="1" l="1" a="1"/>
  <c r="AE30" i="1" s="1"/>
  <c r="AD31" i="1" s="1" a="1"/>
  <c r="AD31" i="1" s="1"/>
  <c r="AE10" i="1" a="1"/>
  <c r="AE10" i="1" s="1"/>
  <c r="AD11" i="1" s="1" a="1"/>
  <c r="AD11" i="1" s="1"/>
  <c r="AB64" i="1"/>
  <c r="KD64" i="1" s="1"/>
  <c r="AA64" i="1"/>
  <c r="KC64" i="1" s="1"/>
  <c r="AE64" i="1" s="1" a="1"/>
  <c r="AE64" i="1" s="1"/>
  <c r="AA72" i="4"/>
  <c r="JY72" i="4" s="1"/>
  <c r="Z72" i="4" s="1" a="1"/>
  <c r="Z72" i="4" s="1"/>
  <c r="Y73" i="4" s="1" a="1"/>
  <c r="Y73" i="4" s="1"/>
  <c r="AA73" i="4" s="1"/>
  <c r="JY73" i="4" s="1"/>
  <c r="KF72" i="4"/>
  <c r="KG72" i="4" s="1"/>
  <c r="KE73" i="4" a="1"/>
  <c r="KE73" i="4" s="1"/>
  <c r="BS30" i="1"/>
  <c r="CK30" i="1" s="1"/>
  <c r="CI30" i="1"/>
  <c r="AK20" i="1"/>
  <c r="AL20" i="1"/>
  <c r="BR10" i="1"/>
  <c r="CJ10" i="1" s="1"/>
  <c r="AJ10" i="1" a="1"/>
  <c r="AJ10" i="1" s="1"/>
  <c r="AI11" i="1" s="1" a="1"/>
  <c r="AI11" i="1" s="1"/>
  <c r="CH10" i="1"/>
  <c r="BR30" i="1"/>
  <c r="CJ30" i="1" s="1"/>
  <c r="CH30" i="1"/>
  <c r="BS10" i="1"/>
  <c r="CK10" i="1" s="1"/>
  <c r="CI10" i="1"/>
  <c r="AB76" i="5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B70" i="4"/>
  <c r="AA70" i="4"/>
  <c r="Y74" i="4" a="1"/>
  <c r="Y74" i="4" s="1"/>
  <c r="X75" i="4"/>
  <c r="KJ68" i="1"/>
  <c r="KK68" i="1" s="1"/>
  <c r="KL68" i="1" s="1"/>
  <c r="KM68" i="1" s="1"/>
  <c r="X93" i="1"/>
  <c r="Z64" i="1" l="1" a="1"/>
  <c r="Z64" i="1" s="1"/>
  <c r="Y65" i="1" s="1" a="1"/>
  <c r="Y65" i="1" s="1"/>
  <c r="Z73" i="4" a="1"/>
  <c r="Z73" i="4" s="1"/>
  <c r="AB73" i="4"/>
  <c r="JZ73" i="4" s="1"/>
  <c r="KF73" i="4"/>
  <c r="KG73" i="4" s="1"/>
  <c r="KE74" i="4" a="1"/>
  <c r="KE74" i="4" s="1"/>
  <c r="AJ30" i="1" a="1"/>
  <c r="AJ30" i="1" s="1"/>
  <c r="AI31" i="1" s="1" a="1"/>
  <c r="AI31" i="1" s="1"/>
  <c r="AK31" i="1" s="1"/>
  <c r="AK11" i="1"/>
  <c r="AL11" i="1"/>
  <c r="BQ20" i="1"/>
  <c r="CG20" i="1"/>
  <c r="BP20" i="1"/>
  <c r="CF20" i="1"/>
  <c r="AB77" i="5"/>
  <c r="KD77" i="5" s="1"/>
  <c r="AA77" i="5"/>
  <c r="KC77" i="5" s="1"/>
  <c r="Z77" i="5" s="1" a="1"/>
  <c r="Z77" i="5" s="1"/>
  <c r="Y78" i="5" s="1" a="1"/>
  <c r="Y78" i="5" s="1"/>
  <c r="KJ78" i="5"/>
  <c r="KK78" i="5" s="1"/>
  <c r="X79" i="5"/>
  <c r="X76" i="4"/>
  <c r="JW70" i="4"/>
  <c r="JY70" i="4"/>
  <c r="JX70" i="4"/>
  <c r="KB70" i="4" s="1"/>
  <c r="JZ70" i="4"/>
  <c r="AB74" i="4"/>
  <c r="JZ74" i="4" s="1"/>
  <c r="AA74" i="4"/>
  <c r="JY74" i="4" s="1"/>
  <c r="KI69" i="1" a="1"/>
  <c r="KI69" i="1" s="1"/>
  <c r="X94" i="1"/>
  <c r="KJ69" i="1" l="1"/>
  <c r="AE69" i="1" a="1"/>
  <c r="AE69" i="1" s="1"/>
  <c r="AE20" i="1" a="1"/>
  <c r="AE20" i="1" s="1"/>
  <c r="AD21" i="1" s="1" a="1"/>
  <c r="AD21" i="1" s="1"/>
  <c r="AA65" i="1"/>
  <c r="KC65" i="1" s="1"/>
  <c r="AE65" i="1" s="1" a="1"/>
  <c r="AE65" i="1" s="1"/>
  <c r="AB65" i="1"/>
  <c r="KD65" i="1" s="1"/>
  <c r="KI79" i="5" a="1"/>
  <c r="KI79" i="5" s="1"/>
  <c r="Z74" i="4" a="1"/>
  <c r="Z74" i="4" s="1"/>
  <c r="Y75" i="4" s="1" a="1"/>
  <c r="Y75" i="4" s="1"/>
  <c r="AB75" i="4" s="1"/>
  <c r="JZ75" i="4" s="1"/>
  <c r="KF74" i="4"/>
  <c r="KG74" i="4" s="1"/>
  <c r="KE75" i="4" a="1"/>
  <c r="KE75" i="4" s="1"/>
  <c r="AL31" i="1"/>
  <c r="BQ31" i="1" s="1"/>
  <c r="BR20" i="1"/>
  <c r="CJ20" i="1" s="1"/>
  <c r="CH20" i="1"/>
  <c r="AJ20" i="1" a="1"/>
  <c r="AJ20" i="1" s="1"/>
  <c r="AI21" i="1" s="1" a="1"/>
  <c r="AI21" i="1" s="1"/>
  <c r="BS20" i="1"/>
  <c r="CK20" i="1" s="1"/>
  <c r="CI20" i="1"/>
  <c r="BQ11" i="1"/>
  <c r="CG11" i="1"/>
  <c r="BP11" i="1"/>
  <c r="CF11" i="1"/>
  <c r="BP31" i="1"/>
  <c r="CF31" i="1"/>
  <c r="AB78" i="5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X77" i="4"/>
  <c r="Z70" i="4" a="1"/>
  <c r="Z70" i="4" s="1"/>
  <c r="KA70" i="4"/>
  <c r="KK69" i="1"/>
  <c r="KL69" i="1" s="1"/>
  <c r="KI70" i="1" s="1" a="1"/>
  <c r="KI70" i="1" s="1"/>
  <c r="KJ70" i="1" s="1"/>
  <c r="KK70" i="1" s="1"/>
  <c r="KL70" i="1" s="1"/>
  <c r="Z69" i="1" a="1"/>
  <c r="Z69" i="1" s="1"/>
  <c r="Y70" i="1" s="1" a="1"/>
  <c r="Y70" i="1" s="1"/>
  <c r="X95" i="1"/>
  <c r="AE31" i="1" l="1" a="1"/>
  <c r="AE31" i="1" s="1"/>
  <c r="AE11" i="1" a="1"/>
  <c r="AE11" i="1" s="1"/>
  <c r="Z65" i="1" a="1"/>
  <c r="Z65" i="1" s="1"/>
  <c r="Y66" i="1" s="1" a="1"/>
  <c r="Y66" i="1" s="1"/>
  <c r="AA75" i="4"/>
  <c r="JY75" i="4" s="1"/>
  <c r="Z75" i="4" s="1" a="1"/>
  <c r="Z75" i="4" s="1"/>
  <c r="Y76" i="4" s="1" a="1"/>
  <c r="Y76" i="4" s="1"/>
  <c r="AB76" i="4" s="1"/>
  <c r="JZ76" i="4" s="1"/>
  <c r="KF75" i="4"/>
  <c r="KG75" i="4" s="1"/>
  <c r="KE76" i="4" a="1"/>
  <c r="KE76" i="4" s="1"/>
  <c r="CG31" i="1"/>
  <c r="BR31" i="1"/>
  <c r="CJ31" i="1" s="1"/>
  <c r="CH31" i="1"/>
  <c r="AJ31" i="1" a="1"/>
  <c r="AJ31" i="1" s="1"/>
  <c r="BS31" i="1"/>
  <c r="CK31" i="1" s="1"/>
  <c r="CI31" i="1"/>
  <c r="BR11" i="1"/>
  <c r="CJ11" i="1" s="1"/>
  <c r="AJ11" i="1" a="1"/>
  <c r="AJ11" i="1" s="1"/>
  <c r="CH11" i="1"/>
  <c r="BS11" i="1"/>
  <c r="CK11" i="1" s="1"/>
  <c r="CI11" i="1"/>
  <c r="AL21" i="1"/>
  <c r="AK21" i="1"/>
  <c r="AA79" i="5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X78" i="4"/>
  <c r="AA70" i="1"/>
  <c r="AB70" i="1"/>
  <c r="KI71" i="1" a="1"/>
  <c r="KI71" i="1" s="1"/>
  <c r="KJ71" i="1" s="1"/>
  <c r="X96" i="1"/>
  <c r="AB66" i="1" l="1"/>
  <c r="KD66" i="1" s="1"/>
  <c r="Z66" i="1" s="1" a="1"/>
  <c r="Z66" i="1" s="1"/>
  <c r="Y67" i="1" s="1" a="1"/>
  <c r="Y67" i="1" s="1"/>
  <c r="AA66" i="1"/>
  <c r="KC66" i="1" s="1"/>
  <c r="AE66" i="1" s="1" a="1"/>
  <c r="AE66" i="1" s="1"/>
  <c r="AA76" i="4"/>
  <c r="JY76" i="4" s="1"/>
  <c r="Z76" i="4" s="1" a="1"/>
  <c r="Z76" i="4" s="1"/>
  <c r="Y77" i="4" s="1" a="1"/>
  <c r="Y77" i="4" s="1"/>
  <c r="AA77" i="4" s="1"/>
  <c r="JY77" i="4" s="1"/>
  <c r="KF76" i="4"/>
  <c r="KG76" i="4" s="1"/>
  <c r="KH76" i="4" s="1"/>
  <c r="KI76" i="4" s="1"/>
  <c r="KE77" i="4" a="1"/>
  <c r="KE77" i="4" s="1"/>
  <c r="BP21" i="1"/>
  <c r="CF21" i="1"/>
  <c r="BQ21" i="1"/>
  <c r="CG21" i="1"/>
  <c r="AB80" i="5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X79" i="4"/>
  <c r="KB70" i="1"/>
  <c r="KF70" i="1" s="1"/>
  <c r="KD70" i="1"/>
  <c r="KC70" i="1"/>
  <c r="KA70" i="1"/>
  <c r="KK71" i="1"/>
  <c r="KI72" i="1" a="1"/>
  <c r="KI72" i="1" s="1"/>
  <c r="KJ72" i="1" s="1"/>
  <c r="X97" i="1"/>
  <c r="AE70" i="1" l="1" a="1"/>
  <c r="AE70" i="1" s="1"/>
  <c r="AE21" i="1" a="1"/>
  <c r="AE21" i="1" s="1"/>
  <c r="AB67" i="1"/>
  <c r="KD67" i="1" s="1"/>
  <c r="AA67" i="1"/>
  <c r="KC67" i="1" s="1"/>
  <c r="AE67" i="1" s="1" a="1"/>
  <c r="AE67" i="1" s="1"/>
  <c r="Z77" i="4" a="1"/>
  <c r="Z77" i="4" s="1"/>
  <c r="Y78" i="4" s="1" a="1"/>
  <c r="Y78" i="4" s="1"/>
  <c r="AB78" i="4" s="1"/>
  <c r="JZ78" i="4" s="1"/>
  <c r="AB77" i="4"/>
  <c r="JZ77" i="4" s="1"/>
  <c r="KF77" i="4"/>
  <c r="KG77" i="4" s="1"/>
  <c r="KE78" i="4" a="1"/>
  <c r="KE78" i="4" s="1"/>
  <c r="BS21" i="1"/>
  <c r="CK21" i="1" s="1"/>
  <c r="AJ21" i="1" s="1" a="1"/>
  <c r="AJ21" i="1" s="1"/>
  <c r="CI21" i="1"/>
  <c r="BR21" i="1"/>
  <c r="CJ21" i="1" s="1"/>
  <c r="CH21" i="1"/>
  <c r="AB81" i="5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X80" i="4"/>
  <c r="KE70" i="1"/>
  <c r="Z70" i="1" a="1"/>
  <c r="Z70" i="1" s="1"/>
  <c r="KK72" i="1"/>
  <c r="KI73" i="1" s="1" a="1"/>
  <c r="KI73" i="1" s="1"/>
  <c r="KJ73" i="1" s="1"/>
  <c r="X98" i="1"/>
  <c r="Z67" i="1" l="1" a="1"/>
  <c r="Z67" i="1" s="1"/>
  <c r="Y68" i="1" s="1" a="1"/>
  <c r="Y68" i="1" s="1"/>
  <c r="KF78" i="4"/>
  <c r="KG78" i="4" s="1"/>
  <c r="KE79" i="4" a="1"/>
  <c r="KE79" i="4" s="1"/>
  <c r="AA78" i="4"/>
  <c r="JY78" i="4" s="1"/>
  <c r="Z78" i="4" s="1" a="1"/>
  <c r="Z78" i="4" s="1"/>
  <c r="Y79" i="4" s="1" a="1"/>
  <c r="Y79" i="4" s="1"/>
  <c r="AA79" i="4" s="1"/>
  <c r="JY79" i="4" s="1"/>
  <c r="X84" i="5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X81" i="4"/>
  <c r="KK73" i="1"/>
  <c r="KI74" i="1" s="1" a="1"/>
  <c r="KI74" i="1" s="1"/>
  <c r="KJ74" i="1" s="1"/>
  <c r="KK74" i="1" s="1"/>
  <c r="X99" i="1"/>
  <c r="AB68" i="1" l="1"/>
  <c r="KD68" i="1" s="1"/>
  <c r="Z68" i="1" s="1" a="1"/>
  <c r="Z68" i="1" s="1"/>
  <c r="Y71" i="1" s="1" a="1"/>
  <c r="Y71" i="1" s="1"/>
  <c r="AA68" i="1"/>
  <c r="KC68" i="1" s="1"/>
  <c r="AE68" i="1" s="1" a="1"/>
  <c r="AE68" i="1" s="1"/>
  <c r="Z79" i="4" a="1"/>
  <c r="Z79" i="4" s="1"/>
  <c r="Y80" i="4" s="1" a="1"/>
  <c r="Y80" i="4" s="1"/>
  <c r="AB80" i="4" s="1"/>
  <c r="JZ80" i="4" s="1"/>
  <c r="AB79" i="4"/>
  <c r="JZ79" i="4" s="1"/>
  <c r="KF79" i="4"/>
  <c r="KG79" i="4" s="1"/>
  <c r="KE80" i="4" a="1"/>
  <c r="KE80" i="4" s="1"/>
  <c r="AB83" i="5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X82" i="4"/>
  <c r="KI75" i="1" a="1"/>
  <c r="KI75" i="1" s="1"/>
  <c r="KJ75" i="1" s="1"/>
  <c r="KK75" i="1" s="1"/>
  <c r="X100" i="1"/>
  <c r="AB71" i="1" l="1"/>
  <c r="KD71" i="1" s="1"/>
  <c r="AA71" i="1"/>
  <c r="KC71" i="1" s="1"/>
  <c r="AE71" i="1" s="1" a="1"/>
  <c r="AE71" i="1" s="1"/>
  <c r="AA80" i="4"/>
  <c r="JY80" i="4" s="1"/>
  <c r="Z80" i="4" s="1" a="1"/>
  <c r="Z80" i="4" s="1"/>
  <c r="Y81" i="4" s="1" a="1"/>
  <c r="Y81" i="4" s="1"/>
  <c r="AA81" i="4" s="1"/>
  <c r="JY81" i="4" s="1"/>
  <c r="KE81" i="4" a="1"/>
  <c r="KE81" i="4" s="1"/>
  <c r="KF80" i="4"/>
  <c r="KG80" i="4" s="1"/>
  <c r="AB84" i="5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X83" i="4"/>
  <c r="Y82" i="4" a="1"/>
  <c r="Y82" i="4" s="1"/>
  <c r="KI76" i="1" a="1"/>
  <c r="KI76" i="1" s="1"/>
  <c r="KJ76" i="1" s="1"/>
  <c r="KK76" i="1" s="1"/>
  <c r="KL76" i="1" s="1"/>
  <c r="KM76" i="1" s="1"/>
  <c r="X101" i="1"/>
  <c r="Z71" i="1" l="1" a="1"/>
  <c r="Z71" i="1" s="1"/>
  <c r="Y72" i="1" s="1" a="1"/>
  <c r="Y72" i="1" s="1"/>
  <c r="Z81" i="4" a="1"/>
  <c r="Z81" i="4" s="1"/>
  <c r="AB81" i="4"/>
  <c r="JZ81" i="4" s="1"/>
  <c r="KF81" i="4"/>
  <c r="KG81" i="4" s="1"/>
  <c r="KE82" i="4" a="1"/>
  <c r="KE82" i="4" s="1"/>
  <c r="AA85" i="5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AB82" i="4"/>
  <c r="JZ82" i="4" s="1"/>
  <c r="X84" i="4"/>
  <c r="KI77" i="1" a="1"/>
  <c r="KI77" i="1" s="1"/>
  <c r="KJ77" i="1" s="1"/>
  <c r="KK77" i="1" s="1"/>
  <c r="X102" i="1"/>
  <c r="AA72" i="1" l="1"/>
  <c r="KC72" i="1" s="1"/>
  <c r="AE72" i="1" s="1" a="1"/>
  <c r="AE72" i="1" s="1"/>
  <c r="AB72" i="1"/>
  <c r="KD72" i="1" s="1"/>
  <c r="Z82" i="4" a="1"/>
  <c r="Z82" i="4" s="1"/>
  <c r="Y83" i="4" s="1" a="1"/>
  <c r="Y83" i="4" s="1"/>
  <c r="AB83" i="4" s="1"/>
  <c r="JZ83" i="4" s="1"/>
  <c r="KF82" i="4"/>
  <c r="KG82" i="4" s="1"/>
  <c r="KE83" i="4" a="1"/>
  <c r="KE83" i="4" s="1"/>
  <c r="AA86" i="5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X85" i="4"/>
  <c r="KI78" i="1" a="1"/>
  <c r="KI78" i="1" s="1"/>
  <c r="KJ78" i="1" s="1"/>
  <c r="KK78" i="1" s="1"/>
  <c r="X103" i="1"/>
  <c r="Z72" i="1" l="1" a="1"/>
  <c r="Z72" i="1" s="1"/>
  <c r="Y73" i="1" s="1" a="1"/>
  <c r="Y73" i="1" s="1"/>
  <c r="AA83" i="4"/>
  <c r="JY83" i="4" s="1"/>
  <c r="Z83" i="4" s="1" a="1"/>
  <c r="Z83" i="4" s="1"/>
  <c r="Y84" i="4" s="1" a="1"/>
  <c r="Y84" i="4" s="1"/>
  <c r="AB84" i="4" s="1"/>
  <c r="JZ84" i="4" s="1"/>
  <c r="KE84" i="4" a="1"/>
  <c r="KE84" i="4" s="1"/>
  <c r="KF83" i="4"/>
  <c r="KG83" i="4" s="1"/>
  <c r="AB87" i="5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X86" i="4"/>
  <c r="KI79" i="1" a="1"/>
  <c r="KI79" i="1" s="1"/>
  <c r="KJ79" i="1" s="1"/>
  <c r="KK79" i="1" s="1"/>
  <c r="X104" i="1"/>
  <c r="AB73" i="1" l="1"/>
  <c r="KD73" i="1" s="1"/>
  <c r="AA73" i="1"/>
  <c r="KC73" i="1" s="1"/>
  <c r="AE73" i="1" s="1" a="1"/>
  <c r="AE73" i="1" s="1"/>
  <c r="AA84" i="4"/>
  <c r="JY84" i="4" s="1"/>
  <c r="Z84" i="4" s="1" a="1"/>
  <c r="Z84" i="4" s="1"/>
  <c r="Y85" i="4" s="1" a="1"/>
  <c r="Y85" i="4" s="1"/>
  <c r="AB85" i="4" s="1"/>
  <c r="JZ85" i="4" s="1"/>
  <c r="KE85" i="4" a="1"/>
  <c r="KE85" i="4" s="1"/>
  <c r="KF84" i="4"/>
  <c r="KG84" i="4" s="1"/>
  <c r="AB88" i="5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X87" i="4"/>
  <c r="KI80" i="1" a="1"/>
  <c r="KI80" i="1" s="1"/>
  <c r="KJ80" i="1" s="1"/>
  <c r="KK80" i="1" s="1"/>
  <c r="X105" i="1"/>
  <c r="Z73" i="1" l="1" a="1"/>
  <c r="Z73" i="1" s="1"/>
  <c r="Y74" i="1" s="1" a="1"/>
  <c r="Y74" i="1" s="1"/>
  <c r="AA85" i="4"/>
  <c r="JY85" i="4" s="1"/>
  <c r="Z85" i="4" s="1" a="1"/>
  <c r="Z85" i="4" s="1"/>
  <c r="Y86" i="4" s="1" a="1"/>
  <c r="Y86" i="4" s="1"/>
  <c r="AB86" i="4" s="1"/>
  <c r="JZ86" i="4" s="1"/>
  <c r="KE86" i="4" a="1"/>
  <c r="KE86" i="4" s="1"/>
  <c r="KF85" i="4"/>
  <c r="KG85" i="4" s="1"/>
  <c r="AB89" i="5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X88" i="4"/>
  <c r="KI81" i="1" a="1"/>
  <c r="KI81" i="1" s="1"/>
  <c r="KJ81" i="1" s="1"/>
  <c r="KK81" i="1" s="1"/>
  <c r="X106" i="1"/>
  <c r="AB74" i="1" l="1"/>
  <c r="KD74" i="1" s="1"/>
  <c r="AA74" i="1"/>
  <c r="KC74" i="1" s="1"/>
  <c r="AE74" i="1" s="1" a="1"/>
  <c r="AE74" i="1" s="1"/>
  <c r="AA86" i="4"/>
  <c r="JY86" i="4" s="1"/>
  <c r="Z86" i="4" s="1" a="1"/>
  <c r="Z86" i="4" s="1"/>
  <c r="Y87" i="4" s="1" a="1"/>
  <c r="Y87" i="4" s="1"/>
  <c r="AB87" i="4" s="1"/>
  <c r="JZ87" i="4" s="1"/>
  <c r="KF86" i="4"/>
  <c r="KG86" i="4" s="1"/>
  <c r="KE87" i="4" a="1"/>
  <c r="KE87" i="4" s="1"/>
  <c r="X92" i="5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X89" i="4"/>
  <c r="KI82" i="1" a="1"/>
  <c r="KI82" i="1" s="1"/>
  <c r="KJ82" i="1" s="1"/>
  <c r="KK82" i="1" s="1"/>
  <c r="X107" i="1"/>
  <c r="Z74" i="1" l="1" a="1"/>
  <c r="Z74" i="1" s="1"/>
  <c r="Y75" i="1" s="1" a="1"/>
  <c r="Y75" i="1" s="1"/>
  <c r="AA87" i="4"/>
  <c r="JY87" i="4" s="1"/>
  <c r="Z87" i="4" s="1" a="1"/>
  <c r="Z87" i="4" s="1"/>
  <c r="Y88" i="4" s="1" a="1"/>
  <c r="Y88" i="4" s="1"/>
  <c r="AA88" i="4" s="1"/>
  <c r="JY88" i="4" s="1"/>
  <c r="KF87" i="4"/>
  <c r="KG87" i="4" s="1"/>
  <c r="KE88" i="4" a="1"/>
  <c r="KE88" i="4" s="1"/>
  <c r="AB91" i="5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X90" i="4"/>
  <c r="KI83" i="1" a="1"/>
  <c r="KI83" i="1" s="1"/>
  <c r="KJ83" i="1" s="1"/>
  <c r="KK83" i="1" s="1"/>
  <c r="KI84" i="1" s="1" a="1"/>
  <c r="KI84" i="1" s="1"/>
  <c r="AA75" i="1" l="1"/>
  <c r="KC75" i="1" s="1"/>
  <c r="AE75" i="1" s="1" a="1"/>
  <c r="AE75" i="1" s="1"/>
  <c r="AB75" i="1"/>
  <c r="KD75" i="1" s="1"/>
  <c r="Z88" i="4" a="1"/>
  <c r="Z88" i="4" s="1"/>
  <c r="Y89" i="4" s="1" a="1"/>
  <c r="Y89" i="4" s="1"/>
  <c r="AA89" i="4" s="1"/>
  <c r="JY89" i="4" s="1"/>
  <c r="AB88" i="4"/>
  <c r="JZ88" i="4" s="1"/>
  <c r="KF88" i="4"/>
  <c r="KG88" i="4" s="1"/>
  <c r="KE89" i="4" a="1"/>
  <c r="KE89" i="4" s="1"/>
  <c r="AB92" i="5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Y90" i="4" a="1"/>
  <c r="Y90" i="4" s="1"/>
  <c r="X91" i="4"/>
  <c r="KJ84" i="1"/>
  <c r="KK84" i="1" s="1"/>
  <c r="KI85" i="1" s="1" a="1"/>
  <c r="KI85" i="1" s="1"/>
  <c r="X109" i="1"/>
  <c r="Z75" i="1" l="1" a="1"/>
  <c r="Z75" i="1" s="1"/>
  <c r="Y76" i="1" s="1" a="1"/>
  <c r="Y76" i="1" s="1"/>
  <c r="Z89" i="4" a="1"/>
  <c r="Z89" i="4" s="1"/>
  <c r="AB89" i="4"/>
  <c r="JZ89" i="4" s="1"/>
  <c r="KE90" i="4" a="1"/>
  <c r="KE90" i="4" s="1"/>
  <c r="KF89" i="4"/>
  <c r="KG89" i="4" s="1"/>
  <c r="KH89" i="4" s="1"/>
  <c r="KI89" i="4" s="1"/>
  <c r="AB93" i="5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AB90" i="4"/>
  <c r="JZ90" i="4" s="1"/>
  <c r="AA90" i="4"/>
  <c r="JY90" i="4" s="1"/>
  <c r="X92" i="4"/>
  <c r="KJ85" i="1"/>
  <c r="KK85" i="1" s="1"/>
  <c r="KI86" i="1" s="1" a="1"/>
  <c r="KI86" i="1" s="1"/>
  <c r="X110" i="1"/>
  <c r="AA76" i="1" l="1"/>
  <c r="KC76" i="1" s="1"/>
  <c r="AE76" i="1" s="1" a="1"/>
  <c r="AE76" i="1" s="1"/>
  <c r="AB76" i="1"/>
  <c r="KD76" i="1" s="1"/>
  <c r="Z76" i="1" s="1" a="1"/>
  <c r="Z76" i="1" s="1"/>
  <c r="Y77" i="1" s="1" a="1"/>
  <c r="Y77" i="1" s="1"/>
  <c r="KF90" i="4"/>
  <c r="KG90" i="4" s="1"/>
  <c r="KE91" i="4" a="1"/>
  <c r="KE91" i="4" s="1"/>
  <c r="Z90" i="4" a="1"/>
  <c r="Z90" i="4" s="1"/>
  <c r="Y91" i="4" s="1" a="1"/>
  <c r="Y91" i="4" s="1"/>
  <c r="AA91" i="4" s="1"/>
  <c r="JY91" i="4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X93" i="4"/>
  <c r="KJ86" i="1"/>
  <c r="KK86" i="1" s="1"/>
  <c r="X111" i="1"/>
  <c r="AA77" i="1" l="1"/>
  <c r="KC77" i="1" s="1"/>
  <c r="AE77" i="1" s="1" a="1"/>
  <c r="AE77" i="1" s="1"/>
  <c r="AB77" i="1"/>
  <c r="KD77" i="1" s="1"/>
  <c r="Z91" i="4" a="1"/>
  <c r="Z91" i="4" s="1"/>
  <c r="Y92" i="4" s="1" a="1"/>
  <c r="Y92" i="4" s="1"/>
  <c r="AA92" i="4" s="1"/>
  <c r="JY92" i="4" s="1"/>
  <c r="AB91" i="4"/>
  <c r="JZ91" i="4" s="1"/>
  <c r="KF91" i="4"/>
  <c r="KG91" i="4" s="1"/>
  <c r="KE92" i="4" a="1"/>
  <c r="KE92" i="4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X94" i="4"/>
  <c r="KI87" i="1" a="1"/>
  <c r="KI87" i="1" s="1"/>
  <c r="KJ87" i="1" s="1"/>
  <c r="KK87" i="1" s="1"/>
  <c r="Z77" i="1" l="1" a="1"/>
  <c r="Z77" i="1" s="1"/>
  <c r="Y78" i="1" s="1" a="1"/>
  <c r="Y78" i="1" s="1"/>
  <c r="Z92" i="4" a="1"/>
  <c r="Z92" i="4" s="1"/>
  <c r="Y93" i="4" s="1" a="1"/>
  <c r="Y93" i="4" s="1"/>
  <c r="AB93" i="4" s="1"/>
  <c r="JZ93" i="4" s="1"/>
  <c r="AB92" i="4"/>
  <c r="JZ92" i="4" s="1"/>
  <c r="KE93" i="4" a="1"/>
  <c r="KE93" i="4" s="1"/>
  <c r="KF92" i="4"/>
  <c r="KG92" i="4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X95" i="4"/>
  <c r="KI88" i="1" a="1"/>
  <c r="KI88" i="1" s="1"/>
  <c r="KJ88" i="1" s="1"/>
  <c r="X113" i="1"/>
  <c r="AB78" i="1" l="1"/>
  <c r="KD78" i="1" s="1"/>
  <c r="AA78" i="1"/>
  <c r="KC78" i="1" s="1"/>
  <c r="AE78" i="1" s="1" a="1"/>
  <c r="AE78" i="1" s="1"/>
  <c r="AA93" i="4"/>
  <c r="JY93" i="4" s="1"/>
  <c r="Z93" i="4" s="1" a="1"/>
  <c r="Z93" i="4" s="1"/>
  <c r="Y94" i="4" s="1" a="1"/>
  <c r="Y94" i="4" s="1"/>
  <c r="AA94" i="4" s="1"/>
  <c r="JY94" i="4" s="1"/>
  <c r="KF93" i="4"/>
  <c r="KG93" i="4" s="1"/>
  <c r="KE94" i="4" a="1"/>
  <c r="KE94" i="4" s="1"/>
  <c r="AA97" i="5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X96" i="4"/>
  <c r="KK88" i="1"/>
  <c r="KI89" i="1" s="1" a="1"/>
  <c r="KI89" i="1" s="1"/>
  <c r="KJ89" i="1" s="1"/>
  <c r="X114" i="1"/>
  <c r="Z78" i="1" l="1" a="1"/>
  <c r="Z78" i="1" s="1"/>
  <c r="Y79" i="1" s="1" a="1"/>
  <c r="Y79" i="1" s="1"/>
  <c r="Z94" i="4" a="1"/>
  <c r="Z94" i="4" s="1"/>
  <c r="Y95" i="4" s="1" a="1"/>
  <c r="Y95" i="4" s="1"/>
  <c r="AB95" i="4" s="1"/>
  <c r="JZ95" i="4" s="1"/>
  <c r="AB94" i="4"/>
  <c r="JZ94" i="4" s="1"/>
  <c r="KE95" i="4" a="1"/>
  <c r="KE95" i="4" s="1"/>
  <c r="KF94" i="4"/>
  <c r="KG94" i="4" s="1"/>
  <c r="X100" i="5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X97" i="4"/>
  <c r="KK89" i="1"/>
  <c r="KL89" i="1" s="1"/>
  <c r="KM89" i="1" s="1"/>
  <c r="X115" i="1"/>
  <c r="AB79" i="1" l="1"/>
  <c r="KD79" i="1" s="1"/>
  <c r="AA79" i="1"/>
  <c r="KC79" i="1" s="1"/>
  <c r="AE79" i="1" s="1" a="1"/>
  <c r="AE79" i="1" s="1"/>
  <c r="AA95" i="4"/>
  <c r="JY95" i="4" s="1"/>
  <c r="Z95" i="4" s="1" a="1"/>
  <c r="Z95" i="4" s="1"/>
  <c r="Y96" i="4" s="1" a="1"/>
  <c r="Y96" i="4" s="1"/>
  <c r="AB96" i="4" s="1"/>
  <c r="JZ96" i="4" s="1"/>
  <c r="KF95" i="4"/>
  <c r="KG95" i="4" s="1"/>
  <c r="KE96" i="4" a="1"/>
  <c r="KE96" i="4" s="1"/>
  <c r="AA99" i="5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X98" i="4"/>
  <c r="KI90" i="1" a="1"/>
  <c r="KI90" i="1" s="1"/>
  <c r="KJ90" i="1" s="1"/>
  <c r="KK90" i="1" s="1"/>
  <c r="X116" i="1"/>
  <c r="Z79" i="1" l="1" a="1"/>
  <c r="Z79" i="1" s="1"/>
  <c r="Y80" i="1" s="1" a="1"/>
  <c r="Y80" i="1" s="1"/>
  <c r="AA96" i="4"/>
  <c r="JY96" i="4" s="1"/>
  <c r="Z96" i="4" s="1" a="1"/>
  <c r="Z96" i="4" s="1"/>
  <c r="Y97" i="4" s="1" a="1"/>
  <c r="Y97" i="4" s="1"/>
  <c r="AB97" i="4" s="1"/>
  <c r="JZ97" i="4" s="1"/>
  <c r="KF96" i="4"/>
  <c r="KG96" i="4" s="1"/>
  <c r="KE97" i="4" a="1"/>
  <c r="KE97" i="4" s="1"/>
  <c r="AB100" i="5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X99" i="4"/>
  <c r="Y98" i="4" a="1"/>
  <c r="Y98" i="4" s="1"/>
  <c r="KI91" i="1" a="1"/>
  <c r="KI91" i="1" s="1"/>
  <c r="KJ91" i="1" s="1"/>
  <c r="KK91" i="1" s="1"/>
  <c r="AB80" i="1" l="1"/>
  <c r="KD80" i="1" s="1"/>
  <c r="AA80" i="1"/>
  <c r="KC80" i="1" s="1"/>
  <c r="AE80" i="1" s="1" a="1"/>
  <c r="AE80" i="1" s="1"/>
  <c r="AA97" i="4"/>
  <c r="JY97" i="4" s="1"/>
  <c r="Z97" i="4" s="1" a="1"/>
  <c r="Z97" i="4" s="1"/>
  <c r="KE98" i="4" a="1"/>
  <c r="KE98" i="4" s="1"/>
  <c r="KF97" i="4"/>
  <c r="KG97" i="4" s="1"/>
  <c r="AB101" i="5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AB98" i="4"/>
  <c r="JZ98" i="4" s="1"/>
  <c r="AA98" i="4"/>
  <c r="JY98" i="4" s="1"/>
  <c r="X100" i="4"/>
  <c r="KI92" i="1" a="1"/>
  <c r="KI92" i="1" s="1"/>
  <c r="KJ92" i="1" s="1"/>
  <c r="KK92" i="1" s="1"/>
  <c r="KI93" i="1" s="1" a="1"/>
  <c r="KI93" i="1" s="1"/>
  <c r="KJ93" i="1" s="1"/>
  <c r="X118" i="1"/>
  <c r="Z80" i="1" l="1" a="1"/>
  <c r="Z80" i="1" s="1"/>
  <c r="Y81" i="1" s="1" a="1"/>
  <c r="Y81" i="1" s="1"/>
  <c r="Z98" i="4" a="1"/>
  <c r="Z98" i="4" s="1"/>
  <c r="Y99" i="4" s="1" a="1"/>
  <c r="Y99" i="4" s="1"/>
  <c r="AB99" i="4" s="1"/>
  <c r="JZ99" i="4" s="1"/>
  <c r="KE99" i="4" a="1"/>
  <c r="KE99" i="4" s="1"/>
  <c r="KF98" i="4"/>
  <c r="KG98" i="4" s="1"/>
  <c r="AB102" i="5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X101" i="4"/>
  <c r="KK93" i="1"/>
  <c r="KI94" i="1" s="1" a="1"/>
  <c r="KI94" i="1" s="1"/>
  <c r="KJ94" i="1" s="1"/>
  <c r="X119" i="1"/>
  <c r="AB81" i="1" l="1"/>
  <c r="KD81" i="1" s="1"/>
  <c r="AA81" i="1"/>
  <c r="KC81" i="1" s="1"/>
  <c r="AE81" i="1" s="1" a="1"/>
  <c r="AE81" i="1" s="1"/>
  <c r="AA99" i="4"/>
  <c r="JY99" i="4" s="1"/>
  <c r="Z99" i="4" s="1" a="1"/>
  <c r="Z99" i="4" s="1"/>
  <c r="Y100" i="4" s="1" a="1"/>
  <c r="Y100" i="4" s="1"/>
  <c r="AB100" i="4" s="1"/>
  <c r="JZ100" i="4" s="1"/>
  <c r="KF99" i="4"/>
  <c r="KG99" i="4" s="1"/>
  <c r="KE100" i="4" a="1"/>
  <c r="KE100" i="4" s="1"/>
  <c r="AB103" i="5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X102" i="4"/>
  <c r="KK94" i="1"/>
  <c r="KI95" i="1" s="1" a="1"/>
  <c r="KI95" i="1" s="1"/>
  <c r="KJ95" i="1" s="1"/>
  <c r="X120" i="1"/>
  <c r="Z81" i="1" l="1" a="1"/>
  <c r="Z81" i="1" s="1"/>
  <c r="Y82" i="1" s="1" a="1"/>
  <c r="Y82" i="1" s="1"/>
  <c r="AA100" i="4"/>
  <c r="JY100" i="4" s="1"/>
  <c r="Z100" i="4" s="1" a="1"/>
  <c r="Z100" i="4" s="1"/>
  <c r="Y101" i="4" s="1" a="1"/>
  <c r="Y101" i="4" s="1"/>
  <c r="AB101" i="4" s="1"/>
  <c r="JZ101" i="4" s="1"/>
  <c r="KF100" i="4"/>
  <c r="KG100" i="4" s="1"/>
  <c r="KE101" i="4" a="1"/>
  <c r="KE101" i="4" s="1"/>
  <c r="AB104" i="5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X103" i="4"/>
  <c r="KK95" i="1"/>
  <c r="KI96" i="1" s="1" a="1"/>
  <c r="KI96" i="1" s="1"/>
  <c r="KJ96" i="1" s="1"/>
  <c r="KK96" i="1" s="1"/>
  <c r="KI97" i="1" s="1" a="1"/>
  <c r="KI97" i="1" s="1"/>
  <c r="X121" i="1"/>
  <c r="AB82" i="1" l="1"/>
  <c r="KD82" i="1" s="1"/>
  <c r="AA82" i="1"/>
  <c r="KC82" i="1" s="1"/>
  <c r="AE82" i="1" s="1" a="1"/>
  <c r="AE82" i="1" s="1"/>
  <c r="AA101" i="4"/>
  <c r="JY101" i="4" s="1"/>
  <c r="Z101" i="4" s="1" a="1"/>
  <c r="Z101" i="4" s="1"/>
  <c r="Y102" i="4" s="1" a="1"/>
  <c r="Y102" i="4" s="1"/>
  <c r="AB102" i="4" s="1"/>
  <c r="JZ102" i="4" s="1"/>
  <c r="KE102" i="4" a="1"/>
  <c r="KE102" i="4" s="1"/>
  <c r="KF101" i="4"/>
  <c r="KG101" i="4" s="1"/>
  <c r="AB105" i="5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X104" i="4"/>
  <c r="KJ97" i="1"/>
  <c r="KK97" i="1" s="1"/>
  <c r="X122" i="1"/>
  <c r="Z82" i="1" l="1" a="1"/>
  <c r="Z82" i="1" s="1"/>
  <c r="Y83" i="1" s="1" a="1"/>
  <c r="Y83" i="1" s="1"/>
  <c r="AA102" i="4"/>
  <c r="JY102" i="4" s="1"/>
  <c r="Z102" i="4" s="1" a="1"/>
  <c r="Z102" i="4" s="1"/>
  <c r="Y103" i="4" s="1" a="1"/>
  <c r="Y103" i="4" s="1"/>
  <c r="AA103" i="4" s="1"/>
  <c r="JY103" i="4" s="1"/>
  <c r="KF102" i="4"/>
  <c r="KG102" i="4" s="1"/>
  <c r="KE103" i="4" a="1"/>
  <c r="KE103" i="4" s="1"/>
  <c r="X108" i="5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X105" i="4"/>
  <c r="KI98" i="1" a="1"/>
  <c r="KI98" i="1" s="1"/>
  <c r="KJ98" i="1" s="1"/>
  <c r="AB83" i="1" l="1"/>
  <c r="KD83" i="1" s="1"/>
  <c r="AA83" i="1"/>
  <c r="KC83" i="1" s="1"/>
  <c r="AE83" i="1" s="1" a="1"/>
  <c r="AE83" i="1" s="1"/>
  <c r="Z103" i="4" a="1"/>
  <c r="Z103" i="4" s="1"/>
  <c r="Y104" i="4" s="1" a="1"/>
  <c r="Y104" i="4" s="1"/>
  <c r="AB104" i="4" s="1"/>
  <c r="JZ104" i="4" s="1"/>
  <c r="AB103" i="4"/>
  <c r="JZ103" i="4" s="1"/>
  <c r="KF103" i="4"/>
  <c r="KG103" i="4" s="1"/>
  <c r="KE104" i="4" a="1"/>
  <c r="KE104" i="4" s="1"/>
  <c r="AA107" i="5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X106" i="4"/>
  <c r="KK98" i="1"/>
  <c r="KI99" i="1" s="1" a="1"/>
  <c r="KI99" i="1" s="1"/>
  <c r="X124" i="1"/>
  <c r="Z83" i="1" l="1" a="1"/>
  <c r="Z83" i="1" s="1"/>
  <c r="Y84" i="1" s="1" a="1"/>
  <c r="Y84" i="1" s="1"/>
  <c r="AA104" i="4"/>
  <c r="JY104" i="4" s="1"/>
  <c r="Z104" i="4" s="1" a="1"/>
  <c r="Z104" i="4" s="1"/>
  <c r="Y105" i="4" s="1" a="1"/>
  <c r="Y105" i="4" s="1"/>
  <c r="AA105" i="4" s="1"/>
  <c r="JY105" i="4" s="1"/>
  <c r="KF104" i="4"/>
  <c r="KG104" i="4" s="1"/>
  <c r="KE105" i="4" a="1"/>
  <c r="KE105" i="4" s="1"/>
  <c r="AB108" i="5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X107" i="4"/>
  <c r="Y106" i="4" a="1"/>
  <c r="Y106" i="4" s="1"/>
  <c r="KJ99" i="1"/>
  <c r="KK99" i="1" s="1"/>
  <c r="X125" i="1"/>
  <c r="AB84" i="1" l="1"/>
  <c r="KD84" i="1" s="1"/>
  <c r="AA84" i="1"/>
  <c r="KC84" i="1" s="1"/>
  <c r="AE84" i="1" s="1" a="1"/>
  <c r="AE84" i="1" s="1"/>
  <c r="Z105" i="4" a="1"/>
  <c r="Z105" i="4" s="1"/>
  <c r="AB105" i="4"/>
  <c r="JZ105" i="4" s="1"/>
  <c r="KF105" i="4"/>
  <c r="KG105" i="4" s="1"/>
  <c r="KE106" i="4" a="1"/>
  <c r="KE106" i="4" s="1"/>
  <c r="AB109" i="5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AB106" i="4"/>
  <c r="JZ106" i="4" s="1"/>
  <c r="X108" i="4"/>
  <c r="KI100" i="1" a="1"/>
  <c r="KI100" i="1" s="1"/>
  <c r="KJ100" i="1" s="1"/>
  <c r="KK100" i="1" s="1"/>
  <c r="X126" i="1"/>
  <c r="Z84" i="1" l="1" a="1"/>
  <c r="Z84" i="1" s="1"/>
  <c r="Y85" i="1" s="1" a="1"/>
  <c r="Y85" i="1" s="1"/>
  <c r="Z106" i="4" a="1"/>
  <c r="Z106" i="4" s="1"/>
  <c r="Y107" i="4" s="1" a="1"/>
  <c r="Y107" i="4" s="1"/>
  <c r="AA107" i="4" s="1"/>
  <c r="JY107" i="4" s="1"/>
  <c r="KE107" i="4" a="1"/>
  <c r="KE107" i="4" s="1"/>
  <c r="KF106" i="4"/>
  <c r="KG106" i="4" s="1"/>
  <c r="AA110" i="5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X109" i="4"/>
  <c r="KI101" i="1" a="1"/>
  <c r="KI101" i="1" s="1"/>
  <c r="KJ101" i="1" s="1"/>
  <c r="KK101" i="1" s="1"/>
  <c r="KI102" i="1" s="1" a="1"/>
  <c r="KI102" i="1" s="1"/>
  <c r="KJ102" i="1" s="1"/>
  <c r="KK102" i="1" s="1"/>
  <c r="X127" i="1"/>
  <c r="AB85" i="1" l="1"/>
  <c r="KD85" i="1" s="1"/>
  <c r="AA85" i="1"/>
  <c r="KC85" i="1" s="1"/>
  <c r="AE85" i="1" s="1" a="1"/>
  <c r="AE85" i="1" s="1"/>
  <c r="Z107" i="4" a="1"/>
  <c r="Z107" i="4" s="1"/>
  <c r="Y108" i="4" s="1" a="1"/>
  <c r="Y108" i="4" s="1"/>
  <c r="AB108" i="4" s="1"/>
  <c r="JZ108" i="4" s="1"/>
  <c r="AB107" i="4"/>
  <c r="JZ107" i="4" s="1"/>
  <c r="KF107" i="4"/>
  <c r="KG107" i="4" s="1"/>
  <c r="KE108" i="4" a="1"/>
  <c r="KE108" i="4" s="1"/>
  <c r="AB111" i="5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X110" i="4"/>
  <c r="KI103" i="1" a="1"/>
  <c r="KI103" i="1" s="1"/>
  <c r="KJ103" i="1" s="1"/>
  <c r="KK103" i="1" s="1"/>
  <c r="X128" i="1"/>
  <c r="Z85" i="1" l="1" a="1"/>
  <c r="Z85" i="1" s="1"/>
  <c r="Y86" i="1" s="1" a="1"/>
  <c r="Y86" i="1" s="1"/>
  <c r="AA108" i="4"/>
  <c r="JY108" i="4" s="1"/>
  <c r="Z108" i="4" s="1" a="1"/>
  <c r="Z108" i="4" s="1"/>
  <c r="Y109" i="4" s="1" a="1"/>
  <c r="Y109" i="4" s="1"/>
  <c r="AA109" i="4" s="1"/>
  <c r="JY109" i="4" s="1"/>
  <c r="KF108" i="4"/>
  <c r="KG108" i="4" s="1"/>
  <c r="KE109" i="4" a="1"/>
  <c r="KE109" i="4" s="1"/>
  <c r="AB112" i="5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X111" i="4"/>
  <c r="KI104" i="1" a="1"/>
  <c r="KI104" i="1" s="1"/>
  <c r="KJ104" i="1" s="1"/>
  <c r="AA86" i="1" l="1"/>
  <c r="KC86" i="1" s="1"/>
  <c r="AE86" i="1" s="1" a="1"/>
  <c r="AE86" i="1" s="1"/>
  <c r="AB86" i="1"/>
  <c r="KD86" i="1" s="1"/>
  <c r="Z109" i="4" a="1"/>
  <c r="Z109" i="4" s="1"/>
  <c r="Y110" i="4" s="1" a="1"/>
  <c r="Y110" i="4" s="1"/>
  <c r="AB110" i="4" s="1"/>
  <c r="JZ110" i="4" s="1"/>
  <c r="AB109" i="4"/>
  <c r="JZ109" i="4" s="1"/>
  <c r="KF109" i="4"/>
  <c r="KG109" i="4" s="1"/>
  <c r="KE110" i="4" a="1"/>
  <c r="KE110" i="4" s="1"/>
  <c r="AB113" i="5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X112" i="4"/>
  <c r="KK104" i="1"/>
  <c r="KI105" i="1" s="1" a="1"/>
  <c r="KI105" i="1" s="1"/>
  <c r="KJ105" i="1" s="1"/>
  <c r="X130" i="1"/>
  <c r="Z86" i="1" l="1" a="1"/>
  <c r="Z86" i="1" s="1"/>
  <c r="Y87" i="1" s="1" a="1"/>
  <c r="Y87" i="1" s="1"/>
  <c r="AA110" i="4"/>
  <c r="JY110" i="4" s="1"/>
  <c r="Z110" i="4" s="1" a="1"/>
  <c r="Z110" i="4" s="1"/>
  <c r="Y111" i="4" s="1" a="1"/>
  <c r="Y111" i="4" s="1"/>
  <c r="AB111" i="4" s="1"/>
  <c r="JZ111" i="4" s="1"/>
  <c r="KE111" i="4" a="1"/>
  <c r="KE111" i="4" s="1"/>
  <c r="KF110" i="4"/>
  <c r="KG110" i="4" s="1"/>
  <c r="AA114" i="5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X113" i="4"/>
  <c r="KK105" i="1"/>
  <c r="KI106" i="1" s="1" a="1"/>
  <c r="KI106" i="1" s="1"/>
  <c r="X131" i="1"/>
  <c r="AB87" i="1" l="1"/>
  <c r="KD87" i="1" s="1"/>
  <c r="AA87" i="1"/>
  <c r="KC87" i="1" s="1"/>
  <c r="AE87" i="1" s="1" a="1"/>
  <c r="AE87" i="1" s="1"/>
  <c r="AA111" i="4"/>
  <c r="JY111" i="4" s="1"/>
  <c r="Z111" i="4" s="1" a="1"/>
  <c r="Z111" i="4" s="1"/>
  <c r="Y112" i="4" s="1" a="1"/>
  <c r="Y112" i="4" s="1"/>
  <c r="AB112" i="4" s="1"/>
  <c r="JZ112" i="4" s="1"/>
  <c r="KF111" i="4"/>
  <c r="KG111" i="4" s="1"/>
  <c r="KE112" i="4" a="1"/>
  <c r="KE112" i="4" s="1"/>
  <c r="AA115" i="5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X114" i="4"/>
  <c r="KJ106" i="1"/>
  <c r="X132" i="1"/>
  <c r="Z87" i="1" l="1" a="1"/>
  <c r="Z87" i="1" s="1"/>
  <c r="Y88" i="1" s="1" a="1"/>
  <c r="Y88" i="1" s="1"/>
  <c r="AA112" i="4"/>
  <c r="JY112" i="4" s="1"/>
  <c r="Z112" i="4" s="1" a="1"/>
  <c r="Z112" i="4" s="1"/>
  <c r="Y113" i="4" s="1" a="1"/>
  <c r="Y113" i="4" s="1"/>
  <c r="AB113" i="4" s="1"/>
  <c r="JZ113" i="4" s="1"/>
  <c r="KE113" i="4" a="1"/>
  <c r="KE113" i="4" s="1"/>
  <c r="KF112" i="4"/>
  <c r="KG112" i="4" s="1"/>
  <c r="AA116" i="5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X115" i="4"/>
  <c r="Y114" i="4" a="1"/>
  <c r="Y114" i="4" s="1"/>
  <c r="KK106" i="1"/>
  <c r="KI107" i="1" s="1" a="1"/>
  <c r="KI107" i="1" s="1"/>
  <c r="KJ107" i="1" s="1"/>
  <c r="KK107" i="1" s="1"/>
  <c r="X133" i="1"/>
  <c r="AB88" i="1" l="1"/>
  <c r="KD88" i="1" s="1"/>
  <c r="AA88" i="1"/>
  <c r="KC88" i="1" s="1"/>
  <c r="AE88" i="1" s="1" a="1"/>
  <c r="AE88" i="1" s="1"/>
  <c r="AA113" i="4"/>
  <c r="JY113" i="4" s="1"/>
  <c r="Z113" i="4" s="1" a="1"/>
  <c r="Z113" i="4" s="1"/>
  <c r="KE114" i="4" a="1"/>
  <c r="KE114" i="4" s="1"/>
  <c r="KF113" i="4"/>
  <c r="KG113" i="4" s="1"/>
  <c r="AB117" i="5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KI108" i="1" a="1"/>
  <c r="KI108" i="1" s="1"/>
  <c r="KJ108" i="1" s="1"/>
  <c r="KK108" i="1" s="1"/>
  <c r="X134" i="1"/>
  <c r="Z88" i="1" l="1" a="1"/>
  <c r="Z88" i="1" s="1"/>
  <c r="Y89" i="1" s="1" a="1"/>
  <c r="Y89" i="1" s="1"/>
  <c r="Z114" i="4" a="1"/>
  <c r="Z114" i="4" s="1"/>
  <c r="Y115" i="4" s="1" a="1"/>
  <c r="Y115" i="4" s="1"/>
  <c r="AB115" i="4" s="1"/>
  <c r="JZ115" i="4" s="1"/>
  <c r="KF114" i="4"/>
  <c r="KG114" i="4" s="1"/>
  <c r="KE115" i="4" a="1"/>
  <c r="KE115" i="4" s="1"/>
  <c r="AB118" i="5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X117" i="4"/>
  <c r="KI109" i="1" a="1"/>
  <c r="KI109" i="1" s="1"/>
  <c r="KJ109" i="1" s="1"/>
  <c r="KK109" i="1" s="1"/>
  <c r="KI110" i="1" s="1" a="1"/>
  <c r="KI110" i="1" s="1"/>
  <c r="KJ110" i="1" s="1"/>
  <c r="AA89" i="1" l="1"/>
  <c r="KC89" i="1" s="1"/>
  <c r="AE89" i="1" s="1" a="1"/>
  <c r="AE89" i="1" s="1"/>
  <c r="AB89" i="1"/>
  <c r="KD89" i="1" s="1"/>
  <c r="AA115" i="4"/>
  <c r="JY115" i="4" s="1"/>
  <c r="Z115" i="4" s="1" a="1"/>
  <c r="Z115" i="4" s="1"/>
  <c r="Y116" i="4" s="1" a="1"/>
  <c r="Y116" i="4" s="1"/>
  <c r="AB116" i="4" s="1"/>
  <c r="JZ116" i="4" s="1"/>
  <c r="KF115" i="4"/>
  <c r="KG115" i="4" s="1"/>
  <c r="KE116" i="4" a="1"/>
  <c r="KE116" i="4" s="1"/>
  <c r="AA119" i="5"/>
  <c r="KC119" i="5" s="1"/>
  <c r="Z119" i="5" s="1" a="1"/>
  <c r="Z119" i="5" s="1"/>
  <c r="Y120" i="5" s="1" a="1"/>
  <c r="Y120" i="5" s="1"/>
  <c r="AB119" i="5"/>
  <c r="KD119" i="5" s="1"/>
  <c r="KJ120" i="5"/>
  <c r="KK120" i="5" s="1"/>
  <c r="X121" i="5"/>
  <c r="X118" i="4"/>
  <c r="KK110" i="1"/>
  <c r="KI111" i="1" s="1" a="1"/>
  <c r="KI111" i="1" s="1"/>
  <c r="KJ111" i="1" s="1"/>
  <c r="KK111" i="1" s="1"/>
  <c r="KI112" i="1" s="1" a="1"/>
  <c r="KI112" i="1" s="1"/>
  <c r="X136" i="1"/>
  <c r="Z89" i="1" l="1" a="1"/>
  <c r="Z89" i="1" s="1"/>
  <c r="Y90" i="1" s="1" a="1"/>
  <c r="Y90" i="1" s="1"/>
  <c r="AA116" i="4"/>
  <c r="JY116" i="4" s="1"/>
  <c r="Z116" i="4" s="1" a="1"/>
  <c r="Z116" i="4" s="1"/>
  <c r="Y117" i="4" s="1" a="1"/>
  <c r="Y117" i="4" s="1"/>
  <c r="AB117" i="4" s="1"/>
  <c r="JZ117" i="4" s="1"/>
  <c r="KI121" i="5" a="1"/>
  <c r="KI121" i="5" s="1"/>
  <c r="KJ121" i="5" s="1"/>
  <c r="KK121" i="5" s="1"/>
  <c r="KE117" i="4" a="1"/>
  <c r="KE117" i="4" s="1"/>
  <c r="KF116" i="4"/>
  <c r="KG116" i="4" s="1"/>
  <c r="AB120" i="5"/>
  <c r="KD120" i="5" s="1"/>
  <c r="AA120" i="5"/>
  <c r="KC120" i="5" s="1"/>
  <c r="Z120" i="5" s="1" a="1"/>
  <c r="Z120" i="5" s="1"/>
  <c r="Y121" i="5" s="1" a="1"/>
  <c r="Y121" i="5" s="1"/>
  <c r="X122" i="5"/>
  <c r="X119" i="4"/>
  <c r="KJ112" i="1"/>
  <c r="KK112" i="1" s="1"/>
  <c r="KI113" i="1" s="1" a="1"/>
  <c r="KI113" i="1" s="1"/>
  <c r="X137" i="1"/>
  <c r="AB90" i="1" l="1"/>
  <c r="KD90" i="1" s="1"/>
  <c r="AA90" i="1"/>
  <c r="KC90" i="1" s="1"/>
  <c r="AE90" i="1" s="1" a="1"/>
  <c r="AE90" i="1" s="1"/>
  <c r="KI122" i="5" a="1"/>
  <c r="KI122" i="5" s="1"/>
  <c r="KJ122" i="5" s="1"/>
  <c r="AA117" i="4"/>
  <c r="JY117" i="4" s="1"/>
  <c r="Z117" i="4" s="1" a="1"/>
  <c r="Z117" i="4" s="1"/>
  <c r="Y118" i="4" s="1" a="1"/>
  <c r="Y118" i="4" s="1"/>
  <c r="AA118" i="4" s="1"/>
  <c r="JY118" i="4" s="1"/>
  <c r="KF117" i="4"/>
  <c r="KG117" i="4" s="1"/>
  <c r="KE118" i="4" a="1"/>
  <c r="KE118" i="4" s="1"/>
  <c r="AB121" i="5"/>
  <c r="KD121" i="5" s="1"/>
  <c r="AA121" i="5"/>
  <c r="KC121" i="5" s="1"/>
  <c r="Z121" i="5" s="1" a="1"/>
  <c r="Z121" i="5" s="1"/>
  <c r="X123" i="5"/>
  <c r="Y122" i="5" a="1"/>
  <c r="Y122" i="5" s="1"/>
  <c r="X120" i="4"/>
  <c r="KJ113" i="1"/>
  <c r="KK113" i="1" s="1"/>
  <c r="X138" i="1"/>
  <c r="Z90" i="1" l="1" a="1"/>
  <c r="Z90" i="1" s="1"/>
  <c r="Y91" i="1" s="1" a="1"/>
  <c r="Y91" i="1" s="1"/>
  <c r="Z118" i="4" a="1"/>
  <c r="Z118" i="4" s="1"/>
  <c r="Y119" i="4" s="1" a="1"/>
  <c r="Y119" i="4" s="1"/>
  <c r="AA119" i="4" s="1"/>
  <c r="JY119" i="4" s="1"/>
  <c r="KK122" i="5"/>
  <c r="KI123" i="5" a="1"/>
  <c r="KI123" i="5" s="1"/>
  <c r="KI124" i="5" s="1" a="1"/>
  <c r="KI124" i="5" s="1"/>
  <c r="AB118" i="4"/>
  <c r="JZ118" i="4" s="1"/>
  <c r="KE119" i="4" a="1"/>
  <c r="KE119" i="4" s="1"/>
  <c r="KF118" i="4"/>
  <c r="KG118" i="4" s="1"/>
  <c r="KI114" i="1" a="1"/>
  <c r="KI114" i="1" s="1"/>
  <c r="KJ114" i="1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X121" i="4"/>
  <c r="X139" i="1"/>
  <c r="AB91" i="1" l="1"/>
  <c r="KD91" i="1" s="1"/>
  <c r="AA91" i="1"/>
  <c r="KC91" i="1" s="1"/>
  <c r="AE91" i="1" s="1" a="1"/>
  <c r="AE91" i="1" s="1"/>
  <c r="Z119" i="4" a="1"/>
  <c r="Z119" i="4" s="1"/>
  <c r="Y120" i="4" s="1" a="1"/>
  <c r="Y120" i="4" s="1"/>
  <c r="AA120" i="4" s="1"/>
  <c r="JY120" i="4" s="1"/>
  <c r="KE120" i="4" a="1"/>
  <c r="KE120" i="4" s="1"/>
  <c r="KF119" i="4"/>
  <c r="KG119" i="4" s="1"/>
  <c r="AB119" i="4"/>
  <c r="JZ119" i="4" s="1"/>
  <c r="KK114" i="1"/>
  <c r="KI115" i="1" s="1" a="1"/>
  <c r="KI115" i="1" s="1"/>
  <c r="KJ115" i="1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X122" i="4"/>
  <c r="X140" i="1"/>
  <c r="Z91" i="1" l="1" a="1"/>
  <c r="Z91" i="1" s="1"/>
  <c r="Y92" i="1" s="1" a="1"/>
  <c r="Y92" i="1" s="1"/>
  <c r="Z120" i="4" a="1"/>
  <c r="Z120" i="4" s="1"/>
  <c r="Y121" i="4" s="1" a="1"/>
  <c r="Y121" i="4" s="1"/>
  <c r="AB121" i="4" s="1"/>
  <c r="JZ121" i="4" s="1"/>
  <c r="AB120" i="4"/>
  <c r="JZ120" i="4" s="1"/>
  <c r="KF120" i="4"/>
  <c r="KG120" i="4" s="1"/>
  <c r="KE121" i="4" a="1"/>
  <c r="KE121" i="4" s="1"/>
  <c r="KK115" i="1"/>
  <c r="KI116" i="1" s="1" a="1"/>
  <c r="KI116" i="1" s="1"/>
  <c r="KJ116" i="1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Y122" i="4" a="1"/>
  <c r="Y122" i="4" s="1"/>
  <c r="X123" i="4"/>
  <c r="AB92" i="1" l="1"/>
  <c r="KD92" i="1" s="1"/>
  <c r="AA92" i="1"/>
  <c r="KC92" i="1" s="1"/>
  <c r="AE92" i="1" s="1" a="1"/>
  <c r="AE92" i="1" s="1"/>
  <c r="AA121" i="4"/>
  <c r="JY121" i="4" s="1"/>
  <c r="Z121" i="4" s="1" a="1"/>
  <c r="Z121" i="4" s="1"/>
  <c r="KE122" i="4" a="1"/>
  <c r="KE122" i="4" s="1"/>
  <c r="KF121" i="4"/>
  <c r="KG121" i="4" s="1"/>
  <c r="KK116" i="1"/>
  <c r="KI117" i="1" s="1" a="1"/>
  <c r="KI117" i="1" s="1"/>
  <c r="KJ117" i="1" s="1"/>
  <c r="KK117" i="1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AB122" i="4"/>
  <c r="JZ122" i="4" s="1"/>
  <c r="AA122" i="4"/>
  <c r="JY122" i="4" s="1"/>
  <c r="X124" i="4"/>
  <c r="X142" i="1"/>
  <c r="Z92" i="1" l="1" a="1"/>
  <c r="Z92" i="1" s="1"/>
  <c r="Y93" i="1" s="1" a="1"/>
  <c r="Y93" i="1" s="1"/>
  <c r="Z122" i="4" a="1"/>
  <c r="Z122" i="4" s="1"/>
  <c r="Y123" i="4" s="1" a="1"/>
  <c r="Y123" i="4" s="1"/>
  <c r="AB123" i="4" s="1"/>
  <c r="JZ123" i="4" s="1"/>
  <c r="KE123" i="4" a="1"/>
  <c r="KE123" i="4" s="1"/>
  <c r="KF122" i="4"/>
  <c r="KG122" i="4" s="1"/>
  <c r="KI118" i="1" a="1"/>
  <c r="KI118" i="1" s="1"/>
  <c r="KJ118" i="1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X125" i="4"/>
  <c r="AA93" i="1" l="1"/>
  <c r="KC93" i="1" s="1"/>
  <c r="AE93" i="1" s="1" a="1"/>
  <c r="AE93" i="1" s="1"/>
  <c r="AB93" i="1"/>
  <c r="KD93" i="1" s="1"/>
  <c r="AA123" i="4"/>
  <c r="JY123" i="4" s="1"/>
  <c r="Z123" i="4" s="1" a="1"/>
  <c r="Z123" i="4" s="1"/>
  <c r="Y124" i="4" s="1" a="1"/>
  <c r="Y124" i="4" s="1"/>
  <c r="AA124" i="4" s="1"/>
  <c r="JY124" i="4" s="1"/>
  <c r="KF123" i="4"/>
  <c r="KG123" i="4" s="1"/>
  <c r="KE124" i="4" a="1"/>
  <c r="KE124" i="4" s="1"/>
  <c r="KK118" i="1"/>
  <c r="KI119" i="1" s="1" a="1"/>
  <c r="KI119" i="1" s="1"/>
  <c r="KJ119" i="1" s="1"/>
  <c r="KK119" i="1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X126" i="4"/>
  <c r="X144" i="1"/>
  <c r="Z93" i="1" l="1" a="1"/>
  <c r="Z93" i="1" s="1"/>
  <c r="Y94" i="1" s="1" a="1"/>
  <c r="Y94" i="1" s="1"/>
  <c r="Z124" i="4" a="1"/>
  <c r="Z124" i="4" s="1"/>
  <c r="Y125" i="4" s="1" a="1"/>
  <c r="Y125" i="4" s="1"/>
  <c r="AB125" i="4" s="1"/>
  <c r="JZ125" i="4" s="1"/>
  <c r="AB124" i="4"/>
  <c r="JZ124" i="4" s="1"/>
  <c r="KF124" i="4"/>
  <c r="KG124" i="4" s="1"/>
  <c r="KE125" i="4" a="1"/>
  <c r="KE125" i="4" s="1"/>
  <c r="AB128" i="5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X127" i="4"/>
  <c r="KI120" i="1" a="1"/>
  <c r="KI120" i="1" s="1"/>
  <c r="KJ120" i="1" s="1"/>
  <c r="X145" i="1"/>
  <c r="AB94" i="1" l="1"/>
  <c r="KD94" i="1" s="1"/>
  <c r="AA94" i="1"/>
  <c r="KC94" i="1" s="1"/>
  <c r="AE94" i="1" s="1" a="1"/>
  <c r="AE94" i="1" s="1"/>
  <c r="AA125" i="4"/>
  <c r="JY125" i="4" s="1"/>
  <c r="Z125" i="4" s="1" a="1"/>
  <c r="Z125" i="4" s="1"/>
  <c r="Y126" i="4" s="1" a="1"/>
  <c r="Y126" i="4" s="1"/>
  <c r="AB126" i="4" s="1"/>
  <c r="JZ126" i="4" s="1"/>
  <c r="KF125" i="4"/>
  <c r="KG125" i="4" s="1"/>
  <c r="KE126" i="4" a="1"/>
  <c r="KE126" i="4" s="1"/>
  <c r="AB129" i="5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X128" i="4"/>
  <c r="KK120" i="1"/>
  <c r="KI121" i="1" s="1" a="1"/>
  <c r="KI121" i="1" s="1"/>
  <c r="KJ121" i="1" s="1"/>
  <c r="X146" i="1"/>
  <c r="Z94" i="1" l="1" a="1"/>
  <c r="Z94" i="1" s="1"/>
  <c r="Y95" i="1" s="1" a="1"/>
  <c r="Y95" i="1" s="1"/>
  <c r="AA126" i="4"/>
  <c r="JY126" i="4" s="1"/>
  <c r="Z126" i="4" s="1" a="1"/>
  <c r="Z126" i="4" s="1"/>
  <c r="Y127" i="4" s="1" a="1"/>
  <c r="Y127" i="4" s="1"/>
  <c r="AA127" i="4" s="1"/>
  <c r="JY127" i="4" s="1"/>
  <c r="KF126" i="4"/>
  <c r="KG126" i="4" s="1"/>
  <c r="KE127" i="4" a="1"/>
  <c r="KE127" i="4" s="1"/>
  <c r="AB130" i="5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X129" i="4"/>
  <c r="KK121" i="1"/>
  <c r="KI122" i="1" s="1" a="1"/>
  <c r="KI122" i="1" s="1"/>
  <c r="KJ122" i="1" s="1"/>
  <c r="X147" i="1"/>
  <c r="AA95" i="1" l="1"/>
  <c r="KC95" i="1" s="1"/>
  <c r="AE95" i="1" s="1" a="1"/>
  <c r="AE95" i="1" s="1"/>
  <c r="AB95" i="1"/>
  <c r="KD95" i="1" s="1"/>
  <c r="Z127" i="4" a="1"/>
  <c r="Z127" i="4" s="1"/>
  <c r="Y128" i="4" s="1" a="1"/>
  <c r="Y128" i="4" s="1"/>
  <c r="AB128" i="4" s="1"/>
  <c r="JZ128" i="4" s="1"/>
  <c r="AB127" i="4"/>
  <c r="JZ127" i="4" s="1"/>
  <c r="KF127" i="4"/>
  <c r="KG127" i="4" s="1"/>
  <c r="KE128" i="4" a="1"/>
  <c r="KE128" i="4" s="1"/>
  <c r="AB131" i="5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X130" i="4"/>
  <c r="KK122" i="1"/>
  <c r="KI123" i="1" s="1" a="1"/>
  <c r="KI123" i="1" s="1"/>
  <c r="KJ123" i="1" s="1"/>
  <c r="KK123" i="1" s="1"/>
  <c r="X148" i="1"/>
  <c r="Z95" i="1" l="1" a="1"/>
  <c r="Z95" i="1" s="1"/>
  <c r="Y96" i="1" s="1" a="1"/>
  <c r="Y96" i="1" s="1"/>
  <c r="AA128" i="4"/>
  <c r="JY128" i="4" s="1"/>
  <c r="Z128" i="4" s="1" a="1"/>
  <c r="Z128" i="4" s="1"/>
  <c r="Y129" i="4" s="1" a="1"/>
  <c r="Y129" i="4" s="1"/>
  <c r="AB129" i="4" s="1"/>
  <c r="JZ129" i="4" s="1"/>
  <c r="KF128" i="4"/>
  <c r="KG128" i="4" s="1"/>
  <c r="KE129" i="4" a="1"/>
  <c r="KE129" i="4" s="1"/>
  <c r="AA132" i="5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X131" i="4"/>
  <c r="Y130" i="4" a="1"/>
  <c r="Y130" i="4" s="1"/>
  <c r="KI124" i="1" a="1"/>
  <c r="KI124" i="1" s="1"/>
  <c r="KJ124" i="1" s="1"/>
  <c r="X149" i="1"/>
  <c r="AB96" i="1" l="1"/>
  <c r="KD96" i="1" s="1"/>
  <c r="AA96" i="1"/>
  <c r="KC96" i="1" s="1"/>
  <c r="AE96" i="1" s="1" a="1"/>
  <c r="AE96" i="1" s="1"/>
  <c r="AA129" i="4"/>
  <c r="JY129" i="4" s="1"/>
  <c r="Z129" i="4" s="1" a="1"/>
  <c r="Z129" i="4" s="1"/>
  <c r="KF129" i="4"/>
  <c r="KG129" i="4" s="1"/>
  <c r="KE130" i="4" a="1"/>
  <c r="KE130" i="4" s="1"/>
  <c r="AB133" i="5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KK124" i="1"/>
  <c r="KI125" i="1" s="1" a="1"/>
  <c r="KI125" i="1" s="1"/>
  <c r="KJ125" i="1" s="1"/>
  <c r="X150" i="1"/>
  <c r="Z96" i="1" l="1" a="1"/>
  <c r="Z96" i="1" s="1"/>
  <c r="Y97" i="1" s="1" a="1"/>
  <c r="Y97" i="1" s="1"/>
  <c r="Z130" i="4" a="1"/>
  <c r="Z130" i="4" s="1"/>
  <c r="Y131" i="4" s="1" a="1"/>
  <c r="Y131" i="4" s="1"/>
  <c r="AA131" i="4" s="1"/>
  <c r="JY131" i="4" s="1"/>
  <c r="KF130" i="4"/>
  <c r="KG130" i="4" s="1"/>
  <c r="KE131" i="4" a="1"/>
  <c r="KE131" i="4" s="1"/>
  <c r="AB134" i="5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X133" i="4"/>
  <c r="KK125" i="1"/>
  <c r="KI126" i="1" s="1" a="1"/>
  <c r="KI126" i="1" s="1"/>
  <c r="KJ126" i="1" s="1"/>
  <c r="X151" i="1"/>
  <c r="AA97" i="1" l="1"/>
  <c r="KC97" i="1" s="1"/>
  <c r="AE97" i="1" s="1" a="1"/>
  <c r="AE97" i="1" s="1"/>
  <c r="AB97" i="1"/>
  <c r="KD97" i="1" s="1"/>
  <c r="Z131" i="4" a="1"/>
  <c r="Z131" i="4" s="1"/>
  <c r="Y132" i="4" s="1" a="1"/>
  <c r="Y132" i="4" s="1"/>
  <c r="AB132" i="4" s="1"/>
  <c r="JZ132" i="4" s="1"/>
  <c r="AB131" i="4"/>
  <c r="JZ131" i="4" s="1"/>
  <c r="KE132" i="4" a="1"/>
  <c r="KE132" i="4" s="1"/>
  <c r="KF131" i="4"/>
  <c r="KG131" i="4" s="1"/>
  <c r="AB135" i="5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X134" i="4"/>
  <c r="KK126" i="1"/>
  <c r="KI127" i="1" s="1" a="1"/>
  <c r="KI127" i="1" s="1"/>
  <c r="KJ127" i="1" s="1"/>
  <c r="KK127" i="1" s="1"/>
  <c r="X152" i="1"/>
  <c r="Z97" i="1" l="1" a="1"/>
  <c r="Z97" i="1" s="1"/>
  <c r="Y98" i="1" s="1" a="1"/>
  <c r="Y98" i="1" s="1"/>
  <c r="AA132" i="4"/>
  <c r="JY132" i="4" s="1"/>
  <c r="Z132" i="4" s="1" a="1"/>
  <c r="Z132" i="4" s="1"/>
  <c r="Y133" i="4" s="1" a="1"/>
  <c r="Y133" i="4" s="1"/>
  <c r="AB133" i="4" s="1"/>
  <c r="JZ133" i="4" s="1"/>
  <c r="KE133" i="4" a="1"/>
  <c r="KE133" i="4" s="1"/>
  <c r="KF132" i="4"/>
  <c r="KG132" i="4" s="1"/>
  <c r="AB136" i="5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X135" i="4"/>
  <c r="KI128" i="1" a="1"/>
  <c r="KI128" i="1" s="1"/>
  <c r="KJ128" i="1" s="1"/>
  <c r="KK128" i="1" s="1"/>
  <c r="X153" i="1"/>
  <c r="AA98" i="1" l="1"/>
  <c r="KC98" i="1" s="1"/>
  <c r="AE98" i="1" s="1" a="1"/>
  <c r="AE98" i="1" s="1"/>
  <c r="AB98" i="1"/>
  <c r="KD98" i="1" s="1"/>
  <c r="AA133" i="4"/>
  <c r="JY133" i="4" s="1"/>
  <c r="Z133" i="4" s="1" a="1"/>
  <c r="Z133" i="4" s="1"/>
  <c r="Y134" i="4" s="1" a="1"/>
  <c r="Y134" i="4" s="1"/>
  <c r="AB134" i="4" s="1"/>
  <c r="JZ134" i="4" s="1"/>
  <c r="KE134" i="4" a="1"/>
  <c r="KE134" i="4" s="1"/>
  <c r="KF133" i="4"/>
  <c r="KG133" i="4" s="1"/>
  <c r="AA137" i="5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X136" i="4"/>
  <c r="KI129" i="1" a="1"/>
  <c r="KI129" i="1" s="1"/>
  <c r="KJ129" i="1" s="1"/>
  <c r="X154" i="1"/>
  <c r="Z98" i="1" l="1" a="1"/>
  <c r="Z98" i="1" s="1"/>
  <c r="Y99" i="1" s="1" a="1"/>
  <c r="Y99" i="1" s="1"/>
  <c r="AA134" i="4"/>
  <c r="JY134" i="4" s="1"/>
  <c r="Z134" i="4" s="1" a="1"/>
  <c r="Z134" i="4" s="1"/>
  <c r="Y135" i="4" s="1" a="1"/>
  <c r="Y135" i="4" s="1"/>
  <c r="AA135" i="4" s="1"/>
  <c r="JY135" i="4" s="1"/>
  <c r="KF134" i="4"/>
  <c r="KG134" i="4" s="1"/>
  <c r="KE135" i="4" a="1"/>
  <c r="KE135" i="4" s="1"/>
  <c r="KJ138" i="5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X137" i="4"/>
  <c r="KK129" i="1"/>
  <c r="KI130" i="1" s="1" a="1"/>
  <c r="KI130" i="1" s="1"/>
  <c r="KJ130" i="1" s="1"/>
  <c r="X155" i="1"/>
  <c r="AA99" i="1" l="1"/>
  <c r="KC99" i="1" s="1"/>
  <c r="AE99" i="1" s="1" a="1"/>
  <c r="AE99" i="1" s="1"/>
  <c r="AB99" i="1"/>
  <c r="KD99" i="1" s="1"/>
  <c r="Z135" i="4" a="1"/>
  <c r="Z135" i="4" s="1"/>
  <c r="Y136" i="4" s="1" a="1"/>
  <c r="Y136" i="4" s="1"/>
  <c r="AB136" i="4" s="1"/>
  <c r="JZ136" i="4" s="1"/>
  <c r="AB135" i="4"/>
  <c r="JZ135" i="4" s="1"/>
  <c r="KE136" i="4" a="1"/>
  <c r="KE136" i="4" s="1"/>
  <c r="KF135" i="4"/>
  <c r="KG135" i="4" s="1"/>
  <c r="AB139" i="5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X138" i="4"/>
  <c r="KK130" i="1"/>
  <c r="KI131" i="1" s="1" a="1"/>
  <c r="KI131" i="1" s="1"/>
  <c r="KJ131" i="1" s="1"/>
  <c r="X156" i="1"/>
  <c r="Z99" i="1" l="1" a="1"/>
  <c r="Z99" i="1" s="1"/>
  <c r="Y100" i="1" s="1" a="1"/>
  <c r="Y100" i="1" s="1"/>
  <c r="AA136" i="4"/>
  <c r="JY136" i="4" s="1"/>
  <c r="Z136" i="4" s="1" a="1"/>
  <c r="Z136" i="4" s="1"/>
  <c r="Y137" i="4" s="1" a="1"/>
  <c r="Y137" i="4" s="1"/>
  <c r="AA137" i="4" s="1"/>
  <c r="JY137" i="4" s="1"/>
  <c r="KF136" i="4"/>
  <c r="KG136" i="4" s="1"/>
  <c r="KE137" i="4" a="1"/>
  <c r="KE137" i="4" s="1"/>
  <c r="AA140" i="5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X139" i="4"/>
  <c r="Y138" i="4" a="1"/>
  <c r="Y138" i="4" s="1"/>
  <c r="KK131" i="1"/>
  <c r="KI132" i="1" s="1" a="1"/>
  <c r="KI132" i="1" s="1"/>
  <c r="KJ132" i="1" s="1"/>
  <c r="X157" i="1"/>
  <c r="AA100" i="1" l="1"/>
  <c r="KC100" i="1" s="1"/>
  <c r="AE100" i="1" s="1" a="1"/>
  <c r="AE100" i="1" s="1"/>
  <c r="AB100" i="1"/>
  <c r="KD100" i="1" s="1"/>
  <c r="Z137" i="4" a="1"/>
  <c r="Z137" i="4" s="1"/>
  <c r="AB137" i="4"/>
  <c r="JZ137" i="4" s="1"/>
  <c r="KE138" i="4" a="1"/>
  <c r="KE138" i="4" s="1"/>
  <c r="KF137" i="4"/>
  <c r="KG137" i="4" s="1"/>
  <c r="AB141" i="5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X140" i="4"/>
  <c r="KK132" i="1"/>
  <c r="KI133" i="1" s="1" a="1"/>
  <c r="KI133" i="1" s="1"/>
  <c r="KJ133" i="1" s="1"/>
  <c r="X158" i="1"/>
  <c r="Z100" i="1" l="1" a="1"/>
  <c r="Z100" i="1" s="1"/>
  <c r="Y101" i="1" s="1" a="1"/>
  <c r="Y101" i="1" s="1"/>
  <c r="Z138" i="4" a="1"/>
  <c r="Z138" i="4" s="1"/>
  <c r="Y139" i="4" s="1" a="1"/>
  <c r="Y139" i="4" s="1"/>
  <c r="AB139" i="4" s="1"/>
  <c r="JZ139" i="4" s="1"/>
  <c r="KF138" i="4"/>
  <c r="KG138" i="4" s="1"/>
  <c r="KE139" i="4" a="1"/>
  <c r="KE139" i="4" s="1"/>
  <c r="AB142" i="5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X141" i="4"/>
  <c r="KK133" i="1"/>
  <c r="KI134" i="1" s="1" a="1"/>
  <c r="KI134" i="1" s="1"/>
  <c r="KJ134" i="1" s="1"/>
  <c r="AA101" i="1" l="1"/>
  <c r="KC101" i="1" s="1"/>
  <c r="AE101" i="1" s="1" a="1"/>
  <c r="AE101" i="1" s="1"/>
  <c r="AB101" i="1"/>
  <c r="KD101" i="1" s="1"/>
  <c r="AA139" i="4"/>
  <c r="JY139" i="4" s="1"/>
  <c r="Z139" i="4" s="1" a="1"/>
  <c r="Z139" i="4" s="1"/>
  <c r="Y140" i="4" s="1" a="1"/>
  <c r="Y140" i="4" s="1"/>
  <c r="AA140" i="4" s="1"/>
  <c r="JY140" i="4" s="1"/>
  <c r="KF139" i="4"/>
  <c r="KG139" i="4" s="1"/>
  <c r="KE140" i="4" a="1"/>
  <c r="KE140" i="4" s="1"/>
  <c r="AB143" i="5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X142" i="4"/>
  <c r="KK134" i="1"/>
  <c r="KI135" i="1" s="1" a="1"/>
  <c r="KI135" i="1" s="1"/>
  <c r="KJ135" i="1" s="1"/>
  <c r="KK135" i="1" s="1"/>
  <c r="X160" i="1"/>
  <c r="Z101" i="1" l="1" a="1"/>
  <c r="Z101" i="1" s="1"/>
  <c r="Y102" i="1" s="1" a="1"/>
  <c r="Y102" i="1" s="1"/>
  <c r="Z140" i="4" a="1"/>
  <c r="Z140" i="4" s="1"/>
  <c r="Y141" i="4" s="1" a="1"/>
  <c r="Y141" i="4" s="1"/>
  <c r="AA141" i="4" s="1"/>
  <c r="JY141" i="4" s="1"/>
  <c r="AB140" i="4"/>
  <c r="JZ140" i="4" s="1"/>
  <c r="KI144" i="5" a="1"/>
  <c r="KI144" i="5" s="1"/>
  <c r="KJ144" i="5" s="1"/>
  <c r="KK144" i="5" s="1"/>
  <c r="KE141" i="4" a="1"/>
  <c r="KE141" i="4" s="1"/>
  <c r="KF140" i="4"/>
  <c r="KG140" i="4" s="1"/>
  <c r="AA144" i="5"/>
  <c r="KC144" i="5" s="1"/>
  <c r="AB144" i="5"/>
  <c r="KD144" i="5" s="1"/>
  <c r="X146" i="5"/>
  <c r="X143" i="4"/>
  <c r="KI136" i="1" a="1"/>
  <c r="KI136" i="1" s="1"/>
  <c r="KJ136" i="1" s="1"/>
  <c r="X161" i="1"/>
  <c r="AB102" i="1" l="1"/>
  <c r="KD102" i="1" s="1"/>
  <c r="AA102" i="1"/>
  <c r="KC102" i="1" s="1"/>
  <c r="AE102" i="1" s="1" a="1"/>
  <c r="AE102" i="1" s="1"/>
  <c r="Z141" i="4" a="1"/>
  <c r="Z141" i="4" s="1"/>
  <c r="Y142" i="4" s="1" a="1"/>
  <c r="Y142" i="4" s="1"/>
  <c r="AA142" i="4" s="1"/>
  <c r="JY142" i="4" s="1"/>
  <c r="AB141" i="4"/>
  <c r="JZ141" i="4" s="1"/>
  <c r="KI145" i="5" a="1"/>
  <c r="KI145" i="5" s="1"/>
  <c r="Z144" i="5" a="1"/>
  <c r="Z144" i="5" s="1"/>
  <c r="Y145" i="5" s="1" a="1"/>
  <c r="Y145" i="5" s="1"/>
  <c r="AB145" i="5" s="1"/>
  <c r="KD145" i="5" s="1"/>
  <c r="KE142" i="4" a="1"/>
  <c r="KE142" i="4" s="1"/>
  <c r="KF141" i="4"/>
  <c r="KG141" i="4" s="1"/>
  <c r="X147" i="5"/>
  <c r="Y146" i="5" a="1"/>
  <c r="Y146" i="5" s="1"/>
  <c r="KJ145" i="5"/>
  <c r="KK145" i="5" s="1"/>
  <c r="X144" i="4"/>
  <c r="KK136" i="1"/>
  <c r="KI137" i="1" s="1" a="1"/>
  <c r="KI137" i="1" s="1"/>
  <c r="X162" i="1"/>
  <c r="Z102" i="1" l="1" a="1"/>
  <c r="Z102" i="1" s="1"/>
  <c r="Y103" i="1" s="1" a="1"/>
  <c r="Y103" i="1" s="1"/>
  <c r="Z142" i="4" a="1"/>
  <c r="Z142" i="4" s="1"/>
  <c r="Y143" i="4" s="1" a="1"/>
  <c r="Y143" i="4" s="1"/>
  <c r="AB143" i="4" s="1"/>
  <c r="JZ143" i="4" s="1"/>
  <c r="AA145" i="5"/>
  <c r="KC145" i="5" s="1"/>
  <c r="Z145" i="5" s="1" a="1"/>
  <c r="Z145" i="5" s="1"/>
  <c r="KF142" i="4"/>
  <c r="KG142" i="4" s="1"/>
  <c r="KE143" i="4" a="1"/>
  <c r="KE143" i="4" s="1"/>
  <c r="AB142" i="4"/>
  <c r="JZ142" i="4" s="1"/>
  <c r="KI146" i="5" a="1"/>
  <c r="KI146" i="5" s="1"/>
  <c r="KJ146" i="5" s="1"/>
  <c r="KK146" i="5" s="1"/>
  <c r="AA146" i="5"/>
  <c r="KC146" i="5" s="1"/>
  <c r="AB146" i="5"/>
  <c r="KD146" i="5" s="1"/>
  <c r="X148" i="5"/>
  <c r="X145" i="4"/>
  <c r="KJ137" i="1"/>
  <c r="KK137" i="1" s="1"/>
  <c r="X163" i="1"/>
  <c r="AB103" i="1" l="1"/>
  <c r="KD103" i="1" s="1"/>
  <c r="AA103" i="1"/>
  <c r="KC103" i="1" s="1"/>
  <c r="AE103" i="1" s="1" a="1"/>
  <c r="AE103" i="1" s="1"/>
  <c r="KI147" i="5" a="1"/>
  <c r="KI147" i="5" s="1"/>
  <c r="KJ147" i="5" s="1"/>
  <c r="AA143" i="4"/>
  <c r="JY143" i="4" s="1"/>
  <c r="Z143" i="4" s="1" a="1"/>
  <c r="Z143" i="4" s="1"/>
  <c r="Y144" i="4" s="1" a="1"/>
  <c r="Y144" i="4" s="1"/>
  <c r="AB144" i="4" s="1"/>
  <c r="JZ144" i="4" s="1"/>
  <c r="Z146" i="5" a="1"/>
  <c r="Z146" i="5" s="1"/>
  <c r="Y147" i="5" s="1" a="1"/>
  <c r="Y147" i="5" s="1"/>
  <c r="AB147" i="5" s="1"/>
  <c r="KD147" i="5" s="1"/>
  <c r="KF143" i="4"/>
  <c r="KG143" i="4" s="1"/>
  <c r="KE144" i="4" a="1"/>
  <c r="KE144" i="4" s="1"/>
  <c r="X149" i="5"/>
  <c r="X146" i="4"/>
  <c r="KI138" i="1" a="1"/>
  <c r="KI138" i="1" s="1"/>
  <c r="KJ138" i="1" s="1"/>
  <c r="KK138" i="1" s="1"/>
  <c r="X164" i="1"/>
  <c r="X167" i="1" s="1"/>
  <c r="X168" i="1" s="1"/>
  <c r="Z103" i="1" l="1" a="1"/>
  <c r="Z103" i="1" s="1"/>
  <c r="Y104" i="1" s="1" a="1"/>
  <c r="Y104" i="1" s="1"/>
  <c r="KK147" i="5"/>
  <c r="KI148" i="5" a="1"/>
  <c r="KI148" i="5" s="1"/>
  <c r="KJ148" i="5" s="1"/>
  <c r="AA144" i="4"/>
  <c r="JY144" i="4" s="1"/>
  <c r="Z144" i="4" s="1" a="1"/>
  <c r="Z144" i="4" s="1"/>
  <c r="Y145" i="4" s="1" a="1"/>
  <c r="Y145" i="4" s="1"/>
  <c r="AB145" i="4" s="1"/>
  <c r="JZ145" i="4" s="1"/>
  <c r="AA147" i="5"/>
  <c r="KC147" i="5" s="1"/>
  <c r="Z147" i="5" s="1" a="1"/>
  <c r="Z147" i="5" s="1"/>
  <c r="Y148" i="5" s="1" a="1"/>
  <c r="Y148" i="5" s="1"/>
  <c r="AB148" i="5" s="1"/>
  <c r="KD148" i="5" s="1"/>
  <c r="KE145" i="4" a="1"/>
  <c r="KE145" i="4" s="1"/>
  <c r="KF144" i="4"/>
  <c r="KG144" i="4" s="1"/>
  <c r="X150" i="5"/>
  <c r="Y146" i="4" a="1"/>
  <c r="Y146" i="4" s="1"/>
  <c r="X147" i="4"/>
  <c r="KI139" i="1" a="1"/>
  <c r="KI139" i="1" s="1"/>
  <c r="KJ139" i="1" s="1"/>
  <c r="KK139" i="1" s="1"/>
  <c r="KI140" i="1" s="1" a="1"/>
  <c r="KI140" i="1" s="1"/>
  <c r="KJ140" i="1" s="1"/>
  <c r="Y166" i="1" a="1"/>
  <c r="Y166" i="1" s="1"/>
  <c r="AA104" i="1" l="1"/>
  <c r="KC104" i="1" s="1"/>
  <c r="AE104" i="1" s="1" a="1"/>
  <c r="AE104" i="1" s="1"/>
  <c r="AB104" i="1"/>
  <c r="KD104" i="1" s="1"/>
  <c r="KK148" i="5"/>
  <c r="KI149" i="5" a="1"/>
  <c r="KI149" i="5" s="1"/>
  <c r="AA145" i="4"/>
  <c r="JY145" i="4" s="1"/>
  <c r="Z145" i="4" s="1" a="1"/>
  <c r="Z145" i="4" s="1"/>
  <c r="AA148" i="5"/>
  <c r="KC148" i="5" s="1"/>
  <c r="Z148" i="5" s="1" a="1"/>
  <c r="Z148" i="5" s="1"/>
  <c r="Y149" i="5" s="1" a="1"/>
  <c r="Y149" i="5" s="1"/>
  <c r="AB149" i="5" s="1"/>
  <c r="KD149" i="5" s="1"/>
  <c r="KE146" i="4" a="1"/>
  <c r="KE146" i="4" s="1"/>
  <c r="KF145" i="4"/>
  <c r="KG145" i="4" s="1"/>
  <c r="X151" i="5"/>
  <c r="KJ149" i="5"/>
  <c r="KK149" i="5" s="1"/>
  <c r="KI150" i="5" a="1"/>
  <c r="KI150" i="5" s="1"/>
  <c r="X148" i="4"/>
  <c r="AB146" i="4"/>
  <c r="JZ146" i="4" s="1"/>
  <c r="AA146" i="4"/>
  <c r="JY146" i="4" s="1"/>
  <c r="AB166" i="1"/>
  <c r="AA166" i="1"/>
  <c r="KK140" i="1"/>
  <c r="KI141" i="1" s="1" a="1"/>
  <c r="KI141" i="1" s="1"/>
  <c r="KJ141" i="1" s="1"/>
  <c r="Z104" i="1" l="1" a="1"/>
  <c r="Z104" i="1" s="1"/>
  <c r="Y105" i="1" s="1" a="1"/>
  <c r="Y105" i="1" s="1"/>
  <c r="AA149" i="5"/>
  <c r="KC149" i="5" s="1"/>
  <c r="Z149" i="5" s="1" a="1"/>
  <c r="Z149" i="5" s="1"/>
  <c r="Y150" i="5" s="1" a="1"/>
  <c r="Y150" i="5" s="1"/>
  <c r="AB150" i="5" s="1"/>
  <c r="KD150" i="5" s="1"/>
  <c r="Z146" i="4" a="1"/>
  <c r="Z146" i="4" s="1"/>
  <c r="Y147" i="4" s="1" a="1"/>
  <c r="Y147" i="4" s="1"/>
  <c r="AB147" i="4" s="1"/>
  <c r="JZ147" i="4" s="1"/>
  <c r="KF146" i="4"/>
  <c r="KG146" i="4" s="1"/>
  <c r="KE147" i="4" a="1"/>
  <c r="KE147" i="4" s="1"/>
  <c r="KJ150" i="5"/>
  <c r="KK150" i="5" s="1"/>
  <c r="KI151" i="5" a="1"/>
  <c r="KI151" i="5" s="1"/>
  <c r="X152" i="5"/>
  <c r="X149" i="4"/>
  <c r="KK141" i="1"/>
  <c r="KI142" i="1" s="1" a="1"/>
  <c r="KI142" i="1" s="1"/>
  <c r="KJ142" i="1" s="1"/>
  <c r="KA166" i="1"/>
  <c r="KC166" i="1"/>
  <c r="X171" i="1"/>
  <c r="KD166" i="1"/>
  <c r="KB166" i="1"/>
  <c r="KF166" i="1" s="1"/>
  <c r="AA105" i="1" l="1"/>
  <c r="KC105" i="1" s="1"/>
  <c r="AE105" i="1" s="1" a="1"/>
  <c r="AE105" i="1" s="1"/>
  <c r="AB105" i="1"/>
  <c r="KD105" i="1" s="1"/>
  <c r="AA147" i="4"/>
  <c r="JY147" i="4" s="1"/>
  <c r="Z147" i="4" s="1" a="1"/>
  <c r="Z147" i="4" s="1"/>
  <c r="Y148" i="4" s="1" a="1"/>
  <c r="Y148" i="4" s="1"/>
  <c r="AB148" i="4" s="1"/>
  <c r="JZ148" i="4" s="1"/>
  <c r="AA150" i="5"/>
  <c r="KC150" i="5" s="1"/>
  <c r="Z150" i="5" s="1" a="1"/>
  <c r="Z150" i="5" s="1"/>
  <c r="Y151" i="5" s="1" a="1"/>
  <c r="Y151" i="5" s="1"/>
  <c r="AB151" i="5" s="1"/>
  <c r="KD151" i="5" s="1"/>
  <c r="KF147" i="4"/>
  <c r="KG147" i="4" s="1"/>
  <c r="KE148" i="4" a="1"/>
  <c r="KE148" i="4" s="1"/>
  <c r="KJ151" i="5"/>
  <c r="KK151" i="5" s="1"/>
  <c r="KI152" i="5" a="1"/>
  <c r="KI152" i="5" s="1"/>
  <c r="X153" i="5"/>
  <c r="X150" i="4"/>
  <c r="KK142" i="1"/>
  <c r="KI143" i="1" s="1" a="1"/>
  <c r="KI143" i="1" s="1"/>
  <c r="KJ143" i="1" s="1"/>
  <c r="KE166" i="1"/>
  <c r="X172" i="1"/>
  <c r="Z105" i="1" l="1" a="1"/>
  <c r="Z105" i="1" s="1"/>
  <c r="Y106" i="1" s="1" a="1"/>
  <c r="Y106" i="1" s="1"/>
  <c r="AA148" i="4"/>
  <c r="JY148" i="4" s="1"/>
  <c r="Z148" i="4" s="1" a="1"/>
  <c r="Z148" i="4" s="1"/>
  <c r="Y149" i="4" s="1" a="1"/>
  <c r="Y149" i="4" s="1"/>
  <c r="AB149" i="4" s="1"/>
  <c r="JZ149" i="4" s="1"/>
  <c r="AA151" i="5"/>
  <c r="KC151" i="5" s="1"/>
  <c r="Z151" i="5" s="1" a="1"/>
  <c r="Z151" i="5" s="1"/>
  <c r="Y152" i="5" s="1" a="1"/>
  <c r="Y152" i="5" s="1"/>
  <c r="AB152" i="5" s="1"/>
  <c r="KD152" i="5" s="1"/>
  <c r="KE149" i="4" a="1"/>
  <c r="KE149" i="4" s="1"/>
  <c r="KF148" i="4"/>
  <c r="KG148" i="4" s="1"/>
  <c r="KJ152" i="5"/>
  <c r="KK152" i="5" s="1"/>
  <c r="KI153" i="5" a="1"/>
  <c r="KI153" i="5" s="1"/>
  <c r="X154" i="5"/>
  <c r="X151" i="4"/>
  <c r="KK143" i="1"/>
  <c r="KI144" i="1" s="1" a="1"/>
  <c r="KI144" i="1" s="1"/>
  <c r="KJ144" i="1" s="1"/>
  <c r="X173" i="1"/>
  <c r="AB106" i="1" l="1"/>
  <c r="KD106" i="1" s="1"/>
  <c r="AA106" i="1"/>
  <c r="KC106" i="1" s="1"/>
  <c r="AE106" i="1" s="1" a="1"/>
  <c r="AE106" i="1" s="1"/>
  <c r="AA149" i="4"/>
  <c r="JY149" i="4" s="1"/>
  <c r="Z149" i="4" s="1" a="1"/>
  <c r="Z149" i="4" s="1"/>
  <c r="Y150" i="4" s="1" a="1"/>
  <c r="Y150" i="4" s="1"/>
  <c r="AA150" i="4" s="1"/>
  <c r="JY150" i="4" s="1"/>
  <c r="AA152" i="5"/>
  <c r="KC152" i="5" s="1"/>
  <c r="Z152" i="5" s="1" a="1"/>
  <c r="Z152" i="5" s="1"/>
  <c r="Y153" i="5" s="1" a="1"/>
  <c r="Y153" i="5" s="1"/>
  <c r="AB153" i="5" s="1"/>
  <c r="KD153" i="5" s="1"/>
  <c r="KF149" i="4"/>
  <c r="KG149" i="4" s="1"/>
  <c r="KE150" i="4" a="1"/>
  <c r="KE150" i="4" s="1"/>
  <c r="KJ153" i="5"/>
  <c r="KK153" i="5" s="1"/>
  <c r="KI154" i="5" a="1"/>
  <c r="KI154" i="5" s="1"/>
  <c r="X155" i="5"/>
  <c r="Y154" i="5" a="1"/>
  <c r="Y154" i="5" s="1"/>
  <c r="X152" i="4"/>
  <c r="KK144" i="1"/>
  <c r="KI145" i="1" s="1" a="1"/>
  <c r="KI145" i="1" s="1"/>
  <c r="KJ145" i="1" s="1"/>
  <c r="KK145" i="1" s="1"/>
  <c r="KI146" i="1" s="1" a="1"/>
  <c r="KI146" i="1" s="1"/>
  <c r="X174" i="1"/>
  <c r="Z106" i="1" l="1" a="1"/>
  <c r="Z106" i="1" s="1"/>
  <c r="Y107" i="1" s="1" a="1"/>
  <c r="Y107" i="1" s="1"/>
  <c r="Z150" i="4" a="1"/>
  <c r="Z150" i="4" s="1"/>
  <c r="Y151" i="4" s="1" a="1"/>
  <c r="Y151" i="4" s="1"/>
  <c r="AA151" i="4" s="1"/>
  <c r="JY151" i="4" s="1"/>
  <c r="AB150" i="4"/>
  <c r="JZ150" i="4" s="1"/>
  <c r="AA153" i="5"/>
  <c r="KC153" i="5" s="1"/>
  <c r="Z153" i="5" s="1" a="1"/>
  <c r="Z153" i="5" s="1"/>
  <c r="KF150" i="4"/>
  <c r="KG150" i="4" s="1"/>
  <c r="KE151" i="4" a="1"/>
  <c r="KE151" i="4" s="1"/>
  <c r="X156" i="5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X153" i="4"/>
  <c r="KJ146" i="1"/>
  <c r="KK146" i="1" s="1"/>
  <c r="X175" i="1"/>
  <c r="AA107" i="1" l="1"/>
  <c r="KC107" i="1" s="1"/>
  <c r="AE107" i="1" s="1" a="1"/>
  <c r="AE107" i="1" s="1"/>
  <c r="AB107" i="1"/>
  <c r="KD107" i="1" s="1"/>
  <c r="Z151" i="4" a="1"/>
  <c r="Z151" i="4" s="1"/>
  <c r="Y152" i="4" s="1" a="1"/>
  <c r="Y152" i="4" s="1"/>
  <c r="AB152" i="4" s="1"/>
  <c r="JZ152" i="4" s="1"/>
  <c r="AB151" i="4"/>
  <c r="JZ151" i="4" s="1"/>
  <c r="KF151" i="4"/>
  <c r="KG151" i="4" s="1"/>
  <c r="KE152" i="4" a="1"/>
  <c r="KE152" i="4" s="1"/>
  <c r="KI147" i="1" a="1"/>
  <c r="KI147" i="1" s="1"/>
  <c r="KJ147" i="1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X154" i="4"/>
  <c r="X176" i="1"/>
  <c r="Z107" i="1" l="1" a="1"/>
  <c r="Z107" i="1" s="1"/>
  <c r="Y108" i="1" s="1" a="1"/>
  <c r="Y108" i="1" s="1"/>
  <c r="AA152" i="4"/>
  <c r="JY152" i="4" s="1"/>
  <c r="Z152" i="4" s="1" a="1"/>
  <c r="Z152" i="4" s="1"/>
  <c r="Y153" i="4" s="1" a="1"/>
  <c r="Y153" i="4" s="1"/>
  <c r="AB153" i="4" s="1"/>
  <c r="JZ153" i="4" s="1"/>
  <c r="KF152" i="4"/>
  <c r="KG152" i="4" s="1"/>
  <c r="KE153" i="4" a="1"/>
  <c r="KE153" i="4" s="1"/>
  <c r="KK147" i="1"/>
  <c r="KI148" i="1" s="1" a="1"/>
  <c r="KI148" i="1" s="1"/>
  <c r="KJ148" i="1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X155" i="4"/>
  <c r="Y154" i="4" a="1"/>
  <c r="Y154" i="4" s="1"/>
  <c r="X180" i="1"/>
  <c r="AB108" i="1" l="1"/>
  <c r="KD108" i="1" s="1"/>
  <c r="AA108" i="1"/>
  <c r="KC108" i="1" s="1"/>
  <c r="AE108" i="1" s="1" a="1"/>
  <c r="AE108" i="1" s="1"/>
  <c r="AA153" i="4"/>
  <c r="JY153" i="4" s="1"/>
  <c r="Z153" i="4" s="1" a="1"/>
  <c r="Z153" i="4" s="1"/>
  <c r="KF153" i="4"/>
  <c r="KG153" i="4" s="1"/>
  <c r="KE154" i="4" a="1"/>
  <c r="KE154" i="4" s="1"/>
  <c r="KK148" i="1"/>
  <c r="KI149" i="1" s="1" a="1"/>
  <c r="KI149" i="1" s="1"/>
  <c r="KJ149" i="1" s="1"/>
  <c r="KK149" i="1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X156" i="4"/>
  <c r="AA154" i="4"/>
  <c r="JY154" i="4" s="1"/>
  <c r="AB154" i="4"/>
  <c r="JZ154" i="4" s="1"/>
  <c r="X181" i="1"/>
  <c r="Z108" i="1" l="1" a="1"/>
  <c r="Z108" i="1" s="1"/>
  <c r="Y109" i="1" s="1" a="1"/>
  <c r="Y109" i="1" s="1"/>
  <c r="KE155" i="4" a="1"/>
  <c r="KE155" i="4" s="1"/>
  <c r="KF154" i="4"/>
  <c r="KG154" i="4" s="1"/>
  <c r="Z154" i="4" a="1"/>
  <c r="Z154" i="4" s="1"/>
  <c r="Y155" i="4" s="1" a="1"/>
  <c r="Y155" i="4" s="1"/>
  <c r="AA155" i="4" s="1"/>
  <c r="JY155" i="4" s="1"/>
  <c r="KI150" i="1" a="1"/>
  <c r="KI150" i="1" s="1"/>
  <c r="KJ150" i="1" s="1"/>
  <c r="KK150" i="1" s="1"/>
  <c r="KI151" i="1" s="1" a="1"/>
  <c r="KI151" i="1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X157" i="4"/>
  <c r="X182" i="1"/>
  <c r="Y183" i="1" s="1" a="1"/>
  <c r="Y183" i="1" s="1"/>
  <c r="AA109" i="1" l="1"/>
  <c r="KC109" i="1" s="1"/>
  <c r="AB109" i="1"/>
  <c r="KD109" i="1" s="1"/>
  <c r="Z155" i="4" a="1"/>
  <c r="Z155" i="4" s="1"/>
  <c r="Y156" i="4" s="1" a="1"/>
  <c r="Y156" i="4" s="1"/>
  <c r="AB156" i="4" s="1"/>
  <c r="JZ156" i="4" s="1"/>
  <c r="AB155" i="4"/>
  <c r="JZ155" i="4" s="1"/>
  <c r="KF155" i="4"/>
  <c r="KG155" i="4" s="1"/>
  <c r="KE156" i="4" a="1"/>
  <c r="KE156" i="4" s="1"/>
  <c r="AB159" i="5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X158" i="4"/>
  <c r="AA183" i="1"/>
  <c r="AB183" i="1"/>
  <c r="KJ151" i="1"/>
  <c r="KK151" i="1" s="1"/>
  <c r="X184" i="1"/>
  <c r="AE109" i="1" l="1" a="1"/>
  <c r="AE109" i="1" s="1"/>
  <c r="Z109" i="1" a="1"/>
  <c r="Z109" i="1" s="1"/>
  <c r="Y110" i="1" s="1" a="1"/>
  <c r="Y110" i="1" s="1"/>
  <c r="AA156" i="4"/>
  <c r="JY156" i="4" s="1"/>
  <c r="Z156" i="4" s="1" a="1"/>
  <c r="Z156" i="4" s="1"/>
  <c r="Y157" i="4" s="1" a="1"/>
  <c r="Y157" i="4" s="1"/>
  <c r="AB157" i="4" s="1"/>
  <c r="JZ157" i="4" s="1"/>
  <c r="KF156" i="4"/>
  <c r="KG156" i="4" s="1"/>
  <c r="KE157" i="4" a="1"/>
  <c r="KE157" i="4" s="1"/>
  <c r="AB160" i="5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KI152" i="1" a="1"/>
  <c r="KI152" i="1" s="1"/>
  <c r="KJ152" i="1" s="1"/>
  <c r="KK152" i="1" s="1"/>
  <c r="X159" i="4"/>
  <c r="PB183" i="1"/>
  <c r="OR183" i="1"/>
  <c r="OQ183" i="1"/>
  <c r="PA183" i="1"/>
  <c r="X185" i="1"/>
  <c r="AA110" i="1" l="1"/>
  <c r="KC110" i="1" s="1"/>
  <c r="AE110" i="1" s="1" a="1"/>
  <c r="AE110" i="1" s="1"/>
  <c r="AB110" i="1"/>
  <c r="KD110" i="1" s="1"/>
  <c r="Z110" i="1" s="1" a="1"/>
  <c r="Z110" i="1" s="1"/>
  <c r="Y111" i="1" s="1" a="1"/>
  <c r="Y111" i="1" s="1"/>
  <c r="AA157" i="4"/>
  <c r="JY157" i="4" s="1"/>
  <c r="Z157" i="4" s="1" a="1"/>
  <c r="Z157" i="4" s="1"/>
  <c r="Y158" i="4" s="1" a="1"/>
  <c r="Y158" i="4" s="1"/>
  <c r="AB158" i="4" s="1"/>
  <c r="JZ158" i="4" s="1"/>
  <c r="KF157" i="4"/>
  <c r="KG157" i="4" s="1"/>
  <c r="KE158" i="4" a="1"/>
  <c r="KE158" i="4" s="1"/>
  <c r="AB161" i="5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X160" i="4"/>
  <c r="KI153" i="1" a="1"/>
  <c r="KI153" i="1" s="1"/>
  <c r="KJ153" i="1" s="1"/>
  <c r="KK153" i="1" s="1"/>
  <c r="KI154" i="1" s="1" a="1"/>
  <c r="KI154" i="1" s="1"/>
  <c r="X187" i="1"/>
  <c r="PC183" i="1"/>
  <c r="OS183" i="1"/>
  <c r="OT183" i="1"/>
  <c r="PD183" i="1"/>
  <c r="AA111" i="1" l="1"/>
  <c r="KC111" i="1" s="1"/>
  <c r="AE111" i="1" s="1" a="1"/>
  <c r="AE111" i="1" s="1"/>
  <c r="AB111" i="1"/>
  <c r="KD111" i="1" s="1"/>
  <c r="Z111" i="1" s="1" a="1"/>
  <c r="Z111" i="1" s="1"/>
  <c r="Y112" i="1" s="1" a="1"/>
  <c r="Y112" i="1" s="1"/>
  <c r="AA158" i="4"/>
  <c r="JY158" i="4" s="1"/>
  <c r="Z158" i="4" s="1" a="1"/>
  <c r="Z158" i="4" s="1"/>
  <c r="Y159" i="4" s="1" a="1"/>
  <c r="Y159" i="4" s="1"/>
  <c r="AB159" i="4" s="1"/>
  <c r="JZ159" i="4" s="1"/>
  <c r="KF158" i="4"/>
  <c r="KG158" i="4" s="1"/>
  <c r="KE159" i="4" a="1"/>
  <c r="KE159" i="4" s="1"/>
  <c r="X164" i="5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X161" i="4"/>
  <c r="KJ154" i="1"/>
  <c r="KK154" i="1" s="1"/>
  <c r="OU183" i="1"/>
  <c r="PE183" i="1"/>
  <c r="X189" i="1"/>
  <c r="QE187" i="1"/>
  <c r="PF183" i="1"/>
  <c r="OV183" i="1"/>
  <c r="PH183" i="1" s="1"/>
  <c r="AE183" i="1" l="1" a="1"/>
  <c r="AE183" i="1" s="1"/>
  <c r="AA112" i="1"/>
  <c r="KC112" i="1" s="1"/>
  <c r="AE112" i="1" s="1" a="1"/>
  <c r="AE112" i="1" s="1"/>
  <c r="AB112" i="1"/>
  <c r="KD112" i="1" s="1"/>
  <c r="AA159" i="4"/>
  <c r="JY159" i="4" s="1"/>
  <c r="Z159" i="4" s="1" a="1"/>
  <c r="Z159" i="4" s="1"/>
  <c r="Y160" i="4" s="1" a="1"/>
  <c r="Y160" i="4" s="1"/>
  <c r="AB160" i="4" s="1"/>
  <c r="JZ160" i="4" s="1"/>
  <c r="KF159" i="4"/>
  <c r="KG159" i="4" s="1"/>
  <c r="KE160" i="4" a="1"/>
  <c r="KE160" i="4" s="1"/>
  <c r="AB163" i="5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KI155" i="1" a="1"/>
  <c r="KI155" i="1" s="1"/>
  <c r="KJ155" i="1" s="1"/>
  <c r="KK155" i="1" s="1"/>
  <c r="X162" i="4"/>
  <c r="Z183" i="1" a="1"/>
  <c r="Z183" i="1" s="1"/>
  <c r="Y184" i="1" s="1" a="1"/>
  <c r="Y184" i="1" s="1"/>
  <c r="PG183" i="1"/>
  <c r="RV187" i="1"/>
  <c r="RW187" i="1"/>
  <c r="RX187" i="1"/>
  <c r="RY187" i="1"/>
  <c r="RO187" i="1"/>
  <c r="RN187" i="1"/>
  <c r="RP187" i="1"/>
  <c r="RQ187" i="1"/>
  <c r="RR187" i="1"/>
  <c r="RS187" i="1"/>
  <c r="RT187" i="1"/>
  <c r="RU187" i="1"/>
  <c r="X190" i="1"/>
  <c r="Z112" i="1" l="1" a="1"/>
  <c r="Z112" i="1" s="1"/>
  <c r="Y113" i="1" s="1" a="1"/>
  <c r="Y113" i="1" s="1"/>
  <c r="AA160" i="4"/>
  <c r="JY160" i="4" s="1"/>
  <c r="Z160" i="4" s="1" a="1"/>
  <c r="Z160" i="4" s="1"/>
  <c r="Y161" i="4" s="1" a="1"/>
  <c r="Y161" i="4" s="1"/>
  <c r="AB161" i="4" s="1"/>
  <c r="JZ161" i="4" s="1"/>
  <c r="KE161" i="4" a="1"/>
  <c r="KE161" i="4" s="1"/>
  <c r="KF160" i="4"/>
  <c r="KG160" i="4" s="1"/>
  <c r="AB164" i="5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X163" i="4"/>
  <c r="Y162" i="4" a="1"/>
  <c r="Y162" i="4" s="1"/>
  <c r="KI156" i="1" a="1"/>
  <c r="KI156" i="1" s="1"/>
  <c r="KJ156" i="1" s="1"/>
  <c r="KK156" i="1" s="1"/>
  <c r="AA184" i="1"/>
  <c r="AB184" i="1"/>
  <c r="X192" i="1"/>
  <c r="Y193" i="1" s="1" a="1"/>
  <c r="Y193" i="1" s="1"/>
  <c r="AA113" i="1" l="1"/>
  <c r="KC113" i="1" s="1"/>
  <c r="AE113" i="1" s="1" a="1"/>
  <c r="AE113" i="1" s="1"/>
  <c r="AB113" i="1"/>
  <c r="KD113" i="1" s="1"/>
  <c r="AA161" i="4"/>
  <c r="JY161" i="4" s="1"/>
  <c r="Z161" i="4" s="1" a="1"/>
  <c r="Z161" i="4" s="1"/>
  <c r="KE162" i="4" a="1"/>
  <c r="KE162" i="4" s="1"/>
  <c r="KF161" i="4"/>
  <c r="KG161" i="4" s="1"/>
  <c r="AB165" i="5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AB162" i="4"/>
  <c r="JZ162" i="4" s="1"/>
  <c r="X164" i="4"/>
  <c r="KI157" i="1" a="1"/>
  <c r="KI157" i="1" s="1"/>
  <c r="KJ157" i="1" s="1"/>
  <c r="KK157" i="1" s="1"/>
  <c r="KI158" i="1" s="1" a="1"/>
  <c r="KI158" i="1" s="1"/>
  <c r="AB193" i="1"/>
  <c r="PB193" i="1" s="1"/>
  <c r="AA193" i="1"/>
  <c r="OR184" i="1"/>
  <c r="PB184" i="1"/>
  <c r="OQ184" i="1"/>
  <c r="PA184" i="1"/>
  <c r="X194" i="1"/>
  <c r="QE192" i="1"/>
  <c r="Z113" i="1" l="1" a="1"/>
  <c r="Z113" i="1" s="1"/>
  <c r="Y114" i="1" s="1" a="1"/>
  <c r="Y114" i="1" s="1"/>
  <c r="Z162" i="4" a="1"/>
  <c r="Z162" i="4" s="1"/>
  <c r="Y163" i="4" s="1" a="1"/>
  <c r="Y163" i="4" s="1"/>
  <c r="AB163" i="4" s="1"/>
  <c r="JZ163" i="4" s="1"/>
  <c r="KF162" i="4"/>
  <c r="KG162" i="4" s="1"/>
  <c r="KE163" i="4" a="1"/>
  <c r="KE163" i="4" s="1"/>
  <c r="KJ166" i="5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X165" i="4"/>
  <c r="OR193" i="1"/>
  <c r="PD193" i="1" s="1"/>
  <c r="OS184" i="1"/>
  <c r="PC184" i="1"/>
  <c r="OT184" i="1"/>
  <c r="PD184" i="1"/>
  <c r="KJ158" i="1"/>
  <c r="KK158" i="1" s="1"/>
  <c r="PA193" i="1"/>
  <c r="OQ193" i="1"/>
  <c r="RT192" i="1"/>
  <c r="RR192" i="1"/>
  <c r="RP192" i="1"/>
  <c r="RO192" i="1"/>
  <c r="RQ192" i="1"/>
  <c r="RN192" i="1"/>
  <c r="RY192" i="1"/>
  <c r="RX192" i="1"/>
  <c r="RW192" i="1"/>
  <c r="RS192" i="1"/>
  <c r="RV192" i="1"/>
  <c r="RU192" i="1"/>
  <c r="X195" i="1"/>
  <c r="Y196" i="1" s="1" a="1"/>
  <c r="Y196" i="1" s="1"/>
  <c r="AA114" i="1" l="1"/>
  <c r="KC114" i="1" s="1"/>
  <c r="AE114" i="1" s="1" a="1"/>
  <c r="AE114" i="1" s="1"/>
  <c r="AB114" i="1"/>
  <c r="KD114" i="1" s="1"/>
  <c r="KF163" i="4"/>
  <c r="KG163" i="4" s="1"/>
  <c r="KE164" i="4" a="1"/>
  <c r="KE164" i="4" s="1"/>
  <c r="AA163" i="4"/>
  <c r="JY163" i="4" s="1"/>
  <c r="Z163" i="4" s="1" a="1"/>
  <c r="Z163" i="4" s="1"/>
  <c r="Y164" i="4" s="1" a="1"/>
  <c r="Y164" i="4" s="1"/>
  <c r="AA164" i="4" s="1"/>
  <c r="JY164" i="4" s="1"/>
  <c r="Z166" i="5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Y166" i="4" a="1"/>
  <c r="Y166" i="4" s="1"/>
  <c r="X167" i="4"/>
  <c r="KI159" i="1" a="1"/>
  <c r="KI159" i="1" s="1"/>
  <c r="KJ159" i="1" s="1"/>
  <c r="KK159" i="1" s="1"/>
  <c r="OT193" i="1"/>
  <c r="OV193" i="1" s="1"/>
  <c r="PH193" i="1" s="1"/>
  <c r="OV184" i="1"/>
  <c r="PH184" i="1" s="1"/>
  <c r="PF184" i="1"/>
  <c r="PE184" i="1"/>
  <c r="OU184" i="1"/>
  <c r="AB196" i="1"/>
  <c r="KD196" i="1" s="1"/>
  <c r="AA196" i="1"/>
  <c r="OS193" i="1"/>
  <c r="OU193" i="1" s="1"/>
  <c r="PC193" i="1"/>
  <c r="X197" i="1"/>
  <c r="Y198" i="1" s="1" a="1"/>
  <c r="Y198" i="1" s="1"/>
  <c r="AE184" i="1" l="1" a="1"/>
  <c r="AE184" i="1" s="1"/>
  <c r="Z114" i="1" a="1"/>
  <c r="Z114" i="1" s="1"/>
  <c r="Y115" i="1" s="1" a="1"/>
  <c r="Y115" i="1" s="1"/>
  <c r="Z164" i="4" a="1"/>
  <c r="Z164" i="4" s="1"/>
  <c r="Y165" i="4" s="1" a="1"/>
  <c r="Y165" i="4" s="1"/>
  <c r="AB165" i="4" s="1"/>
  <c r="JZ165" i="4" s="1"/>
  <c r="KF164" i="4"/>
  <c r="KG164" i="4" s="1"/>
  <c r="KE165" i="4" a="1"/>
  <c r="KE165" i="4" s="1"/>
  <c r="AB164" i="4"/>
  <c r="JZ164" i="4" s="1"/>
  <c r="AB171" i="5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A166" i="4"/>
  <c r="AB166" i="4"/>
  <c r="X168" i="4"/>
  <c r="PF193" i="1"/>
  <c r="AB198" i="1"/>
  <c r="AA198" i="1"/>
  <c r="OQ198" i="1" s="1"/>
  <c r="PG184" i="1"/>
  <c r="Z184" i="1" a="1"/>
  <c r="Z184" i="1" s="1"/>
  <c r="Y185" i="1" s="1" a="1"/>
  <c r="Y185" i="1" s="1"/>
  <c r="KI160" i="1" a="1"/>
  <c r="KI160" i="1" s="1"/>
  <c r="KJ160" i="1" s="1"/>
  <c r="KK160" i="1" s="1"/>
  <c r="PE193" i="1"/>
  <c r="AE193" i="1" s="1" a="1"/>
  <c r="AE193" i="1" s="1"/>
  <c r="KC196" i="1"/>
  <c r="AE196" i="1" s="1" a="1"/>
  <c r="AE196" i="1" s="1"/>
  <c r="PG193" i="1"/>
  <c r="X199" i="1"/>
  <c r="X200" i="1" s="1"/>
  <c r="QE197" i="1"/>
  <c r="Z196" i="1" l="1" a="1"/>
  <c r="Z196" i="1" s="1"/>
  <c r="Y197" i="1" s="1" a="1"/>
  <c r="Y197" i="1" s="1"/>
  <c r="AB197" i="1" s="1"/>
  <c r="Z193" i="1" a="1"/>
  <c r="Z193" i="1" s="1"/>
  <c r="Y194" i="1" s="1" a="1"/>
  <c r="Y194" i="1" s="1"/>
  <c r="AB194" i="1" s="1"/>
  <c r="AA115" i="1"/>
  <c r="KC115" i="1" s="1"/>
  <c r="AE115" i="1" s="1" a="1"/>
  <c r="AE115" i="1" s="1"/>
  <c r="AB115" i="1"/>
  <c r="KD115" i="1" s="1"/>
  <c r="KF165" i="4"/>
  <c r="KG165" i="4" s="1"/>
  <c r="KE166" i="4" a="1"/>
  <c r="KE166" i="4" s="1"/>
  <c r="AA165" i="4"/>
  <c r="JY165" i="4" s="1"/>
  <c r="Z165" i="4" s="1" a="1"/>
  <c r="Z165" i="4" s="1"/>
  <c r="Y170" i="4" s="1" a="1"/>
  <c r="Y170" i="4" s="1"/>
  <c r="AB172" i="5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JZ166" i="4"/>
  <c r="JX166" i="4"/>
  <c r="KB166" i="4" s="1"/>
  <c r="JW166" i="4"/>
  <c r="JY166" i="4"/>
  <c r="AA185" i="1"/>
  <c r="AB185" i="1"/>
  <c r="KI161" i="1" a="1"/>
  <c r="KI161" i="1" s="1"/>
  <c r="KJ161" i="1" s="1"/>
  <c r="PA198" i="1"/>
  <c r="PB198" i="1"/>
  <c r="OR198" i="1"/>
  <c r="PC198" i="1"/>
  <c r="OS198" i="1"/>
  <c r="X202" i="1"/>
  <c r="RQ197" i="1"/>
  <c r="RP197" i="1"/>
  <c r="RS197" i="1"/>
  <c r="RO197" i="1"/>
  <c r="RW197" i="1"/>
  <c r="RN197" i="1"/>
  <c r="RY197" i="1"/>
  <c r="RX197" i="1"/>
  <c r="RV197" i="1"/>
  <c r="RR197" i="1"/>
  <c r="RT197" i="1"/>
  <c r="RU197" i="1"/>
  <c r="AA197" i="1" l="1"/>
  <c r="RC197" i="1" s="1"/>
  <c r="AA194" i="1"/>
  <c r="OQ194" i="1" s="1"/>
  <c r="Z115" i="1" a="1"/>
  <c r="Z115" i="1" s="1"/>
  <c r="Y116" i="1" s="1" a="1"/>
  <c r="Y116" i="1" s="1"/>
  <c r="KF166" i="4"/>
  <c r="KG166" i="4" s="1"/>
  <c r="KH166" i="4" s="1"/>
  <c r="KE167" i="4" a="1"/>
  <c r="KE167" i="4" s="1"/>
  <c r="AB173" i="5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X172" i="4"/>
  <c r="KA166" i="4"/>
  <c r="Z166" i="4" a="1"/>
  <c r="Z166" i="4" s="1"/>
  <c r="Y167" i="4" s="1" a="1"/>
  <c r="Y167" i="4" s="1"/>
  <c r="QF197" i="1"/>
  <c r="RB197" i="1"/>
  <c r="OR194" i="1"/>
  <c r="PB194" i="1"/>
  <c r="OR185" i="1"/>
  <c r="PB185" i="1"/>
  <c r="OQ185" i="1"/>
  <c r="PA185" i="1"/>
  <c r="KK161" i="1"/>
  <c r="KI162" i="1" s="1" a="1"/>
  <c r="KI162" i="1" s="1"/>
  <c r="Y203" i="1" a="1"/>
  <c r="Y203" i="1" s="1"/>
  <c r="Y204" i="1" a="1"/>
  <c r="Y204" i="1" s="1"/>
  <c r="PE198" i="1"/>
  <c r="OU198" i="1"/>
  <c r="PG198" i="1" s="1"/>
  <c r="OT198" i="1"/>
  <c r="PD198" i="1"/>
  <c r="QE202" i="1"/>
  <c r="X217" i="1"/>
  <c r="PA194" i="1" l="1"/>
  <c r="QG197" i="1"/>
  <c r="QI197" i="1" s="1"/>
  <c r="AA116" i="1"/>
  <c r="KC116" i="1" s="1"/>
  <c r="AE116" i="1" s="1" a="1"/>
  <c r="AE116" i="1" s="1"/>
  <c r="AB116" i="1"/>
  <c r="KD116" i="1" s="1"/>
  <c r="KF167" i="4"/>
  <c r="KG167" i="4" s="1"/>
  <c r="KH167" i="4" s="1"/>
  <c r="KE168" i="4" a="1"/>
  <c r="KE168" i="4" s="1"/>
  <c r="AB168" i="5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X173" i="4"/>
  <c r="AB167" i="4"/>
  <c r="AA167" i="4"/>
  <c r="AB203" i="1"/>
  <c r="AA203" i="1"/>
  <c r="QH197" i="1"/>
  <c r="RD197" i="1"/>
  <c r="OT194" i="1"/>
  <c r="PD194" i="1"/>
  <c r="PC194" i="1"/>
  <c r="OS194" i="1"/>
  <c r="PC185" i="1"/>
  <c r="OS185" i="1"/>
  <c r="OT185" i="1"/>
  <c r="PD185" i="1"/>
  <c r="KJ162" i="1"/>
  <c r="AB204" i="1"/>
  <c r="KD204" i="1" s="1"/>
  <c r="AA204" i="1"/>
  <c r="KC204" i="1" s="1"/>
  <c r="AE204" i="1" s="1" a="1"/>
  <c r="AE204" i="1" s="1"/>
  <c r="Z198" i="1" a="1"/>
  <c r="Z198" i="1" s="1"/>
  <c r="Y199" i="1" s="1" a="1"/>
  <c r="Y199" i="1" s="1"/>
  <c r="PF198" i="1"/>
  <c r="OV198" i="1"/>
  <c r="PH198" i="1" s="1"/>
  <c r="RX202" i="1"/>
  <c r="RW202" i="1"/>
  <c r="RU202" i="1"/>
  <c r="RS202" i="1"/>
  <c r="RT202" i="1"/>
  <c r="RP202" i="1"/>
  <c r="RO202" i="1"/>
  <c r="RN202" i="1"/>
  <c r="RR202" i="1"/>
  <c r="RQ202" i="1"/>
  <c r="RV202" i="1"/>
  <c r="RY202" i="1"/>
  <c r="X218" i="1"/>
  <c r="X219" i="1" s="1"/>
  <c r="X220" i="1" s="1"/>
  <c r="RE197" i="1" l="1"/>
  <c r="AE198" i="1" a="1"/>
  <c r="AE198" i="1" s="1"/>
  <c r="Z116" i="1" a="1"/>
  <c r="Z116" i="1" s="1"/>
  <c r="Y117" i="1" s="1" a="1"/>
  <c r="Y117" i="1" s="1"/>
  <c r="KE181" i="4" a="1"/>
  <c r="KE181" i="4" s="1"/>
  <c r="KF168" i="4"/>
  <c r="KG168" i="4" s="1"/>
  <c r="KH168" i="4" s="1"/>
  <c r="AB175" i="5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OQ203" i="1"/>
  <c r="PA203" i="1"/>
  <c r="OR203" i="1"/>
  <c r="PB203" i="1"/>
  <c r="QJ197" i="1"/>
  <c r="RF197" i="1"/>
  <c r="QK197" i="1"/>
  <c r="RG197" i="1"/>
  <c r="AB199" i="1"/>
  <c r="AA199" i="1"/>
  <c r="OU194" i="1"/>
  <c r="PE194" i="1"/>
  <c r="OV194" i="1"/>
  <c r="PH194" i="1" s="1"/>
  <c r="PF194" i="1"/>
  <c r="OV185" i="1"/>
  <c r="PF185" i="1"/>
  <c r="OU185" i="1"/>
  <c r="PE185" i="1"/>
  <c r="KK162" i="1"/>
  <c r="KI163" i="1" s="1" a="1"/>
  <c r="KI163" i="1" s="1"/>
  <c r="Z204" i="1" a="1"/>
  <c r="Z204" i="1" s="1"/>
  <c r="Y206" i="1" s="1" a="1"/>
  <c r="Y206" i="1" s="1"/>
  <c r="X222" i="1"/>
  <c r="X224" i="1" s="1"/>
  <c r="AE194" i="1" l="1" a="1"/>
  <c r="AE194" i="1" s="1"/>
  <c r="PG194" i="1"/>
  <c r="AA117" i="1"/>
  <c r="KC117" i="1" s="1"/>
  <c r="AE117" i="1" s="1" a="1"/>
  <c r="AE117" i="1" s="1"/>
  <c r="AB117" i="1"/>
  <c r="KD117" i="1" s="1"/>
  <c r="KE182" i="4" a="1"/>
  <c r="KE182" i="4" s="1"/>
  <c r="KF182" i="4" s="1"/>
  <c r="KG182" i="4" s="1"/>
  <c r="KH182" i="4" s="1"/>
  <c r="KI182" i="4" s="1"/>
  <c r="KF181" i="4"/>
  <c r="KG181" i="4" s="1"/>
  <c r="KH181" i="4" s="1"/>
  <c r="KI181" i="4" s="1"/>
  <c r="AB176" i="5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Z194" i="1" a="1"/>
  <c r="Z194" i="1" s="1"/>
  <c r="Y195" i="1" s="1" a="1"/>
  <c r="Y195" i="1" s="1"/>
  <c r="AA195" i="1" s="1"/>
  <c r="X234" i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PD203" i="1"/>
  <c r="OT203" i="1"/>
  <c r="PC203" i="1"/>
  <c r="OS203" i="1"/>
  <c r="QM197" i="1"/>
  <c r="RI197" i="1"/>
  <c r="QL197" i="1"/>
  <c r="RH197" i="1"/>
  <c r="OQ199" i="1"/>
  <c r="PA199" i="1"/>
  <c r="OR199" i="1"/>
  <c r="PB199" i="1"/>
  <c r="PG185" i="1"/>
  <c r="OW185" i="1"/>
  <c r="OX185" i="1"/>
  <c r="PH185" i="1"/>
  <c r="KJ163" i="1"/>
  <c r="KK163" i="1" s="1"/>
  <c r="AB206" i="1"/>
  <c r="KD206" i="1" s="1"/>
  <c r="AA206" i="1"/>
  <c r="KC206" i="1" s="1"/>
  <c r="AE206" i="1" s="1" a="1"/>
  <c r="AE206" i="1" s="1"/>
  <c r="KF221" i="1"/>
  <c r="Z117" i="1" l="1" a="1"/>
  <c r="Z117" i="1" s="1"/>
  <c r="Y118" i="1" s="1" a="1"/>
  <c r="Y118" i="1" s="1"/>
  <c r="AB179" i="5"/>
  <c r="NE179" i="5" s="1"/>
  <c r="AA179" i="5"/>
  <c r="ND179" i="5" s="1"/>
  <c r="Z179" i="5" s="1" a="1"/>
  <c r="Z179" i="5" s="1"/>
  <c r="Y180" i="5" s="1" a="1"/>
  <c r="Y180" i="5" s="1"/>
  <c r="X182" i="5"/>
  <c r="AB195" i="1"/>
  <c r="OR195" i="1" s="1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KI164" i="1" a="1"/>
  <c r="KI164" i="1" s="1"/>
  <c r="KJ164" i="1" s="1"/>
  <c r="PE203" i="1"/>
  <c r="OU203" i="1"/>
  <c r="OV203" i="1"/>
  <c r="PH203" i="1" s="1"/>
  <c r="PF203" i="1"/>
  <c r="QN197" i="1"/>
  <c r="RJ197" i="1"/>
  <c r="QO197" i="1"/>
  <c r="RM197" i="1" s="1"/>
  <c r="RK197" i="1"/>
  <c r="OT199" i="1"/>
  <c r="PD199" i="1"/>
  <c r="OS199" i="1"/>
  <c r="PC199" i="1"/>
  <c r="OQ195" i="1"/>
  <c r="PA195" i="1"/>
  <c r="OZ185" i="1"/>
  <c r="PL185" i="1" s="1"/>
  <c r="PJ185" i="1"/>
  <c r="OY185" i="1"/>
  <c r="PI185" i="1"/>
  <c r="Z206" i="1" a="1"/>
  <c r="Z206" i="1" s="1"/>
  <c r="Y208" i="1" s="1" a="1"/>
  <c r="Y208" i="1" s="1"/>
  <c r="AE203" i="1" l="1" a="1"/>
  <c r="AE203" i="1" s="1"/>
  <c r="AE197" i="1" a="1"/>
  <c r="AE197" i="1" s="1"/>
  <c r="AE185" i="1" a="1"/>
  <c r="AE185" i="1" s="1"/>
  <c r="AA118" i="1"/>
  <c r="KC118" i="1" s="1"/>
  <c r="AE118" i="1" s="1" a="1"/>
  <c r="AE118" i="1" s="1"/>
  <c r="AB118" i="1"/>
  <c r="KD118" i="1" s="1"/>
  <c r="AB180" i="5"/>
  <c r="AA180" i="5"/>
  <c r="Y181" i="5" a="1"/>
  <c r="Y181" i="5" s="1"/>
  <c r="X184" i="5"/>
  <c r="Y183" i="5" a="1"/>
  <c r="Y183" i="5" s="1"/>
  <c r="X267" i="1"/>
  <c r="PB195" i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KK164" i="1"/>
  <c r="KI165" i="1" s="1" a="1"/>
  <c r="KI165" i="1" s="1"/>
  <c r="KJ165" i="1" s="1"/>
  <c r="PG203" i="1"/>
  <c r="Z203" i="1" a="1"/>
  <c r="Z203" i="1" s="1"/>
  <c r="Y205" i="1" s="1" a="1"/>
  <c r="Y205" i="1" s="1"/>
  <c r="RL197" i="1"/>
  <c r="Z197" i="1" a="1"/>
  <c r="Z197" i="1" s="1"/>
  <c r="OU199" i="1"/>
  <c r="PE199" i="1"/>
  <c r="OV199" i="1"/>
  <c r="PH199" i="1" s="1"/>
  <c r="PF199" i="1"/>
  <c r="OT195" i="1"/>
  <c r="PD195" i="1"/>
  <c r="OS195" i="1"/>
  <c r="PC195" i="1"/>
  <c r="PK185" i="1"/>
  <c r="Z185" i="1" a="1"/>
  <c r="Z185" i="1" s="1"/>
  <c r="AB208" i="1"/>
  <c r="KD208" i="1" s="1"/>
  <c r="AA208" i="1"/>
  <c r="AE199" i="1" l="1" a="1"/>
  <c r="AE199" i="1" s="1"/>
  <c r="PG199" i="1"/>
  <c r="Z199" i="1" a="1"/>
  <c r="Z199" i="1" s="1"/>
  <c r="Y200" i="1" s="1" a="1"/>
  <c r="Y200" i="1" s="1"/>
  <c r="AB200" i="1" s="1"/>
  <c r="Z118" i="1" a="1"/>
  <c r="Z118" i="1" s="1"/>
  <c r="Y119" i="1" s="1" a="1"/>
  <c r="Y119" i="1" s="1"/>
  <c r="Y188" i="1" a="1"/>
  <c r="Y188" i="1" s="1"/>
  <c r="AB188" i="1" s="1"/>
  <c r="X185" i="5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X269" i="1" a="1"/>
  <c r="X269" i="1" s="1"/>
  <c r="X271" i="1" s="1" a="1"/>
  <c r="X271" i="1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KK165" i="1"/>
  <c r="KI166" i="1" s="1" a="1"/>
  <c r="KI166" i="1" s="1"/>
  <c r="AA205" i="1"/>
  <c r="AB205" i="1"/>
  <c r="OU195" i="1"/>
  <c r="PE195" i="1"/>
  <c r="OV195" i="1"/>
  <c r="PF195" i="1"/>
  <c r="KI221" i="1" a="1"/>
  <c r="KI221" i="1" s="1"/>
  <c r="KJ166" i="1" l="1"/>
  <c r="KK166" i="1" s="1"/>
  <c r="AA200" i="1"/>
  <c r="OQ200" i="1" s="1"/>
  <c r="AA119" i="1"/>
  <c r="KC119" i="1" s="1"/>
  <c r="AE119" i="1" s="1" a="1"/>
  <c r="AE119" i="1" s="1"/>
  <c r="AB119" i="1"/>
  <c r="KD119" i="1" s="1"/>
  <c r="AA188" i="1"/>
  <c r="OQ188" i="1" s="1"/>
  <c r="OK183" i="5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X273" i="1" a="1"/>
  <c r="X273" i="1" s="1"/>
  <c r="PB188" i="1"/>
  <c r="OR188" i="1"/>
  <c r="AA179" i="4"/>
  <c r="MZ179" i="4" s="1"/>
  <c r="Z179" i="4" s="1" a="1"/>
  <c r="Z179" i="4" s="1"/>
  <c r="Y180" i="4" s="1" a="1"/>
  <c r="Y180" i="4" s="1"/>
  <c r="AB179" i="4"/>
  <c r="NA179" i="4" s="1"/>
  <c r="X182" i="4"/>
  <c r="PB205" i="1"/>
  <c r="OR205" i="1"/>
  <c r="OR200" i="1"/>
  <c r="PB200" i="1"/>
  <c r="OX195" i="1"/>
  <c r="PH195" i="1"/>
  <c r="OW195" i="1"/>
  <c r="PG195" i="1"/>
  <c r="KJ221" i="1"/>
  <c r="KK221" i="1" s="1"/>
  <c r="KL221" i="1" s="1"/>
  <c r="KI222" i="1" a="1"/>
  <c r="KI222" i="1" s="1"/>
  <c r="OQ205" i="1"/>
  <c r="PA205" i="1"/>
  <c r="KL166" i="1" l="1"/>
  <c r="KI167" i="1" s="1" a="1"/>
  <c r="KI167" i="1" s="1"/>
  <c r="KJ167" i="1" s="1"/>
  <c r="KK167" i="1" s="1"/>
  <c r="KL167" i="1" s="1"/>
  <c r="AE166" i="1" a="1"/>
  <c r="AE166" i="1" s="1"/>
  <c r="Z166" i="1" a="1"/>
  <c r="Z166" i="1" s="1"/>
  <c r="Y167" i="1" s="1" a="1"/>
  <c r="Y167" i="1" s="1"/>
  <c r="AB167" i="1" s="1"/>
  <c r="KB167" i="1" s="1"/>
  <c r="KF167" i="1" s="1"/>
  <c r="PA200" i="1"/>
  <c r="Z119" i="1" a="1"/>
  <c r="Z119" i="1" s="1"/>
  <c r="Y120" i="1" s="1" a="1"/>
  <c r="Y120" i="1" s="1"/>
  <c r="PA188" i="1"/>
  <c r="PX187" i="5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X275" i="1" a="1"/>
  <c r="X275" i="1" s="1"/>
  <c r="PD188" i="1"/>
  <c r="OT188" i="1"/>
  <c r="PC188" i="1"/>
  <c r="OS188" i="1"/>
  <c r="AA180" i="4"/>
  <c r="AB180" i="4"/>
  <c r="Y181" i="4" a="1"/>
  <c r="Y181" i="4" s="1"/>
  <c r="X184" i="4"/>
  <c r="Y183" i="4" a="1"/>
  <c r="Y183" i="4" s="1"/>
  <c r="KJ222" i="1"/>
  <c r="KK222" i="1" s="1"/>
  <c r="KL222" i="1" s="1"/>
  <c r="PD205" i="1"/>
  <c r="OT205" i="1"/>
  <c r="OT200" i="1"/>
  <c r="PD200" i="1"/>
  <c r="OS200" i="1"/>
  <c r="PC200" i="1"/>
  <c r="OY195" i="1"/>
  <c r="PI195" i="1"/>
  <c r="OZ195" i="1"/>
  <c r="PL195" i="1" s="1"/>
  <c r="PJ195" i="1"/>
  <c r="KC208" i="1"/>
  <c r="AE208" i="1" s="1" a="1"/>
  <c r="AE208" i="1" s="1"/>
  <c r="PC205" i="1"/>
  <c r="OS205" i="1"/>
  <c r="KD167" i="1" l="1"/>
  <c r="AA167" i="1"/>
  <c r="KA167" i="1" s="1"/>
  <c r="KE167" i="1" s="1"/>
  <c r="AE195" i="1" a="1"/>
  <c r="AE195" i="1" s="1"/>
  <c r="Z208" i="1" a="1"/>
  <c r="Z208" i="1" s="1"/>
  <c r="Y210" i="1" s="1" a="1"/>
  <c r="Y210" i="1" s="1"/>
  <c r="AB210" i="1" s="1"/>
  <c r="AB120" i="1"/>
  <c r="KD120" i="1" s="1"/>
  <c r="AA120" i="1"/>
  <c r="KC120" i="1" s="1"/>
  <c r="AE120" i="1" s="1" a="1"/>
  <c r="AE120" i="1" s="1"/>
  <c r="AB187" i="5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X277" i="1" a="1"/>
  <c r="X277" i="1" s="1"/>
  <c r="OU188" i="1"/>
  <c r="PE188" i="1"/>
  <c r="OV188" i="1"/>
  <c r="PH188" i="1" s="1"/>
  <c r="PF188" i="1"/>
  <c r="KI223" i="1" a="1"/>
  <c r="KI223" i="1" s="1"/>
  <c r="KJ223" i="1" s="1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KC167" i="1"/>
  <c r="KI168" i="1" a="1"/>
  <c r="KI168" i="1" s="1"/>
  <c r="KJ168" i="1" s="1"/>
  <c r="KK168" i="1" s="1"/>
  <c r="KL168" i="1" s="1"/>
  <c r="PF205" i="1"/>
  <c r="OV205" i="1"/>
  <c r="PH205" i="1" s="1"/>
  <c r="OU200" i="1"/>
  <c r="PE200" i="1"/>
  <c r="OV200" i="1"/>
  <c r="PF200" i="1"/>
  <c r="PK195" i="1"/>
  <c r="Z195" i="1" a="1"/>
  <c r="Z195" i="1" s="1"/>
  <c r="PE205" i="1"/>
  <c r="OU205" i="1"/>
  <c r="AE167" i="1" l="1" a="1"/>
  <c r="AE167" i="1" s="1"/>
  <c r="Z167" i="1" a="1"/>
  <c r="Z167" i="1" s="1"/>
  <c r="Y168" i="1" s="1" a="1"/>
  <c r="Y168" i="1" s="1"/>
  <c r="AB168" i="1" s="1"/>
  <c r="AE188" i="1" a="1"/>
  <c r="AE188" i="1" s="1"/>
  <c r="AA210" i="1"/>
  <c r="KC210" i="1" s="1"/>
  <c r="AE210" i="1" s="1" a="1"/>
  <c r="AE210" i="1" s="1"/>
  <c r="Z120" i="1" a="1"/>
  <c r="Z120" i="1" s="1"/>
  <c r="Y121" i="1" s="1" a="1"/>
  <c r="Y121" i="1" s="1"/>
  <c r="OU188" i="5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X279" i="1" a="1"/>
  <c r="X279" i="1" s="1"/>
  <c r="X281" i="1" s="1" a="1"/>
  <c r="X281" i="1" s="1"/>
  <c r="PG188" i="1"/>
  <c r="Z188" i="1" a="1"/>
  <c r="Z188" i="1" s="1"/>
  <c r="Y189" i="1" s="1" a="1"/>
  <c r="Y189" i="1" s="1"/>
  <c r="KK223" i="1"/>
  <c r="KI224" i="1" s="1" a="1"/>
  <c r="KI224" i="1" s="1"/>
  <c r="KJ224" i="1" s="1"/>
  <c r="KK224" i="1" s="1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KI181" i="1" a="1"/>
  <c r="KI181" i="1" s="1"/>
  <c r="KJ181" i="1" s="1"/>
  <c r="KK181" i="1" s="1"/>
  <c r="OX200" i="1"/>
  <c r="PH200" i="1"/>
  <c r="PG200" i="1"/>
  <c r="OW200" i="1"/>
  <c r="KD210" i="1"/>
  <c r="Z210" i="1" a="1"/>
  <c r="Z210" i="1" s="1"/>
  <c r="Y212" i="1" s="1" a="1"/>
  <c r="Y212" i="1" s="1"/>
  <c r="PG205" i="1"/>
  <c r="AE205" i="1" s="1" a="1"/>
  <c r="AE205" i="1" s="1"/>
  <c r="Z205" i="1" l="1" a="1"/>
  <c r="Z205" i="1" s="1"/>
  <c r="AA168" i="1"/>
  <c r="KA168" i="1" s="1"/>
  <c r="AA121" i="1"/>
  <c r="KC121" i="1" s="1"/>
  <c r="AE121" i="1" s="1" a="1"/>
  <c r="AE121" i="1" s="1"/>
  <c r="AB121" i="1"/>
  <c r="KD121" i="1" s="1"/>
  <c r="AA191" i="5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AA189" i="1"/>
  <c r="AB189" i="1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KL181" i="1"/>
  <c r="KM181" i="1" s="1"/>
  <c r="OY200" i="1"/>
  <c r="PI200" i="1"/>
  <c r="OZ200" i="1"/>
  <c r="PL200" i="1" s="1"/>
  <c r="PJ200" i="1"/>
  <c r="KB168" i="1"/>
  <c r="KF168" i="1" s="1"/>
  <c r="KD168" i="1"/>
  <c r="AB212" i="1"/>
  <c r="KD212" i="1" s="1"/>
  <c r="AA212" i="1"/>
  <c r="KC212" i="1" s="1"/>
  <c r="AE212" i="1" s="1" a="1"/>
  <c r="AE212" i="1" s="1"/>
  <c r="KC168" i="1" l="1"/>
  <c r="AE200" i="1" a="1"/>
  <c r="AE200" i="1" s="1"/>
  <c r="AE168" i="1" a="1"/>
  <c r="AE168" i="1" s="1"/>
  <c r="Z121" i="1" a="1"/>
  <c r="Z121" i="1" s="1"/>
  <c r="Y122" i="1" s="1" a="1"/>
  <c r="Y122" i="1" s="1"/>
  <c r="AB192" i="5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KI182" i="1" a="1"/>
  <c r="KI182" i="1" s="1"/>
  <c r="OR189" i="1"/>
  <c r="PB189" i="1"/>
  <c r="PA189" i="1"/>
  <c r="OQ189" i="1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KI233" i="1" a="1"/>
  <c r="KI233" i="1" s="1"/>
  <c r="PK200" i="1"/>
  <c r="Z200" i="1" s="1" a="1"/>
  <c r="Z200" i="1" s="1"/>
  <c r="KE168" i="1"/>
  <c r="Z168" i="1" a="1"/>
  <c r="Z168" i="1" s="1"/>
  <c r="Z212" i="1" a="1"/>
  <c r="Z212" i="1" s="1"/>
  <c r="Y214" i="1" s="1" a="1"/>
  <c r="Y214" i="1" s="1"/>
  <c r="AA122" i="1" l="1"/>
  <c r="KC122" i="1" s="1"/>
  <c r="AE122" i="1" s="1" a="1"/>
  <c r="AE122" i="1" s="1"/>
  <c r="AB122" i="1"/>
  <c r="KD122" i="1" s="1"/>
  <c r="Y207" i="1" a="1"/>
  <c r="Y207" i="1" s="1"/>
  <c r="KJ182" i="1"/>
  <c r="KK182" i="1" s="1"/>
  <c r="KL182" i="1" s="1"/>
  <c r="KM182" i="1" s="1"/>
  <c r="OJ193" i="5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PC189" i="1"/>
  <c r="OS189" i="1"/>
  <c r="OT189" i="1"/>
  <c r="PD189" i="1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KJ233" i="1"/>
  <c r="KK233" i="1" s="1"/>
  <c r="AB214" i="1"/>
  <c r="KD214" i="1" s="1"/>
  <c r="Z214" i="1" s="1" a="1"/>
  <c r="Z214" i="1" s="1"/>
  <c r="Y216" i="1" s="1" a="1"/>
  <c r="Y216" i="1" s="1"/>
  <c r="AA214" i="1"/>
  <c r="KC214" i="1" s="1"/>
  <c r="AE214" i="1" s="1" a="1"/>
  <c r="AE214" i="1" s="1"/>
  <c r="Z122" i="1" l="1" a="1"/>
  <c r="Z122" i="1" s="1"/>
  <c r="Y123" i="1" s="1" a="1"/>
  <c r="Y123" i="1" s="1"/>
  <c r="AA207" i="1"/>
  <c r="AB207" i="1"/>
  <c r="PX197" i="5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PF189" i="1"/>
  <c r="OV189" i="1"/>
  <c r="PH189" i="1" s="1"/>
  <c r="OU189" i="1"/>
  <c r="PE189" i="1"/>
  <c r="KI234" i="1" a="1"/>
  <c r="KI234" i="1" s="1"/>
  <c r="KJ234" i="1" s="1"/>
  <c r="KK234" i="1" s="1"/>
  <c r="KI235" i="1" a="1"/>
  <c r="KI235" i="1" s="1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216" i="1"/>
  <c r="KD216" i="1" s="1"/>
  <c r="AA216" i="1"/>
  <c r="KC216" i="1" s="1"/>
  <c r="AE216" i="1" s="1" a="1"/>
  <c r="AE216" i="1" s="1"/>
  <c r="AE189" i="1" l="1" a="1"/>
  <c r="AE189" i="1" s="1"/>
  <c r="Z189" i="1" a="1"/>
  <c r="Z189" i="1" s="1"/>
  <c r="Y190" i="1" s="1" a="1"/>
  <c r="Y190" i="1" s="1"/>
  <c r="AA190" i="1" s="1"/>
  <c r="PG189" i="1"/>
  <c r="AB123" i="1"/>
  <c r="KD123" i="1" s="1"/>
  <c r="AA123" i="1"/>
  <c r="KC123" i="1" s="1"/>
  <c r="AE123" i="1" s="1" a="1"/>
  <c r="AE123" i="1" s="1"/>
  <c r="Y191" i="1" a="1"/>
  <c r="Y191" i="1" s="1"/>
  <c r="OR207" i="1"/>
  <c r="PB207" i="1"/>
  <c r="OQ207" i="1"/>
  <c r="PA207" i="1"/>
  <c r="AB197" i="5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KJ235" i="1"/>
  <c r="KK235" i="1" s="1"/>
  <c r="KI236" i="1" a="1"/>
  <c r="KI236" i="1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Z216" i="1" a="1"/>
  <c r="Z216" i="1" s="1"/>
  <c r="AB190" i="1" l="1"/>
  <c r="OR190" i="1" s="1"/>
  <c r="Z123" i="1" a="1"/>
  <c r="Z123" i="1" s="1"/>
  <c r="Y124" i="1" s="1" a="1"/>
  <c r="Y124" i="1" s="1"/>
  <c r="Y217" i="1" a="1"/>
  <c r="Y217" i="1" s="1"/>
  <c r="AA217" i="1" s="1"/>
  <c r="KC217" i="1" s="1"/>
  <c r="Y243" i="1" a="1"/>
  <c r="Y243" i="1" s="1"/>
  <c r="AB191" i="1"/>
  <c r="KD191" i="1" s="1"/>
  <c r="AA191" i="1"/>
  <c r="KC191" i="1" s="1"/>
  <c r="AE191" i="1" s="1" a="1"/>
  <c r="AE191" i="1" s="1"/>
  <c r="OS207" i="1"/>
  <c r="PC207" i="1"/>
  <c r="PD207" i="1"/>
  <c r="OT207" i="1"/>
  <c r="OZ193" i="5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OQ190" i="1"/>
  <c r="PA190" i="1"/>
  <c r="KJ236" i="1"/>
  <c r="KK236" i="1" s="1"/>
  <c r="KI237" i="1" a="1"/>
  <c r="KI237" i="1" s="1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HG43" i="1"/>
  <c r="AE43" i="1" s="1" a="1"/>
  <c r="AE43" i="1" s="1"/>
  <c r="AD44" i="1" s="1" a="1"/>
  <c r="AD44" i="1" s="1"/>
  <c r="PB190" i="1" l="1"/>
  <c r="AE217" i="1" a="1"/>
  <c r="AE217" i="1" s="1"/>
  <c r="AJ43" i="1" a="1"/>
  <c r="AJ43" i="1" s="1"/>
  <c r="AI44" i="1" s="1" a="1"/>
  <c r="AI44" i="1" s="1"/>
  <c r="AL44" i="1" s="1"/>
  <c r="HF44" i="1" s="1"/>
  <c r="Z191" i="1" a="1"/>
  <c r="Z191" i="1" s="1"/>
  <c r="AA124" i="1"/>
  <c r="KC124" i="1" s="1"/>
  <c r="AE124" i="1" s="1" a="1"/>
  <c r="AE124" i="1" s="1"/>
  <c r="AB124" i="1"/>
  <c r="KD124" i="1" s="1"/>
  <c r="Z124" i="1" s="1" a="1"/>
  <c r="Z124" i="1" s="1"/>
  <c r="Y125" i="1" s="1" a="1"/>
  <c r="Y125" i="1" s="1"/>
  <c r="Z217" i="1" a="1"/>
  <c r="Z217" i="1" s="1"/>
  <c r="Y218" i="1" s="1" a="1"/>
  <c r="Y218" i="1" s="1"/>
  <c r="AB218" i="1" s="1"/>
  <c r="KD218" i="1" s="1"/>
  <c r="AB217" i="1"/>
  <c r="KD217" i="1" s="1"/>
  <c r="AA243" i="1"/>
  <c r="KC243" i="1" s="1"/>
  <c r="AB243" i="1"/>
  <c r="KD243" i="1" s="1"/>
  <c r="PF207" i="1"/>
  <c r="OV207" i="1"/>
  <c r="PH207" i="1" s="1"/>
  <c r="OU207" i="1"/>
  <c r="PE207" i="1"/>
  <c r="Z43" i="1" a="1"/>
  <c r="Z43" i="1" s="1"/>
  <c r="Y44" i="1" s="1" a="1"/>
  <c r="Y44" i="1" s="1"/>
  <c r="AA44" i="1" s="1"/>
  <c r="HG44" i="1" s="1"/>
  <c r="OO189" i="5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T190" i="1"/>
  <c r="PD190" i="1"/>
  <c r="PC190" i="1"/>
  <c r="OS190" i="1"/>
  <c r="KJ237" i="1"/>
  <c r="KK237" i="1" s="1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E207" i="1" l="1" a="1"/>
  <c r="AE207" i="1" s="1"/>
  <c r="AA125" i="1"/>
  <c r="KC125" i="1" s="1"/>
  <c r="AE125" i="1" s="1" a="1"/>
  <c r="AE125" i="1" s="1"/>
  <c r="AB125" i="1"/>
  <c r="KD125" i="1" s="1"/>
  <c r="AK44" i="1"/>
  <c r="HE44" i="1" s="1"/>
  <c r="HW44" i="1" s="1"/>
  <c r="AA218" i="1"/>
  <c r="KC218" i="1" s="1"/>
  <c r="AE218" i="1" s="1" a="1"/>
  <c r="AE218" i="1" s="1"/>
  <c r="Y192" i="1" a="1"/>
  <c r="Y192" i="1" s="1"/>
  <c r="PG207" i="1"/>
  <c r="Z207" i="1" a="1"/>
  <c r="Z207" i="1" s="1"/>
  <c r="Y209" i="1" s="1" a="1"/>
  <c r="Y209" i="1" s="1"/>
  <c r="HV44" i="1"/>
  <c r="HX44" i="1"/>
  <c r="AB44" i="1"/>
  <c r="HH44" i="1" s="1"/>
  <c r="KI238" i="1" a="1"/>
  <c r="KI238" i="1" s="1"/>
  <c r="KJ238" i="1" s="1"/>
  <c r="KK238" i="1" s="1"/>
  <c r="AA202" i="5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OU190" i="1"/>
  <c r="PE190" i="1"/>
  <c r="OV190" i="1"/>
  <c r="PF190" i="1"/>
  <c r="KI239" i="1" a="1"/>
  <c r="KI239" i="1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HU44" i="1" l="1"/>
  <c r="AJ44" i="1" a="1"/>
  <c r="AJ44" i="1" s="1"/>
  <c r="AI45" i="1" s="1" a="1"/>
  <c r="AI45" i="1" s="1"/>
  <c r="AL45" i="1" s="1"/>
  <c r="HF45" i="1" s="1"/>
  <c r="AE44" i="1" a="1"/>
  <c r="AE44" i="1" s="1"/>
  <c r="AD45" i="1" s="1" a="1"/>
  <c r="AD45" i="1" s="1"/>
  <c r="Z218" i="1" a="1"/>
  <c r="Z218" i="1" s="1"/>
  <c r="Y219" i="1" s="1" a="1"/>
  <c r="Y219" i="1" s="1"/>
  <c r="AA219" i="1" s="1"/>
  <c r="KC219" i="1" s="1"/>
  <c r="Z125" i="1" a="1"/>
  <c r="Z125" i="1" s="1"/>
  <c r="Y126" i="1" s="1" a="1"/>
  <c r="Y126" i="1" s="1"/>
  <c r="Z44" i="1" a="1"/>
  <c r="Z44" i="1" s="1"/>
  <c r="Y45" i="1" s="1" a="1"/>
  <c r="Y45" i="1" s="1"/>
  <c r="AA45" i="1" s="1"/>
  <c r="HG45" i="1" s="1"/>
  <c r="AB192" i="1"/>
  <c r="AA192" i="1"/>
  <c r="AA209" i="1"/>
  <c r="AB209" i="1"/>
  <c r="AB217" i="5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OX190" i="1"/>
  <c r="PH190" i="1"/>
  <c r="OW190" i="1"/>
  <c r="PG190" i="1"/>
  <c r="KJ239" i="1"/>
  <c r="KK239" i="1" s="1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KF222" i="1"/>
  <c r="AK45" i="1" l="1"/>
  <c r="HE45" i="1" s="1"/>
  <c r="AE219" i="1" a="1"/>
  <c r="AE219" i="1" s="1"/>
  <c r="Z219" i="1" a="1"/>
  <c r="Z219" i="1" s="1"/>
  <c r="Y220" i="1" s="1" a="1"/>
  <c r="Y220" i="1" s="1"/>
  <c r="AB220" i="1" s="1"/>
  <c r="KD220" i="1" s="1"/>
  <c r="AB219" i="1"/>
  <c r="KD219" i="1" s="1"/>
  <c r="AB126" i="1"/>
  <c r="KD126" i="1" s="1"/>
  <c r="AA126" i="1"/>
  <c r="KC126" i="1" s="1"/>
  <c r="AE126" i="1" s="1" a="1"/>
  <c r="AE126" i="1" s="1"/>
  <c r="AB45" i="1"/>
  <c r="HH45" i="1" s="1"/>
  <c r="QG192" i="1"/>
  <c r="RC192" i="1"/>
  <c r="QF192" i="1"/>
  <c r="RB192" i="1"/>
  <c r="OR209" i="1"/>
  <c r="PB209" i="1"/>
  <c r="PA209" i="1"/>
  <c r="OQ209" i="1"/>
  <c r="HX45" i="1"/>
  <c r="HV45" i="1"/>
  <c r="AB208" i="5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KI240" i="1" a="1"/>
  <c r="KI240" i="1" s="1"/>
  <c r="KJ240" i="1" s="1"/>
  <c r="PI190" i="1"/>
  <c r="OY190" i="1"/>
  <c r="PJ190" i="1"/>
  <c r="OZ190" i="1"/>
  <c r="PL190" i="1" s="1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HU45" i="1" l="1"/>
  <c r="AE190" i="1" a="1"/>
  <c r="AE190" i="1" s="1"/>
  <c r="AA220" i="1"/>
  <c r="KC220" i="1" s="1"/>
  <c r="AE220" i="1" s="1" a="1"/>
  <c r="AE220" i="1" s="1"/>
  <c r="Z126" i="1" a="1"/>
  <c r="Z126" i="1" s="1"/>
  <c r="Y127" i="1" s="1" a="1"/>
  <c r="Y127" i="1" s="1"/>
  <c r="RD192" i="1"/>
  <c r="QH192" i="1"/>
  <c r="RE192" i="1"/>
  <c r="QI192" i="1"/>
  <c r="OS209" i="1"/>
  <c r="PC209" i="1"/>
  <c r="PD209" i="1"/>
  <c r="OT209" i="1"/>
  <c r="HW45" i="1"/>
  <c r="AE45" i="1" s="1" a="1"/>
  <c r="AE45" i="1" s="1"/>
  <c r="AD46" i="1" s="1" a="1"/>
  <c r="AD46" i="1" s="1"/>
  <c r="AJ45" i="1" a="1"/>
  <c r="AJ45" i="1" s="1"/>
  <c r="AI46" i="1" s="1" a="1"/>
  <c r="AI46" i="1" s="1"/>
  <c r="Z45" i="1" a="1"/>
  <c r="Z45" i="1" s="1"/>
  <c r="Y46" i="1" s="1" a="1"/>
  <c r="Y46" i="1" s="1"/>
  <c r="AB219" i="5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KK240" i="1"/>
  <c r="KI241" i="1" a="1"/>
  <c r="KI241" i="1" s="1"/>
  <c r="KJ241" i="1" s="1"/>
  <c r="PK190" i="1"/>
  <c r="Z190" i="1" a="1"/>
  <c r="Z190" i="1" s="1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AB127" i="1" l="1"/>
  <c r="KD127" i="1" s="1"/>
  <c r="AA127" i="1"/>
  <c r="KC127" i="1" s="1"/>
  <c r="AE127" i="1" s="1" a="1"/>
  <c r="AE127" i="1" s="1"/>
  <c r="Z220" i="1" a="1"/>
  <c r="Z220" i="1" s="1"/>
  <c r="Y223" i="1" s="1" a="1"/>
  <c r="Y223" i="1" s="1"/>
  <c r="QK192" i="1"/>
  <c r="RG192" i="1"/>
  <c r="RF192" i="1"/>
  <c r="QJ192" i="1"/>
  <c r="OV209" i="1"/>
  <c r="PH209" i="1" s="1"/>
  <c r="PF209" i="1"/>
  <c r="OU209" i="1"/>
  <c r="PE209" i="1"/>
  <c r="AL46" i="1"/>
  <c r="HF46" i="1" s="1"/>
  <c r="AK46" i="1"/>
  <c r="HE46" i="1" s="1"/>
  <c r="AA46" i="1"/>
  <c r="HG46" i="1" s="1"/>
  <c r="AB46" i="1"/>
  <c r="HH46" i="1" s="1"/>
  <c r="AB212" i="5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KK241" i="1"/>
  <c r="KI242" i="1" a="1"/>
  <c r="KI242" i="1" s="1"/>
  <c r="KJ242" i="1" s="1"/>
  <c r="KK242" i="1" s="1"/>
  <c r="KI243" i="1" a="1"/>
  <c r="KI243" i="1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E209" i="1" l="1" a="1"/>
  <c r="AE209" i="1" s="1"/>
  <c r="AB223" i="1"/>
  <c r="KD223" i="1" s="1"/>
  <c r="AA223" i="1"/>
  <c r="KC223" i="1" s="1"/>
  <c r="AE223" i="1" s="1" a="1"/>
  <c r="AE223" i="1" s="1"/>
  <c r="Z127" i="1" a="1"/>
  <c r="Z127" i="1" s="1"/>
  <c r="Y128" i="1" s="1" a="1"/>
  <c r="Y128" i="1" s="1"/>
  <c r="RH192" i="1"/>
  <c r="QL192" i="1"/>
  <c r="RI192" i="1"/>
  <c r="QM192" i="1"/>
  <c r="PG209" i="1"/>
  <c r="Z209" i="1" a="1"/>
  <c r="Z209" i="1" s="1"/>
  <c r="Y211" i="1" s="1" a="1"/>
  <c r="Y211" i="1" s="1"/>
  <c r="HU46" i="1"/>
  <c r="HV46" i="1"/>
  <c r="HX46" i="1"/>
  <c r="AA214" i="5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KJ243" i="1"/>
  <c r="KK243" i="1" s="1"/>
  <c r="KI244" i="1" a="1"/>
  <c r="KI244" i="1" s="1"/>
  <c r="Z243" i="1" a="1"/>
  <c r="Z243" i="1" s="1"/>
  <c r="Y244" i="1" s="1" a="1"/>
  <c r="Y244" i="1" s="1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A128" i="1" l="1"/>
  <c r="KC128" i="1" s="1"/>
  <c r="AE128" i="1" s="1" a="1"/>
  <c r="AE128" i="1" s="1"/>
  <c r="AB128" i="1"/>
  <c r="KD128" i="1" s="1"/>
  <c r="Z128" i="1" s="1" a="1"/>
  <c r="Z128" i="1" s="1"/>
  <c r="Y129" i="1" s="1" a="1"/>
  <c r="Y129" i="1" s="1"/>
  <c r="Z223" i="1" a="1"/>
  <c r="Z223" i="1" s="1"/>
  <c r="Y224" i="1" s="1" a="1"/>
  <c r="Y224" i="1" s="1"/>
  <c r="QO192" i="1"/>
  <c r="RM192" i="1" s="1"/>
  <c r="RK192" i="1"/>
  <c r="QN192" i="1"/>
  <c r="RJ192" i="1"/>
  <c r="AB211" i="1"/>
  <c r="AA211" i="1"/>
  <c r="HW46" i="1"/>
  <c r="AE46" i="1" s="1" a="1"/>
  <c r="AE46" i="1" s="1"/>
  <c r="AD47" i="1" s="1" a="1"/>
  <c r="AD47" i="1" s="1"/>
  <c r="AJ46" i="1" a="1"/>
  <c r="AJ46" i="1" s="1"/>
  <c r="AI47" i="1" s="1" a="1"/>
  <c r="AI47" i="1" s="1"/>
  <c r="Z46" i="1" a="1"/>
  <c r="Z46" i="1" s="1"/>
  <c r="Y47" i="1" s="1" a="1"/>
  <c r="Y47" i="1" s="1"/>
  <c r="AB224" i="5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OU205" i="5"/>
  <c r="OK205" i="5"/>
  <c r="X236" i="5"/>
  <c r="Y235" i="5" a="1"/>
  <c r="Y235" i="5" s="1"/>
  <c r="RE202" i="5"/>
  <c r="Z202" i="5" a="1"/>
  <c r="Z202" i="5" s="1"/>
  <c r="AB244" i="1"/>
  <c r="KD244" i="1" s="1"/>
  <c r="AA244" i="1"/>
  <c r="KC244" i="1" s="1"/>
  <c r="KJ244" i="1"/>
  <c r="KK244" i="1" s="1"/>
  <c r="KI245" i="1" a="1"/>
  <c r="KI245" i="1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AE192" i="1" l="1" a="1"/>
  <c r="AE192" i="1" s="1"/>
  <c r="AA224" i="1"/>
  <c r="KC224" i="1" s="1"/>
  <c r="AE224" i="1" s="1" a="1"/>
  <c r="AE224" i="1" s="1"/>
  <c r="AB224" i="1"/>
  <c r="KD224" i="1" s="1"/>
  <c r="AA129" i="1"/>
  <c r="KC129" i="1" s="1"/>
  <c r="AE129" i="1" s="1" a="1"/>
  <c r="AE129" i="1" s="1"/>
  <c r="AB129" i="1"/>
  <c r="KD129" i="1" s="1"/>
  <c r="Z233" i="5" a="1"/>
  <c r="Z233" i="5" s="1"/>
  <c r="Y234" i="5" s="1" a="1"/>
  <c r="Y234" i="5" s="1"/>
  <c r="AB234" i="5" s="1"/>
  <c r="KD234" i="5" s="1"/>
  <c r="Z244" i="1" a="1"/>
  <c r="Z244" i="1" s="1"/>
  <c r="Y245" i="1" s="1" a="1"/>
  <c r="Y245" i="1" s="1"/>
  <c r="AA245" i="1" s="1"/>
  <c r="KC245" i="1" s="1"/>
  <c r="RL192" i="1"/>
  <c r="Z192" i="1" a="1"/>
  <c r="Z192" i="1" s="1"/>
  <c r="Y201" i="1" s="1" a="1"/>
  <c r="Y201" i="1" s="1"/>
  <c r="PA211" i="1"/>
  <c r="OQ211" i="1"/>
  <c r="PB211" i="1"/>
  <c r="OR211" i="1"/>
  <c r="AK47" i="1"/>
  <c r="HE47" i="1" s="1"/>
  <c r="AL47" i="1"/>
  <c r="HF47" i="1" s="1"/>
  <c r="AB47" i="1"/>
  <c r="HH47" i="1" s="1"/>
  <c r="AA47" i="1"/>
  <c r="HG47" i="1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KJ245" i="1"/>
  <c r="KK245" i="1" s="1"/>
  <c r="KI246" i="1" a="1"/>
  <c r="KI246" i="1" s="1"/>
  <c r="AB220" i="4"/>
  <c r="JZ220" i="4" s="1"/>
  <c r="AA220" i="4"/>
  <c r="JY220" i="4" s="1"/>
  <c r="AB212" i="4"/>
  <c r="JZ212" i="4" s="1"/>
  <c r="AA212" i="4"/>
  <c r="JY212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s="1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Z129" i="1" l="1" a="1"/>
  <c r="Z129" i="1" s="1"/>
  <c r="Y130" i="1" s="1" a="1"/>
  <c r="Y130" i="1" s="1"/>
  <c r="Z224" i="1" a="1"/>
  <c r="Z224" i="1" s="1"/>
  <c r="Z245" i="1" a="1"/>
  <c r="Z245" i="1" s="1"/>
  <c r="AB245" i="1"/>
  <c r="KD245" i="1" s="1"/>
  <c r="AA234" i="5"/>
  <c r="KC234" i="5" s="1"/>
  <c r="Z234" i="5" s="1" a="1"/>
  <c r="Z234" i="5" s="1"/>
  <c r="Z212" i="4" a="1"/>
  <c r="Z212" i="4" s="1"/>
  <c r="Y214" i="4" s="1" a="1"/>
  <c r="Y214" i="4" s="1"/>
  <c r="AA214" i="4" s="1"/>
  <c r="JY214" i="4" s="1"/>
  <c r="Z220" i="4" a="1"/>
  <c r="Z220" i="4" s="1"/>
  <c r="AB201" i="1"/>
  <c r="KD201" i="1" s="1"/>
  <c r="AA201" i="1"/>
  <c r="KC201" i="1" s="1"/>
  <c r="AE201" i="1" s="1" a="1"/>
  <c r="AE201" i="1" s="1"/>
  <c r="OT211" i="1"/>
  <c r="PD211" i="1"/>
  <c r="PC211" i="1"/>
  <c r="OS211" i="1"/>
  <c r="HU47" i="1"/>
  <c r="HX47" i="1"/>
  <c r="HV47" i="1"/>
  <c r="AB236" i="5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KJ246" i="1"/>
  <c r="KK246" i="1" s="1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Z201" i="1" l="1" a="1"/>
  <c r="Z201" i="1" s="1"/>
  <c r="Y202" i="1" s="1" a="1"/>
  <c r="Y202" i="1" s="1"/>
  <c r="AB202" i="1" s="1"/>
  <c r="AA130" i="1"/>
  <c r="KC130" i="1" s="1"/>
  <c r="AE130" i="1" s="1" a="1"/>
  <c r="AE130" i="1" s="1"/>
  <c r="AB130" i="1"/>
  <c r="KD130" i="1" s="1"/>
  <c r="Z214" i="4" a="1"/>
  <c r="Z214" i="4" s="1"/>
  <c r="Y216" i="4" s="1" a="1"/>
  <c r="Y216" i="4" s="1"/>
  <c r="AA216" i="4" s="1"/>
  <c r="JY216" i="4" s="1"/>
  <c r="AB214" i="4"/>
  <c r="JZ214" i="4" s="1"/>
  <c r="OU211" i="1"/>
  <c r="PE211" i="1"/>
  <c r="OV211" i="1"/>
  <c r="PH211" i="1" s="1"/>
  <c r="PF211" i="1"/>
  <c r="HW47" i="1"/>
  <c r="AE47" i="1" s="1" a="1"/>
  <c r="AE47" i="1" s="1"/>
  <c r="Z47" i="1" a="1"/>
  <c r="Z47" i="1" s="1"/>
  <c r="Y48" i="1" s="1" a="1"/>
  <c r="Y48" i="1" s="1"/>
  <c r="AB237" i="5"/>
  <c r="KD237" i="5" s="1"/>
  <c r="AA237" i="5"/>
  <c r="KC237" i="5" s="1"/>
  <c r="OZ209" i="5"/>
  <c r="Z209" i="5" a="1"/>
  <c r="Z209" i="5" s="1"/>
  <c r="Y211" i="5" s="1" a="1"/>
  <c r="Y211" i="5" s="1"/>
  <c r="X239" i="5"/>
  <c r="OM200" i="5"/>
  <c r="OW200" i="5"/>
  <c r="KE222" i="5"/>
  <c r="Z222" i="5" s="1" a="1"/>
  <c r="Z222" i="5" s="1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KI247" i="1" a="1"/>
  <c r="KI247" i="1" s="1"/>
  <c r="AB224" i="4"/>
  <c r="JZ224" i="4" s="1"/>
  <c r="AA224" i="4"/>
  <c r="JY224" i="4" s="1"/>
  <c r="ON190" i="4"/>
  <c r="OX190" i="4"/>
  <c r="OH195" i="4"/>
  <c r="OR195" i="4"/>
  <c r="AB233" i="4"/>
  <c r="JZ233" i="4" s="1"/>
  <c r="AA233" i="4"/>
  <c r="JY233" i="4" s="1"/>
  <c r="OP209" i="4"/>
  <c r="OF209" i="4"/>
  <c r="OG205" i="4"/>
  <c r="OQ205" i="4"/>
  <c r="OO190" i="4"/>
  <c r="PA190" i="4" s="1"/>
  <c r="OY190" i="4"/>
  <c r="RA202" i="4"/>
  <c r="Z202" i="4" a="1"/>
  <c r="Z202" i="4" s="1"/>
  <c r="KA221" i="4"/>
  <c r="Z221" i="4" s="1" a="1"/>
  <c r="Z221" i="4" s="1"/>
  <c r="Y222" i="4" s="1" a="1"/>
  <c r="Y222" i="4" s="1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AE211" i="1" l="1" a="1"/>
  <c r="AE211" i="1" s="1"/>
  <c r="AJ47" i="1" a="1"/>
  <c r="AJ47" i="1" s="1"/>
  <c r="AI48" i="1" s="1" a="1"/>
  <c r="AI48" i="1" s="1"/>
  <c r="AK48" i="1" s="1"/>
  <c r="HE48" i="1" s="1"/>
  <c r="AA202" i="1"/>
  <c r="QG202" i="1" s="1"/>
  <c r="PG211" i="1"/>
  <c r="Z211" i="1" s="1" a="1"/>
  <c r="Z211" i="1" s="1"/>
  <c r="Y213" i="1" s="1" a="1"/>
  <c r="Y213" i="1" s="1"/>
  <c r="AA213" i="1" s="1"/>
  <c r="Z130" i="1" a="1"/>
  <c r="Z130" i="1" s="1"/>
  <c r="Y131" i="1" s="1" a="1"/>
  <c r="Y131" i="1" s="1"/>
  <c r="Z216" i="4" a="1"/>
  <c r="Z216" i="4" s="1"/>
  <c r="Z224" i="4" a="1"/>
  <c r="Z224" i="4" s="1"/>
  <c r="AB216" i="4"/>
  <c r="JZ216" i="4" s="1"/>
  <c r="Z233" i="4" a="1"/>
  <c r="Z233" i="4" s="1"/>
  <c r="Y234" i="4" s="1" a="1"/>
  <c r="Y234" i="4" s="1"/>
  <c r="AB234" i="4" s="1"/>
  <c r="JZ234" i="4" s="1"/>
  <c r="Z237" i="5" a="1"/>
  <c r="Z237" i="5" s="1"/>
  <c r="Y238" i="5" s="1" a="1"/>
  <c r="Y238" i="5" s="1"/>
  <c r="AB238" i="5" s="1"/>
  <c r="KD238" i="5" s="1"/>
  <c r="RB202" i="1"/>
  <c r="QF202" i="1"/>
  <c r="AA48" i="1"/>
  <c r="HG48" i="1" s="1"/>
  <c r="AB48" i="1"/>
  <c r="HH48" i="1" s="1"/>
  <c r="PD195" i="5"/>
  <c r="Z195" i="5" a="1"/>
  <c r="Z195" i="5" s="1"/>
  <c r="OO200" i="5"/>
  <c r="OY200" i="5"/>
  <c r="X240" i="5"/>
  <c r="ON200" i="5"/>
  <c r="OX200" i="5"/>
  <c r="AA211" i="5"/>
  <c r="AB211" i="5"/>
  <c r="KJ247" i="1"/>
  <c r="KK247" i="1" s="1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RC202" i="1" l="1"/>
  <c r="AL48" i="1"/>
  <c r="HF48" i="1" s="1"/>
  <c r="HX48" i="1" s="1"/>
  <c r="AB213" i="1"/>
  <c r="OR213" i="1" s="1"/>
  <c r="AA131" i="1"/>
  <c r="KC131" i="1" s="1"/>
  <c r="AE131" i="1" s="1" a="1"/>
  <c r="AE131" i="1" s="1"/>
  <c r="AB131" i="1"/>
  <c r="KD131" i="1" s="1"/>
  <c r="AA234" i="4"/>
  <c r="JY234" i="4" s="1"/>
  <c r="Z234" i="4" s="1" a="1"/>
  <c r="Z234" i="4" s="1"/>
  <c r="AA238" i="5"/>
  <c r="KC238" i="5" s="1"/>
  <c r="Z238" i="5" s="1" a="1"/>
  <c r="Z238" i="5" s="1"/>
  <c r="Y239" i="5" s="1" a="1"/>
  <c r="Y239" i="5" s="1"/>
  <c r="AA239" i="5" s="1"/>
  <c r="KC239" i="5" s="1"/>
  <c r="KI248" i="1" a="1"/>
  <c r="KI248" i="1" s="1"/>
  <c r="KJ248" i="1" s="1"/>
  <c r="KK248" i="1" s="1"/>
  <c r="OQ213" i="1"/>
  <c r="PA213" i="1"/>
  <c r="QH202" i="1"/>
  <c r="RD202" i="1"/>
  <c r="QI202" i="1"/>
  <c r="RE202" i="1"/>
  <c r="HU48" i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PB213" i="1" l="1"/>
  <c r="HV48" i="1"/>
  <c r="AE48" i="1" s="1" a="1"/>
  <c r="AE48" i="1" s="1"/>
  <c r="AD49" i="1" s="1" a="1"/>
  <c r="AD49" i="1" s="1"/>
  <c r="Z131" i="1" a="1"/>
  <c r="Z131" i="1" s="1"/>
  <c r="Y132" i="1" s="1" a="1"/>
  <c r="Y132" i="1" s="1"/>
  <c r="Z239" i="5" a="1"/>
  <c r="Z239" i="5" s="1"/>
  <c r="Y240" i="5" s="1" a="1"/>
  <c r="Y240" i="5" s="1"/>
  <c r="AA240" i="5" s="1"/>
  <c r="KC240" i="5" s="1"/>
  <c r="AB239" i="5"/>
  <c r="KD239" i="5" s="1"/>
  <c r="OT213" i="1"/>
  <c r="PD213" i="1"/>
  <c r="OS213" i="1"/>
  <c r="PC213" i="1"/>
  <c r="QK202" i="1"/>
  <c r="RG202" i="1"/>
  <c r="QJ202" i="1"/>
  <c r="RF202" i="1"/>
  <c r="HW48" i="1"/>
  <c r="Z48" i="1" a="1"/>
  <c r="Z48" i="1" s="1"/>
  <c r="Y49" i="1" s="1" a="1"/>
  <c r="Y49" i="1" s="1"/>
  <c r="KI249" i="1" a="1"/>
  <c r="KI249" i="1" s="1"/>
  <c r="KJ249" i="1" s="1"/>
  <c r="KK249" i="1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AJ48" i="1" l="1" a="1"/>
  <c r="AJ48" i="1" s="1"/>
  <c r="AI49" i="1" s="1" a="1"/>
  <c r="AI49" i="1" s="1"/>
  <c r="AL49" i="1" s="1"/>
  <c r="HF49" i="1" s="1"/>
  <c r="AA132" i="1"/>
  <c r="KC132" i="1" s="1"/>
  <c r="AE132" i="1" s="1" a="1"/>
  <c r="AE132" i="1" s="1"/>
  <c r="AB132" i="1"/>
  <c r="KD132" i="1" s="1"/>
  <c r="Z240" i="5" a="1"/>
  <c r="Z240" i="5" s="1"/>
  <c r="Y241" i="5" s="1" a="1"/>
  <c r="Y241" i="5" s="1"/>
  <c r="AB241" i="5" s="1"/>
  <c r="KD241" i="5" s="1"/>
  <c r="AB240" i="5"/>
  <c r="KD240" i="5" s="1"/>
  <c r="OU213" i="1"/>
  <c r="PE213" i="1"/>
  <c r="OV213" i="1"/>
  <c r="PH213" i="1" s="1"/>
  <c r="PF213" i="1"/>
  <c r="QL202" i="1"/>
  <c r="RH202" i="1"/>
  <c r="RI202" i="1"/>
  <c r="QM202" i="1"/>
  <c r="AA49" i="1"/>
  <c r="HG49" i="1" s="1"/>
  <c r="AB49" i="1"/>
  <c r="HH49" i="1" s="1"/>
  <c r="KI250" i="1" a="1"/>
  <c r="KI250" i="1" s="1"/>
  <c r="KJ250" i="1" s="1"/>
  <c r="KK250" i="1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KI251" i="1" a="1"/>
  <c r="KI251" i="1" s="1"/>
  <c r="OZ195" i="4"/>
  <c r="Z195" i="4" a="1"/>
  <c r="Z195" i="4" s="1"/>
  <c r="OK200" i="4"/>
  <c r="OU200" i="4"/>
  <c r="OJ200" i="4"/>
  <c r="OT200" i="4"/>
  <c r="AA211" i="4"/>
  <c r="AB211" i="4"/>
  <c r="AE213" i="1" l="1" a="1"/>
  <c r="AE213" i="1" s="1"/>
  <c r="PG213" i="1"/>
  <c r="Z213" i="1" s="1" a="1"/>
  <c r="Z213" i="1" s="1"/>
  <c r="Y215" i="1" s="1" a="1"/>
  <c r="Y215" i="1" s="1"/>
  <c r="AB215" i="1" s="1"/>
  <c r="AK49" i="1"/>
  <c r="HE49" i="1" s="1"/>
  <c r="Z132" i="1" a="1"/>
  <c r="Z132" i="1" s="1"/>
  <c r="Y133" i="1" s="1" a="1"/>
  <c r="Y133" i="1" s="1"/>
  <c r="AA241" i="5"/>
  <c r="KC241" i="5" s="1"/>
  <c r="Z241" i="5" s="1" a="1"/>
  <c r="Z241" i="5" s="1"/>
  <c r="Y242" i="5" s="1" a="1"/>
  <c r="Y242" i="5" s="1"/>
  <c r="AA242" i="5" s="1"/>
  <c r="KC242" i="5" s="1"/>
  <c r="RK202" i="1"/>
  <c r="QO202" i="1"/>
  <c r="RM202" i="1" s="1"/>
  <c r="RJ202" i="1"/>
  <c r="QN202" i="1"/>
  <c r="HV49" i="1"/>
  <c r="HX49" i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KJ251" i="1"/>
  <c r="KK251" i="1" s="1"/>
  <c r="KI252" i="1" a="1"/>
  <c r="KI252" i="1" s="1"/>
  <c r="OL200" i="4"/>
  <c r="OV200" i="4"/>
  <c r="OQ211" i="4"/>
  <c r="OG211" i="4"/>
  <c r="OM200" i="4"/>
  <c r="OW200" i="4"/>
  <c r="OP211" i="4"/>
  <c r="OF211" i="4"/>
  <c r="HU49" i="1" l="1"/>
  <c r="AE202" i="1" a="1"/>
  <c r="AE202" i="1" s="1"/>
  <c r="AE49" i="1" a="1"/>
  <c r="AE49" i="1" s="1"/>
  <c r="AD50" i="1" s="1" a="1"/>
  <c r="AD50" i="1" s="1"/>
  <c r="AA215" i="1"/>
  <c r="PA215" i="1" s="1"/>
  <c r="AB133" i="1"/>
  <c r="KD133" i="1" s="1"/>
  <c r="AA133" i="1"/>
  <c r="KC133" i="1" s="1"/>
  <c r="AE133" i="1" s="1" a="1"/>
  <c r="AE133" i="1" s="1"/>
  <c r="Z242" i="5" a="1"/>
  <c r="Z242" i="5" s="1"/>
  <c r="AB242" i="5"/>
  <c r="KD242" i="5" s="1"/>
  <c r="OR215" i="1"/>
  <c r="PB215" i="1"/>
  <c r="RL202" i="1"/>
  <c r="Z202" i="1" a="1"/>
  <c r="Z202" i="1" s="1"/>
  <c r="Y233" i="1" s="1" a="1"/>
  <c r="Y233" i="1" s="1"/>
  <c r="HW49" i="1"/>
  <c r="AJ49" i="1" s="1" a="1"/>
  <c r="AJ49" i="1" s="1"/>
  <c r="AI50" i="1" s="1" a="1"/>
  <c r="AI50" i="1" s="1"/>
  <c r="Z49" i="1" a="1"/>
  <c r="Z49" i="1" s="1"/>
  <c r="Y50" i="1" s="1" a="1"/>
  <c r="Y50" i="1" s="1"/>
  <c r="AB244" i="5"/>
  <c r="KD244" i="5" s="1"/>
  <c r="AA244" i="5"/>
  <c r="KC244" i="5" s="1"/>
  <c r="Z244" i="5" s="1" a="1"/>
  <c r="Z244" i="5" s="1"/>
  <c r="Y245" i="5" s="1" a="1"/>
  <c r="Y245" i="5" s="1"/>
  <c r="X246" i="5"/>
  <c r="KJ252" i="1"/>
  <c r="KK252" i="1" s="1"/>
  <c r="OO200" i="4"/>
  <c r="PA200" i="4" s="1"/>
  <c r="OY200" i="4"/>
  <c r="OH211" i="4"/>
  <c r="OR211" i="4"/>
  <c r="OI211" i="4"/>
  <c r="OS211" i="4"/>
  <c r="ON200" i="4"/>
  <c r="OX200" i="4"/>
  <c r="OQ215" i="1" l="1"/>
  <c r="OS215" i="1" s="1"/>
  <c r="Z133" i="1" a="1"/>
  <c r="Z133" i="1" s="1"/>
  <c r="Y134" i="1" s="1" a="1"/>
  <c r="Y134" i="1" s="1"/>
  <c r="OT215" i="1"/>
  <c r="PD215" i="1"/>
  <c r="AB233" i="1"/>
  <c r="KD233" i="1" s="1"/>
  <c r="AA233" i="1"/>
  <c r="KC233" i="1" s="1"/>
  <c r="Z233" i="1" s="1" a="1"/>
  <c r="Z233" i="1" s="1"/>
  <c r="Y234" i="1" s="1" a="1"/>
  <c r="Y234" i="1" s="1"/>
  <c r="AL50" i="1"/>
  <c r="HF50" i="1" s="1"/>
  <c r="AK50" i="1"/>
  <c r="HE50" i="1" s="1"/>
  <c r="AA50" i="1"/>
  <c r="HG50" i="1" s="1"/>
  <c r="AB50" i="1"/>
  <c r="HH50" i="1" s="1"/>
  <c r="KI253" i="1" a="1"/>
  <c r="KI253" i="1" s="1"/>
  <c r="KJ253" i="1" s="1"/>
  <c r="KK253" i="1" s="1"/>
  <c r="AB245" i="5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PC215" i="1" l="1"/>
  <c r="AE50" i="1" a="1"/>
  <c r="AE50" i="1" s="1"/>
  <c r="AD51" i="1" s="1" a="1"/>
  <c r="AD51" i="1" s="1"/>
  <c r="AA134" i="1"/>
  <c r="KC134" i="1" s="1"/>
  <c r="AE134" i="1" s="1" a="1"/>
  <c r="AE134" i="1" s="1"/>
  <c r="AB134" i="1"/>
  <c r="KD134" i="1" s="1"/>
  <c r="OU215" i="1"/>
  <c r="PE215" i="1"/>
  <c r="PF215" i="1"/>
  <c r="OV215" i="1"/>
  <c r="PH215" i="1" s="1"/>
  <c r="AB234" i="1"/>
  <c r="KD234" i="1" s="1"/>
  <c r="AA234" i="1"/>
  <c r="KC234" i="1" s="1"/>
  <c r="Z234" i="1" s="1" a="1"/>
  <c r="Z234" i="1" s="1"/>
  <c r="Y235" i="1" s="1" a="1"/>
  <c r="Y235" i="1" s="1"/>
  <c r="HW50" i="1"/>
  <c r="HU50" i="1"/>
  <c r="HX50" i="1"/>
  <c r="HV50" i="1"/>
  <c r="Z50" i="1" a="1"/>
  <c r="Z50" i="1" s="1"/>
  <c r="AJ50" i="1" a="1"/>
  <c r="AJ50" i="1" s="1"/>
  <c r="AI51" i="1" s="1" a="1"/>
  <c r="AI51" i="1" s="1"/>
  <c r="KI254" i="1" a="1"/>
  <c r="KI254" i="1" s="1"/>
  <c r="KJ254" i="1" s="1"/>
  <c r="KK254" i="1" s="1"/>
  <c r="AB246" i="5"/>
  <c r="KD246" i="5" s="1"/>
  <c r="AA246" i="5"/>
  <c r="KC246" i="5" s="1"/>
  <c r="Z246" i="5" s="1" a="1"/>
  <c r="Z246" i="5" s="1"/>
  <c r="Y247" i="5" s="1" a="1"/>
  <c r="Y247" i="5" s="1"/>
  <c r="X248" i="5"/>
  <c r="KI255" i="1" a="1"/>
  <c r="KI255" i="1" s="1"/>
  <c r="OV211" i="4"/>
  <c r="Z211" i="4" a="1"/>
  <c r="Z211" i="4" s="1"/>
  <c r="AE215" i="1" l="1" a="1"/>
  <c r="AE215" i="1" s="1"/>
  <c r="Z134" i="1" a="1"/>
  <c r="Z134" i="1" s="1"/>
  <c r="Y135" i="1" s="1" a="1"/>
  <c r="Y135" i="1" s="1"/>
  <c r="PG215" i="1"/>
  <c r="Z215" i="1" a="1"/>
  <c r="Z215" i="1" s="1"/>
  <c r="Y221" i="1" s="1" a="1"/>
  <c r="Y221" i="1" s="1"/>
  <c r="Y246" i="1" a="1"/>
  <c r="Y246" i="1" s="1"/>
  <c r="AA235" i="1"/>
  <c r="KC235" i="1" s="1"/>
  <c r="Z235" i="1" s="1" a="1"/>
  <c r="Z235" i="1" s="1"/>
  <c r="Y236" i="1" s="1" a="1"/>
  <c r="Y236" i="1" s="1"/>
  <c r="AB235" i="1"/>
  <c r="KD235" i="1" s="1"/>
  <c r="AL51" i="1"/>
  <c r="HF51" i="1" s="1"/>
  <c r="AK51" i="1"/>
  <c r="HE51" i="1" s="1"/>
  <c r="AB247" i="5"/>
  <c r="KD247" i="5" s="1"/>
  <c r="AA247" i="5"/>
  <c r="KC247" i="5" s="1"/>
  <c r="Z247" i="5" s="1" a="1"/>
  <c r="Z247" i="5" s="1"/>
  <c r="Y248" i="5" s="1" a="1"/>
  <c r="Y248" i="5" s="1"/>
  <c r="X249" i="5"/>
  <c r="KJ255" i="1"/>
  <c r="KK255" i="1" s="1"/>
  <c r="AA135" i="1" l="1"/>
  <c r="KC135" i="1" s="1"/>
  <c r="AE135" i="1" s="1" a="1"/>
  <c r="AE135" i="1" s="1"/>
  <c r="AB135" i="1"/>
  <c r="KD135" i="1" s="1"/>
  <c r="AB221" i="1"/>
  <c r="KD221" i="1" s="1"/>
  <c r="AA221" i="1"/>
  <c r="AA246" i="1"/>
  <c r="KC246" i="1" s="1"/>
  <c r="Z246" i="1" s="1" a="1"/>
  <c r="Z246" i="1" s="1"/>
  <c r="Y247" i="1" s="1" a="1"/>
  <c r="Y247" i="1" s="1"/>
  <c r="AB246" i="1"/>
  <c r="KD246" i="1" s="1"/>
  <c r="AA236" i="1"/>
  <c r="KC236" i="1" s="1"/>
  <c r="Z236" i="1" s="1" a="1"/>
  <c r="Z236" i="1" s="1"/>
  <c r="Y237" i="1" s="1" a="1"/>
  <c r="Y237" i="1" s="1"/>
  <c r="AB236" i="1"/>
  <c r="KD236" i="1" s="1"/>
  <c r="HU51" i="1"/>
  <c r="HX51" i="1"/>
  <c r="HV51" i="1"/>
  <c r="KI256" i="1" a="1"/>
  <c r="KI256" i="1" s="1"/>
  <c r="KJ256" i="1" s="1"/>
  <c r="AB248" i="5"/>
  <c r="KD248" i="5" s="1"/>
  <c r="AA248" i="5"/>
  <c r="KC248" i="5" s="1"/>
  <c r="Z248" i="5" s="1" a="1"/>
  <c r="Z248" i="5" s="1"/>
  <c r="Y249" i="5" s="1" a="1"/>
  <c r="Y249" i="5" s="1"/>
  <c r="X250" i="5"/>
  <c r="Z135" i="1" l="1" a="1"/>
  <c r="Z135" i="1" s="1"/>
  <c r="Y136" i="1" s="1" a="1"/>
  <c r="Y136" i="1" s="1"/>
  <c r="KC221" i="1"/>
  <c r="KA221" i="1"/>
  <c r="AB247" i="1"/>
  <c r="KD247" i="1" s="1"/>
  <c r="AA247" i="1"/>
  <c r="KC247" i="1" s="1"/>
  <c r="AA237" i="1"/>
  <c r="KC237" i="1" s="1"/>
  <c r="Z237" i="1" s="1" a="1"/>
  <c r="Z237" i="1" s="1"/>
  <c r="Y238" i="1" s="1" a="1"/>
  <c r="Y238" i="1" s="1"/>
  <c r="AB237" i="1"/>
  <c r="KD237" i="1" s="1"/>
  <c r="HW51" i="1"/>
  <c r="AE51" i="1" s="1" a="1"/>
  <c r="AE51" i="1" s="1"/>
  <c r="AD52" i="1" s="1" a="1"/>
  <c r="AD52" i="1" s="1"/>
  <c r="AJ51" i="1" a="1"/>
  <c r="AJ51" i="1" s="1"/>
  <c r="AI52" i="1" s="1" a="1"/>
  <c r="AI52" i="1" s="1"/>
  <c r="Z51" i="1" a="1"/>
  <c r="Z51" i="1" s="1"/>
  <c r="Y52" i="1" s="1" a="1"/>
  <c r="Y52" i="1" s="1"/>
  <c r="KK256" i="1"/>
  <c r="KI257" i="1" a="1"/>
  <c r="KI257" i="1" s="1"/>
  <c r="KJ257" i="1" s="1"/>
  <c r="KK257" i="1" s="1"/>
  <c r="AB249" i="5"/>
  <c r="KD249" i="5" s="1"/>
  <c r="AA249" i="5"/>
  <c r="KC249" i="5" s="1"/>
  <c r="Z249" i="5" s="1" a="1"/>
  <c r="Z249" i="5" s="1"/>
  <c r="Y250" i="5" s="1" a="1"/>
  <c r="Y250" i="5" s="1"/>
  <c r="X251" i="5"/>
  <c r="AE221" i="1" l="1" a="1"/>
  <c r="AE221" i="1" s="1"/>
  <c r="KE221" i="1"/>
  <c r="Z221" i="1" s="1" a="1"/>
  <c r="Z221" i="1" s="1"/>
  <c r="Y222" i="1" s="1" a="1"/>
  <c r="Y222" i="1" s="1"/>
  <c r="AA222" i="1" s="1"/>
  <c r="AA136" i="1"/>
  <c r="KC136" i="1" s="1"/>
  <c r="AE136" i="1" s="1" a="1"/>
  <c r="AE136" i="1" s="1"/>
  <c r="AB136" i="1"/>
  <c r="KD136" i="1" s="1"/>
  <c r="Z136" i="1" s="1" a="1"/>
  <c r="Z136" i="1" s="1"/>
  <c r="Y137" i="1" s="1" a="1"/>
  <c r="Y137" i="1" s="1"/>
  <c r="Z247" i="1" a="1"/>
  <c r="Z247" i="1" s="1"/>
  <c r="Y248" i="1" s="1" a="1"/>
  <c r="Y248" i="1" s="1"/>
  <c r="AA248" i="1" s="1"/>
  <c r="KC248" i="1" s="1"/>
  <c r="AA238" i="1"/>
  <c r="KC238" i="1" s="1"/>
  <c r="Z238" i="1" s="1" a="1"/>
  <c r="Z238" i="1" s="1"/>
  <c r="Y239" i="1" s="1" a="1"/>
  <c r="Y239" i="1" s="1"/>
  <c r="AB238" i="1"/>
  <c r="KD238" i="1" s="1"/>
  <c r="AL52" i="1"/>
  <c r="HF52" i="1" s="1"/>
  <c r="AK52" i="1"/>
  <c r="HE52" i="1" s="1"/>
  <c r="AB52" i="1"/>
  <c r="HH52" i="1" s="1"/>
  <c r="AA52" i="1"/>
  <c r="HG52" i="1" s="1"/>
  <c r="KI258" i="1" a="1"/>
  <c r="KI258" i="1" s="1"/>
  <c r="KJ258" i="1" s="1"/>
  <c r="KK258" i="1" s="1"/>
  <c r="AB250" i="5"/>
  <c r="KD250" i="5" s="1"/>
  <c r="AA250" i="5"/>
  <c r="KC250" i="5" s="1"/>
  <c r="Z250" i="5" s="1" a="1"/>
  <c r="Z250" i="5" s="1"/>
  <c r="X252" i="5"/>
  <c r="Y251" i="5" a="1"/>
  <c r="Y251" i="5" s="1"/>
  <c r="KI259" i="1" a="1"/>
  <c r="KI259" i="1" s="1"/>
  <c r="AB222" i="1" l="1"/>
  <c r="KD222" i="1" s="1"/>
  <c r="AA137" i="1"/>
  <c r="KC137" i="1" s="1"/>
  <c r="AE137" i="1" s="1" a="1"/>
  <c r="AE137" i="1" s="1"/>
  <c r="AB137" i="1"/>
  <c r="KD137" i="1" s="1"/>
  <c r="Z248" i="1" a="1"/>
  <c r="Z248" i="1" s="1"/>
  <c r="Y249" i="1" s="1" a="1"/>
  <c r="Y249" i="1" s="1"/>
  <c r="AB249" i="1" s="1"/>
  <c r="KD249" i="1" s="1"/>
  <c r="AB248" i="1"/>
  <c r="KD248" i="1" s="1"/>
  <c r="KC222" i="1"/>
  <c r="KA222" i="1"/>
  <c r="AA239" i="1"/>
  <c r="KC239" i="1" s="1"/>
  <c r="Z239" i="1" s="1" a="1"/>
  <c r="Z239" i="1" s="1"/>
  <c r="Y240" i="1" s="1" a="1"/>
  <c r="Y240" i="1" s="1"/>
  <c r="AB239" i="1"/>
  <c r="KD239" i="1" s="1"/>
  <c r="HU52" i="1"/>
  <c r="HV52" i="1"/>
  <c r="HX52" i="1"/>
  <c r="X253" i="5"/>
  <c r="AB251" i="5"/>
  <c r="KD251" i="5" s="1"/>
  <c r="AA251" i="5"/>
  <c r="KC251" i="5" s="1"/>
  <c r="Z251" i="5" s="1" a="1"/>
  <c r="Z251" i="5" s="1"/>
  <c r="Y252" i="5" s="1" a="1"/>
  <c r="Y252" i="5" s="1"/>
  <c r="KJ259" i="1"/>
  <c r="KK259" i="1" s="1"/>
  <c r="KI260" i="1" a="1"/>
  <c r="KI260" i="1" s="1"/>
  <c r="AE222" i="1" l="1" a="1"/>
  <c r="AE222" i="1" s="1"/>
  <c r="Z137" i="1" a="1"/>
  <c r="Z137" i="1" s="1"/>
  <c r="Y138" i="1" s="1" a="1"/>
  <c r="Y138" i="1" s="1"/>
  <c r="AA249" i="1"/>
  <c r="KC249" i="1" s="1"/>
  <c r="Z249" i="1" s="1" a="1"/>
  <c r="Z249" i="1" s="1"/>
  <c r="Y250" i="1" s="1" a="1"/>
  <c r="Y250" i="1" s="1"/>
  <c r="AB250" i="1" s="1"/>
  <c r="KD250" i="1" s="1"/>
  <c r="Z222" i="1" a="1"/>
  <c r="Z222" i="1" s="1"/>
  <c r="KE222" i="1"/>
  <c r="AB240" i="1"/>
  <c r="KD240" i="1" s="1"/>
  <c r="AA240" i="1"/>
  <c r="KC240" i="1" s="1"/>
  <c r="Z240" i="1" s="1" a="1"/>
  <c r="Z240" i="1" s="1"/>
  <c r="Y241" i="1" s="1" a="1"/>
  <c r="Y241" i="1" s="1"/>
  <c r="HW52" i="1"/>
  <c r="AE52" i="1" s="1" a="1"/>
  <c r="AE52" i="1" s="1"/>
  <c r="Z52" i="1" a="1"/>
  <c r="Z52" i="1" s="1"/>
  <c r="Y53" i="1" s="1" a="1"/>
  <c r="Y53" i="1" s="1"/>
  <c r="AB252" i="5"/>
  <c r="KD252" i="5" s="1"/>
  <c r="AA252" i="5"/>
  <c r="KC252" i="5" s="1"/>
  <c r="Z252" i="5" s="1" a="1"/>
  <c r="Z252" i="5" s="1"/>
  <c r="Y253" i="5" s="1" a="1"/>
  <c r="Y253" i="5" s="1"/>
  <c r="X254" i="5"/>
  <c r="KJ260" i="1"/>
  <c r="KK260" i="1" s="1"/>
  <c r="AJ52" i="1" l="1" a="1"/>
  <c r="AJ52" i="1" s="1"/>
  <c r="AI53" i="1" s="1" a="1"/>
  <c r="AI53" i="1" s="1"/>
  <c r="AK53" i="1" s="1"/>
  <c r="HE53" i="1" s="1"/>
  <c r="AB138" i="1"/>
  <c r="KD138" i="1" s="1"/>
  <c r="AA138" i="1"/>
  <c r="KC138" i="1" s="1"/>
  <c r="AE138" i="1" s="1" a="1"/>
  <c r="AE138" i="1" s="1"/>
  <c r="AA250" i="1"/>
  <c r="KC250" i="1" s="1"/>
  <c r="Z250" i="1" s="1" a="1"/>
  <c r="Z250" i="1" s="1"/>
  <c r="Y251" i="1" s="1" a="1"/>
  <c r="Y251" i="1" s="1"/>
  <c r="AB251" i="1" s="1"/>
  <c r="KD251" i="1" s="1"/>
  <c r="KI261" i="1" a="1"/>
  <c r="KI261" i="1" s="1"/>
  <c r="KJ261" i="1" s="1"/>
  <c r="AB241" i="1"/>
  <c r="KD241" i="1" s="1"/>
  <c r="AA241" i="1"/>
  <c r="KC241" i="1" s="1"/>
  <c r="Z241" i="1" s="1" a="1"/>
  <c r="Z241" i="1" s="1"/>
  <c r="Y242" i="1" s="1" a="1"/>
  <c r="Y242" i="1" s="1"/>
  <c r="AA53" i="1"/>
  <c r="HG53" i="1" s="1"/>
  <c r="AB53" i="1"/>
  <c r="HH53" i="1" s="1"/>
  <c r="AA253" i="5"/>
  <c r="KC253" i="5" s="1"/>
  <c r="Z253" i="5" s="1" a="1"/>
  <c r="Z253" i="5" s="1"/>
  <c r="Y254" i="5" s="1" a="1"/>
  <c r="Y254" i="5" s="1"/>
  <c r="AB253" i="5"/>
  <c r="KD253" i="5" s="1"/>
  <c r="X255" i="5"/>
  <c r="AL53" i="1" l="1"/>
  <c r="HF53" i="1" s="1"/>
  <c r="HX53" i="1" s="1"/>
  <c r="Z138" i="1" a="1"/>
  <c r="Z138" i="1" s="1"/>
  <c r="Y139" i="1" s="1" a="1"/>
  <c r="Y139" i="1" s="1"/>
  <c r="AA251" i="1"/>
  <c r="KC251" i="1" s="1"/>
  <c r="Z251" i="1" s="1" a="1"/>
  <c r="Z251" i="1" s="1"/>
  <c r="Y252" i="1" s="1" a="1"/>
  <c r="Y252" i="1" s="1"/>
  <c r="AA252" i="1" s="1"/>
  <c r="KC252" i="1" s="1"/>
  <c r="KK261" i="1"/>
  <c r="KI262" i="1" a="1"/>
  <c r="KI262" i="1" s="1"/>
  <c r="KJ262" i="1" s="1"/>
  <c r="KK262" i="1" s="1"/>
  <c r="AA242" i="1"/>
  <c r="KC242" i="1" s="1"/>
  <c r="Z242" i="1" s="1" a="1"/>
  <c r="Z242" i="1" s="1"/>
  <c r="AB242" i="1"/>
  <c r="KD242" i="1" s="1"/>
  <c r="HU53" i="1"/>
  <c r="AB254" i="5"/>
  <c r="KD254" i="5" s="1"/>
  <c r="AA254" i="5"/>
  <c r="KC254" i="5" s="1"/>
  <c r="Z254" i="5" s="1" a="1"/>
  <c r="Z254" i="5" s="1"/>
  <c r="Y255" i="5" s="1" a="1"/>
  <c r="Y255" i="5" s="1"/>
  <c r="X256" i="5"/>
  <c r="KI263" i="1" a="1"/>
  <c r="KI263" i="1" s="1"/>
  <c r="HV53" i="1" l="1"/>
  <c r="AA139" i="1"/>
  <c r="KC139" i="1" s="1"/>
  <c r="AE139" i="1" s="1" a="1"/>
  <c r="AE139" i="1" s="1"/>
  <c r="AB139" i="1"/>
  <c r="KD139" i="1" s="1"/>
  <c r="Z139" i="1" s="1" a="1"/>
  <c r="Z139" i="1" s="1"/>
  <c r="Y140" i="1" s="1" a="1"/>
  <c r="Y140" i="1" s="1"/>
  <c r="Z252" i="1" a="1"/>
  <c r="Z252" i="1" s="1"/>
  <c r="Y253" i="1" s="1" a="1"/>
  <c r="Y253" i="1" s="1"/>
  <c r="AA253" i="1" s="1"/>
  <c r="KC253" i="1" s="1"/>
  <c r="AB252" i="1"/>
  <c r="KD252" i="1" s="1"/>
  <c r="HW53" i="1"/>
  <c r="AE53" i="1" s="1" a="1"/>
  <c r="AE53" i="1" s="1"/>
  <c r="AD54" i="1" s="1" a="1"/>
  <c r="AD54" i="1" s="1"/>
  <c r="AJ53" i="1" a="1"/>
  <c r="AJ53" i="1" s="1"/>
  <c r="AI54" i="1" s="1" a="1"/>
  <c r="AI54" i="1" s="1"/>
  <c r="Z53" i="1" a="1"/>
  <c r="Z53" i="1" s="1"/>
  <c r="Y54" i="1" s="1" a="1"/>
  <c r="Y54" i="1" s="1"/>
  <c r="AB255" i="5"/>
  <c r="KD255" i="5" s="1"/>
  <c r="AA255" i="5"/>
  <c r="KC255" i="5" s="1"/>
  <c r="Z255" i="5" s="1" a="1"/>
  <c r="Z255" i="5" s="1"/>
  <c r="Y256" i="5" s="1" a="1"/>
  <c r="Y256" i="5" s="1"/>
  <c r="X257" i="5"/>
  <c r="KJ263" i="1"/>
  <c r="KK263" i="1" s="1"/>
  <c r="KI264" i="1" a="1"/>
  <c r="KI264" i="1" s="1"/>
  <c r="AA140" i="1" l="1"/>
  <c r="KC140" i="1" s="1"/>
  <c r="AE140" i="1" s="1" a="1"/>
  <c r="AE140" i="1" s="1"/>
  <c r="AB140" i="1"/>
  <c r="KD140" i="1" s="1"/>
  <c r="Z253" i="1" a="1"/>
  <c r="Z253" i="1" s="1"/>
  <c r="Y254" i="1" s="1" a="1"/>
  <c r="Y254" i="1" s="1"/>
  <c r="AA254" i="1" s="1"/>
  <c r="KC254" i="1" s="1"/>
  <c r="AB253" i="1"/>
  <c r="KD253" i="1" s="1"/>
  <c r="AL54" i="1"/>
  <c r="HF54" i="1" s="1"/>
  <c r="AK54" i="1"/>
  <c r="HE54" i="1" s="1"/>
  <c r="AA54" i="1"/>
  <c r="HG54" i="1" s="1"/>
  <c r="AB54" i="1"/>
  <c r="HH54" i="1" s="1"/>
  <c r="AB256" i="5"/>
  <c r="KD256" i="5" s="1"/>
  <c r="AA256" i="5"/>
  <c r="KC256" i="5" s="1"/>
  <c r="Z256" i="5" s="1" a="1"/>
  <c r="Z256" i="5" s="1"/>
  <c r="Y257" i="5" s="1" a="1"/>
  <c r="Y257" i="5" s="1"/>
  <c r="X258" i="5"/>
  <c r="KJ264" i="1"/>
  <c r="KK264" i="1" s="1"/>
  <c r="Z140" i="1" l="1" a="1"/>
  <c r="Z140" i="1" s="1"/>
  <c r="Y141" i="1" s="1" a="1"/>
  <c r="Y141" i="1" s="1"/>
  <c r="Z254" i="1" a="1"/>
  <c r="Z254" i="1" s="1"/>
  <c r="Y255" i="1" s="1" a="1"/>
  <c r="Y255" i="1" s="1"/>
  <c r="AA255" i="1" s="1"/>
  <c r="KC255" i="1" s="1"/>
  <c r="AB254" i="1"/>
  <c r="KD254" i="1" s="1"/>
  <c r="HU54" i="1"/>
  <c r="HX54" i="1"/>
  <c r="HV54" i="1"/>
  <c r="KI265" i="1" a="1"/>
  <c r="KI265" i="1" s="1"/>
  <c r="KJ265" i="1" s="1"/>
  <c r="AB257" i="5"/>
  <c r="KD257" i="5" s="1"/>
  <c r="AA257" i="5"/>
  <c r="KC257" i="5" s="1"/>
  <c r="Z257" i="5" s="1" a="1"/>
  <c r="Z257" i="5" s="1"/>
  <c r="Y258" i="5" s="1" a="1"/>
  <c r="Y258" i="5" s="1"/>
  <c r="X259" i="5"/>
  <c r="AA141" i="1" l="1"/>
  <c r="KC141" i="1" s="1"/>
  <c r="AE141" i="1" s="1" a="1"/>
  <c r="AE141" i="1" s="1"/>
  <c r="AB141" i="1"/>
  <c r="KD141" i="1" s="1"/>
  <c r="Z255" i="1" a="1"/>
  <c r="Z255" i="1" s="1"/>
  <c r="Y256" i="1" s="1" a="1"/>
  <c r="Y256" i="1" s="1"/>
  <c r="AA256" i="1" s="1"/>
  <c r="KC256" i="1" s="1"/>
  <c r="AB255" i="1"/>
  <c r="KD255" i="1" s="1"/>
  <c r="HW54" i="1"/>
  <c r="AE54" i="1" s="1" a="1"/>
  <c r="AE54" i="1" s="1"/>
  <c r="AD55" i="1" s="1" a="1"/>
  <c r="AD55" i="1" s="1"/>
  <c r="Z54" i="1" a="1"/>
  <c r="Z54" i="1" s="1"/>
  <c r="Y55" i="1" s="1" a="1"/>
  <c r="Y55" i="1" s="1"/>
  <c r="KK265" i="1"/>
  <c r="KI266" i="1" a="1"/>
  <c r="KI266" i="1" s="1"/>
  <c r="KJ266" i="1" s="1"/>
  <c r="KK266" i="1" s="1"/>
  <c r="AB258" i="5"/>
  <c r="KD258" i="5" s="1"/>
  <c r="AA258" i="5"/>
  <c r="KC258" i="5" s="1"/>
  <c r="Z258" i="5" s="1" a="1"/>
  <c r="Z258" i="5" s="1"/>
  <c r="X260" i="5"/>
  <c r="Y259" i="5" a="1"/>
  <c r="Y259" i="5" s="1"/>
  <c r="AJ54" i="1" l="1" a="1"/>
  <c r="AJ54" i="1" s="1"/>
  <c r="AI55" i="1" s="1" a="1"/>
  <c r="AI55" i="1" s="1"/>
  <c r="AL55" i="1" s="1"/>
  <c r="HF55" i="1" s="1"/>
  <c r="Z141" i="1" a="1"/>
  <c r="Z141" i="1" s="1"/>
  <c r="Y142" i="1" s="1" a="1"/>
  <c r="Y142" i="1" s="1"/>
  <c r="Z256" i="1" a="1"/>
  <c r="Z256" i="1" s="1"/>
  <c r="Y257" i="1" s="1" a="1"/>
  <c r="Y257" i="1" s="1"/>
  <c r="AB257" i="1" s="1"/>
  <c r="KD257" i="1" s="1"/>
  <c r="AB256" i="1"/>
  <c r="KD256" i="1" s="1"/>
  <c r="AB55" i="1"/>
  <c r="HH55" i="1" s="1"/>
  <c r="AA55" i="1"/>
  <c r="HG55" i="1" s="1"/>
  <c r="AB259" i="5"/>
  <c r="KD259" i="5" s="1"/>
  <c r="AA259" i="5"/>
  <c r="KC259" i="5" s="1"/>
  <c r="Z259" i="5" s="1" a="1"/>
  <c r="Z259" i="5" s="1"/>
  <c r="Y260" i="5" s="1" a="1"/>
  <c r="Y260" i="5" s="1"/>
  <c r="X261" i="5"/>
  <c r="AK55" i="1" l="1"/>
  <c r="HE55" i="1" s="1"/>
  <c r="AA142" i="1"/>
  <c r="KC142" i="1" s="1"/>
  <c r="AE142" i="1" s="1" a="1"/>
  <c r="AE142" i="1" s="1"/>
  <c r="AB142" i="1"/>
  <c r="KD142" i="1" s="1"/>
  <c r="Z142" i="1" s="1" a="1"/>
  <c r="Z142" i="1" s="1"/>
  <c r="Y143" i="1" s="1" a="1"/>
  <c r="Y143" i="1" s="1"/>
  <c r="AA257" i="1"/>
  <c r="KC257" i="1" s="1"/>
  <c r="Z257" i="1" s="1" a="1"/>
  <c r="Z257" i="1" s="1"/>
  <c r="Y258" i="1" s="1" a="1"/>
  <c r="Y258" i="1" s="1"/>
  <c r="AA258" i="1" s="1"/>
  <c r="KC258" i="1" s="1"/>
  <c r="HV55" i="1"/>
  <c r="HX55" i="1"/>
  <c r="AA260" i="5"/>
  <c r="KC260" i="5" s="1"/>
  <c r="Z260" i="5" s="1" a="1"/>
  <c r="Z260" i="5" s="1"/>
  <c r="Y261" i="5" s="1" a="1"/>
  <c r="Y261" i="5" s="1"/>
  <c r="AB260" i="5"/>
  <c r="KD260" i="5" s="1"/>
  <c r="X262" i="5"/>
  <c r="HU55" i="1" l="1"/>
  <c r="AE55" i="1" a="1"/>
  <c r="AE55" i="1" s="1"/>
  <c r="AA143" i="1"/>
  <c r="KC143" i="1" s="1"/>
  <c r="AE143" i="1" s="1" a="1"/>
  <c r="AE143" i="1" s="1"/>
  <c r="AB143" i="1"/>
  <c r="KD143" i="1" s="1"/>
  <c r="Z143" i="1" s="1" a="1"/>
  <c r="Z143" i="1" s="1"/>
  <c r="Y144" i="1" s="1" a="1"/>
  <c r="Y144" i="1" s="1"/>
  <c r="Z258" i="1" a="1"/>
  <c r="Z258" i="1" s="1"/>
  <c r="Y259" i="1" s="1" a="1"/>
  <c r="Y259" i="1" s="1"/>
  <c r="AA259" i="1" s="1"/>
  <c r="KC259" i="1" s="1"/>
  <c r="AB258" i="1"/>
  <c r="KD258" i="1" s="1"/>
  <c r="HW55" i="1"/>
  <c r="AJ55" i="1" s="1" a="1"/>
  <c r="AJ55" i="1" s="1"/>
  <c r="Z55" i="1" a="1"/>
  <c r="Z55" i="1" s="1"/>
  <c r="AB261" i="5"/>
  <c r="KD261" i="5" s="1"/>
  <c r="AA261" i="5"/>
  <c r="KC261" i="5" s="1"/>
  <c r="Z261" i="5" s="1" a="1"/>
  <c r="Z261" i="5" s="1"/>
  <c r="Y262" i="5" s="1" a="1"/>
  <c r="Y262" i="5" s="1"/>
  <c r="X263" i="5"/>
  <c r="AA144" i="1" l="1"/>
  <c r="KC144" i="1" s="1"/>
  <c r="AE144" i="1" s="1" a="1"/>
  <c r="AE144" i="1" s="1"/>
  <c r="AB144" i="1"/>
  <c r="KD144" i="1" s="1"/>
  <c r="Z144" i="1" s="1" a="1"/>
  <c r="Z144" i="1" s="1"/>
  <c r="Y145" i="1" s="1" a="1"/>
  <c r="Y145" i="1" s="1"/>
  <c r="Z259" i="1" a="1"/>
  <c r="Z259" i="1" s="1"/>
  <c r="Y260" i="1" s="1" a="1"/>
  <c r="Y260" i="1" s="1"/>
  <c r="AB260" i="1" s="1"/>
  <c r="KD260" i="1" s="1"/>
  <c r="AB259" i="1"/>
  <c r="KD259" i="1" s="1"/>
  <c r="AB262" i="5"/>
  <c r="KD262" i="5" s="1"/>
  <c r="AA262" i="5"/>
  <c r="KC262" i="5" s="1"/>
  <c r="Z262" i="5" s="1" a="1"/>
  <c r="Z262" i="5" s="1"/>
  <c r="Y263" i="5" s="1" a="1"/>
  <c r="Y263" i="5" s="1"/>
  <c r="X264" i="5"/>
  <c r="AA145" i="1" l="1"/>
  <c r="KC145" i="1" s="1"/>
  <c r="AE145" i="1" s="1" a="1"/>
  <c r="AE145" i="1" s="1"/>
  <c r="AB145" i="1"/>
  <c r="KD145" i="1" s="1"/>
  <c r="Z145" i="1" s="1" a="1"/>
  <c r="Z145" i="1" s="1"/>
  <c r="Y146" i="1" s="1" a="1"/>
  <c r="Y146" i="1" s="1"/>
  <c r="AA260" i="1"/>
  <c r="KC260" i="1" s="1"/>
  <c r="Z260" i="1" s="1" a="1"/>
  <c r="Z260" i="1" s="1"/>
  <c r="Y261" i="1" s="1" a="1"/>
  <c r="Y261" i="1" s="1"/>
  <c r="AA261" i="1" s="1"/>
  <c r="KC261" i="1" s="1"/>
  <c r="AB263" i="5"/>
  <c r="KD263" i="5" s="1"/>
  <c r="AA263" i="5"/>
  <c r="KC263" i="5" s="1"/>
  <c r="Z263" i="5" s="1" a="1"/>
  <c r="Z263" i="5" s="1"/>
  <c r="Y264" i="5" s="1" a="1"/>
  <c r="Y264" i="5" s="1"/>
  <c r="X265" i="5"/>
  <c r="AA146" i="1" l="1"/>
  <c r="KC146" i="1" s="1"/>
  <c r="AE146" i="1" s="1" a="1"/>
  <c r="AE146" i="1" s="1"/>
  <c r="AB146" i="1"/>
  <c r="KD146" i="1" s="1"/>
  <c r="Z261" i="1" a="1"/>
  <c r="Z261" i="1" s="1"/>
  <c r="Y262" i="1" s="1" a="1"/>
  <c r="Y262" i="1" s="1"/>
  <c r="AB262" i="1" s="1"/>
  <c r="KD262" i="1" s="1"/>
  <c r="AB261" i="1"/>
  <c r="KD261" i="1" s="1"/>
  <c r="AB264" i="5"/>
  <c r="KD264" i="5" s="1"/>
  <c r="AA264" i="5"/>
  <c r="KC264" i="5" s="1"/>
  <c r="Z264" i="5" s="1" a="1"/>
  <c r="Z264" i="5" s="1"/>
  <c r="Y265" i="5" s="1" a="1"/>
  <c r="Y265" i="5" s="1"/>
  <c r="X266" i="5"/>
  <c r="Z146" i="1" l="1" a="1"/>
  <c r="Z146" i="1" s="1"/>
  <c r="Y147" i="1" s="1" a="1"/>
  <c r="Y147" i="1" s="1"/>
  <c r="AA262" i="1"/>
  <c r="KC262" i="1" s="1"/>
  <c r="Z262" i="1" s="1" a="1"/>
  <c r="Z262" i="1" s="1"/>
  <c r="Y263" i="1" s="1" a="1"/>
  <c r="Y263" i="1" s="1"/>
  <c r="AB263" i="1" s="1"/>
  <c r="KD263" i="1" s="1"/>
  <c r="AB265" i="5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AA147" i="1" l="1"/>
  <c r="KC147" i="1" s="1"/>
  <c r="AE147" i="1" s="1" a="1"/>
  <c r="AE147" i="1" s="1"/>
  <c r="AB147" i="1"/>
  <c r="KD147" i="1" s="1"/>
  <c r="AA263" i="1"/>
  <c r="KC263" i="1" s="1"/>
  <c r="Z263" i="1" s="1" a="1"/>
  <c r="Z263" i="1" s="1"/>
  <c r="Y264" i="1" s="1" a="1"/>
  <c r="Y264" i="1" s="1"/>
  <c r="AB264" i="1" s="1"/>
  <c r="KD264" i="1" s="1"/>
  <c r="AB266" i="5"/>
  <c r="KD266" i="5" s="1"/>
  <c r="AA266" i="5"/>
  <c r="KC266" i="5" s="1"/>
  <c r="Z266" i="5" s="1" a="1"/>
  <c r="Z266" i="5" s="1"/>
  <c r="Y267" i="5" a="1"/>
  <c r="Y267" i="5" s="1"/>
  <c r="X271" i="5" a="1"/>
  <c r="X271" i="5" s="1"/>
  <c r="Z147" i="1" l="1" a="1"/>
  <c r="Z147" i="1" s="1"/>
  <c r="Y148" i="1" s="1" a="1"/>
  <c r="Y148" i="1" s="1"/>
  <c r="AA264" i="1"/>
  <c r="KC264" i="1" s="1"/>
  <c r="Z264" i="1" s="1" a="1"/>
  <c r="Z264" i="1" s="1"/>
  <c r="Y265" i="1" s="1" a="1"/>
  <c r="Y265" i="1" s="1"/>
  <c r="AB265" i="1" s="1"/>
  <c r="KD265" i="1" s="1"/>
  <c r="AB267" i="5"/>
  <c r="HH267" i="5" s="1"/>
  <c r="AA267" i="5"/>
  <c r="HG267" i="5" s="1"/>
  <c r="X273" i="5" a="1"/>
  <c r="X273" i="5" s="1"/>
  <c r="AA148" i="1" l="1"/>
  <c r="KC148" i="1" s="1"/>
  <c r="AE148" i="1" s="1" a="1"/>
  <c r="AE148" i="1" s="1"/>
  <c r="AB148" i="1"/>
  <c r="KD148" i="1" s="1"/>
  <c r="AA265" i="1"/>
  <c r="KC265" i="1" s="1"/>
  <c r="Z265" i="1" s="1" a="1"/>
  <c r="Z265" i="1" s="1"/>
  <c r="Y266" i="1" s="1" a="1"/>
  <c r="Y266" i="1" s="1"/>
  <c r="AA266" i="1" s="1"/>
  <c r="KC266" i="1" s="1"/>
  <c r="Z267" i="5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Z148" i="1" l="1" a="1"/>
  <c r="Z148" i="1" s="1"/>
  <c r="Y149" i="1" s="1" a="1"/>
  <c r="Y149" i="1" s="1"/>
  <c r="Z266" i="1" a="1"/>
  <c r="Z266" i="1" s="1"/>
  <c r="Y267" i="1" s="1" a="1"/>
  <c r="Y267" i="1" s="1"/>
  <c r="AB267" i="1" s="1"/>
  <c r="HH267" i="1" s="1"/>
  <c r="AB266" i="1"/>
  <c r="KD266" i="1" s="1"/>
  <c r="AF268" i="5"/>
  <c r="AG268" i="5"/>
  <c r="AI268" i="5" a="1"/>
  <c r="AI268" i="5" s="1"/>
  <c r="AA269" i="5"/>
  <c r="HG269" i="5" s="1"/>
  <c r="AB269" i="5"/>
  <c r="HH269" i="5" s="1"/>
  <c r="X277" i="5" a="1"/>
  <c r="X277" i="5" s="1"/>
  <c r="AA149" i="1" l="1"/>
  <c r="KC149" i="1" s="1"/>
  <c r="AE149" i="1" s="1" a="1"/>
  <c r="AE149" i="1" s="1"/>
  <c r="AB149" i="1"/>
  <c r="KD149" i="1" s="1"/>
  <c r="AA267" i="1"/>
  <c r="HG267" i="1" s="1"/>
  <c r="AJ267" i="1" a="1"/>
  <c r="AJ267" i="1" s="1"/>
  <c r="AH268" i="1" s="1"/>
  <c r="AE267" i="1" a="1"/>
  <c r="AE267" i="1" s="1"/>
  <c r="AD268" i="1" s="1" a="1"/>
  <c r="AD268" i="1" s="1"/>
  <c r="Z267" i="1" a="1"/>
  <c r="Z267" i="1" s="1"/>
  <c r="Y269" i="1" s="1" a="1"/>
  <c r="Y269" i="1" s="1"/>
  <c r="BG268" i="5"/>
  <c r="BU268" i="5"/>
  <c r="BF268" i="5"/>
  <c r="BT268" i="5"/>
  <c r="X279" i="5" a="1"/>
  <c r="X279" i="5" s="1"/>
  <c r="X281" i="5" s="1" a="1"/>
  <c r="X281" i="5" s="1"/>
  <c r="AL268" i="5"/>
  <c r="AK268" i="5"/>
  <c r="Z149" i="1" l="1" a="1"/>
  <c r="Z149" i="1" s="1"/>
  <c r="Y150" i="1" s="1" a="1"/>
  <c r="Y150" i="1" s="1"/>
  <c r="AB269" i="1"/>
  <c r="HH269" i="1" s="1"/>
  <c r="AA269" i="1"/>
  <c r="HG269" i="1" s="1"/>
  <c r="AF268" i="1"/>
  <c r="AG268" i="1"/>
  <c r="AI268" i="1" a="1"/>
  <c r="AI268" i="1" s="1"/>
  <c r="BQ268" i="5"/>
  <c r="CG268" i="5"/>
  <c r="BP268" i="5"/>
  <c r="CF268" i="5"/>
  <c r="BI268" i="5"/>
  <c r="BW268" i="5"/>
  <c r="BV268" i="5"/>
  <c r="BH268" i="5"/>
  <c r="AA150" i="1" l="1"/>
  <c r="KC150" i="1" s="1"/>
  <c r="AE150" i="1" s="1" a="1"/>
  <c r="AE150" i="1" s="1"/>
  <c r="AB150" i="1"/>
  <c r="KD150" i="1" s="1"/>
  <c r="AL268" i="1"/>
  <c r="AK268" i="1"/>
  <c r="BU268" i="1"/>
  <c r="BG268" i="1"/>
  <c r="BF268" i="1"/>
  <c r="BT268" i="1"/>
  <c r="BR268" i="5"/>
  <c r="CJ268" i="5" s="1"/>
  <c r="CH268" i="5"/>
  <c r="BS268" i="5"/>
  <c r="CK268" i="5" s="1"/>
  <c r="CI268" i="5"/>
  <c r="BK268" i="5"/>
  <c r="BY268" i="5"/>
  <c r="BX268" i="5"/>
  <c r="BJ268" i="5"/>
  <c r="Z150" i="1" l="1" a="1"/>
  <c r="Z150" i="1" s="1"/>
  <c r="Y151" i="1" s="1" a="1"/>
  <c r="Y151" i="1" s="1"/>
  <c r="BV268" i="1"/>
  <c r="BH268" i="1"/>
  <c r="BI268" i="1"/>
  <c r="BW268" i="1"/>
  <c r="BP268" i="1"/>
  <c r="CF268" i="1"/>
  <c r="BQ268" i="1"/>
  <c r="CG268" i="1"/>
  <c r="BM268" i="5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B151" i="1" l="1"/>
  <c r="KD151" i="1" s="1"/>
  <c r="AA151" i="1"/>
  <c r="KC151" i="1" s="1"/>
  <c r="AE151" i="1" s="1" a="1"/>
  <c r="AE151" i="1" s="1"/>
  <c r="BS268" i="1"/>
  <c r="CK268" i="1" s="1"/>
  <c r="CI268" i="1"/>
  <c r="BR268" i="1"/>
  <c r="CJ268" i="1" s="1"/>
  <c r="CH268" i="1"/>
  <c r="BK268" i="1"/>
  <c r="BY268" i="1"/>
  <c r="BJ268" i="1"/>
  <c r="BX268" i="1"/>
  <c r="AI269" i="5" a="1"/>
  <c r="AI269" i="5" s="1"/>
  <c r="AG269" i="5"/>
  <c r="AF269" i="5"/>
  <c r="Z151" i="1" l="1" a="1"/>
  <c r="Z151" i="1" s="1"/>
  <c r="Y152" i="1" s="1" a="1"/>
  <c r="Y152" i="1" s="1"/>
  <c r="BZ268" i="1"/>
  <c r="BL268" i="1"/>
  <c r="CB268" i="1" s="1"/>
  <c r="AE268" i="1" a="1"/>
  <c r="AE268" i="1" s="1"/>
  <c r="AD269" i="1" s="1" a="1"/>
  <c r="AD269" i="1" s="1"/>
  <c r="AJ268" i="1" a="1"/>
  <c r="AJ268" i="1" s="1"/>
  <c r="AH269" i="1" s="1"/>
  <c r="BM268" i="1"/>
  <c r="CC268" i="1" s="1"/>
  <c r="CA268" i="1"/>
  <c r="GU269" i="5"/>
  <c r="HI269" i="5"/>
  <c r="GV269" i="5"/>
  <c r="HJ269" i="5"/>
  <c r="AK269" i="5"/>
  <c r="AL269" i="5"/>
  <c r="AA152" i="1" l="1"/>
  <c r="KC152" i="1" s="1"/>
  <c r="AE152" i="1" s="1" a="1"/>
  <c r="AE152" i="1" s="1"/>
  <c r="AB152" i="1"/>
  <c r="KD152" i="1" s="1"/>
  <c r="Z152" i="1" s="1" a="1"/>
  <c r="Z152" i="1" s="1"/>
  <c r="Y153" i="1" s="1" a="1"/>
  <c r="Y153" i="1" s="1"/>
  <c r="AI269" i="1" a="1"/>
  <c r="AI269" i="1" s="1"/>
  <c r="AG269" i="1"/>
  <c r="AF269" i="1"/>
  <c r="HF269" i="5"/>
  <c r="HX269" i="5" s="1"/>
  <c r="HV269" i="5"/>
  <c r="HE269" i="5"/>
  <c r="HW269" i="5" s="1"/>
  <c r="HU269" i="5"/>
  <c r="GX269" i="5"/>
  <c r="HL269" i="5"/>
  <c r="GW269" i="5"/>
  <c r="HK269" i="5"/>
  <c r="AA153" i="1" l="1"/>
  <c r="KC153" i="1" s="1"/>
  <c r="AE153" i="1" s="1" a="1"/>
  <c r="AE153" i="1" s="1"/>
  <c r="AB153" i="1"/>
  <c r="KD153" i="1" s="1"/>
  <c r="HI269" i="1"/>
  <c r="GU269" i="1"/>
  <c r="HJ269" i="1"/>
  <c r="GV269" i="1"/>
  <c r="AL269" i="1"/>
  <c r="AK269" i="1"/>
  <c r="GY269" i="5"/>
  <c r="HM269" i="5"/>
  <c r="GZ269" i="5"/>
  <c r="HN269" i="5"/>
  <c r="Z153" i="1" l="1" a="1"/>
  <c r="Z153" i="1" s="1"/>
  <c r="Y154" i="1" s="1" a="1"/>
  <c r="Y154" i="1" s="1"/>
  <c r="HE269" i="1"/>
  <c r="HW269" i="1" s="1"/>
  <c r="HU269" i="1"/>
  <c r="HF269" i="1"/>
  <c r="HX269" i="1" s="1"/>
  <c r="HV269" i="1"/>
  <c r="GX269" i="1"/>
  <c r="HL269" i="1"/>
  <c r="GW269" i="1"/>
  <c r="HK269" i="1"/>
  <c r="HB269" i="5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A154" i="1" l="1"/>
  <c r="KC154" i="1" s="1"/>
  <c r="AE154" i="1" s="1" a="1"/>
  <c r="AE154" i="1" s="1"/>
  <c r="AB154" i="1"/>
  <c r="KD154" i="1" s="1"/>
  <c r="HM269" i="1"/>
  <c r="GY269" i="1"/>
  <c r="GZ269" i="1"/>
  <c r="HN269" i="1"/>
  <c r="AB271" i="5"/>
  <c r="HH271" i="5" s="1"/>
  <c r="AA271" i="5"/>
  <c r="HG271" i="5" s="1"/>
  <c r="AI270" i="5" a="1"/>
  <c r="AI270" i="5" s="1"/>
  <c r="AG270" i="5"/>
  <c r="AF270" i="5"/>
  <c r="Z154" i="1" l="1" a="1"/>
  <c r="Z154" i="1" s="1"/>
  <c r="Y155" i="1" s="1" a="1"/>
  <c r="Y155" i="1" s="1"/>
  <c r="HP269" i="1"/>
  <c r="HB269" i="1"/>
  <c r="HR269" i="1" s="1"/>
  <c r="HO269" i="1"/>
  <c r="HA269" i="1"/>
  <c r="HQ269" i="1" s="1"/>
  <c r="AE269" i="1" a="1"/>
  <c r="AE269" i="1" s="1"/>
  <c r="AD270" i="1" s="1" a="1"/>
  <c r="AD270" i="1" s="1"/>
  <c r="Z269" i="1" a="1"/>
  <c r="Z269" i="1" s="1"/>
  <c r="Y271" i="1" s="1" a="1"/>
  <c r="Y271" i="1" s="1"/>
  <c r="AJ269" i="1" a="1"/>
  <c r="AJ269" i="1" s="1"/>
  <c r="AH270" i="1" s="1"/>
  <c r="AL270" i="5"/>
  <c r="AK270" i="5"/>
  <c r="BF270" i="5"/>
  <c r="BT270" i="5"/>
  <c r="BG270" i="5"/>
  <c r="BU270" i="5"/>
  <c r="AA155" i="1" l="1"/>
  <c r="KC155" i="1" s="1"/>
  <c r="AE155" i="1" s="1" a="1"/>
  <c r="AE155" i="1" s="1"/>
  <c r="AB155" i="1"/>
  <c r="KD155" i="1" s="1"/>
  <c r="AI270" i="1" a="1"/>
  <c r="AI270" i="1" s="1"/>
  <c r="AB271" i="1"/>
  <c r="HH271" i="1" s="1"/>
  <c r="AA271" i="1"/>
  <c r="HG271" i="1" s="1"/>
  <c r="AF270" i="1"/>
  <c r="AG270" i="1"/>
  <c r="BH270" i="5"/>
  <c r="BV270" i="5"/>
  <c r="BQ270" i="5"/>
  <c r="CG270" i="5"/>
  <c r="BI270" i="5"/>
  <c r="BW270" i="5"/>
  <c r="BP270" i="5"/>
  <c r="CF270" i="5"/>
  <c r="Z155" i="1" l="1" a="1"/>
  <c r="Z155" i="1" s="1"/>
  <c r="Y156" i="1" s="1" a="1"/>
  <c r="Y156" i="1" s="1"/>
  <c r="BU270" i="1"/>
  <c r="BG270" i="1"/>
  <c r="BT270" i="1"/>
  <c r="BF270" i="1"/>
  <c r="AK270" i="1"/>
  <c r="AL270" i="1"/>
  <c r="BK270" i="5"/>
  <c r="BY270" i="5"/>
  <c r="BS270" i="5"/>
  <c r="CK270" i="5" s="1"/>
  <c r="CI270" i="5"/>
  <c r="BR270" i="5"/>
  <c r="CJ270" i="5" s="1"/>
  <c r="CH270" i="5"/>
  <c r="BJ270" i="5"/>
  <c r="BX270" i="5"/>
  <c r="AA156" i="1" l="1"/>
  <c r="KC156" i="1" s="1"/>
  <c r="AE156" i="1" s="1" a="1"/>
  <c r="AE156" i="1" s="1"/>
  <c r="AB156" i="1"/>
  <c r="KD156" i="1" s="1"/>
  <c r="BQ270" i="1"/>
  <c r="CG270" i="1"/>
  <c r="BV270" i="1"/>
  <c r="BH270" i="1"/>
  <c r="BP270" i="1"/>
  <c r="CF270" i="1"/>
  <c r="BI270" i="1"/>
  <c r="BW270" i="1"/>
  <c r="BL270" i="5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Z156" i="1" l="1" a="1"/>
  <c r="Z156" i="1" s="1"/>
  <c r="Y157" i="1" s="1" a="1"/>
  <c r="Y157" i="1" s="1"/>
  <c r="BK270" i="1"/>
  <c r="BY270" i="1"/>
  <c r="BJ270" i="1"/>
  <c r="BX270" i="1"/>
  <c r="BR270" i="1"/>
  <c r="CJ270" i="1" s="1"/>
  <c r="CH270" i="1"/>
  <c r="BS270" i="1"/>
  <c r="CK270" i="1" s="1"/>
  <c r="CI270" i="1"/>
  <c r="AI271" i="5" a="1"/>
  <c r="AI271" i="5" s="1"/>
  <c r="AB157" i="1" l="1"/>
  <c r="KD157" i="1" s="1"/>
  <c r="AA157" i="1"/>
  <c r="KC157" i="1" s="1"/>
  <c r="AE157" i="1" s="1" a="1"/>
  <c r="AE157" i="1" s="1"/>
  <c r="BL270" i="1"/>
  <c r="CB270" i="1" s="1"/>
  <c r="BZ270" i="1"/>
  <c r="AJ270" i="1" a="1"/>
  <c r="AJ270" i="1" s="1"/>
  <c r="AH271" i="1" s="1"/>
  <c r="AE270" i="1" a="1"/>
  <c r="AE270" i="1" s="1"/>
  <c r="AD271" i="1" s="1" a="1"/>
  <c r="AD271" i="1" s="1"/>
  <c r="CA270" i="1"/>
  <c r="BM270" i="1"/>
  <c r="CC270" i="1" s="1"/>
  <c r="AL271" i="5"/>
  <c r="AK271" i="5"/>
  <c r="Z157" i="1" l="1" a="1"/>
  <c r="Z157" i="1" s="1"/>
  <c r="Y158" i="1" s="1" a="1"/>
  <c r="Y158" i="1" s="1"/>
  <c r="AF271" i="1"/>
  <c r="AG271" i="1"/>
  <c r="AI271" i="1" a="1"/>
  <c r="AI271" i="1" s="1"/>
  <c r="HE271" i="5"/>
  <c r="HU271" i="5"/>
  <c r="HF271" i="5"/>
  <c r="HX271" i="5" s="1"/>
  <c r="HV271" i="5"/>
  <c r="AA158" i="1" l="1"/>
  <c r="KC158" i="1" s="1"/>
  <c r="AE158" i="1" s="1" a="1"/>
  <c r="AE158" i="1" s="1"/>
  <c r="AB158" i="1"/>
  <c r="KD158" i="1" s="1"/>
  <c r="Z158" i="1" s="1" a="1"/>
  <c r="Z158" i="1" s="1"/>
  <c r="Y159" i="1" s="1" a="1"/>
  <c r="Y159" i="1" s="1"/>
  <c r="AK271" i="1"/>
  <c r="AL271" i="1"/>
  <c r="GV271" i="1"/>
  <c r="HJ271" i="1"/>
  <c r="HI271" i="1"/>
  <c r="GU271" i="1"/>
  <c r="AE271" i="5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A159" i="1" l="1"/>
  <c r="KC159" i="1" s="1"/>
  <c r="AE159" i="1" s="1" a="1"/>
  <c r="AE159" i="1" s="1"/>
  <c r="AB159" i="1"/>
  <c r="KD159" i="1" s="1"/>
  <c r="GW271" i="1"/>
  <c r="HK271" i="1"/>
  <c r="HL271" i="1"/>
  <c r="GX271" i="1"/>
  <c r="HF271" i="1"/>
  <c r="HX271" i="1" s="1"/>
  <c r="HV271" i="1"/>
  <c r="HE271" i="1"/>
  <c r="HW271" i="1" s="1"/>
  <c r="HU271" i="1"/>
  <c r="AI272" i="5" a="1"/>
  <c r="AI272" i="5" s="1"/>
  <c r="AB273" i="5"/>
  <c r="HH273" i="5" s="1"/>
  <c r="AA273" i="5"/>
  <c r="HG273" i="5" s="1"/>
  <c r="AD272" i="5" a="1"/>
  <c r="AD272" i="5" s="1"/>
  <c r="CE272" i="5"/>
  <c r="CD272" i="5"/>
  <c r="Z159" i="1" l="1" a="1"/>
  <c r="Z159" i="1" s="1"/>
  <c r="Y160" i="1" s="1" a="1"/>
  <c r="Y160" i="1" s="1"/>
  <c r="GZ271" i="1"/>
  <c r="HN271" i="1"/>
  <c r="GY271" i="1"/>
  <c r="HM271" i="1"/>
  <c r="AF272" i="5"/>
  <c r="AG272" i="5"/>
  <c r="AL272" i="5"/>
  <c r="AK272" i="5"/>
  <c r="AA160" i="1" l="1"/>
  <c r="KC160" i="1" s="1"/>
  <c r="AE160" i="1" s="1" a="1"/>
  <c r="AE160" i="1" s="1"/>
  <c r="AB160" i="1"/>
  <c r="KD160" i="1" s="1"/>
  <c r="Z160" i="1" s="1" a="1"/>
  <c r="Z160" i="1" s="1"/>
  <c r="Y161" i="1" s="1" a="1"/>
  <c r="Y161" i="1" s="1"/>
  <c r="HO271" i="1"/>
  <c r="HA271" i="1"/>
  <c r="HQ271" i="1" s="1"/>
  <c r="AE271" i="1" a="1"/>
  <c r="AE271" i="1" s="1"/>
  <c r="AC272" i="1" s="1"/>
  <c r="AJ271" i="1" a="1"/>
  <c r="AJ271" i="1" s="1"/>
  <c r="AH272" i="1" s="1"/>
  <c r="HP271" i="1"/>
  <c r="HB271" i="1"/>
  <c r="HR271" i="1" s="1"/>
  <c r="Z271" i="1" s="1" a="1"/>
  <c r="Z271" i="1" s="1"/>
  <c r="Y273" i="1" s="1" a="1"/>
  <c r="Y273" i="1" s="1"/>
  <c r="BG272" i="5"/>
  <c r="BU272" i="5"/>
  <c r="BQ272" i="5"/>
  <c r="CG272" i="5"/>
  <c r="BP272" i="5"/>
  <c r="CF272" i="5"/>
  <c r="BF272" i="5"/>
  <c r="BT272" i="5"/>
  <c r="AA161" i="1" l="1"/>
  <c r="KC161" i="1" s="1"/>
  <c r="AE161" i="1" s="1" a="1"/>
  <c r="AE161" i="1" s="1"/>
  <c r="AB161" i="1"/>
  <c r="KD161" i="1" s="1"/>
  <c r="AI272" i="1" a="1"/>
  <c r="AI272" i="1" s="1"/>
  <c r="AD272" i="1" a="1"/>
  <c r="AD272" i="1" s="1"/>
  <c r="CD272" i="1"/>
  <c r="CE272" i="1"/>
  <c r="AA273" i="1"/>
  <c r="HG273" i="1" s="1"/>
  <c r="AB273" i="1"/>
  <c r="HH273" i="1" s="1"/>
  <c r="BH272" i="5"/>
  <c r="BV272" i="5"/>
  <c r="BS272" i="5"/>
  <c r="CK272" i="5" s="1"/>
  <c r="CI272" i="5"/>
  <c r="BR272" i="5"/>
  <c r="CJ272" i="5" s="1"/>
  <c r="CH272" i="5"/>
  <c r="BI272" i="5"/>
  <c r="BW272" i="5"/>
  <c r="Z161" i="1" l="1" a="1"/>
  <c r="Z161" i="1" s="1"/>
  <c r="Y162" i="1" s="1" a="1"/>
  <c r="Y162" i="1" s="1"/>
  <c r="AG272" i="1"/>
  <c r="AF272" i="1"/>
  <c r="AK272" i="1"/>
  <c r="AL272" i="1"/>
  <c r="BK272" i="5"/>
  <c r="BY272" i="5"/>
  <c r="BJ272" i="5"/>
  <c r="BX272" i="5"/>
  <c r="AB162" i="1" l="1"/>
  <c r="KD162" i="1" s="1"/>
  <c r="AA162" i="1"/>
  <c r="KC162" i="1" s="1"/>
  <c r="AE162" i="1" s="1" a="1"/>
  <c r="AE162" i="1" s="1"/>
  <c r="BP272" i="1"/>
  <c r="CF272" i="1"/>
  <c r="BF272" i="1"/>
  <c r="BT272" i="1"/>
  <c r="BQ272" i="1"/>
  <c r="CG272" i="1"/>
  <c r="BG272" i="1"/>
  <c r="BU272" i="1"/>
  <c r="BL272" i="5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Z162" i="1" l="1" a="1"/>
  <c r="Z162" i="1" s="1"/>
  <c r="Y163" i="1" s="1" a="1"/>
  <c r="Y163" i="1" s="1"/>
  <c r="BS272" i="1"/>
  <c r="CK272" i="1" s="1"/>
  <c r="CI272" i="1"/>
  <c r="BH272" i="1"/>
  <c r="BV272" i="1"/>
  <c r="BI272" i="1"/>
  <c r="BW272" i="1"/>
  <c r="BR272" i="1"/>
  <c r="CJ272" i="1" s="1"/>
  <c r="CH272" i="1"/>
  <c r="AI273" i="5" a="1"/>
  <c r="AI273" i="5" s="1"/>
  <c r="HS273" i="5"/>
  <c r="AD273" i="5" a="1"/>
  <c r="AD273" i="5" s="1"/>
  <c r="HT273" i="5"/>
  <c r="AA163" i="1" l="1"/>
  <c r="KC163" i="1" s="1"/>
  <c r="AE163" i="1" s="1" a="1"/>
  <c r="AE163" i="1" s="1"/>
  <c r="AB163" i="1"/>
  <c r="KD163" i="1" s="1"/>
  <c r="BK272" i="1"/>
  <c r="BY272" i="1"/>
  <c r="BJ272" i="1"/>
  <c r="BX272" i="1"/>
  <c r="AG273" i="5"/>
  <c r="AF273" i="5"/>
  <c r="AL273" i="5"/>
  <c r="AK273" i="5"/>
  <c r="Z163" i="1" l="1" a="1"/>
  <c r="Z163" i="1" s="1"/>
  <c r="Y164" i="1" s="1" a="1"/>
  <c r="Y164" i="1" s="1"/>
  <c r="BL272" i="1"/>
  <c r="CB272" i="1" s="1"/>
  <c r="BZ272" i="1"/>
  <c r="AJ272" i="1" a="1"/>
  <c r="AJ272" i="1" s="1"/>
  <c r="AH273" i="1" s="1"/>
  <c r="AE272" i="1" a="1"/>
  <c r="AE272" i="1" s="1"/>
  <c r="AC273" i="1" s="1"/>
  <c r="BM272" i="1"/>
  <c r="CC272" i="1" s="1"/>
  <c r="CA272" i="1"/>
  <c r="HF273" i="5"/>
  <c r="HX273" i="5" s="1"/>
  <c r="HV273" i="5"/>
  <c r="HE273" i="5"/>
  <c r="HW273" i="5" s="1"/>
  <c r="HU273" i="5"/>
  <c r="GU273" i="5"/>
  <c r="HI273" i="5"/>
  <c r="GV273" i="5"/>
  <c r="HJ273" i="5"/>
  <c r="AA164" i="1" l="1"/>
  <c r="KC164" i="1" s="1"/>
  <c r="AE164" i="1" s="1" a="1"/>
  <c r="AE164" i="1" s="1"/>
  <c r="AB164" i="1"/>
  <c r="KD164" i="1" s="1"/>
  <c r="Z164" i="1" s="1" a="1"/>
  <c r="Z164" i="1" s="1"/>
  <c r="Y165" i="1" s="1" a="1"/>
  <c r="Y165" i="1" s="1"/>
  <c r="HT273" i="1"/>
  <c r="HS273" i="1"/>
  <c r="AD273" i="1" a="1"/>
  <c r="AD273" i="1" s="1"/>
  <c r="AI273" i="1" a="1"/>
  <c r="AI273" i="1" s="1"/>
  <c r="GW273" i="5"/>
  <c r="HK273" i="5"/>
  <c r="GX273" i="5"/>
  <c r="HL273" i="5"/>
  <c r="AA165" i="1" l="1"/>
  <c r="KC165" i="1" s="1"/>
  <c r="AE165" i="1" s="1" a="1"/>
  <c r="AE165" i="1" s="1"/>
  <c r="AB165" i="1"/>
  <c r="KD165" i="1" s="1"/>
  <c r="AK273" i="1"/>
  <c r="AL273" i="1"/>
  <c r="AF273" i="1"/>
  <c r="AG273" i="1"/>
  <c r="GZ273" i="5"/>
  <c r="HN273" i="5"/>
  <c r="GY273" i="5"/>
  <c r="HM273" i="5"/>
  <c r="Z165" i="1" l="1" a="1"/>
  <c r="Z165" i="1" s="1"/>
  <c r="Y170" i="1" s="1" a="1"/>
  <c r="Y170" i="1" s="1"/>
  <c r="GV273" i="1"/>
  <c r="HJ273" i="1"/>
  <c r="GU273" i="1"/>
  <c r="HI273" i="1"/>
  <c r="HF273" i="1"/>
  <c r="HX273" i="1" s="1"/>
  <c r="HV273" i="1"/>
  <c r="HE273" i="1"/>
  <c r="HW273" i="1" s="1"/>
  <c r="HU273" i="1"/>
  <c r="HA273" i="5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AA170" i="1" l="1"/>
  <c r="LP170" i="1" s="1"/>
  <c r="AE170" i="1" s="1" a="1"/>
  <c r="AE170" i="1" s="1"/>
  <c r="AB170" i="1"/>
  <c r="LQ170" i="1" s="1"/>
  <c r="GW273" i="1"/>
  <c r="HK273" i="1"/>
  <c r="GX273" i="1"/>
  <c r="HL273" i="1"/>
  <c r="CE274" i="5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Z170" i="1" l="1" a="1"/>
  <c r="Z170" i="1" s="1"/>
  <c r="Y171" i="1" s="1" a="1"/>
  <c r="Y171" i="1" s="1"/>
  <c r="GZ273" i="1"/>
  <c r="HN273" i="1"/>
  <c r="GY273" i="1"/>
  <c r="HM273" i="1"/>
  <c r="AG274" i="5"/>
  <c r="AF274" i="5"/>
  <c r="AL275" i="5"/>
  <c r="AK275" i="5"/>
  <c r="AG275" i="5"/>
  <c r="AF275" i="5"/>
  <c r="AL274" i="5"/>
  <c r="AK274" i="5"/>
  <c r="AA171" i="1" l="1"/>
  <c r="LP171" i="1" s="1"/>
  <c r="AE171" i="1" s="1" a="1"/>
  <c r="AE171" i="1" s="1"/>
  <c r="AB171" i="1"/>
  <c r="LQ171" i="1" s="1"/>
  <c r="Z171" i="1" s="1" a="1"/>
  <c r="Z171" i="1" s="1"/>
  <c r="Y172" i="1" s="1" a="1"/>
  <c r="Y172" i="1" s="1"/>
  <c r="HA273" i="1"/>
  <c r="HQ273" i="1" s="1"/>
  <c r="HO273" i="1"/>
  <c r="Z273" i="1" a="1"/>
  <c r="Z273" i="1" s="1"/>
  <c r="Y275" i="1" s="1" a="1"/>
  <c r="Y275" i="1" s="1"/>
  <c r="AE273" i="1" a="1"/>
  <c r="AE273" i="1" s="1"/>
  <c r="AC274" i="1" s="1"/>
  <c r="AJ273" i="1" a="1"/>
  <c r="AJ273" i="1" s="1"/>
  <c r="AH274" i="1" s="1"/>
  <c r="HB273" i="1"/>
  <c r="HR273" i="1" s="1"/>
  <c r="HP273" i="1"/>
  <c r="BP274" i="5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AA172" i="1" l="1"/>
  <c r="LP172" i="1" s="1"/>
  <c r="AE172" i="1" s="1" a="1"/>
  <c r="AE172" i="1" s="1"/>
  <c r="AB172" i="1"/>
  <c r="LQ172" i="1" s="1"/>
  <c r="Z172" i="1" s="1" a="1"/>
  <c r="Z172" i="1" s="1"/>
  <c r="Y173" i="1" s="1" a="1"/>
  <c r="Y173" i="1" s="1"/>
  <c r="AI274" i="1" a="1"/>
  <c r="AI274" i="1" s="1"/>
  <c r="AI275" i="1" a="1"/>
  <c r="AI275" i="1" s="1"/>
  <c r="CD274" i="1"/>
  <c r="CE274" i="1"/>
  <c r="AD274" i="1" a="1"/>
  <c r="AD274" i="1" s="1"/>
  <c r="AD275" i="1" a="1"/>
  <c r="AD275" i="1" s="1"/>
  <c r="AB275" i="1"/>
  <c r="HH275" i="1" s="1"/>
  <c r="AA275" i="1"/>
  <c r="HG275" i="1" s="1"/>
  <c r="HL275" i="5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AA173" i="1" l="1"/>
  <c r="LP173" i="1" s="1"/>
  <c r="AE173" i="1" s="1" a="1"/>
  <c r="AE173" i="1" s="1"/>
  <c r="AB173" i="1"/>
  <c r="LQ173" i="1" s="1"/>
  <c r="Z173" i="1" s="1" a="1"/>
  <c r="Z173" i="1" s="1"/>
  <c r="Y174" i="1" s="1" a="1"/>
  <c r="Y174" i="1" s="1"/>
  <c r="AF275" i="1"/>
  <c r="AG275" i="1"/>
  <c r="AK275" i="1"/>
  <c r="AL275" i="1"/>
  <c r="AF274" i="1"/>
  <c r="AG274" i="1"/>
  <c r="AK274" i="1"/>
  <c r="AL274" i="1"/>
  <c r="BJ274" i="5"/>
  <c r="BX274" i="5"/>
  <c r="BK274" i="5"/>
  <c r="BY274" i="5"/>
  <c r="HM275" i="5"/>
  <c r="GY275" i="5"/>
  <c r="HN275" i="5"/>
  <c r="GZ275" i="5"/>
  <c r="AA174" i="1" l="1"/>
  <c r="LP174" i="1" s="1"/>
  <c r="AE174" i="1" s="1" a="1"/>
  <c r="AE174" i="1" s="1"/>
  <c r="AB174" i="1"/>
  <c r="LQ174" i="1" s="1"/>
  <c r="BQ274" i="1"/>
  <c r="CG274" i="1"/>
  <c r="BP274" i="1"/>
  <c r="CF274" i="1"/>
  <c r="HV275" i="1"/>
  <c r="HF275" i="1"/>
  <c r="HX275" i="1" s="1"/>
  <c r="HE275" i="1"/>
  <c r="HW275" i="1" s="1"/>
  <c r="HU275" i="1"/>
  <c r="GV275" i="1"/>
  <c r="HJ275" i="1"/>
  <c r="BG274" i="1"/>
  <c r="BU274" i="1"/>
  <c r="BF274" i="1"/>
  <c r="BT274" i="1"/>
  <c r="GU275" i="1"/>
  <c r="HI275" i="1"/>
  <c r="HO275" i="5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Z174" i="1" l="1" a="1"/>
  <c r="Z174" i="1" s="1"/>
  <c r="Y175" i="1" s="1" a="1"/>
  <c r="Y175" i="1" s="1"/>
  <c r="BI274" i="1"/>
  <c r="BW274" i="1"/>
  <c r="GX275" i="1"/>
  <c r="HL275" i="1"/>
  <c r="HK275" i="1"/>
  <c r="GW275" i="1"/>
  <c r="BR274" i="1"/>
  <c r="CJ274" i="1" s="1"/>
  <c r="CH274" i="1"/>
  <c r="BH274" i="1"/>
  <c r="BV274" i="1"/>
  <c r="BS274" i="1"/>
  <c r="CK274" i="1" s="1"/>
  <c r="CI274" i="1"/>
  <c r="AA277" i="5"/>
  <c r="HG277" i="5" s="1"/>
  <c r="AB277" i="5"/>
  <c r="HH277" i="5" s="1"/>
  <c r="AI276" i="5" a="1"/>
  <c r="AI276" i="5" s="1"/>
  <c r="CE276" i="5"/>
  <c r="CD276" i="5"/>
  <c r="AD276" i="5" a="1"/>
  <c r="AD276" i="5" s="1"/>
  <c r="AA175" i="1" l="1"/>
  <c r="LP175" i="1" s="1"/>
  <c r="AE175" i="1" s="1" a="1"/>
  <c r="AE175" i="1" s="1"/>
  <c r="AB175" i="1"/>
  <c r="LQ175" i="1" s="1"/>
  <c r="BJ274" i="1"/>
  <c r="BX274" i="1"/>
  <c r="GY275" i="1"/>
  <c r="HM275" i="1"/>
  <c r="GZ275" i="1"/>
  <c r="HN275" i="1"/>
  <c r="BK274" i="1"/>
  <c r="BY274" i="1"/>
  <c r="AL276" i="5"/>
  <c r="AK276" i="5"/>
  <c r="AF276" i="5"/>
  <c r="AG276" i="5"/>
  <c r="Z175" i="1" l="1" a="1"/>
  <c r="Z175" i="1" s="1"/>
  <c r="Y176" i="1" s="1" a="1"/>
  <c r="Y176" i="1" s="1"/>
  <c r="HB275" i="1"/>
  <c r="HR275" i="1" s="1"/>
  <c r="HP275" i="1"/>
  <c r="HA275" i="1"/>
  <c r="HQ275" i="1" s="1"/>
  <c r="HO275" i="1"/>
  <c r="AE275" i="1" a="1"/>
  <c r="AE275" i="1" s="1"/>
  <c r="AC276" i="1" s="1"/>
  <c r="Z275" i="1" a="1"/>
  <c r="Z275" i="1" s="1"/>
  <c r="Y277" i="1" s="1" a="1"/>
  <c r="Y277" i="1" s="1"/>
  <c r="AJ275" i="1" a="1"/>
  <c r="AJ275" i="1" s="1"/>
  <c r="AH276" i="1" s="1"/>
  <c r="BM274" i="1"/>
  <c r="CC274" i="1" s="1"/>
  <c r="CA274" i="1"/>
  <c r="BL274" i="1"/>
  <c r="CB274" i="1" s="1"/>
  <c r="BZ274" i="1"/>
  <c r="AJ274" i="1" a="1"/>
  <c r="AJ274" i="1" s="1"/>
  <c r="AE274" i="1" a="1"/>
  <c r="AE274" i="1" s="1"/>
  <c r="BP276" i="5"/>
  <c r="CF276" i="5"/>
  <c r="BG276" i="5"/>
  <c r="BU276" i="5"/>
  <c r="BF276" i="5"/>
  <c r="BT276" i="5"/>
  <c r="BQ276" i="5"/>
  <c r="CG276" i="5"/>
  <c r="AB176" i="1" l="1"/>
  <c r="LQ176" i="1" s="1"/>
  <c r="AA176" i="1"/>
  <c r="LP176" i="1" s="1"/>
  <c r="AE176" i="1" s="1" a="1"/>
  <c r="AE176" i="1" s="1"/>
  <c r="AD276" i="1" a="1"/>
  <c r="AD276" i="1" s="1"/>
  <c r="CD276" i="1"/>
  <c r="CE276" i="1"/>
  <c r="AI276" i="1" a="1"/>
  <c r="AI276" i="1" s="1"/>
  <c r="AB277" i="1"/>
  <c r="HH277" i="1" s="1"/>
  <c r="AA277" i="1"/>
  <c r="HG277" i="1" s="1"/>
  <c r="BS276" i="5"/>
  <c r="CK276" i="5" s="1"/>
  <c r="CI276" i="5"/>
  <c r="BI276" i="5"/>
  <c r="BW276" i="5"/>
  <c r="BH276" i="5"/>
  <c r="BV276" i="5"/>
  <c r="BR276" i="5"/>
  <c r="CJ276" i="5" s="1"/>
  <c r="CH276" i="5"/>
  <c r="Z176" i="1" l="1" a="1"/>
  <c r="Z176" i="1" s="1"/>
  <c r="Y179" i="1" s="1" a="1"/>
  <c r="Y179" i="1" s="1"/>
  <c r="AK276" i="1"/>
  <c r="AL276" i="1"/>
  <c r="AF276" i="1"/>
  <c r="AG276" i="1"/>
  <c r="BJ276" i="5"/>
  <c r="BX276" i="5"/>
  <c r="BK276" i="5"/>
  <c r="BY276" i="5"/>
  <c r="AB179" i="1" l="1"/>
  <c r="NH179" i="1" s="1"/>
  <c r="AA179" i="1"/>
  <c r="NG179" i="1" s="1"/>
  <c r="AE179" i="1" s="1" a="1"/>
  <c r="AE179" i="1" s="1"/>
  <c r="BG276" i="1"/>
  <c r="BU276" i="1"/>
  <c r="BF276" i="1"/>
  <c r="BT276" i="1"/>
  <c r="BP276" i="1"/>
  <c r="CF276" i="1"/>
  <c r="BQ276" i="1"/>
  <c r="CG276" i="1"/>
  <c r="BM276" i="5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Z179" i="1" l="1" a="1"/>
  <c r="Z179" i="1" s="1"/>
  <c r="Y180" i="1" s="1" a="1"/>
  <c r="Y180" i="1" s="1"/>
  <c r="BR276" i="1"/>
  <c r="CJ276" i="1" s="1"/>
  <c r="CH276" i="1"/>
  <c r="BV276" i="1"/>
  <c r="BH276" i="1"/>
  <c r="BS276" i="1"/>
  <c r="CK276" i="1" s="1"/>
  <c r="CI276" i="1"/>
  <c r="BI276" i="1"/>
  <c r="BW276" i="1"/>
  <c r="AI277" i="5" a="1"/>
  <c r="AI277" i="5" s="1"/>
  <c r="HS277" i="5"/>
  <c r="AD277" i="5" a="1"/>
  <c r="AD277" i="5" s="1"/>
  <c r="HT277" i="5"/>
  <c r="AA180" i="1" l="1"/>
  <c r="AB180" i="1"/>
  <c r="BJ276" i="1"/>
  <c r="BX276" i="1"/>
  <c r="BK276" i="1"/>
  <c r="BY276" i="1"/>
  <c r="AG277" i="5"/>
  <c r="AF277" i="5"/>
  <c r="AL277" i="5"/>
  <c r="AK277" i="5"/>
  <c r="BM276" i="1" l="1"/>
  <c r="CC276" i="1" s="1"/>
  <c r="CA276" i="1"/>
  <c r="BL276" i="1"/>
  <c r="CB276" i="1" s="1"/>
  <c r="BZ276" i="1"/>
  <c r="AJ276" i="1" a="1"/>
  <c r="AJ276" i="1" s="1"/>
  <c r="AH277" i="1" s="1"/>
  <c r="AE276" i="1" a="1"/>
  <c r="AE276" i="1" s="1"/>
  <c r="AC277" i="1" s="1"/>
  <c r="GU277" i="5"/>
  <c r="HI277" i="5"/>
  <c r="HE277" i="5"/>
  <c r="HW277" i="5" s="1"/>
  <c r="HU277" i="5"/>
  <c r="HF277" i="5"/>
  <c r="HX277" i="5" s="1"/>
  <c r="HV277" i="5"/>
  <c r="GV277" i="5"/>
  <c r="HJ277" i="5"/>
  <c r="HS277" i="1" l="1"/>
  <c r="HT277" i="1"/>
  <c r="AD277" i="1" a="1"/>
  <c r="AD277" i="1" s="1"/>
  <c r="AI277" i="1" a="1"/>
  <c r="AI277" i="1" s="1"/>
  <c r="GX277" i="5"/>
  <c r="HL277" i="5"/>
  <c r="GW277" i="5"/>
  <c r="HK277" i="5"/>
  <c r="AG277" i="1" l="1"/>
  <c r="AF277" i="1"/>
  <c r="AK277" i="1"/>
  <c r="AL277" i="1"/>
  <c r="GY277" i="5"/>
  <c r="HM277" i="5"/>
  <c r="GZ277" i="5"/>
  <c r="HN277" i="5"/>
  <c r="HF277" i="1" l="1"/>
  <c r="HX277" i="1" s="1"/>
  <c r="HV277" i="1"/>
  <c r="HE277" i="1"/>
  <c r="HW277" i="1" s="1"/>
  <c r="HU277" i="1"/>
  <c r="GU277" i="1"/>
  <c r="HI277" i="1"/>
  <c r="GV277" i="1"/>
  <c r="HJ277" i="1"/>
  <c r="HB277" i="5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GX277" i="1" l="1"/>
  <c r="HL277" i="1"/>
  <c r="GW277" i="1"/>
  <c r="HK277" i="1"/>
  <c r="CE278" i="5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GZ277" i="1" l="1"/>
  <c r="HN277" i="1"/>
  <c r="GY277" i="1"/>
  <c r="HM277" i="1"/>
  <c r="AL278" i="5"/>
  <c r="AK278" i="5"/>
  <c r="AG278" i="5"/>
  <c r="AF278" i="5"/>
  <c r="AF279" i="5"/>
  <c r="AG279" i="5"/>
  <c r="HA277" i="1" l="1"/>
  <c r="HO277" i="1"/>
  <c r="HB277" i="1"/>
  <c r="HR277" i="1" s="1"/>
  <c r="HP277" i="1"/>
  <c r="HI279" i="5"/>
  <c r="GU279" i="5"/>
  <c r="BP278" i="5"/>
  <c r="CF278" i="5"/>
  <c r="BG278" i="5"/>
  <c r="BU278" i="5"/>
  <c r="HJ279" i="5"/>
  <c r="GV279" i="5"/>
  <c r="BF278" i="5"/>
  <c r="BT278" i="5"/>
  <c r="BQ278" i="5"/>
  <c r="CG278" i="5"/>
  <c r="HQ277" i="1" l="1"/>
  <c r="Z277" i="1" a="1"/>
  <c r="Z277" i="1" s="1"/>
  <c r="Y279" i="1" s="1" a="1"/>
  <c r="Y279" i="1" s="1"/>
  <c r="AE277" i="1" a="1"/>
  <c r="AE277" i="1" s="1"/>
  <c r="AC278" i="1" s="1"/>
  <c r="AJ277" i="1" a="1"/>
  <c r="AJ277" i="1" s="1"/>
  <c r="AH278" i="1" s="1"/>
  <c r="BS278" i="5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AI278" i="1" l="1" a="1"/>
  <c r="AI278" i="1" s="1"/>
  <c r="CE278" i="1"/>
  <c r="AD278" i="1" a="1"/>
  <c r="AD278" i="1" s="1"/>
  <c r="CD278" i="1"/>
  <c r="AB279" i="1"/>
  <c r="HH279" i="1" s="1"/>
  <c r="AA279" i="1"/>
  <c r="HG279" i="1" s="1"/>
  <c r="HM279" i="5"/>
  <c r="GY279" i="5"/>
  <c r="HN279" i="5"/>
  <c r="GZ279" i="5"/>
  <c r="BK278" i="5"/>
  <c r="BY278" i="5"/>
  <c r="BJ278" i="5"/>
  <c r="BX278" i="5"/>
  <c r="AL278" i="1" l="1"/>
  <c r="BQ278" i="1" s="1"/>
  <c r="BS278" i="1" s="1"/>
  <c r="AK278" i="1"/>
  <c r="AF278" i="1"/>
  <c r="AG278" i="1"/>
  <c r="BM278" i="5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CG278" i="1" l="1"/>
  <c r="BG278" i="1"/>
  <c r="BU278" i="1"/>
  <c r="BF278" i="1"/>
  <c r="BT278" i="1"/>
  <c r="BP278" i="1"/>
  <c r="CF278" i="1"/>
  <c r="CI278" i="1"/>
  <c r="CK278" i="1"/>
  <c r="AI279" i="5" a="1"/>
  <c r="AI279" i="5" s="1"/>
  <c r="BR278" i="1" l="1"/>
  <c r="CJ278" i="1" s="1"/>
  <c r="CH278" i="1"/>
  <c r="BV278" i="1"/>
  <c r="BH278" i="1"/>
  <c r="BW278" i="1"/>
  <c r="BI278" i="1"/>
  <c r="AL279" i="5"/>
  <c r="AK279" i="5"/>
  <c r="AD279" i="1" a="1"/>
  <c r="AD279" i="1" s="1"/>
  <c r="BK278" i="1" l="1"/>
  <c r="BY278" i="1"/>
  <c r="BX278" i="1"/>
  <c r="BJ278" i="1"/>
  <c r="HE279" i="5"/>
  <c r="HU279" i="5"/>
  <c r="HF279" i="5"/>
  <c r="HX279" i="5" s="1"/>
  <c r="HV279" i="5"/>
  <c r="AF279" i="1"/>
  <c r="AG279" i="1"/>
  <c r="BL278" i="1" l="1"/>
  <c r="BZ278" i="1"/>
  <c r="CA278" i="1"/>
  <c r="BM278" i="1"/>
  <c r="CC278" i="1" s="1"/>
  <c r="AE279" i="5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GV279" i="1"/>
  <c r="HJ279" i="1"/>
  <c r="GU279" i="1"/>
  <c r="HI279" i="1"/>
  <c r="CB278" i="1" l="1"/>
  <c r="AE278" i="1" a="1"/>
  <c r="AE278" i="1" s="1"/>
  <c r="AJ278" i="1" a="1"/>
  <c r="AJ278" i="1" s="1"/>
  <c r="AH279" i="1" s="1"/>
  <c r="AI280" i="5" a="1"/>
  <c r="AI280" i="5" s="1"/>
  <c r="AB281" i="5"/>
  <c r="HH281" i="5" s="1"/>
  <c r="AA281" i="5"/>
  <c r="HG281" i="5" s="1"/>
  <c r="CE280" i="5"/>
  <c r="CD280" i="5"/>
  <c r="AD280" i="5" a="1"/>
  <c r="AD280" i="5" s="1"/>
  <c r="GW279" i="1"/>
  <c r="HK279" i="1"/>
  <c r="GX279" i="1"/>
  <c r="HL279" i="1"/>
  <c r="AI279" i="1" l="1" a="1"/>
  <c r="AI279" i="1" s="1"/>
  <c r="AL280" i="5"/>
  <c r="AK280" i="5"/>
  <c r="AG280" i="5"/>
  <c r="AF280" i="5"/>
  <c r="GZ279" i="1"/>
  <c r="HN279" i="1"/>
  <c r="GY279" i="1"/>
  <c r="HM279" i="1"/>
  <c r="AK279" i="1" l="1"/>
  <c r="AL279" i="1"/>
  <c r="BG280" i="5"/>
  <c r="BU280" i="5"/>
  <c r="BP280" i="5"/>
  <c r="CF280" i="5"/>
  <c r="BF280" i="5"/>
  <c r="BT280" i="5"/>
  <c r="BQ280" i="5"/>
  <c r="CG280" i="5"/>
  <c r="HA279" i="1"/>
  <c r="HO279" i="1"/>
  <c r="HB279" i="1"/>
  <c r="HP279" i="1"/>
  <c r="HF279" i="1" l="1"/>
  <c r="HX279" i="1" s="1"/>
  <c r="HV279" i="1"/>
  <c r="HE279" i="1"/>
  <c r="HW279" i="1" s="1"/>
  <c r="HU279" i="1"/>
  <c r="BS280" i="5"/>
  <c r="CK280" i="5" s="1"/>
  <c r="CI280" i="5"/>
  <c r="BR280" i="5"/>
  <c r="CJ280" i="5" s="1"/>
  <c r="CH280" i="5"/>
  <c r="BH280" i="5"/>
  <c r="BV280" i="5"/>
  <c r="BI280" i="5"/>
  <c r="BW280" i="5"/>
  <c r="HR279" i="1"/>
  <c r="HQ279" i="1"/>
  <c r="BJ280" i="5" l="1"/>
  <c r="BX280" i="5"/>
  <c r="BK280" i="5"/>
  <c r="BY280" i="5"/>
  <c r="AJ279" i="1" a="1"/>
  <c r="AJ279" i="1" s="1"/>
  <c r="AE279" i="1" a="1"/>
  <c r="AE279" i="1" s="1"/>
  <c r="Z279" i="1" a="1"/>
  <c r="Z279" i="1" s="1"/>
  <c r="Y281" i="1" s="1" a="1"/>
  <c r="Y281" i="1" s="1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AH280" i="1"/>
  <c r="AI280" i="1" s="1" a="1"/>
  <c r="AI280" i="1" s="1"/>
  <c r="AA281" i="1"/>
  <c r="HG281" i="1" s="1"/>
  <c r="AB281" i="1"/>
  <c r="HH281" i="1" s="1"/>
  <c r="AC280" i="1"/>
  <c r="AL280" i="1" l="1"/>
  <c r="BQ280" i="1" s="1"/>
  <c r="BS280" i="1" s="1"/>
  <c r="AK280" i="1"/>
  <c r="BP280" i="1" s="1"/>
  <c r="BR280" i="1" s="1"/>
  <c r="HT281" i="5"/>
  <c r="HS281" i="5"/>
  <c r="AD281" i="5" a="1"/>
  <c r="AD281" i="5" s="1"/>
  <c r="AI281" i="5" a="1"/>
  <c r="AI281" i="5" s="1"/>
  <c r="CE280" i="1"/>
  <c r="CD280" i="1"/>
  <c r="AD280" i="1" a="1"/>
  <c r="AD280" i="1" s="1"/>
  <c r="CF280" i="1" l="1"/>
  <c r="CJ280" i="1"/>
  <c r="AF281" i="5"/>
  <c r="AG281" i="5"/>
  <c r="AL281" i="5"/>
  <c r="AK281" i="5"/>
  <c r="AF280" i="1"/>
  <c r="AG280" i="1"/>
  <c r="GV281" i="5" l="1"/>
  <c r="HJ281" i="5"/>
  <c r="HF281" i="5"/>
  <c r="HX281" i="5" s="1"/>
  <c r="HV281" i="5"/>
  <c r="HE281" i="5"/>
  <c r="HW281" i="5" s="1"/>
  <c r="HU281" i="5"/>
  <c r="GU281" i="5"/>
  <c r="HI281" i="5"/>
  <c r="CH280" i="1"/>
  <c r="BG280" i="1"/>
  <c r="BU280" i="1"/>
  <c r="BF280" i="1"/>
  <c r="BT280" i="1"/>
  <c r="GW281" i="5" l="1"/>
  <c r="HK281" i="5"/>
  <c r="GX281" i="5"/>
  <c r="HL281" i="5"/>
  <c r="BH280" i="1"/>
  <c r="BV280" i="1"/>
  <c r="BI280" i="1"/>
  <c r="BW280" i="1"/>
  <c r="CG280" i="1" l="1"/>
  <c r="GZ281" i="5"/>
  <c r="HN281" i="5"/>
  <c r="GY281" i="5"/>
  <c r="HM281" i="5"/>
  <c r="BK280" i="1"/>
  <c r="BY280" i="1"/>
  <c r="BJ280" i="1"/>
  <c r="BX280" i="1"/>
  <c r="CI280" i="1" l="1"/>
  <c r="CK280" i="1"/>
  <c r="HA281" i="5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BL280" i="1"/>
  <c r="CB280" i="1" s="1"/>
  <c r="BZ280" i="1"/>
  <c r="AE280" i="1" a="1"/>
  <c r="AE280" i="1" s="1"/>
  <c r="AJ280" i="1" a="1"/>
  <c r="AJ280" i="1" s="1"/>
  <c r="BM280" i="1"/>
  <c r="CC280" i="1" s="1"/>
  <c r="CA280" i="1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H281" i="1"/>
  <c r="AI281" i="1" s="1" a="1"/>
  <c r="AI281" i="1" s="1"/>
  <c r="AC281" i="1"/>
  <c r="AL281" i="1" l="1"/>
  <c r="AK281" i="1"/>
  <c r="AG282" i="5"/>
  <c r="AF282" i="5"/>
  <c r="AL282" i="5"/>
  <c r="AK282" i="5"/>
  <c r="AG283" i="5"/>
  <c r="AF283" i="5"/>
  <c r="HS281" i="1"/>
  <c r="HT281" i="1"/>
  <c r="AD281" i="1" a="1"/>
  <c r="AD281" i="1" s="1"/>
  <c r="HF281" i="1" l="1"/>
  <c r="HX281" i="1" s="1"/>
  <c r="HU281" i="1"/>
  <c r="HE281" i="1"/>
  <c r="HW281" i="1" s="1"/>
  <c r="BG283" i="5"/>
  <c r="BU283" i="5"/>
  <c r="BQ282" i="5"/>
  <c r="CG282" i="5"/>
  <c r="BT283" i="5"/>
  <c r="BF283" i="5"/>
  <c r="BF282" i="5"/>
  <c r="BT282" i="5"/>
  <c r="BP282" i="5"/>
  <c r="CF282" i="5"/>
  <c r="BG282" i="5"/>
  <c r="BU282" i="5"/>
  <c r="HV281" i="1"/>
  <c r="AG281" i="1"/>
  <c r="AF281" i="1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GU281" i="1"/>
  <c r="HI281" i="1"/>
  <c r="GV281" i="1"/>
  <c r="HJ281" i="1"/>
  <c r="BJ282" i="5" l="1"/>
  <c r="BX282" i="5"/>
  <c r="BX283" i="5"/>
  <c r="BJ283" i="5"/>
  <c r="BY283" i="5"/>
  <c r="BK283" i="5"/>
  <c r="BK282" i="5"/>
  <c r="BY282" i="5"/>
  <c r="GX281" i="1"/>
  <c r="HL281" i="1"/>
  <c r="GW281" i="1"/>
  <c r="HK281" i="1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GZ281" i="1"/>
  <c r="HN281" i="1"/>
  <c r="GY281" i="1"/>
  <c r="HM281" i="1"/>
  <c r="CB283" i="5" l="1"/>
  <c r="BN283" i="5"/>
  <c r="CC283" i="5"/>
  <c r="BO283" i="5"/>
  <c r="CE283" i="5" s="1"/>
  <c r="HA281" i="1"/>
  <c r="HO281" i="1"/>
  <c r="HB281" i="1"/>
  <c r="HP281" i="1"/>
  <c r="CD283" i="5" l="1"/>
  <c r="AE283" i="5" a="1"/>
  <c r="AE283" i="5" s="1"/>
  <c r="AC284" i="5" s="1"/>
  <c r="AJ283" i="5" a="1"/>
  <c r="AJ283" i="5" s="1"/>
  <c r="AH284" i="5" s="1"/>
  <c r="HR281" i="1"/>
  <c r="HQ281" i="1"/>
  <c r="AD284" i="5" l="1" a="1"/>
  <c r="AD284" i="5" s="1"/>
  <c r="CJ284" i="5"/>
  <c r="CI284" i="5"/>
  <c r="CH284" i="5"/>
  <c r="CG284" i="5"/>
  <c r="CF284" i="5"/>
  <c r="AI284" i="5" a="1"/>
  <c r="AI284" i="5" s="1"/>
  <c r="CK284" i="5"/>
  <c r="Z281" i="1" a="1"/>
  <c r="Z281" i="1" s="1"/>
  <c r="AJ281" i="1" a="1"/>
  <c r="AJ281" i="1" s="1"/>
  <c r="AE281" i="1" a="1"/>
  <c r="AE281" i="1" s="1"/>
  <c r="AG284" i="5" l="1"/>
  <c r="AF284" i="5"/>
  <c r="AH282" i="1"/>
  <c r="AC282" i="1"/>
  <c r="BF284" i="5" l="1"/>
  <c r="BT284" i="5"/>
  <c r="BG284" i="5"/>
  <c r="BU284" i="5"/>
  <c r="AI282" i="1" a="1"/>
  <c r="AI282" i="1" s="1"/>
  <c r="AI283" i="1" a="1"/>
  <c r="AI283" i="1" s="1"/>
  <c r="CE282" i="1"/>
  <c r="CD282" i="1"/>
  <c r="AD282" i="1" a="1"/>
  <c r="AD282" i="1" s="1"/>
  <c r="AK283" i="1" l="1"/>
  <c r="BP283" i="1" s="1"/>
  <c r="BR283" i="1" s="1"/>
  <c r="AL283" i="1"/>
  <c r="BQ283" i="1" s="1"/>
  <c r="BS283" i="1" s="1"/>
  <c r="AL282" i="1"/>
  <c r="BQ282" i="1" s="1"/>
  <c r="BS282" i="1" s="1"/>
  <c r="AK282" i="1"/>
  <c r="BP282" i="1" s="1"/>
  <c r="BR282" i="1" s="1"/>
  <c r="BI284" i="5"/>
  <c r="BW284" i="5"/>
  <c r="BH284" i="5"/>
  <c r="BV284" i="5"/>
  <c r="AG282" i="1"/>
  <c r="AF282" i="1"/>
  <c r="CF282" i="1" l="1"/>
  <c r="CG283" i="1"/>
  <c r="CF283" i="1"/>
  <c r="BJ284" i="5"/>
  <c r="BX284" i="5"/>
  <c r="BK284" i="5"/>
  <c r="BY284" i="5"/>
  <c r="BF282" i="1"/>
  <c r="BT282" i="1"/>
  <c r="BG282" i="1"/>
  <c r="BU282" i="1"/>
  <c r="CJ283" i="1" l="1"/>
  <c r="CH283" i="1"/>
  <c r="CK283" i="1"/>
  <c r="CI283" i="1"/>
  <c r="BM284" i="5"/>
  <c r="CA284" i="5"/>
  <c r="BL284" i="5"/>
  <c r="BZ284" i="5"/>
  <c r="CH282" i="1"/>
  <c r="CJ282" i="1"/>
  <c r="BI282" i="1"/>
  <c r="BW282" i="1"/>
  <c r="BH282" i="1"/>
  <c r="BV282" i="1"/>
  <c r="CG282" i="1" l="1"/>
  <c r="BN284" i="5"/>
  <c r="CB284" i="5"/>
  <c r="BO284" i="5"/>
  <c r="CE284" i="5" s="1"/>
  <c r="CC284" i="5"/>
  <c r="BJ282" i="1"/>
  <c r="BX282" i="1"/>
  <c r="BK282" i="1"/>
  <c r="BY282" i="1"/>
  <c r="CK282" i="1" l="1"/>
  <c r="CI282" i="1"/>
  <c r="CD284" i="5"/>
  <c r="AJ284" i="5" a="1"/>
  <c r="AJ284" i="5" s="1"/>
  <c r="AH285" i="5" s="1"/>
  <c r="AE284" i="5" a="1"/>
  <c r="AE284" i="5" s="1"/>
  <c r="AC285" i="5" s="1"/>
  <c r="BM282" i="1"/>
  <c r="CC282" i="1" s="1"/>
  <c r="CA282" i="1"/>
  <c r="BL282" i="1"/>
  <c r="CB282" i="1" s="1"/>
  <c r="BZ282" i="1"/>
  <c r="AE282" i="1" a="1"/>
  <c r="AE282" i="1" s="1"/>
  <c r="AJ282" i="1" a="1"/>
  <c r="AJ282" i="1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D283" i="1" a="1"/>
  <c r="AD283" i="1" s="1"/>
  <c r="AF285" i="5" l="1"/>
  <c r="AG285" i="5"/>
  <c r="AG286" i="5"/>
  <c r="AF286" i="5"/>
  <c r="LX286" i="5" s="1"/>
  <c r="AE286" i="5" s="1" a="1"/>
  <c r="AE286" i="5" s="1"/>
  <c r="AC287" i="5" s="1"/>
  <c r="AF283" i="1"/>
  <c r="AG283" i="1"/>
  <c r="AD287" i="5" l="1" a="1"/>
  <c r="AD287" i="5" s="1"/>
  <c r="BG285" i="5"/>
  <c r="BU285" i="5"/>
  <c r="BF285" i="5"/>
  <c r="BT285" i="5"/>
  <c r="BG283" i="1"/>
  <c r="BU283" i="1"/>
  <c r="BF283" i="1"/>
  <c r="BT283" i="1"/>
  <c r="BH285" i="5" l="1"/>
  <c r="BV285" i="5"/>
  <c r="BI285" i="5"/>
  <c r="BW285" i="5"/>
  <c r="AG287" i="5"/>
  <c r="AF287" i="5"/>
  <c r="LX287" i="5" s="1"/>
  <c r="AE287" i="5" s="1" a="1"/>
  <c r="AE287" i="5" s="1"/>
  <c r="AC288" i="5" s="1"/>
  <c r="BH283" i="1"/>
  <c r="BV283" i="1"/>
  <c r="BI283" i="1"/>
  <c r="BW283" i="1"/>
  <c r="AD288" i="5" l="1" a="1"/>
  <c r="AD288" i="5" s="1"/>
  <c r="BK285" i="5"/>
  <c r="BY285" i="5"/>
  <c r="BJ285" i="5"/>
  <c r="BX285" i="5"/>
  <c r="BK283" i="1"/>
  <c r="BY283" i="1"/>
  <c r="BJ283" i="1"/>
  <c r="BX283" i="1"/>
  <c r="BL285" i="5" l="1"/>
  <c r="BZ285" i="5"/>
  <c r="BM285" i="5"/>
  <c r="CA285" i="5"/>
  <c r="AG288" i="5"/>
  <c r="AF288" i="5"/>
  <c r="LX288" i="5" s="1"/>
  <c r="AE288" i="5" s="1" a="1"/>
  <c r="AE288" i="5" s="1"/>
  <c r="AC289" i="5" s="1"/>
  <c r="BL283" i="1"/>
  <c r="BZ283" i="1"/>
  <c r="BM283" i="1"/>
  <c r="CA283" i="1"/>
  <c r="AD289" i="5" l="1" a="1"/>
  <c r="AD289" i="5" s="1"/>
  <c r="BO285" i="5"/>
  <c r="CE285" i="5" s="1"/>
  <c r="CC285" i="5"/>
  <c r="BN285" i="5"/>
  <c r="CB285" i="5"/>
  <c r="BO283" i="1"/>
  <c r="CE283" i="1" s="1"/>
  <c r="CC283" i="1"/>
  <c r="BN283" i="1"/>
  <c r="CB283" i="1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J283" i="1" a="1"/>
  <c r="AJ283" i="1" s="1"/>
  <c r="AH284" i="1" s="1"/>
  <c r="CD283" i="1"/>
  <c r="AE283" i="1" a="1"/>
  <c r="AE283" i="1" s="1"/>
  <c r="AC284" i="1" s="1"/>
  <c r="AD290" i="5" l="1" a="1"/>
  <c r="AD290" i="5" s="1"/>
  <c r="AI284" i="1" a="1"/>
  <c r="AI284" i="1" s="1"/>
  <c r="AD284" i="1" a="1"/>
  <c r="AD284" i="1" s="1"/>
  <c r="AK284" i="1" l="1"/>
  <c r="BP284" i="1" s="1"/>
  <c r="BR284" i="1" s="1"/>
  <c r="AL284" i="1"/>
  <c r="BQ284" i="1" s="1"/>
  <c r="BS284" i="1" s="1"/>
  <c r="AG290" i="5"/>
  <c r="AF290" i="5"/>
  <c r="LX290" i="5" s="1"/>
  <c r="AE290" i="5" s="1" a="1"/>
  <c r="AE290" i="5" s="1"/>
  <c r="AC291" i="5" s="1"/>
  <c r="AF284" i="1"/>
  <c r="AG284" i="1"/>
  <c r="CG284" i="1" l="1"/>
  <c r="CF284" i="1"/>
  <c r="AD291" i="5" a="1"/>
  <c r="AD291" i="5" s="1"/>
  <c r="BG284" i="1"/>
  <c r="BU284" i="1"/>
  <c r="BF284" i="1"/>
  <c r="BT284" i="1"/>
  <c r="CJ284" i="1" l="1"/>
  <c r="CH284" i="1"/>
  <c r="CK284" i="1"/>
  <c r="CI284" i="1"/>
  <c r="AG291" i="5"/>
  <c r="AF291" i="5"/>
  <c r="LX291" i="5" s="1"/>
  <c r="AE291" i="5" s="1" a="1"/>
  <c r="AE291" i="5" s="1"/>
  <c r="AC292" i="5" s="1"/>
  <c r="BH284" i="1"/>
  <c r="BV284" i="1"/>
  <c r="BI284" i="1"/>
  <c r="BW284" i="1"/>
  <c r="AD292" i="5" l="1" a="1"/>
  <c r="AD292" i="5" s="1"/>
  <c r="BK284" i="1"/>
  <c r="BY284" i="1"/>
  <c r="BJ284" i="1"/>
  <c r="BX284" i="1"/>
  <c r="AG292" i="5" l="1"/>
  <c r="AF292" i="5"/>
  <c r="LX292" i="5" s="1"/>
  <c r="AE292" i="5" s="1" a="1"/>
  <c r="AE292" i="5" s="1"/>
  <c r="AC293" i="5" s="1"/>
  <c r="BL284" i="1"/>
  <c r="BZ284" i="1"/>
  <c r="BM284" i="1"/>
  <c r="CA284" i="1"/>
  <c r="AD293" i="5" l="1" a="1"/>
  <c r="AD293" i="5" s="1"/>
  <c r="BO284" i="1"/>
  <c r="CE284" i="1" s="1"/>
  <c r="CC284" i="1"/>
  <c r="BN284" i="1"/>
  <c r="CB284" i="1"/>
  <c r="AG293" i="5" l="1"/>
  <c r="AF293" i="5"/>
  <c r="LX293" i="5" s="1"/>
  <c r="AE293" i="5" s="1" a="1"/>
  <c r="AE293" i="5" s="1"/>
  <c r="AC294" i="5" s="1"/>
  <c r="CD284" i="1"/>
  <c r="AJ284" i="1" a="1"/>
  <c r="AJ284" i="1" s="1"/>
  <c r="AH285" i="1" s="1"/>
  <c r="AE284" i="1" a="1"/>
  <c r="AE284" i="1" s="1"/>
  <c r="AC285" i="1" s="1"/>
  <c r="AD286" i="1" s="1" a="1"/>
  <c r="AD286" i="1" s="1"/>
  <c r="AD294" i="5" l="1" a="1"/>
  <c r="AD294" i="5" s="1"/>
  <c r="AF286" i="1"/>
  <c r="AG286" i="1"/>
  <c r="MA286" i="1" s="1"/>
  <c r="AI285" i="1" a="1"/>
  <c r="AI285" i="1" s="1"/>
  <c r="AD285" i="1" a="1"/>
  <c r="AD285" i="1" s="1"/>
  <c r="LZ286" i="1" l="1"/>
  <c r="AE286" i="1" s="1" a="1"/>
  <c r="AE286" i="1" s="1"/>
  <c r="AC287" i="1" s="1"/>
  <c r="AK285" i="1"/>
  <c r="BP285" i="1" s="1"/>
  <c r="BR285" i="1" s="1"/>
  <c r="AL285" i="1"/>
  <c r="BQ285" i="1" s="1"/>
  <c r="BS285" i="1" s="1"/>
  <c r="AG294" i="5"/>
  <c r="AF294" i="5"/>
  <c r="LX294" i="5" s="1"/>
  <c r="AE294" i="5" s="1" a="1"/>
  <c r="AE294" i="5" s="1"/>
  <c r="AF285" i="1"/>
  <c r="AG285" i="1"/>
  <c r="AD287" i="1" l="1" a="1"/>
  <c r="AD287" i="1" s="1"/>
  <c r="AF287" i="1" s="1"/>
  <c r="CG285" i="1"/>
  <c r="CF285" i="1"/>
  <c r="BG285" i="1"/>
  <c r="BU285" i="1"/>
  <c r="BF285" i="1"/>
  <c r="BT285" i="1"/>
  <c r="AG287" i="1" l="1"/>
  <c r="MA287" i="1" s="1"/>
  <c r="CJ285" i="1"/>
  <c r="CH285" i="1"/>
  <c r="CK285" i="1"/>
  <c r="CI285" i="1"/>
  <c r="AE287" i="1" a="1"/>
  <c r="AE287" i="1" s="1"/>
  <c r="AC288" i="1" s="1"/>
  <c r="LZ287" i="1"/>
  <c r="BH285" i="1"/>
  <c r="BV285" i="1"/>
  <c r="BI285" i="1"/>
  <c r="BW285" i="1"/>
  <c r="AD288" i="1" l="1" a="1"/>
  <c r="AD288" i="1" s="1"/>
  <c r="AF288" i="1" s="1"/>
  <c r="LZ288" i="1" s="1"/>
  <c r="BK285" i="1"/>
  <c r="BY285" i="1"/>
  <c r="BJ285" i="1"/>
  <c r="BX285" i="1"/>
  <c r="AE288" i="1" l="1" a="1"/>
  <c r="AE288" i="1" s="1"/>
  <c r="AC289" i="1" s="1"/>
  <c r="AG288" i="1"/>
  <c r="MA288" i="1" s="1"/>
  <c r="BL285" i="1"/>
  <c r="BZ285" i="1"/>
  <c r="BM285" i="1"/>
  <c r="CA285" i="1"/>
  <c r="AD289" i="1" l="1" a="1"/>
  <c r="AD289" i="1" s="1"/>
  <c r="BO285" i="1"/>
  <c r="CE285" i="1" s="1"/>
  <c r="CC285" i="1"/>
  <c r="BN285" i="1"/>
  <c r="CB285" i="1"/>
  <c r="AF289" i="1" l="1"/>
  <c r="LZ289" i="1" s="1"/>
  <c r="AE289" i="1" s="1" a="1"/>
  <c r="AE289" i="1" s="1"/>
  <c r="AC290" i="1" s="1"/>
  <c r="AG289" i="1"/>
  <c r="MA289" i="1" s="1"/>
  <c r="CD285" i="1"/>
  <c r="AE285" i="1" a="1"/>
  <c r="AE285" i="1" s="1"/>
  <c r="AJ285" i="1" a="1"/>
  <c r="AJ285" i="1" s="1"/>
  <c r="AD290" i="1" l="1" a="1"/>
  <c r="AD290" i="1" s="1"/>
  <c r="AF290" i="1" l="1"/>
  <c r="LZ290" i="1" s="1"/>
  <c r="AE290" i="1" s="1" a="1"/>
  <c r="AE290" i="1" s="1"/>
  <c r="AC291" i="1" s="1"/>
  <c r="AG290" i="1"/>
  <c r="MA290" i="1" s="1"/>
  <c r="AD291" i="1" l="1" a="1"/>
  <c r="AD291" i="1" s="1"/>
  <c r="AF291" i="1" l="1"/>
  <c r="LZ291" i="1" s="1"/>
  <c r="AE291" i="1" s="1" a="1"/>
  <c r="AE291" i="1" s="1"/>
  <c r="AC292" i="1" s="1"/>
  <c r="AG291" i="1"/>
  <c r="MA291" i="1" s="1"/>
  <c r="AD292" i="1" l="1" a="1"/>
  <c r="AD292" i="1" s="1"/>
  <c r="AF292" i="1" l="1"/>
  <c r="LZ292" i="1" s="1"/>
  <c r="AE292" i="1" s="1" a="1"/>
  <c r="AE292" i="1" s="1"/>
  <c r="AC293" i="1" s="1"/>
  <c r="AG292" i="1"/>
  <c r="MA292" i="1" s="1"/>
  <c r="AD293" i="1" l="1" a="1"/>
  <c r="AD293" i="1" s="1"/>
  <c r="AG293" i="1" l="1"/>
  <c r="MA293" i="1" s="1"/>
  <c r="AF293" i="1"/>
  <c r="LZ293" i="1" s="1"/>
  <c r="AE293" i="1" s="1" a="1"/>
  <c r="AE293" i="1" s="1"/>
  <c r="AC294" i="1" s="1"/>
  <c r="AD294" i="1" l="1" a="1"/>
  <c r="AD294" i="1" s="1"/>
  <c r="AF294" i="1" l="1"/>
  <c r="LZ294" i="1" s="1"/>
  <c r="AE294" i="1" s="1" a="1"/>
  <c r="AE294" i="1" s="1"/>
  <c r="AD295" i="1" s="1" a="1"/>
  <c r="AD295" i="1" s="1"/>
  <c r="AG294" i="1"/>
  <c r="MA294" i="1" s="1"/>
  <c r="AG295" i="1" l="1"/>
  <c r="MA295" i="1" s="1"/>
  <c r="AF295" i="1"/>
  <c r="LZ295" i="1" s="1"/>
  <c r="AE295" i="1" s="1" a="1"/>
  <c r="AE295" i="1" s="1"/>
  <c r="AC296" i="1" s="1"/>
  <c r="AD296" i="1" l="1" a="1"/>
  <c r="AD296" i="1" s="1"/>
  <c r="AG296" i="1" l="1"/>
  <c r="MA296" i="1" s="1"/>
  <c r="AF296" i="1"/>
  <c r="LZ296" i="1" s="1"/>
  <c r="AE296" i="1" s="1" a="1"/>
  <c r="AE296" i="1" s="1"/>
  <c r="AC297" i="1" s="1"/>
  <c r="AD297" i="1" l="1" a="1"/>
  <c r="AD297" i="1" s="1"/>
  <c r="AF297" i="1" l="1"/>
  <c r="LZ297" i="1" s="1"/>
  <c r="AE297" i="1" s="1" a="1"/>
  <c r="AE297" i="1" s="1"/>
  <c r="AC298" i="1" s="1"/>
  <c r="AG297" i="1"/>
  <c r="MA297" i="1" s="1"/>
  <c r="AD298" i="1" l="1" a="1"/>
  <c r="AD298" i="1" s="1"/>
  <c r="AG298" i="1" l="1"/>
  <c r="MA298" i="1" s="1"/>
  <c r="AF298" i="1"/>
  <c r="LZ298" i="1" s="1"/>
  <c r="AE298" i="1" s="1" a="1"/>
  <c r="AE298" i="1" s="1"/>
  <c r="AC299" i="1" s="1"/>
  <c r="AD299" i="1" l="1" a="1"/>
  <c r="AD299" i="1" s="1"/>
  <c r="AF299" i="1" l="1"/>
  <c r="LZ299" i="1" s="1"/>
  <c r="AE299" i="1" s="1" a="1"/>
  <c r="AE299" i="1" s="1"/>
  <c r="AC300" i="1" s="1"/>
  <c r="AG299" i="1"/>
  <c r="MA299" i="1" s="1"/>
  <c r="AD300" i="1" l="1" a="1"/>
  <c r="AD300" i="1" s="1"/>
  <c r="AF300" i="1" l="1"/>
  <c r="AG300" i="1"/>
  <c r="MA300" i="1" s="1"/>
  <c r="AE300" i="1" l="1" a="1"/>
  <c r="AE300" i="1" s="1"/>
  <c r="AD301" i="1" s="1" a="1"/>
  <c r="AD301" i="1" s="1"/>
  <c r="LZ300" i="1"/>
  <c r="AG301" i="1" l="1"/>
  <c r="MA301" i="1" s="1"/>
  <c r="AF301" i="1"/>
  <c r="LZ301" i="1" s="1"/>
  <c r="AE301" i="1" s="1" a="1"/>
  <c r="AE301" i="1" s="1"/>
  <c r="AC302" i="1" s="1"/>
  <c r="AD302" i="1" l="1" a="1"/>
  <c r="AD302" i="1" s="1"/>
  <c r="AF302" i="1" l="1"/>
  <c r="LZ302" i="1" s="1"/>
  <c r="AE302" i="1" s="1" a="1"/>
  <c r="AE302" i="1" s="1"/>
  <c r="AC303" i="1" s="1"/>
  <c r="AG302" i="1"/>
  <c r="MA302" i="1" s="1"/>
  <c r="AD303" i="1" l="1" a="1"/>
  <c r="AD303" i="1" s="1"/>
  <c r="AG303" i="1" l="1"/>
  <c r="MA303" i="1" s="1"/>
  <c r="AF303" i="1"/>
  <c r="LZ303" i="1" s="1"/>
  <c r="AE303" i="1" s="1" a="1"/>
  <c r="AE303" i="1" s="1"/>
  <c r="AC304" i="1" s="1"/>
  <c r="AD304" i="1" l="1" a="1"/>
  <c r="AD304" i="1" s="1"/>
  <c r="AF304" i="1" l="1"/>
  <c r="LZ304" i="1" s="1"/>
  <c r="AE304" i="1" s="1" a="1"/>
  <c r="AE304" i="1" s="1"/>
  <c r="AC305" i="1" s="1"/>
  <c r="AG304" i="1"/>
  <c r="MA304" i="1" s="1"/>
  <c r="AD305" i="1" l="1" a="1"/>
  <c r="AD305" i="1" s="1"/>
  <c r="AG305" i="1" l="1"/>
  <c r="MA305" i="1" s="1"/>
  <c r="AF305" i="1"/>
  <c r="LZ305" i="1" s="1"/>
  <c r="AE305" i="1" s="1" a="1"/>
  <c r="AE305" i="1" s="1"/>
  <c r="AC306" i="1" s="1"/>
  <c r="AD306" i="1" l="1" a="1"/>
  <c r="AD306" i="1" s="1"/>
  <c r="AF306" i="1" l="1"/>
  <c r="LZ306" i="1" s="1"/>
  <c r="AE306" i="1" s="1" a="1"/>
  <c r="AE306" i="1" s="1"/>
  <c r="AG306" i="1"/>
  <c r="MA306" i="1" s="1"/>
  <c r="AE169" i="1" l="1" a="1"/>
  <c r="AE169" i="1" s="1"/>
  <c r="AD177" i="1" s="1" a="1"/>
  <c r="AD177" i="1" s="1"/>
  <c r="AD178" i="1" s="1" a="1"/>
  <c r="AD178" i="1" s="1"/>
  <c r="AD179" i="1" s="1" a="1"/>
  <c r="AD179" i="1" s="1"/>
  <c r="AD180" i="1" s="1" a="1"/>
  <c r="AD180" i="1" s="1"/>
  <c r="Y186" i="1" a="1"/>
  <c r="Y186" i="1" s="1"/>
  <c r="AE180" i="1" a="1"/>
  <c r="AE180" i="1" s="1"/>
  <c r="Z180" i="1" a="1"/>
  <c r="Z180" i="1" s="1"/>
  <c r="Y181" i="1" s="1" a="1"/>
  <c r="Y181" i="1" s="1"/>
  <c r="AA186" i="1" l="1"/>
  <c r="KC186" i="1" s="1"/>
  <c r="AB186" i="1"/>
  <c r="KD186" i="1" s="1"/>
  <c r="AA181" i="1"/>
  <c r="KC181" i="1" s="1"/>
  <c r="AB181" i="1"/>
  <c r="KD181" i="1" s="1"/>
  <c r="AE186" i="1" l="1" a="1"/>
  <c r="AE186" i="1" s="1"/>
  <c r="Z186" i="1" a="1"/>
  <c r="Z186" i="1" s="1"/>
  <c r="Y187" i="1" s="1" a="1"/>
  <c r="Y187" i="1" s="1"/>
  <c r="Z181" i="1" a="1"/>
  <c r="Z181" i="1" s="1"/>
  <c r="Y182" i="1" s="1" a="1"/>
  <c r="Y182" i="1" s="1"/>
  <c r="AE181" i="1" a="1"/>
  <c r="AE181" i="1" s="1"/>
  <c r="AB187" i="1" l="1"/>
  <c r="AA187" i="1"/>
  <c r="AB182" i="1"/>
  <c r="KD182" i="1" s="1"/>
  <c r="AA182" i="1"/>
  <c r="KC182" i="1" s="1"/>
  <c r="QG187" i="1" l="1"/>
  <c r="RC187" i="1"/>
  <c r="RB187" i="1"/>
  <c r="QF187" i="1"/>
  <c r="Z182" i="1" a="1"/>
  <c r="Z182" i="1" s="1"/>
  <c r="AE182" i="1" a="1"/>
  <c r="AE182" i="1" s="1"/>
  <c r="RD187" i="1" l="1"/>
  <c r="QH187" i="1"/>
  <c r="RE187" i="1"/>
  <c r="QI187" i="1"/>
  <c r="RG187" i="1" l="1"/>
  <c r="QK187" i="1"/>
  <c r="QJ187" i="1"/>
  <c r="RF187" i="1"/>
  <c r="QM187" i="1" l="1"/>
  <c r="RI187" i="1"/>
  <c r="QL187" i="1"/>
  <c r="RH187" i="1"/>
  <c r="RJ187" i="1" l="1"/>
  <c r="QN187" i="1"/>
  <c r="QO187" i="1"/>
  <c r="RM187" i="1" s="1"/>
  <c r="RK187" i="1"/>
  <c r="RL187" i="1" l="1"/>
  <c r="AE187" i="1" a="1"/>
  <c r="AE187" i="1" s="1"/>
  <c r="Z187" i="1" a="1"/>
  <c r="Z187" i="1" s="1"/>
</calcChain>
</file>

<file path=xl/sharedStrings.xml><?xml version="1.0" encoding="utf-8"?>
<sst xmlns="http://schemas.openxmlformats.org/spreadsheetml/2006/main" count="12765" uniqueCount="2515">
  <si>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</si>
  <si>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</si>
  <si>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</si>
  <si>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</si>
  <si>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</si>
  <si>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</si>
  <si>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</si>
  <si>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</si>
  <si>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</si>
  <si>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</si>
  <si>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</si>
  <si>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</si>
  <si>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</si>
  <si>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</si>
  <si>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</si>
  <si>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</si>
  <si>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</si>
  <si>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</si>
  <si>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</si>
  <si>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</si>
  <si>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</si>
  <si>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</si>
  <si>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</si>
  <si>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</si>
  <si>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</si>
  <si>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</si>
  <si>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</si>
  <si>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</si>
  <si>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</si>
  <si>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</si>
  <si>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</si>
  <si>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</si>
  <si>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</si>
  <si>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</si>
  <si>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</si>
  <si>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</si>
  <si>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</si>
  <si>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</si>
  <si>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</si>
  <si>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</si>
  <si>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</si>
  <si>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</si>
  <si>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</si>
  <si>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</si>
  <si>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</si>
  <si>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</si>
  <si>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</si>
  <si>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</si>
  <si>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</si>
  <si>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</si>
  <si>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</si>
  <si>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</si>
  <si>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</si>
  <si>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</si>
  <si>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</si>
  <si>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</si>
  <si>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</si>
  <si>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</si>
  <si>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</si>
  <si>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</si>
  <si>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</si>
  <si>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</si>
  <si>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</si>
  <si>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</si>
  <si>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</si>
  <si>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</si>
  <si>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</si>
  <si>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</si>
  <si>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</si>
  <si>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</si>
  <si>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</si>
  <si>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</si>
  <si>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</si>
  <si>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</si>
  <si>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</si>
  <si>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</si>
  <si>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</si>
  <si>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</si>
  <si>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</si>
  <si>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</si>
  <si>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</si>
  <si>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</si>
  <si>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</si>
  <si>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</si>
  <si>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</si>
  <si>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</si>
  <si>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</si>
  <si>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</si>
  <si>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</si>
  <si>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</si>
  <si>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</si>
  <si>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</si>
  <si>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</si>
  <si>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</si>
  <si>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</si>
  <si>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</si>
  <si>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</si>
  <si>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</si>
  <si>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</si>
  <si>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</si>
  <si>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</si>
  <si>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</si>
  <si>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</si>
  <si>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</si>
  <si>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</si>
  <si>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</si>
  <si>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</si>
  <si>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</si>
  <si>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</si>
  <si>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</si>
  <si>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</si>
  <si>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</si>
  <si>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</si>
  <si>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</si>
  <si>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</si>
  <si>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</si>
  <si>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</si>
  <si>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</si>
  <si>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</si>
  <si>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</si>
  <si>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</si>
  <si>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</si>
  <si>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</si>
  <si>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</si>
  <si>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</si>
  <si>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</si>
  <si>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</si>
  <si>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</si>
  <si>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</si>
  <si>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</si>
  <si>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</si>
  <si>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</si>
  <si>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</si>
  <si>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</si>
  <si>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</si>
  <si>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</si>
  <si>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</si>
  <si>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</si>
  <si>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</si>
  <si>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</si>
  <si>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</si>
  <si>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</si>
  <si>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</si>
  <si>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</si>
  <si>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</si>
  <si>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</si>
  <si>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</si>
  <si>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</si>
  <si>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</si>
  <si>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</si>
  <si>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</si>
  <si>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</si>
  <si>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</si>
  <si>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</si>
  <si>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</si>
  <si>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</si>
  <si>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</si>
  <si>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</si>
  <si>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</si>
  <si>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</si>
  <si>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</si>
  <si>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</si>
  <si>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</si>
  <si>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</si>
  <si>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</si>
  <si>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</si>
  <si>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</si>
  <si>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</si>
  <si>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</si>
  <si>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</si>
  <si>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</si>
  <si>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</si>
  <si>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</si>
  <si>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</si>
  <si>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</si>
  <si>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</si>
  <si>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</si>
  <si>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</si>
  <si>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</si>
  <si>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</si>
  <si>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</si>
  <si>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</si>
  <si>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</si>
  <si>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</si>
  <si>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</si>
  <si>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</si>
  <si>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</si>
  <si>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</si>
  <si>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</si>
  <si>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</si>
  <si>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</si>
  <si>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</si>
  <si>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</si>
  <si>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</si>
  <si>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</si>
  <si>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</si>
  <si>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</si>
  <si>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</si>
  <si>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</si>
  <si>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</si>
  <si>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</si>
  <si>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</si>
  <si>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</si>
  <si>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</si>
  <si>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</si>
  <si>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</si>
  <si>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</si>
  <si>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</si>
  <si>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</si>
  <si>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</si>
  <si>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</si>
  <si>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</si>
  <si>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</si>
  <si>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</si>
  <si>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</si>
  <si>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</si>
  <si>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</si>
  <si>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</si>
  <si>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</si>
  <si>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</si>
  <si>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</si>
  <si>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</si>
  <si>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</si>
  <si>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</si>
  <si>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</si>
  <si>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</si>
  <si>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</si>
  <si>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</si>
  <si>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</si>
  <si>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</si>
  <si>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</si>
  <si>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</si>
  <si>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</si>
  <si>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</si>
  <si>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</si>
  <si>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</si>
  <si>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</si>
  <si>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</si>
  <si>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</si>
  <si>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</si>
  <si>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</si>
  <si>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</si>
  <si>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</si>
  <si>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</si>
  <si>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</si>
  <si>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</si>
  <si>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</si>
  <si>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</si>
  <si>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</si>
  <si>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</si>
  <si>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</si>
  <si>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</si>
  <si>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</si>
  <si>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</si>
  <si>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</si>
  <si>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</si>
  <si>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</si>
  <si>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</si>
  <si>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</si>
  <si>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</si>
  <si>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</si>
  <si>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</si>
  <si>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</si>
  <si>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</si>
  <si>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</si>
  <si>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</si>
  <si>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</si>
  <si>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</si>
  <si>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</si>
  <si>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</si>
  <si>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</si>
  <si>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</si>
  <si>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</si>
  <si>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</si>
  <si>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</si>
  <si>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</si>
  <si>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</si>
  <si>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</si>
  <si>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</si>
  <si>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</si>
  <si>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</si>
  <si>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</si>
  <si>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</si>
  <si>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</si>
  <si>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</si>
  <si>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</si>
  <si>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</si>
  <si>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</si>
  <si>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</si>
  <si>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</si>
  <si>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</si>
  <si>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</si>
  <si>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</si>
  <si>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</si>
  <si>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</si>
  <si>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</si>
  <si>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</si>
  <si>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</si>
  <si>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</si>
  <si>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</si>
  <si>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</si>
  <si>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</si>
  <si>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</si>
  <si>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</si>
  <si>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</si>
  <si>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</si>
  <si>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</si>
  <si>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</si>
  <si>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</si>
  <si>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</si>
  <si>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</si>
  <si>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</si>
  <si>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</si>
  <si>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</si>
  <si>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</si>
  <si>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</si>
  <si>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</si>
  <si>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</si>
  <si>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</si>
  <si>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</si>
  <si>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</si>
  <si>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</si>
  <si>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</si>
  <si>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</si>
  <si>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</si>
  <si>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</si>
  <si>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</si>
  <si>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</si>
  <si>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</si>
  <si>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</si>
  <si>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</si>
  <si>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</si>
  <si>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</si>
  <si>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</si>
  <si>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</si>
  <si>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</si>
  <si>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</si>
  <si>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</si>
  <si>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</si>
  <si>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</si>
  <si>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</si>
  <si>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</si>
  <si>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</si>
  <si>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</si>
  <si>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</si>
  <si>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</si>
  <si>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</si>
  <si>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</si>
  <si>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</si>
  <si>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</si>
  <si>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</si>
  <si>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</si>
  <si>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</si>
  <si>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</si>
  <si>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</si>
  <si>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</si>
  <si>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</si>
  <si>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</si>
  <si>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</si>
  <si>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</si>
  <si>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</si>
  <si>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</si>
  <si>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</si>
  <si>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</si>
  <si>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</si>
  <si>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</si>
  <si>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</si>
  <si>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</si>
  <si>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</si>
  <si>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</si>
  <si>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</si>
  <si>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</si>
  <si>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</si>
  <si>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</si>
  <si>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</si>
  <si>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</si>
  <si>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</si>
  <si>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</si>
  <si>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</si>
  <si>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</si>
  <si>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</si>
  <si>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</si>
  <si>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</si>
  <si>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</si>
  <si>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</si>
  <si>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</si>
  <si>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</si>
  <si>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</si>
  <si>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</si>
  <si>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</si>
  <si>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</si>
  <si>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</si>
  <si>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</si>
  <si>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</si>
  <si>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</si>
  <si>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</si>
  <si>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</si>
  <si>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</si>
  <si>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</si>
  <si>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</si>
  <si>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</si>
  <si>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</si>
  <si>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</si>
  <si>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</si>
  <si>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</si>
  <si>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</si>
  <si>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</si>
  <si>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</si>
  <si>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</si>
  <si>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</si>
  <si>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</si>
  <si>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</si>
  <si>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</si>
  <si>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</si>
  <si>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</si>
  <si>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</si>
  <si>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</si>
  <si>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</si>
  <si>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</si>
  <si>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</si>
  <si>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</si>
  <si>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</si>
  <si>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</si>
  <si>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</si>
  <si>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</si>
  <si>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</si>
  <si>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</si>
  <si>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</si>
  <si>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</si>
  <si>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</si>
  <si>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</si>
  <si>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</si>
  <si>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</si>
  <si>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</si>
  <si>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</si>
  <si>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</si>
  <si>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</si>
  <si>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</si>
  <si>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</si>
  <si>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</si>
  <si>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</si>
  <si>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</si>
  <si>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</si>
  <si>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</si>
  <si>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</si>
  <si>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</si>
  <si>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</si>
  <si>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</si>
  <si>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</si>
  <si>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</si>
  <si>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</si>
  <si>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</si>
  <si>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</si>
  <si>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</si>
  <si>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</si>
  <si>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</si>
  <si>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</si>
  <si>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</si>
  <si>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</si>
  <si>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</si>
  <si>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</si>
  <si>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</si>
  <si>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</si>
  <si>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</si>
  <si>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</si>
  <si>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</si>
  <si>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</si>
  <si>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</si>
  <si>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</si>
  <si>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</si>
  <si>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</si>
  <si>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</si>
  <si>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</si>
  <si>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</si>
  <si>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</si>
  <si>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</si>
  <si>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</si>
  <si>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</si>
  <si>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</si>
  <si>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</si>
  <si>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</si>
  <si>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</si>
  <si>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</si>
  <si>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</si>
  <si>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</si>
  <si>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</si>
  <si>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</si>
  <si>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</si>
  <si>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</si>
  <si>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</si>
  <si>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</si>
  <si>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</si>
  <si>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</si>
  <si>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</si>
  <si>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</si>
  <si>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</si>
  <si>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</si>
  <si>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</si>
  <si>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</si>
  <si>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</si>
  <si>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</si>
  <si>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</si>
  <si>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</si>
  <si>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</si>
  <si>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</si>
  <si>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</si>
  <si>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</si>
  <si>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</si>
  <si>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</si>
  <si>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</si>
  <si>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</si>
  <si>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</si>
  <si>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</si>
  <si>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</si>
  <si>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</si>
  <si>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</si>
  <si>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</si>
  <si>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</si>
  <si>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</si>
  <si>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</si>
  <si>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</si>
  <si>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</si>
  <si>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</si>
  <si>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</si>
  <si>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</si>
  <si>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</si>
  <si>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</si>
  <si>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</si>
  <si>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</si>
  <si>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</si>
  <si>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</si>
  <si>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</si>
  <si>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</si>
  <si>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</si>
  <si>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</si>
  <si>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</si>
  <si>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</si>
  <si>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</si>
  <si>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</si>
  <si>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</si>
  <si>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</si>
  <si>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</si>
  <si>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</si>
  <si>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</si>
  <si>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</si>
  <si>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</si>
  <si>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</si>
  <si>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</si>
  <si>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</si>
  <si>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</si>
  <si>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</si>
  <si>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</si>
  <si>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</si>
  <si>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</si>
  <si>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</si>
  <si>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</si>
  <si>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</si>
  <si>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</si>
  <si>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</si>
  <si>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</si>
  <si>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</si>
  <si>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</si>
  <si>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</si>
  <si>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</si>
  <si>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</si>
  <si>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</si>
  <si>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</si>
  <si>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</si>
  <si>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</si>
  <si>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</si>
  <si>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</si>
  <si>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</si>
  <si>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</si>
  <si>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</si>
  <si>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</si>
  <si>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</si>
  <si>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</si>
  <si>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</si>
  <si>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</si>
  <si>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</si>
  <si>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</si>
  <si>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</si>
  <si>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</si>
  <si>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</si>
  <si>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</si>
  <si>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</si>
  <si>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</si>
  <si>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</si>
  <si>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</si>
  <si>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</si>
  <si>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</si>
  <si>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</si>
  <si>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</si>
  <si>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</si>
  <si>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</si>
  <si>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</si>
  <si>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</si>
  <si>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</si>
  <si>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</si>
  <si>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</si>
  <si>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</si>
  <si>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</si>
  <si>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</si>
  <si>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</si>
  <si>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</si>
  <si>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</si>
  <si>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</si>
  <si>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</si>
  <si>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</si>
  <si>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</si>
  <si>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</si>
  <si>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</si>
  <si>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</si>
  <si>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</si>
  <si>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</si>
  <si>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</si>
  <si>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</si>
  <si>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</si>
  <si>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</si>
  <si>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</si>
  <si>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</si>
  <si>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</si>
  <si>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</si>
  <si>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</si>
  <si>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</si>
  <si>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</si>
  <si>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</si>
  <si>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</si>
  <si>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</si>
  <si>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</si>
  <si>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</si>
  <si>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</si>
  <si>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</si>
  <si>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</si>
  <si>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</si>
  <si>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</si>
  <si>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</si>
  <si>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</si>
  <si>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</si>
  <si>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</si>
  <si>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</si>
  <si>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</si>
  <si>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</si>
  <si>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</si>
  <si>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</si>
  <si>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</si>
  <si>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</si>
  <si>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</si>
  <si>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</si>
  <si>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</si>
  <si>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</si>
  <si>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</si>
  <si>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</si>
  <si>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</si>
  <si>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</si>
  <si>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</si>
  <si>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</si>
  <si>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</si>
  <si>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</si>
  <si>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</si>
  <si>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</si>
  <si>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</si>
  <si>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</si>
  <si>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</si>
  <si>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</si>
  <si>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</si>
  <si>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</si>
  <si>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</si>
  <si>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</si>
  <si>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</si>
  <si>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</si>
  <si>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</si>
  <si>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</si>
  <si>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</si>
  <si>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</si>
  <si>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</si>
  <si>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</si>
  <si>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</si>
  <si>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</si>
  <si>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</si>
  <si>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</si>
  <si>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</si>
  <si>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</si>
  <si>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</si>
  <si>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</si>
  <si>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</si>
  <si>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</si>
  <si>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</si>
  <si>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</si>
  <si>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</si>
  <si>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</si>
  <si>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</si>
  <si>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</si>
  <si>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</si>
  <si>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</si>
  <si>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</si>
  <si>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</si>
  <si>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</si>
  <si>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</si>
  <si>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</si>
  <si>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</si>
  <si>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</si>
  <si>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</si>
  <si>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</si>
  <si>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</si>
  <si>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</si>
  <si>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</si>
  <si>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</si>
  <si>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</si>
  <si>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</si>
  <si>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</si>
  <si>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</si>
  <si>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</si>
  <si>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</si>
  <si>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</si>
  <si>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</si>
  <si>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</si>
  <si>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</si>
  <si>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</si>
  <si>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</si>
  <si>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</si>
  <si>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</si>
  <si>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</si>
  <si>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</si>
  <si>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</si>
  <si>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</si>
  <si>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</si>
  <si>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</si>
  <si>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</si>
  <si>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</si>
  <si>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</si>
  <si>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</si>
  <si>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</si>
  <si>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</si>
  <si>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</si>
  <si>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</si>
  <si>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</si>
  <si>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</si>
  <si>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</si>
  <si>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</si>
  <si>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</si>
  <si>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</si>
  <si>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</si>
  <si>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</si>
  <si>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</si>
  <si>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</si>
  <si>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</si>
  <si>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</si>
  <si>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</si>
  <si>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</si>
  <si>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</si>
  <si>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</si>
  <si>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</si>
  <si>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</si>
  <si>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</si>
  <si>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</si>
  <si>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</si>
  <si>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</si>
  <si>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</si>
  <si>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</si>
  <si>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</si>
  <si>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</si>
  <si>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</si>
  <si>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</si>
  <si>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</si>
  <si>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</si>
  <si>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</si>
  <si>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</si>
  <si>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</si>
  <si>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</si>
  <si>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</si>
  <si>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</si>
  <si>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</si>
  <si>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</si>
  <si>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</si>
  <si>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</si>
  <si>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</si>
  <si>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</si>
  <si>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</si>
  <si>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</si>
  <si>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</si>
  <si>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</si>
  <si>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</si>
  <si>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</si>
  <si>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</si>
  <si>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</si>
  <si>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</si>
  <si>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</si>
  <si>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</si>
  <si>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</si>
  <si>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</si>
  <si>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</si>
  <si>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</si>
  <si>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</si>
  <si>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</si>
  <si>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</si>
  <si>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</si>
  <si>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</si>
  <si>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</si>
  <si>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</si>
  <si>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</si>
  <si>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</si>
  <si>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</si>
  <si>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</si>
  <si>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</si>
  <si>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</si>
  <si>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</si>
  <si>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</si>
  <si>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</si>
  <si>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</si>
  <si>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</si>
  <si>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</si>
  <si>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</si>
  <si>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</si>
  <si>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</si>
  <si>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</si>
  <si>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</si>
  <si>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</si>
  <si>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</si>
  <si>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</si>
  <si>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</si>
  <si>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</si>
  <si>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</si>
  <si>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</si>
  <si>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</si>
  <si>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</si>
  <si>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</si>
  <si>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</si>
  <si>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</si>
  <si>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</si>
  <si>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</si>
  <si>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</si>
  <si>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</si>
  <si>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</si>
  <si>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</si>
  <si>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</si>
  <si>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</si>
  <si>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</si>
  <si>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</si>
  <si>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</si>
  <si>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</si>
  <si>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</si>
  <si>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</si>
  <si>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</si>
  <si>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</si>
  <si>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</si>
  <si>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</si>
  <si>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</si>
  <si>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</si>
  <si>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</si>
  <si>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</si>
  <si>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</si>
  <si>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</si>
  <si>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</si>
  <si>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</si>
  <si>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</si>
  <si>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</si>
  <si>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</si>
  <si>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</si>
  <si>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</si>
  <si>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</si>
  <si>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</si>
  <si>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</si>
  <si>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</si>
  <si>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</si>
  <si>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</si>
  <si>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</si>
  <si>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</si>
  <si>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</si>
  <si>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</si>
  <si>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</si>
  <si>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</si>
  <si>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</si>
  <si>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</si>
  <si>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</si>
  <si>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</si>
  <si>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</si>
  <si>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</si>
  <si>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</si>
  <si>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</si>
  <si>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</si>
  <si>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</si>
  <si>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</si>
  <si>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</si>
  <si>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</si>
  <si>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</si>
  <si>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</si>
  <si>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</si>
  <si>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</si>
  <si>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</si>
  <si>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</si>
  <si>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</si>
  <si>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</si>
  <si>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</si>
  <si>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</si>
  <si>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</si>
  <si>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</si>
  <si>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</si>
  <si>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</si>
  <si>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</si>
  <si>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</si>
  <si>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</si>
  <si>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</si>
  <si>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</si>
  <si>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</si>
  <si>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</si>
  <si>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</si>
  <si>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</si>
  <si>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</si>
  <si>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</si>
  <si>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</si>
  <si>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</si>
  <si>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</si>
  <si>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</si>
  <si>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</si>
  <si>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</si>
  <si>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</si>
  <si>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</si>
  <si>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</si>
  <si>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</si>
  <si>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</si>
  <si>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</si>
  <si>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</si>
  <si>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</si>
  <si>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</si>
  <si>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</si>
  <si>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</si>
  <si>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</si>
  <si>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</si>
  <si>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</si>
  <si>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</si>
  <si>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</si>
  <si>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</si>
  <si>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</si>
  <si>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</si>
  <si>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</si>
  <si>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</si>
  <si>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</si>
  <si>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</si>
  <si>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</si>
  <si>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</si>
  <si>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</si>
  <si>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</si>
  <si>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</si>
  <si>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</si>
  <si>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</si>
  <si>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</si>
  <si>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</si>
  <si>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</si>
  <si>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</si>
  <si>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</si>
  <si>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</si>
  <si>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</si>
  <si>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</si>
  <si>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</si>
  <si>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</si>
  <si>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</si>
  <si>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</si>
  <si>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</si>
  <si>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</si>
  <si>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</si>
  <si>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</si>
  <si>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</si>
  <si>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</si>
  <si>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</si>
  <si>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</si>
  <si>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</si>
  <si>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</si>
  <si>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</si>
  <si>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</si>
  <si>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</si>
  <si>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</si>
  <si>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</si>
  <si>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</si>
  <si>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</si>
  <si>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</si>
  <si>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</si>
  <si>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</si>
  <si>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</si>
  <si>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</si>
  <si>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</si>
  <si>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</si>
  <si>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</si>
  <si>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</si>
  <si>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</si>
  <si>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</si>
  <si>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</si>
  <si>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</si>
  <si>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</si>
  <si>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</si>
  <si>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</si>
  <si>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</si>
  <si>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</si>
  <si>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</si>
  <si>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</si>
  <si>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</si>
  <si>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</si>
  <si>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</si>
  <si>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</si>
  <si>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</si>
  <si>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</si>
  <si>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</si>
  <si>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</si>
  <si>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</si>
  <si>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</si>
  <si>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</si>
  <si>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</si>
  <si>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</si>
  <si>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</si>
  <si>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</si>
  <si>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</si>
  <si>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</si>
  <si>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</si>
  <si>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</si>
  <si>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</si>
  <si>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</si>
  <si>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</si>
  <si>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</si>
  <si>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</si>
  <si>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</si>
  <si>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</si>
  <si>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</si>
  <si>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</si>
  <si>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</si>
  <si>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</si>
  <si>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</si>
  <si>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</si>
  <si>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</si>
  <si>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</si>
  <si>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</si>
  <si>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</si>
  <si>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</si>
  <si>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</si>
  <si>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</si>
  <si>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</si>
  <si>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</si>
  <si>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</si>
  <si>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</si>
  <si>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</si>
  <si>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</si>
  <si>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</si>
  <si>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</si>
  <si>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</si>
  <si>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</si>
  <si>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</si>
  <si>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</si>
  <si>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</si>
  <si>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</si>
  <si>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</si>
  <si>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</si>
  <si>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</si>
  <si>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</si>
  <si>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</si>
  <si>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</si>
  <si>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</si>
  <si>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</si>
  <si>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</si>
  <si>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</si>
  <si>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</si>
  <si>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</si>
  <si>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</si>
  <si>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</si>
  <si>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</si>
  <si>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</si>
  <si>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</si>
  <si>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</si>
  <si>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</si>
  <si>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</si>
  <si>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</si>
  <si>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</si>
  <si>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</si>
  <si>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</si>
  <si>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</si>
  <si>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</si>
  <si>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</si>
  <si>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</si>
  <si>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</si>
  <si>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</si>
  <si>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</si>
  <si>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</si>
  <si>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</si>
  <si>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</si>
  <si>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</si>
  <si>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</si>
  <si>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</si>
  <si>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</si>
  <si>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</si>
  <si>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</si>
  <si>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</si>
  <si>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</si>
  <si>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</si>
  <si>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</si>
  <si>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</si>
  <si>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</si>
  <si>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</si>
  <si>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</si>
  <si>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</si>
  <si>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</si>
  <si>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</si>
  <si>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</si>
  <si>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</si>
  <si>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</si>
  <si>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</si>
  <si>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</si>
  <si>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</si>
  <si>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</si>
  <si>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</si>
  <si>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</si>
  <si>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</si>
  <si>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</si>
  <si>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</si>
  <si>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</si>
  <si>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</si>
  <si>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</si>
  <si>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</si>
  <si>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</si>
  <si>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</si>
  <si>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</si>
  <si>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</si>
  <si>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</si>
  <si>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</si>
  <si>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</si>
  <si>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</si>
  <si>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</si>
  <si>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</si>
  <si>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</si>
  <si>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</si>
  <si>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</si>
  <si>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</si>
  <si>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</si>
  <si>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</si>
  <si>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</si>
  <si>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</si>
  <si>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</si>
  <si>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</si>
  <si>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</si>
  <si>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</si>
  <si>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</si>
  <si>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</si>
  <si>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</si>
  <si>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</si>
  <si>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</si>
  <si>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</si>
  <si>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</si>
  <si>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</si>
  <si>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</si>
  <si>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</si>
  <si>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</si>
  <si>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</si>
  <si>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</si>
  <si>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</si>
  <si>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</si>
  <si>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</si>
  <si>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</si>
  <si>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</si>
  <si>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</si>
  <si>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</si>
  <si>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</si>
  <si>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</si>
  <si>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</si>
  <si>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</si>
  <si>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</si>
  <si>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</si>
  <si>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</si>
  <si>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</si>
  <si>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</si>
  <si>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</si>
  <si>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</si>
  <si>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</si>
  <si>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</si>
  <si>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</si>
  <si>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</si>
  <si>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</si>
  <si>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</si>
  <si>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</si>
  <si>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</si>
  <si>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</si>
  <si>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</si>
  <si>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</si>
  <si>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</si>
  <si>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</si>
  <si>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</si>
  <si>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</si>
  <si>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</si>
  <si>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</si>
  <si>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</si>
  <si>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</si>
  <si>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</si>
  <si>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</si>
  <si>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</si>
  <si>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</si>
  <si>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</si>
  <si>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</si>
  <si>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</si>
  <si>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</si>
  <si>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</si>
  <si>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</si>
  <si>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</si>
  <si>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</si>
  <si>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</si>
  <si>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</si>
  <si>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</si>
  <si>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</si>
  <si>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</si>
  <si>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</si>
  <si>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</si>
  <si>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</si>
  <si>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</si>
  <si>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</si>
  <si>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</si>
  <si>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</si>
  <si>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</si>
  <si>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</si>
  <si>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</si>
  <si>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</si>
  <si>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</si>
  <si>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</si>
  <si>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</si>
  <si>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</si>
  <si>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</si>
  <si>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</si>
  <si>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</si>
  <si>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</si>
  <si>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</si>
  <si>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</si>
  <si>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</si>
  <si>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</si>
  <si>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</si>
  <si>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</si>
  <si>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</si>
  <si>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</si>
  <si>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</si>
  <si>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</si>
  <si>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</si>
  <si>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</si>
  <si>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</si>
  <si>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</si>
  <si>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</si>
  <si>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</si>
  <si>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</si>
  <si>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</si>
  <si>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</si>
  <si>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</si>
  <si>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</si>
  <si>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</si>
  <si>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</si>
  <si>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</si>
  <si>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</si>
  <si>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</si>
  <si>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</si>
  <si>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</si>
  <si>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</si>
  <si>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</si>
  <si>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</si>
  <si>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</si>
  <si>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</si>
  <si>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</si>
  <si>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</si>
  <si>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</si>
  <si>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</si>
  <si>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</si>
  <si>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</si>
  <si>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</si>
  <si>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</si>
  <si>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</si>
  <si>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</si>
  <si>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</si>
  <si>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</si>
  <si>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</si>
  <si>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</si>
  <si>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</si>
  <si>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</si>
  <si>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</si>
  <si>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</si>
  <si>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</si>
  <si>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</si>
  <si>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</si>
  <si>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</si>
  <si>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</si>
  <si>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</si>
  <si>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</si>
  <si>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</si>
  <si>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</si>
  <si>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</si>
  <si>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</si>
  <si>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</si>
  <si>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</si>
  <si>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</si>
  <si>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</si>
  <si>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</si>
  <si>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</si>
  <si>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</si>
  <si>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</si>
  <si>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</si>
  <si>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</si>
  <si>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</si>
  <si>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</si>
  <si>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</si>
  <si>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</si>
  <si>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</si>
  <si>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</si>
  <si>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</si>
  <si>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</si>
  <si>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</si>
  <si>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</si>
  <si>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</si>
  <si>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</si>
  <si>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</si>
  <si>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</si>
  <si>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</si>
  <si>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</si>
  <si>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</si>
  <si>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</si>
  <si>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</si>
  <si>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</si>
  <si>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</si>
  <si>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</si>
  <si>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</si>
  <si>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</si>
  <si>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</si>
  <si>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</si>
  <si>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</si>
  <si>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</si>
  <si>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</si>
  <si>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</si>
  <si>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</si>
  <si>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</si>
  <si>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</si>
  <si>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</si>
  <si>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</si>
  <si>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</si>
  <si>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</si>
  <si>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</si>
  <si>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</si>
  <si>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</si>
  <si>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</si>
  <si>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</si>
  <si>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</si>
  <si>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</si>
  <si>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</si>
  <si>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</si>
  <si>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</si>
  <si>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</si>
  <si>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</si>
  <si>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</si>
  <si>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</si>
  <si>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</si>
  <si>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</si>
  <si>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</si>
  <si>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</si>
  <si>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</si>
  <si>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</si>
  <si>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</si>
  <si>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</si>
  <si>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</si>
  <si>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</si>
  <si>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</si>
  <si>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</si>
  <si>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</si>
  <si>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</si>
  <si>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</si>
  <si>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</si>
  <si>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</si>
  <si>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</si>
  <si>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</si>
  <si>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</si>
  <si>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</si>
  <si>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</si>
  <si>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</si>
  <si>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</si>
  <si>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</si>
  <si>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</si>
  <si>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</si>
  <si>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</si>
  <si>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</si>
  <si>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</si>
  <si>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</si>
  <si>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</si>
  <si>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</si>
  <si>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</si>
  <si>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</si>
  <si>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</si>
  <si>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</si>
  <si>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</si>
  <si>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</si>
  <si>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</si>
  <si>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</si>
  <si>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</si>
  <si>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</si>
  <si>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</si>
  <si>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</si>
  <si>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</si>
  <si>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</si>
  <si>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</si>
  <si>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</si>
  <si>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</si>
  <si>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</si>
  <si>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</si>
  <si>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</si>
  <si>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</si>
  <si>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</si>
  <si>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</si>
  <si>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</si>
  <si>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</si>
  <si>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</si>
  <si>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</si>
  <si>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</si>
  <si>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</si>
  <si>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</si>
  <si>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</si>
  <si>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</si>
  <si>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</si>
  <si>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</si>
  <si>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</si>
  <si>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</si>
  <si>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</si>
  <si>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</si>
  <si>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</si>
  <si>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</si>
  <si>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</si>
  <si>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</si>
  <si>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</si>
  <si>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</si>
  <si>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</si>
  <si>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</si>
  <si>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</si>
  <si>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</si>
  <si>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</si>
  <si>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</si>
  <si>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</si>
  <si>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</si>
  <si>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</si>
  <si>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</si>
  <si>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</si>
  <si>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</si>
  <si>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</si>
  <si>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</si>
  <si>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</si>
  <si>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</si>
  <si>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</si>
  <si>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</si>
  <si>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</si>
  <si>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</si>
  <si>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</si>
  <si>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</si>
  <si>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</si>
  <si>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</si>
  <si>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</si>
  <si>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</si>
  <si>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</si>
  <si>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</si>
  <si>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</si>
  <si>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</si>
  <si>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</si>
  <si>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</si>
  <si>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</si>
  <si>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</si>
  <si>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</si>
  <si>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</si>
  <si>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</si>
  <si>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</si>
  <si>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</si>
  <si>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</si>
  <si>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</si>
  <si>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</si>
  <si>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</si>
  <si>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</si>
  <si>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</si>
  <si>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</si>
  <si>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</si>
  <si>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</si>
  <si>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</si>
  <si>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</si>
  <si>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</si>
  <si>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</si>
  <si>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</si>
  <si>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</si>
  <si>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</si>
  <si>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</si>
  <si>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</si>
  <si>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</si>
  <si>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</si>
  <si>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</si>
  <si>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</si>
  <si>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</si>
  <si>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</si>
  <si>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</si>
  <si>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</si>
  <si>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</si>
  <si>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</si>
  <si>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</si>
  <si>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</si>
  <si>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</si>
  <si>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</si>
  <si>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</si>
  <si>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</si>
  <si>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</si>
  <si>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</si>
  <si>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</si>
  <si>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</si>
  <si>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</si>
  <si>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</si>
  <si>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</si>
  <si>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</si>
  <si>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</si>
  <si>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</si>
  <si>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</si>
  <si>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</si>
  <si>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</si>
  <si>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</si>
  <si>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</si>
  <si>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</si>
  <si>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</si>
  <si>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</si>
  <si>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</si>
  <si>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</si>
  <si>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</si>
  <si>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</si>
  <si>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</si>
  <si>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</si>
  <si>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</si>
  <si>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</si>
  <si>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</si>
  <si>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</si>
  <si>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</si>
  <si>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</si>
  <si>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</si>
  <si>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</si>
  <si>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</si>
  <si>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</si>
  <si>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</si>
  <si>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</si>
  <si>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</si>
  <si>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</si>
  <si>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</si>
  <si>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</si>
  <si>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</si>
  <si>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</si>
  <si>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</si>
  <si>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</si>
  <si>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</si>
  <si>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</si>
  <si>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</si>
  <si>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</si>
  <si>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</si>
  <si>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</si>
  <si>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</si>
  <si>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</si>
  <si>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</si>
  <si>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</si>
  <si>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</si>
  <si>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</si>
  <si>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</si>
  <si>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</si>
  <si>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</si>
  <si>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</si>
  <si>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</si>
  <si>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</si>
  <si>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</si>
  <si>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</si>
  <si>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</si>
  <si>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</si>
  <si>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</si>
  <si>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</si>
  <si>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</si>
  <si>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</si>
  <si>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</si>
  <si>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</si>
  <si>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</si>
  <si>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</si>
  <si>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</si>
  <si>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</si>
  <si>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</si>
  <si>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</si>
  <si>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</si>
  <si>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</si>
  <si>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</si>
  <si>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</si>
  <si>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</si>
  <si>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</si>
  <si>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</si>
  <si>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</si>
  <si>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</si>
  <si>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</si>
  <si>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</si>
  <si>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</si>
  <si>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</si>
  <si>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</si>
  <si>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</si>
  <si>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</si>
  <si>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</si>
  <si>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</si>
  <si>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</si>
  <si>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</si>
  <si>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</si>
  <si>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</si>
  <si>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</si>
  <si>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</si>
  <si>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</si>
  <si>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</si>
  <si>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</si>
  <si>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</si>
  <si>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</si>
  <si>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</si>
  <si>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</si>
  <si>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</si>
  <si>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</si>
  <si>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</si>
  <si>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</si>
  <si>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</si>
  <si>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</si>
  <si>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</si>
  <si>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</si>
  <si>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</si>
  <si>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</si>
  <si>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</si>
  <si>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</si>
  <si>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</si>
  <si>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</si>
  <si>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</si>
  <si>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</si>
  <si>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</si>
  <si>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</si>
  <si>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</si>
  <si>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</si>
  <si>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</si>
  <si>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</si>
  <si>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</si>
  <si>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</si>
  <si>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</si>
  <si>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</si>
  <si>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</si>
  <si>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</si>
  <si>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</si>
  <si>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</si>
  <si>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</si>
  <si>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</si>
  <si>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</si>
  <si>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</si>
  <si>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</si>
  <si>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</si>
  <si>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</si>
  <si>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</si>
  <si>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</si>
  <si>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</si>
  <si>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</si>
  <si>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</si>
  <si>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</si>
  <si>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</si>
  <si>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</si>
  <si>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</si>
  <si>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</si>
  <si>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</si>
  <si>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</si>
  <si>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</si>
  <si>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</si>
  <si>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</si>
  <si>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</si>
  <si>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</si>
  <si>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</si>
  <si>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</si>
  <si>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</si>
  <si>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</si>
  <si>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</si>
  <si>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</si>
  <si>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</si>
  <si>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</si>
  <si>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</si>
  <si>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</si>
  <si>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</si>
  <si>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</si>
  <si>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</si>
  <si>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</si>
  <si>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</si>
  <si>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</si>
  <si>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</si>
  <si>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</si>
  <si>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</si>
  <si>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</si>
  <si>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</si>
  <si>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</si>
  <si>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</si>
  <si>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</si>
  <si>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</si>
  <si>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</si>
  <si>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</si>
  <si>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</si>
  <si>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</si>
  <si>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</si>
  <si>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</si>
  <si>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</si>
  <si>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</si>
  <si>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</si>
  <si>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</si>
  <si>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</si>
  <si>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</si>
  <si>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</si>
  <si>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</si>
  <si>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</si>
  <si>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</si>
  <si>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</si>
  <si>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</si>
  <si>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</si>
  <si>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</si>
  <si>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</si>
  <si>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</si>
  <si>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</si>
  <si>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</si>
  <si>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</si>
  <si>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</si>
  <si>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</si>
  <si>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</si>
  <si>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</si>
  <si>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</si>
  <si>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</si>
  <si>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</si>
  <si>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</si>
  <si>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</si>
  <si>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</si>
  <si>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</si>
  <si>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</si>
  <si>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</si>
  <si>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</si>
  <si>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</si>
  <si>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</si>
  <si>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</si>
  <si>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</si>
  <si>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</si>
  <si>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</si>
  <si>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</si>
  <si>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</si>
  <si>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</si>
  <si>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</si>
  <si>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</si>
  <si>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</si>
  <si>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</si>
  <si>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</si>
  <si>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</si>
  <si>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</si>
  <si>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</si>
  <si>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</si>
  <si>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</si>
  <si>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</si>
  <si>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</si>
  <si>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</si>
  <si>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</si>
  <si>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</si>
  <si>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</si>
  <si>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</si>
  <si>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</si>
  <si>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</si>
  <si>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</si>
  <si>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</si>
  <si>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</si>
  <si>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</si>
  <si>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</si>
  <si>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</si>
  <si>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</si>
  <si>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</si>
  <si>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</si>
  <si>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</si>
  <si>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</si>
  <si>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</si>
  <si>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</si>
  <si>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</si>
  <si>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</si>
  <si>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</si>
  <si>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</si>
  <si>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</si>
  <si>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</si>
  <si>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</si>
  <si>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</si>
  <si>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</si>
  <si>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</si>
  <si>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</si>
  <si>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</si>
  <si>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</si>
  <si>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</si>
  <si>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</si>
  <si>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</si>
  <si>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</si>
  <si>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</si>
  <si>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</si>
  <si>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</si>
  <si>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</si>
  <si>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</si>
  <si>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</si>
  <si>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</si>
  <si>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</si>
  <si>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</si>
  <si>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</si>
  <si>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</si>
  <si>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</si>
  <si>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</si>
  <si>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</si>
  <si>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</si>
  <si>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</si>
  <si>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</si>
  <si>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</si>
  <si>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</si>
  <si>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</si>
  <si>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</si>
  <si>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</si>
  <si>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</si>
  <si>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</si>
  <si>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</si>
  <si>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</si>
  <si>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</si>
  <si>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</si>
  <si>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</si>
  <si>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</si>
  <si>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</si>
  <si>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</si>
  <si>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</si>
  <si>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</si>
  <si>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</si>
  <si>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</si>
  <si>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</si>
  <si>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</si>
  <si>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</si>
  <si>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</si>
  <si>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</si>
  <si>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</si>
  <si>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</si>
  <si>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</si>
  <si>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</si>
  <si>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</si>
  <si>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</si>
  <si>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</si>
  <si>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</si>
  <si>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</si>
  <si>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</si>
  <si>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</si>
  <si>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</si>
  <si>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</si>
  <si>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</si>
  <si>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</si>
  <si>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</si>
  <si>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</si>
  <si>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</si>
  <si>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</si>
  <si>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</si>
  <si>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</si>
  <si>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</si>
  <si>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</si>
  <si>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</si>
  <si>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</si>
  <si>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</si>
  <si>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</si>
  <si>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</si>
  <si>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</si>
  <si>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</si>
  <si>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</si>
  <si>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</si>
  <si>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</si>
  <si>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</si>
  <si>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</si>
  <si>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</si>
  <si>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</si>
  <si>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</si>
  <si>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</si>
  <si>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</si>
  <si>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</si>
  <si>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</si>
  <si>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</si>
  <si>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</si>
  <si>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</si>
  <si>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</si>
  <si>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</si>
  <si>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</si>
  <si>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</si>
  <si>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</si>
  <si>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</si>
  <si>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</si>
  <si>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</si>
  <si>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</si>
  <si>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</si>
  <si>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</si>
  <si>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</si>
  <si>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</si>
  <si>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</si>
  <si>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</si>
  <si>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</si>
  <si>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</si>
  <si>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</si>
  <si>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</si>
  <si>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</si>
  <si>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</si>
  <si>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</si>
  <si>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</si>
  <si>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</si>
  <si>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</si>
  <si>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</si>
  <si>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</si>
  <si>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</si>
  <si>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</si>
  <si>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</si>
  <si>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</si>
  <si>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</si>
  <si>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</si>
  <si>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</si>
  <si>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</si>
  <si>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</si>
  <si>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</si>
  <si>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</si>
  <si>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</si>
  <si>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</si>
  <si>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</si>
  <si>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</si>
  <si>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</si>
  <si>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</si>
  <si>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</si>
  <si>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</si>
  <si>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</si>
  <si>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</si>
  <si>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</si>
  <si>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</si>
  <si>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</si>
  <si>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</si>
  <si>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</si>
  <si>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</si>
  <si>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</si>
  <si>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</si>
  <si>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</si>
  <si>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</si>
  <si>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</si>
  <si>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</si>
  <si>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</si>
  <si>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</si>
  <si>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</si>
  <si>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</si>
  <si>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</si>
  <si>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</si>
  <si>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</si>
  <si>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</si>
  <si>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</si>
  <si>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</si>
  <si>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</si>
  <si>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</si>
  <si>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</si>
  <si>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</si>
  <si>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</si>
  <si>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</si>
  <si>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</si>
  <si>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</si>
  <si>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</si>
  <si>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</si>
  <si>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</si>
  <si>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</si>
  <si>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</si>
  <si>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</si>
  <si>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</si>
  <si>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</si>
  <si>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</si>
  <si>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</si>
  <si>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</si>
  <si>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</si>
  <si>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</si>
  <si>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</si>
  <si>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</si>
  <si>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</si>
  <si>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</si>
  <si>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</si>
  <si>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</si>
  <si>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</si>
  <si>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</si>
  <si>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</si>
  <si>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</si>
  <si>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</si>
  <si>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</si>
  <si>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</si>
  <si>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</si>
  <si>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</si>
  <si>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</si>
  <si>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</si>
  <si>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</si>
  <si>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</si>
  <si>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</si>
  <si>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</si>
  <si>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</si>
  <si>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</si>
  <si>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</si>
  <si>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</si>
  <si>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</si>
  <si>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</si>
  <si>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</si>
  <si>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</si>
  <si>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</si>
  <si>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</si>
  <si>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</si>
  <si>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</si>
  <si>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</si>
  <si>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WppL</t>
  </si>
  <si>
    <t>WppDi1</t>
  </si>
  <si>
    <t>WppDi2</t>
  </si>
  <si>
    <t>WppL2</t>
  </si>
  <si>
    <t>Desc1</t>
  </si>
  <si>
    <t>Desc2</t>
  </si>
  <si>
    <t>T4</t>
  </si>
  <si>
    <t>name1</t>
  </si>
  <si>
    <t>name2</t>
  </si>
  <si>
    <t>A3.5</t>
  </si>
  <si>
    <t>A3.8</t>
  </si>
  <si>
    <t>A3.9</t>
  </si>
  <si>
    <t>A3.21</t>
  </si>
  <si>
    <t>A3.13</t>
  </si>
  <si>
    <t>A3.15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</si>
  <si>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</si>
  <si>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</si>
  <si>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</si>
  <si>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</si>
  <si>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</si>
  <si>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</si>
  <si>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</si>
  <si>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</si>
  <si>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</si>
  <si>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</si>
  <si>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</si>
  <si>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</si>
  <si>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</si>
  <si>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</si>
  <si>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</si>
  <si>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</si>
  <si>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</si>
  <si>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</si>
  <si>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</si>
  <si>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</si>
  <si>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</si>
  <si>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</si>
  <si>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</si>
  <si>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</si>
  <si>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</si>
  <si>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</si>
  <si>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</si>
  <si>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</si>
  <si>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</si>
  <si>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</si>
  <si>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</si>
  <si>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</si>
  <si>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</si>
  <si>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</si>
  <si>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</si>
  <si>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</si>
  <si>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</si>
  <si>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</si>
  <si>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</si>
  <si>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</si>
  <si>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</si>
  <si>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</si>
  <si>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</si>
  <si>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</si>
  <si>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</si>
  <si>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</si>
  <si>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</si>
  <si>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</si>
  <si>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</si>
  <si>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</si>
  <si>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</si>
  <si>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</si>
  <si>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</si>
  <si>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</si>
  <si>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</si>
  <si>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</si>
  <si>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</si>
  <si>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</si>
  <si>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</si>
  <si>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</si>
  <si>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</si>
  <si>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</si>
  <si>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A3.6</t>
  </si>
  <si>
    <t>A3.10</t>
  </si>
  <si>
    <t>A3.12</t>
  </si>
  <si>
    <t>A3.14</t>
  </si>
  <si>
    <t>A3.43</t>
  </si>
  <si>
    <t>A3.44</t>
  </si>
  <si>
    <t>A3.45</t>
  </si>
  <si>
    <t>A3.26</t>
  </si>
  <si>
    <t>А3.33</t>
  </si>
  <si>
    <t>F0-F1UZ</t>
  </si>
  <si>
    <t>F0-F2UZ</t>
  </si>
  <si>
    <t>F0-F3UZ</t>
  </si>
  <si>
    <t>F0-F4UZ</t>
  </si>
  <si>
    <t>F0-F5UZ</t>
  </si>
  <si>
    <t>F0-F6UZ</t>
  </si>
  <si>
    <t>F0-F7UZ</t>
  </si>
  <si>
    <t>F0-FTM1</t>
  </si>
  <si>
    <t>F0-FTM2</t>
  </si>
  <si>
    <t>F0-K20</t>
  </si>
  <si>
    <t>F0-K26</t>
  </si>
  <si>
    <t>F0-K33</t>
  </si>
  <si>
    <t>F0-K38</t>
  </si>
  <si>
    <t>F0-K41</t>
  </si>
  <si>
    <t>F0-K44</t>
  </si>
  <si>
    <t>F0-RS1</t>
  </si>
  <si>
    <t>K11</t>
  </si>
  <si>
    <t>K12</t>
  </si>
  <si>
    <t>K13</t>
  </si>
  <si>
    <t>K14</t>
  </si>
  <si>
    <t>K20</t>
  </si>
  <si>
    <t>K16</t>
  </si>
  <si>
    <t>K21</t>
  </si>
  <si>
    <t>K18</t>
  </si>
  <si>
    <t>K22</t>
  </si>
  <si>
    <t>K19</t>
  </si>
  <si>
    <t>K23</t>
  </si>
  <si>
    <t>K15</t>
  </si>
  <si>
    <t>K24</t>
  </si>
  <si>
    <t>K17</t>
  </si>
  <si>
    <t>K4</t>
  </si>
  <si>
    <t>K8</t>
  </si>
  <si>
    <t>K10</t>
  </si>
  <si>
    <t>F0-G1</t>
  </si>
  <si>
    <t>F0-G2</t>
  </si>
  <si>
    <t>F1-1</t>
  </si>
  <si>
    <t>F1-2</t>
  </si>
  <si>
    <t>F1-3</t>
  </si>
  <si>
    <t>F1-4</t>
  </si>
  <si>
    <t>F2-3</t>
  </si>
  <si>
    <t>F2-4</t>
  </si>
  <si>
    <t>F3-1</t>
  </si>
  <si>
    <t>F3-2</t>
  </si>
  <si>
    <t>F3-3</t>
  </si>
  <si>
    <t>F3-4</t>
  </si>
  <si>
    <t>F4-1</t>
  </si>
  <si>
    <t>F4-2</t>
  </si>
  <si>
    <t>F4-3</t>
  </si>
  <si>
    <t>F4-4</t>
  </si>
  <si>
    <t>F5-1</t>
  </si>
  <si>
    <t>F5-2</t>
  </si>
  <si>
    <t>F5-3</t>
  </si>
  <si>
    <t>F5-4</t>
  </si>
  <si>
    <t>F6-1</t>
  </si>
  <si>
    <t>F6-2</t>
  </si>
  <si>
    <t>F6-3</t>
  </si>
  <si>
    <t>F6-4</t>
  </si>
  <si>
    <t>F7-1</t>
  </si>
  <si>
    <t>F7-2</t>
  </si>
  <si>
    <t>F7-3</t>
  </si>
  <si>
    <t>F7-4</t>
  </si>
  <si>
    <t>F8-1</t>
  </si>
  <si>
    <t>F8-2</t>
  </si>
  <si>
    <t>F8-3</t>
  </si>
  <si>
    <t>F8-4</t>
  </si>
  <si>
    <t>F1-10</t>
  </si>
  <si>
    <t>F1-11</t>
  </si>
  <si>
    <t>F1-12</t>
  </si>
  <si>
    <t>F2-10</t>
  </si>
  <si>
    <t>F2-11</t>
  </si>
  <si>
    <t>F2-12</t>
  </si>
  <si>
    <t>F3-10</t>
  </si>
  <si>
    <t>F3-11</t>
  </si>
  <si>
    <t>F3-12</t>
  </si>
  <si>
    <t>F4-10</t>
  </si>
  <si>
    <t>F4-11</t>
  </si>
  <si>
    <t>F4-12</t>
  </si>
  <si>
    <t>F5-10</t>
  </si>
  <si>
    <t>F5-11</t>
  </si>
  <si>
    <t>F5-12</t>
  </si>
  <si>
    <t>F6-10</t>
  </si>
  <si>
    <t>F6-11</t>
  </si>
  <si>
    <t>F6-12</t>
  </si>
  <si>
    <t>F7-10</t>
  </si>
  <si>
    <t>F7-11</t>
  </si>
  <si>
    <t>F7-12</t>
  </si>
  <si>
    <t>F8-10</t>
  </si>
  <si>
    <t>F8-11</t>
  </si>
  <si>
    <t>F8-12</t>
  </si>
  <si>
    <t>F0-G8</t>
  </si>
  <si>
    <t>F0-G13</t>
  </si>
  <si>
    <t>F0-G18</t>
  </si>
  <si>
    <t>K9</t>
  </si>
  <si>
    <t>F0-УУГ1</t>
  </si>
  <si>
    <t>Z0</t>
  </si>
  <si>
    <t>Питание ввода №1 в норме (ВК)</t>
  </si>
  <si>
    <t>Питание ввода №2 в норме (ВК)</t>
  </si>
  <si>
    <t>Ввод 1 включен (ВК)</t>
  </si>
  <si>
    <t>Ввод 2 включен (ВК)</t>
  </si>
  <si>
    <t>Питание ИБП в норме (ВК)</t>
  </si>
  <si>
    <t>Питание датчиков 220В включено (ВК)</t>
  </si>
  <si>
    <t>Дверь шкафа открыта (ВК)</t>
  </si>
  <si>
    <t>Питание ввода №1 в норме (Серв 1)</t>
  </si>
  <si>
    <t>Питание ввода №2 в норме (Серв 1)</t>
  </si>
  <si>
    <t>Ввод 1 включен (Серв 1)</t>
  </si>
  <si>
    <t>Ввод 2 включен (Серв 1)</t>
  </si>
  <si>
    <t>Питание ИБП в норме (Серв 1)</t>
  </si>
  <si>
    <t>Дверь шкафа открыта (Серв 1)</t>
  </si>
  <si>
    <t>Питание ввода №1 в норме (Серв 2)</t>
  </si>
  <si>
    <t>Питание ввода №2 в норме (Серв 2)</t>
  </si>
  <si>
    <t>Ввод 1 включен (Серв 2)</t>
  </si>
  <si>
    <t>Ввод 2 включен (Серв 2)</t>
  </si>
  <si>
    <t>Питание ИБП в норме (Серв 2)</t>
  </si>
  <si>
    <t>Дверь шкафа открыта (Серв 2)</t>
  </si>
  <si>
    <t>Switch</t>
  </si>
  <si>
    <t>Port</t>
  </si>
  <si>
    <t>E3-Eth1</t>
  </si>
  <si>
    <t>E3-Eth2</t>
  </si>
  <si>
    <t>UTP cat5e 4x2x0.4</t>
  </si>
  <si>
    <t>E3CJU01</t>
  </si>
  <si>
    <t>Z0-Eth1</t>
  </si>
  <si>
    <t>Z0-Eth2</t>
  </si>
  <si>
    <t>Z0CJU01</t>
  </si>
  <si>
    <t>Z0CJU02</t>
  </si>
  <si>
    <t>GW01
Port3</t>
  </si>
  <si>
    <t>GW01
Port4</t>
  </si>
  <si>
    <t>GW01
Port5</t>
  </si>
  <si>
    <t>GW01
Port6</t>
  </si>
  <si>
    <t>GW02
Port3</t>
  </si>
  <si>
    <t>GW02
Port4</t>
  </si>
  <si>
    <t>GW02
Port5</t>
  </si>
  <si>
    <t>GW02
Port6</t>
  </si>
  <si>
    <t>GW02
Port7</t>
  </si>
  <si>
    <t>Питание датчиков 24в включено (ВК)</t>
  </si>
  <si>
    <t>Питание реле 24в включено (ВК)</t>
  </si>
  <si>
    <t>F1NDG10
АА001</t>
  </si>
  <si>
    <t>F0NDG10
AA002</t>
  </si>
  <si>
    <t>F1NDF10
AA001</t>
  </si>
  <si>
    <t>F0NDF10
AA002</t>
  </si>
  <si>
    <t>F2NDG10
AA001</t>
  </si>
  <si>
    <t>F2NDF10
АА001</t>
  </si>
  <si>
    <t>F3NDG10
AA001</t>
  </si>
  <si>
    <t>F3NDF10
AA001</t>
  </si>
  <si>
    <t>F4NDG10
AA001</t>
  </si>
  <si>
    <t>F4NDF10
AA001</t>
  </si>
  <si>
    <t>F5NDG10
AA001</t>
  </si>
  <si>
    <t>F5NDF10
AA001</t>
  </si>
  <si>
    <t>F6NDG10
AA001</t>
  </si>
  <si>
    <t>F6NDF10
AA001</t>
  </si>
  <si>
    <t>F7NDG10
AA001</t>
  </si>
  <si>
    <t>F7NDF10
AA001</t>
  </si>
  <si>
    <t>F8NDG10
AA001</t>
  </si>
  <si>
    <t>F8NDF10
AA001</t>
  </si>
  <si>
    <t>F0NDG12
AA001</t>
  </si>
  <si>
    <t>F0NDG11
AA001</t>
  </si>
  <si>
    <t>F0NDG04
AA001</t>
  </si>
  <si>
    <t>F0NDG04
AA002</t>
  </si>
  <si>
    <t>F0NDG03
AA001</t>
  </si>
  <si>
    <t>F0NDG03
AA002</t>
  </si>
  <si>
    <t>F0NDG02
AA001</t>
  </si>
  <si>
    <t>F0NDG02
AA002</t>
  </si>
  <si>
    <t>F0NDG01
AA001</t>
  </si>
  <si>
    <t>F0NDG01
AA002</t>
  </si>
  <si>
    <t>F0NDG12
AA002</t>
  </si>
  <si>
    <t>F0NDG11
AA002</t>
  </si>
  <si>
    <t>F0GDH11
AA001</t>
  </si>
  <si>
    <t>F0GCN01
AA001</t>
  </si>
  <si>
    <t>F0GAD12
AA801</t>
  </si>
  <si>
    <t>F0GAD16
AA801</t>
  </si>
  <si>
    <t>F0GHJ20
AA801</t>
  </si>
  <si>
    <t>F0GAD17
AA801</t>
  </si>
  <si>
    <t>F0NDG24
AA801</t>
  </si>
  <si>
    <t>F0NDG20
AA803</t>
  </si>
  <si>
    <t>F0GAC01
AA801</t>
  </si>
  <si>
    <t>F0GAC01
AA802</t>
  </si>
  <si>
    <t>F0GBJ01
AA801</t>
  </si>
  <si>
    <t>F1NDG10
AA801</t>
  </si>
  <si>
    <t>F2NDG10
AA801</t>
  </si>
  <si>
    <t>F3NDG10
AA801</t>
  </si>
  <si>
    <t>F4NDG10
AA801</t>
  </si>
  <si>
    <t>F5NDG10
AA801</t>
  </si>
  <si>
    <t>F6NDG10
AA801</t>
  </si>
  <si>
    <t>F7NDG10
AA801</t>
  </si>
  <si>
    <t>F8NDG10
AA801</t>
  </si>
  <si>
    <t>F0GAF03
AA801</t>
  </si>
  <si>
    <t>F0GHJ20
AA802</t>
  </si>
  <si>
    <t>F0NDG20
AA801</t>
  </si>
  <si>
    <t>F0NDG20
AA802</t>
  </si>
  <si>
    <t>F0GHJ10
AA801</t>
  </si>
  <si>
    <t>F0GAA01
CT001</t>
  </si>
  <si>
    <t>F0GAA01
CP001</t>
  </si>
  <si>
    <t>F0GAA01
CP002</t>
  </si>
  <si>
    <t>F0GAA01
CP003</t>
  </si>
  <si>
    <t>F0GAF01
CP001</t>
  </si>
  <si>
    <t>F0GAF01
CP002</t>
  </si>
  <si>
    <t>F0GAF02
CP001</t>
  </si>
  <si>
    <t>F0GAF02
CP002</t>
  </si>
  <si>
    <t>F0GAF10
CP001</t>
  </si>
  <si>
    <t>F0GAF03
CP001</t>
  </si>
  <si>
    <t>F0GAD11
CT001</t>
  </si>
  <si>
    <t>F0GAD11
CP001</t>
  </si>
  <si>
    <t>F0GBK10
CL001</t>
  </si>
  <si>
    <t>F0GAC01
CT101</t>
  </si>
  <si>
    <t>F0GBJ01
CT101</t>
  </si>
  <si>
    <t>F0GAD13
CT001</t>
  </si>
  <si>
    <t>F0GAD14
CP001</t>
  </si>
  <si>
    <t>F0GAD14
CP002</t>
  </si>
  <si>
    <t>F0GAD15
CP001</t>
  </si>
  <si>
    <t>F0GAD15
CP002</t>
  </si>
  <si>
    <t>F0GAD13
CL001</t>
  </si>
  <si>
    <t>F0GAD17
CP001</t>
  </si>
  <si>
    <t>F0GAD17
CT001</t>
  </si>
  <si>
    <t>F0GDH11
CT002</t>
  </si>
  <si>
    <t>F0GDH11
CP002</t>
  </si>
  <si>
    <t>F0GDH11
CT001</t>
  </si>
  <si>
    <t>F0GDH11
CP001</t>
  </si>
  <si>
    <t>F0NDK11
CP001</t>
  </si>
  <si>
    <t>F0NDK11
CP002</t>
  </si>
  <si>
    <t>F0NDK12
CP001</t>
  </si>
  <si>
    <t>F0NDK12
CP002</t>
  </si>
  <si>
    <t>F0NDK13
CP001</t>
  </si>
  <si>
    <t>F0NDK13
CP002</t>
  </si>
  <si>
    <t>F0GDH11
CL002</t>
  </si>
  <si>
    <t>F0NDK20
CP001</t>
  </si>
  <si>
    <t>F0NDK20
CT001</t>
  </si>
  <si>
    <t>F0GHJ11
CP001</t>
  </si>
  <si>
    <t>F0GHJ11
CT001</t>
  </si>
  <si>
    <t>F0GHJ11
CP003</t>
  </si>
  <si>
    <t>F0GHJ11
CT003</t>
  </si>
  <si>
    <t>F0GHJ11
CP002</t>
  </si>
  <si>
    <t>F0GHJ11
CT002</t>
  </si>
  <si>
    <t>F0GHJ11
CP004</t>
  </si>
  <si>
    <t>F0GHJ11
CT004</t>
  </si>
  <si>
    <t>F0GHJ12
CP001</t>
  </si>
  <si>
    <t>F0GHJ12
CT001</t>
  </si>
  <si>
    <t>F0GHJ12
CP003</t>
  </si>
  <si>
    <t>F0GHJ12
CT003</t>
  </si>
  <si>
    <t>F0GHJ12
CP002</t>
  </si>
  <si>
    <t>F0GHJ12
CT002</t>
  </si>
  <si>
    <t>F0GHJ12
CP004</t>
  </si>
  <si>
    <t>F0GHJ12
CT004</t>
  </si>
  <si>
    <t>F0GHJ20
CT002</t>
  </si>
  <si>
    <t>F0NDG23
CT001</t>
  </si>
  <si>
    <t>F0NDG23
CP001</t>
  </si>
  <si>
    <t>F0NDG20
CP001</t>
  </si>
  <si>
    <t>F0GBK11
CP001</t>
  </si>
  <si>
    <t>F0GBK11
CP002</t>
  </si>
  <si>
    <t>F0GBK12
CP001</t>
  </si>
  <si>
    <t>F0GBK12
CP002</t>
  </si>
  <si>
    <t>F0NDG20
CT001</t>
  </si>
  <si>
    <t>F1NDG10
CT001</t>
  </si>
  <si>
    <t>F1NDG10
CP001</t>
  </si>
  <si>
    <t>F1NDG10
CT002</t>
  </si>
  <si>
    <t>F2NDG10
CT001</t>
  </si>
  <si>
    <t>F2NDG10
CP001</t>
  </si>
  <si>
    <t>F2NDG10
CT002</t>
  </si>
  <si>
    <t>F3NDG10
CT001</t>
  </si>
  <si>
    <t>F3NDG10
CP001</t>
  </si>
  <si>
    <t>F3NDG10
CT002</t>
  </si>
  <si>
    <t>F4NDG10
CT001</t>
  </si>
  <si>
    <t>F4NDG10
CP001</t>
  </si>
  <si>
    <t>F4NDG10
CT002</t>
  </si>
  <si>
    <t>F5NDG10
CT001</t>
  </si>
  <si>
    <t>F5NDG10
CP001</t>
  </si>
  <si>
    <t>F5NDG10
CT002</t>
  </si>
  <si>
    <t>F6NDG10
CT001</t>
  </si>
  <si>
    <t>F6NDG10
CP001</t>
  </si>
  <si>
    <t>F6NDG10
CT002</t>
  </si>
  <si>
    <t>F7NDG10
CT001</t>
  </si>
  <si>
    <t>F7NDG10
CP001</t>
  </si>
  <si>
    <t>F7NDG10
CT002</t>
  </si>
  <si>
    <t>F8NDG10
CT001</t>
  </si>
  <si>
    <t>F8NDG10
CP001</t>
  </si>
  <si>
    <t>F8NDG10
CT002</t>
  </si>
  <si>
    <t>F0NDF22
CP001</t>
  </si>
  <si>
    <t>F0NDF22
CT001</t>
  </si>
  <si>
    <t>F1NDF10
CP001</t>
  </si>
  <si>
    <t>F1NDF10
CT001</t>
  </si>
  <si>
    <t>F2NDF10
CP001</t>
  </si>
  <si>
    <t>F2NDF10
CT001</t>
  </si>
  <si>
    <t>F3NDF10
CP001</t>
  </si>
  <si>
    <t>F3NDF10
CT001</t>
  </si>
  <si>
    <t>F4NDF10
CP001</t>
  </si>
  <si>
    <t>F4NDF10
CT001</t>
  </si>
  <si>
    <t>F5NDF10
CP001</t>
  </si>
  <si>
    <t>F5NDF10
CT001</t>
  </si>
  <si>
    <t>F6NDF10
CP001</t>
  </si>
  <si>
    <t>F6NDF10
CT001</t>
  </si>
  <si>
    <t>F7NDF10
CP001</t>
  </si>
  <si>
    <t>F7NDF10
CT001</t>
  </si>
  <si>
    <t>F8NDF10
CP001</t>
  </si>
  <si>
    <t>F8NDF10
CT001</t>
  </si>
  <si>
    <t>F0NDF10
CT001</t>
  </si>
  <si>
    <t>F0UZK10
CT001</t>
  </si>
  <si>
    <t>F0LFM11
CP001</t>
  </si>
  <si>
    <t>F0LFM11
CP002</t>
  </si>
  <si>
    <t>F0LFM12
CP001</t>
  </si>
  <si>
    <t>F0LFM12
CP002</t>
  </si>
  <si>
    <t>F0NDF15
СР001</t>
  </si>
  <si>
    <t>F0NDF15
СТ101</t>
  </si>
  <si>
    <t>F0GKB20
СТ101</t>
  </si>
  <si>
    <t>F0GKB10
СТ101</t>
  </si>
  <si>
    <t>F0GHJ10
CF151</t>
  </si>
  <si>
    <t>F0GAD11
CF001</t>
  </si>
  <si>
    <t>F0NDF22
CF001</t>
  </si>
  <si>
    <t>F0NDF22
CF002</t>
  </si>
  <si>
    <t>F0GAD12
CF001</t>
  </si>
  <si>
    <t>F0NDK20
CF001</t>
  </si>
  <si>
    <t>F0GAD18
CF001</t>
  </si>
  <si>
    <t>F0GHJ20
CF001</t>
  </si>
  <si>
    <t>F0GBJ01
CF151</t>
  </si>
  <si>
    <t>F0GBJ02
CF151</t>
  </si>
  <si>
    <t>F0GBK10
CQ003</t>
  </si>
  <si>
    <t>F0GHJ01
CQ001</t>
  </si>
  <si>
    <t>F0GCN01
СL001</t>
  </si>
  <si>
    <t>F0GCN01
СL002</t>
  </si>
  <si>
    <t>F0NDG01
CT101</t>
  </si>
  <si>
    <t>F0NDG01
CT103</t>
  </si>
  <si>
    <t>F0NDG01
CT105</t>
  </si>
  <si>
    <t>F0NDG01
CE012</t>
  </si>
  <si>
    <t>F0NDG01
AP001</t>
  </si>
  <si>
    <t>F0NDG02
CT101</t>
  </si>
  <si>
    <t>F0NDG02
CT103</t>
  </si>
  <si>
    <t>F0NDG02
CT105</t>
  </si>
  <si>
    <t>F0NDG02
CE012</t>
  </si>
  <si>
    <t>F0NDG02
AP001</t>
  </si>
  <si>
    <t>F0NDG03
CT101</t>
  </si>
  <si>
    <t>F0NDG03
CT103</t>
  </si>
  <si>
    <t>F0NDG03
CT105</t>
  </si>
  <si>
    <t>F0NDG03
CE012</t>
  </si>
  <si>
    <t>F0NDG03
AP001</t>
  </si>
  <si>
    <t>F0NDG04
CT101</t>
  </si>
  <si>
    <t>F0NDG04
CT103</t>
  </si>
  <si>
    <t>F0NDG04
CT105</t>
  </si>
  <si>
    <t>F0NDG04 CE012</t>
  </si>
  <si>
    <t>F0NDG04 AP001</t>
  </si>
  <si>
    <t>F0GAF01 CT101</t>
  </si>
  <si>
    <t>F0GAF01 CE012</t>
  </si>
  <si>
    <t>F0GAF02 CT101</t>
  </si>
  <si>
    <t>F0GAF02 CE012</t>
  </si>
  <si>
    <t>F0NDK11 CT101</t>
  </si>
  <si>
    <t>F0NDK11 CE012</t>
  </si>
  <si>
    <t>F0NDK12 CT101</t>
  </si>
  <si>
    <t>F0NDK12 CE012</t>
  </si>
  <si>
    <t>F0NDK13 CT101</t>
  </si>
  <si>
    <t>F0NDK13 CE012</t>
  </si>
  <si>
    <t>F0GAD01 CT101</t>
  </si>
  <si>
    <t>F0GAD01 CE012</t>
  </si>
  <si>
    <t>F0GAD02 CT101</t>
  </si>
  <si>
    <t>F0GAD02 CE012</t>
  </si>
  <si>
    <t>F0GBK01 CE012</t>
  </si>
  <si>
    <t>F0GBK02 CE012</t>
  </si>
  <si>
    <t>F0LFM01 CE012</t>
  </si>
  <si>
    <t>F0LFM02 CE012</t>
  </si>
  <si>
    <t>F0SAH10 СT101</t>
  </si>
  <si>
    <t>F0SAH11 СT101</t>
  </si>
  <si>
    <t>F0SAH20 СP001</t>
  </si>
  <si>
    <t>F0SAH21 СP001</t>
  </si>
  <si>
    <t>F0NDF24 AA801</t>
  </si>
  <si>
    <t>F0NDF24 AA802</t>
  </si>
  <si>
    <t>F0NDF24 AA803</t>
  </si>
  <si>
    <t>F0NDG24 AA001</t>
  </si>
  <si>
    <t>F0SAH21 AA001</t>
  </si>
  <si>
    <t>F0EKG10 СР001</t>
  </si>
  <si>
    <t>F0EKG10 СТ001</t>
  </si>
  <si>
    <t>F1HHG20 СР001</t>
  </si>
  <si>
    <t>F1HHG20 СР002</t>
  </si>
  <si>
    <t>F1HHG20 СР003</t>
  </si>
  <si>
    <t>F2HHG20 СР001</t>
  </si>
  <si>
    <t>F2HHG20 СР002</t>
  </si>
  <si>
    <t>F2HHG20 СР003</t>
  </si>
  <si>
    <t>F2HHG20 СР004</t>
  </si>
  <si>
    <t>F3HHG20 СР001</t>
  </si>
  <si>
    <t>F3HHG20 СР002</t>
  </si>
  <si>
    <t>F3HHG20 СР003</t>
  </si>
  <si>
    <t>F3HHG20 СР004</t>
  </si>
  <si>
    <t>F4HHG20 СР001</t>
  </si>
  <si>
    <t>F4HHG20 СР002</t>
  </si>
  <si>
    <t>F4HHG20 СР003</t>
  </si>
  <si>
    <t>F4HHG20 СР004</t>
  </si>
  <si>
    <t>F5HHG20 СР001</t>
  </si>
  <si>
    <t>F5HHG20 СР002</t>
  </si>
  <si>
    <t>F5HHG20 СР003</t>
  </si>
  <si>
    <t>F5HHG20 СР004</t>
  </si>
  <si>
    <t>F6HHG20 СР001</t>
  </si>
  <si>
    <t>F6HHG20 СР002</t>
  </si>
  <si>
    <t>F6HHG20 СР003</t>
  </si>
  <si>
    <t>F6HHG20 СР004</t>
  </si>
  <si>
    <t>F7HHG20 СР001</t>
  </si>
  <si>
    <t>F7HHG20 СР002</t>
  </si>
  <si>
    <t>F7HHG20 СР003</t>
  </si>
  <si>
    <t>F7HHG20 СР004</t>
  </si>
  <si>
    <t>F8HHG20 СР001</t>
  </si>
  <si>
    <t>F8HHG20 СР002</t>
  </si>
  <si>
    <t>F8HHG20 СР003</t>
  </si>
  <si>
    <t>F8HHG20 СР004</t>
  </si>
  <si>
    <t>F1HHG20 AA801</t>
  </si>
  <si>
    <t>F1HHG20 AA201</t>
  </si>
  <si>
    <t>F2HHG20 AA801</t>
  </si>
  <si>
    <t>F2HHG20 AA201</t>
  </si>
  <si>
    <t>F3HHG20 AA801</t>
  </si>
  <si>
    <t>F3HHG20 AA201</t>
  </si>
  <si>
    <t>F4HHG20 AA801</t>
  </si>
  <si>
    <t>F4HHG20 AA201</t>
  </si>
  <si>
    <t>F5HHG20 AA801</t>
  </si>
  <si>
    <t>F5HHG20 AA201</t>
  </si>
  <si>
    <t>F6HHG20 AA801</t>
  </si>
  <si>
    <t>F6HHG20 AA201</t>
  </si>
  <si>
    <t>F7HHG20 AA801</t>
  </si>
  <si>
    <t>F7HHG20 AA201</t>
  </si>
  <si>
    <t>F8HHG20 AA801</t>
  </si>
  <si>
    <t>F8HHG20 AA201</t>
  </si>
  <si>
    <t>F0EKG10 AA001</t>
  </si>
  <si>
    <t>F0EKG10 AA003</t>
  </si>
  <si>
    <t>F0CJU01 GH001</t>
  </si>
  <si>
    <t>F0CJU01 GH002</t>
  </si>
  <si>
    <t>F0CJU01 GH003</t>
  </si>
  <si>
    <t>F0CJU01 GH004</t>
  </si>
  <si>
    <t>F0CJU01 GH005</t>
  </si>
  <si>
    <t>F0CJU01 GH006</t>
  </si>
  <si>
    <t>F0CJU01 GH007</t>
  </si>
  <si>
    <t>F0CJU01 GH008</t>
  </si>
  <si>
    <t>F0CJU01 GH009</t>
  </si>
  <si>
    <t>Z0CJU01 GH001</t>
  </si>
  <si>
    <t>Z0CJU01 GH002</t>
  </si>
  <si>
    <t>Z0CJU01 GH003</t>
  </si>
  <si>
    <t>Z0CJU01 GH004</t>
  </si>
  <si>
    <t>Z0CJU01 GH005</t>
  </si>
  <si>
    <t>Z0CJU01 GH009</t>
  </si>
  <si>
    <t>Z0CJU02 GH001</t>
  </si>
  <si>
    <t>Z0CJU02 GH002</t>
  </si>
  <si>
    <t>Z0CJU02 GH003</t>
  </si>
  <si>
    <t>Z0CJU02 GH004</t>
  </si>
  <si>
    <t>Z0CJU02 GH005</t>
  </si>
  <si>
    <t>Z0CJU02 GH009</t>
  </si>
  <si>
    <t>F1HHG20 СР004</t>
  </si>
  <si>
    <t>F0EKG10 AA002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</si>
</sst>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1" fillId="0" borderId="0" xfId="0" applyFont="1"/>
    <xf numFmtId="0" fontId="0" fillId="0" borderId="10" xfId="0" applyBorder="1" applyAlignment="1">
      <alignment wrapText="1"/>
    </xf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13" xfId="0" applyBorder="1" applyAlignment="1">
      <alignment horizontal="right"/>
    </xf>
    <xf numFmtId="1" fontId="0" fillId="0" borderId="5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10" xfId="0" applyNumberFormat="1" applyBorder="1" applyAlignment="1">
      <alignment horizontal="right"/>
    </xf>
    <xf numFmtId="0" fontId="0" fillId="0" borderId="31" xfId="0" applyBorder="1"/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0" xfId="0" applyNumberFormat="1" applyBorder="1" applyAlignment="1">
      <alignment horizontal="center"/>
    </xf>
  </cellXfs>
  <cellStyles count="1">
    <cellStyle name="Обычный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315"/>
  <sheetViews>
    <sheetView tabSelected="1" zoomScale="85" zoomScaleNormal="85" workbookViewId="0">
      <pane ySplit="1" topLeftCell="A190" activePane="bottomLeft" state="frozen"/>
      <selection pane="bottomLeft" activeCell="A285" sqref="A285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61" bestFit="1" customWidth="1"/>
    <col min="36" max="36" width="8.7109375" style="61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9" width="10.5703125" customWidth="1"/>
    <col min="310" max="326" width="9.140625" customWidth="1"/>
    <col min="328" max="329" width="10.5703125" bestFit="1" customWidth="1"/>
    <col min="340" max="340" width="10.28515625" bestFit="1" customWidth="1"/>
    <col min="359" max="359" width="9.5703125" customWidth="1"/>
    <col min="383" max="383" width="14.5703125" bestFit="1" customWidth="1"/>
    <col min="387" max="387" width="12" bestFit="1" customWidth="1"/>
    <col min="402" max="402" width="5.42578125" bestFit="1" customWidth="1"/>
    <col min="403" max="406" width="5.42578125" customWidth="1"/>
    <col min="407" max="407" width="7.28515625" bestFit="1" customWidth="1"/>
    <col min="408" max="408" width="7.7109375" bestFit="1" customWidth="1"/>
    <col min="409" max="416" width="7.7109375" customWidth="1"/>
    <col min="417" max="417" width="11.7109375" bestFit="1" customWidth="1"/>
    <col min="418" max="418" width="11.5703125" bestFit="1" customWidth="1"/>
    <col min="419" max="419" width="11.7109375" bestFit="1" customWidth="1"/>
    <col min="420" max="420" width="11.5703125" bestFit="1" customWidth="1"/>
    <col min="421" max="428" width="11.5703125" customWidth="1"/>
    <col min="429" max="429" width="7.7109375" bestFit="1" customWidth="1"/>
    <col min="430" max="433" width="5.28515625" bestFit="1" customWidth="1"/>
    <col min="434" max="437" width="5.28515625" customWidth="1"/>
    <col min="438" max="438" width="4.42578125" bestFit="1" customWidth="1"/>
    <col min="439" max="439" width="4" bestFit="1" customWidth="1"/>
    <col min="440" max="440" width="4.42578125" bestFit="1" customWidth="1"/>
    <col min="441" max="441" width="4" bestFit="1" customWidth="1"/>
    <col min="442" max="443" width="4.85546875" bestFit="1" customWidth="1"/>
    <col min="444" max="446" width="5.28515625" bestFit="1" customWidth="1"/>
    <col min="470" max="470" width="10.5703125" bestFit="1" customWidth="1"/>
    <col min="471" max="471" width="10.7109375" bestFit="1" customWidth="1"/>
    <col min="472" max="472" width="10.5703125" bestFit="1" customWidth="1"/>
    <col min="473" max="473" width="10.7109375" bestFit="1" customWidth="1"/>
    <col min="474" max="474" width="10.5703125" bestFit="1" customWidth="1"/>
    <col min="475" max="475" width="10.7109375" bestFit="1" customWidth="1"/>
    <col min="476" max="476" width="11.5703125" bestFit="1" customWidth="1"/>
    <col min="477" max="477" width="11.7109375" bestFit="1" customWidth="1"/>
    <col min="478" max="478" width="11.5703125" bestFit="1" customWidth="1"/>
    <col min="479" max="479" width="11.7109375" bestFit="1" customWidth="1"/>
    <col min="480" max="480" width="11.5703125" bestFit="1" customWidth="1"/>
    <col min="481" max="481" width="11.7109375" customWidth="1"/>
    <col min="482" max="482" width="10.5703125" bestFit="1" customWidth="1"/>
    <col min="483" max="483" width="10.7109375" customWidth="1"/>
    <col min="484" max="484" width="10.5703125" bestFit="1" customWidth="1"/>
    <col min="485" max="485" width="10.7109375" bestFit="1" customWidth="1"/>
    <col min="486" max="486" width="10.5703125" bestFit="1" customWidth="1"/>
    <col min="487" max="487" width="10.7109375" bestFit="1" customWidth="1"/>
    <col min="488" max="488" width="10.5703125" bestFit="1" customWidth="1"/>
    <col min="489" max="489" width="10.7109375" bestFit="1" customWidth="1"/>
    <col min="490" max="490" width="10.5703125" bestFit="1" customWidth="1"/>
    <col min="491" max="491" width="10.7109375" bestFit="1" customWidth="1"/>
    <col min="492" max="492" width="11.5703125" bestFit="1" customWidth="1"/>
    <col min="493" max="493" width="11.7109375" bestFit="1" customWidth="1"/>
    <col min="544" max="544" width="8" bestFit="1" customWidth="1"/>
    <col min="545" max="545" width="9" bestFit="1" customWidth="1"/>
    <col min="546" max="546" width="8.85546875" bestFit="1" customWidth="1"/>
    <col min="547" max="547" width="10" bestFit="1" customWidth="1"/>
    <col min="548" max="548" width="14.42578125" bestFit="1" customWidth="1"/>
    <col min="549" max="549" width="9.7109375" bestFit="1" customWidth="1"/>
    <col min="550" max="550" width="9.5703125" bestFit="1" customWidth="1"/>
    <col min="551" max="551" width="10.7109375" bestFit="1" customWidth="1"/>
    <col min="552" max="552" width="6.42578125" bestFit="1" customWidth="1"/>
    <col min="579" max="580" width="9.7109375" bestFit="1" customWidth="1"/>
    <col min="600" max="600" width="10.28515625" bestFit="1" customWidth="1"/>
    <col min="601" max="601" width="10.28515625" customWidth="1"/>
    <col min="602" max="603" width="6.85546875" bestFit="1" customWidth="1"/>
    <col min="797" max="798" width="9.42578125" bestFit="1" customWidth="1"/>
    <col min="799" max="799" width="10.5703125" bestFit="1" customWidth="1"/>
  </cols>
  <sheetData>
    <row r="1" spans="1:824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9" t="s">
        <v>1791</v>
      </c>
      <c r="AJ1" s="59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51</v>
      </c>
      <c r="KV1" s="5" t="s">
        <v>50</v>
      </c>
      <c r="KW1" s="5" t="s">
        <v>404</v>
      </c>
      <c r="KX1" s="5" t="s">
        <v>73</v>
      </c>
      <c r="KY1" s="5" t="s">
        <v>70</v>
      </c>
      <c r="KZ1" s="5" t="s">
        <v>71</v>
      </c>
      <c r="LA1" s="5" t="s">
        <v>68</v>
      </c>
      <c r="LB1" s="5" t="s">
        <v>69</v>
      </c>
      <c r="LC1" s="5" t="s">
        <v>856</v>
      </c>
      <c r="LD1" s="5" t="s">
        <v>857</v>
      </c>
      <c r="LE1" s="5" t="s">
        <v>858</v>
      </c>
      <c r="LF1" s="5" t="s">
        <v>859</v>
      </c>
      <c r="LG1" s="5" t="s">
        <v>98</v>
      </c>
      <c r="LH1" s="5" t="s">
        <v>99</v>
      </c>
      <c r="LI1" s="5" t="s">
        <v>100</v>
      </c>
      <c r="LJ1" s="5" t="s">
        <v>860</v>
      </c>
      <c r="LK1" s="5" t="s">
        <v>861</v>
      </c>
      <c r="LL1" s="5" t="s">
        <v>862</v>
      </c>
      <c r="LM1" s="5" t="s">
        <v>863</v>
      </c>
      <c r="LN1" s="9" t="s">
        <v>864</v>
      </c>
      <c r="LO1" s="39" t="s">
        <v>35</v>
      </c>
      <c r="LP1" s="32" t="s">
        <v>401</v>
      </c>
      <c r="LQ1" s="5" t="s">
        <v>402</v>
      </c>
      <c r="LR1" s="5" t="s">
        <v>98</v>
      </c>
      <c r="LS1" s="5" t="s">
        <v>99</v>
      </c>
      <c r="LT1" s="5" t="s">
        <v>100</v>
      </c>
      <c r="LU1" s="37" t="s">
        <v>31</v>
      </c>
      <c r="LV1" s="30" t="s">
        <v>112</v>
      </c>
      <c r="LW1" s="38" t="s">
        <v>113</v>
      </c>
      <c r="LX1" s="19" t="s">
        <v>114</v>
      </c>
      <c r="LY1" s="4" t="s">
        <v>35</v>
      </c>
      <c r="LZ1" s="5" t="s">
        <v>51</v>
      </c>
      <c r="MA1" s="5" t="s">
        <v>50</v>
      </c>
      <c r="MB1" s="5" t="s">
        <v>404</v>
      </c>
      <c r="MC1" s="5" t="s">
        <v>73</v>
      </c>
      <c r="MD1" s="5" t="s">
        <v>70</v>
      </c>
      <c r="ME1" s="5" t="s">
        <v>71</v>
      </c>
      <c r="MF1" s="5" t="s">
        <v>68</v>
      </c>
      <c r="MG1" s="5" t="s">
        <v>69</v>
      </c>
      <c r="MH1" s="5" t="s">
        <v>856</v>
      </c>
      <c r="MI1" s="5" t="s">
        <v>857</v>
      </c>
      <c r="MJ1" s="5" t="s">
        <v>858</v>
      </c>
      <c r="MK1" s="5" t="s">
        <v>859</v>
      </c>
      <c r="ML1" s="5" t="s">
        <v>98</v>
      </c>
      <c r="MM1" s="5" t="s">
        <v>99</v>
      </c>
      <c r="MN1" s="5" t="s">
        <v>100</v>
      </c>
      <c r="MO1" s="5" t="s">
        <v>101</v>
      </c>
      <c r="MP1" s="5" t="s">
        <v>860</v>
      </c>
      <c r="MQ1" s="5" t="s">
        <v>861</v>
      </c>
      <c r="MR1" s="5" t="s">
        <v>862</v>
      </c>
      <c r="MS1" s="5" t="s">
        <v>863</v>
      </c>
      <c r="MT1" s="9" t="s">
        <v>864</v>
      </c>
      <c r="MU1" s="40" t="s">
        <v>924</v>
      </c>
      <c r="MV1" s="37" t="s">
        <v>925</v>
      </c>
      <c r="MW1" s="41" t="s">
        <v>928</v>
      </c>
      <c r="MX1" s="41" t="s">
        <v>929</v>
      </c>
      <c r="MY1" s="41" t="s">
        <v>930</v>
      </c>
      <c r="MZ1" s="41" t="s">
        <v>35</v>
      </c>
      <c r="NA1" s="41" t="s">
        <v>37</v>
      </c>
      <c r="NB1" s="41" t="s">
        <v>36</v>
      </c>
      <c r="NC1" s="41" t="s">
        <v>39</v>
      </c>
      <c r="ND1" s="41" t="s">
        <v>38</v>
      </c>
      <c r="NE1" s="41" t="s">
        <v>41</v>
      </c>
      <c r="NF1" s="41" t="s">
        <v>40</v>
      </c>
      <c r="NG1" s="41" t="s">
        <v>557</v>
      </c>
      <c r="NH1" s="41" t="s">
        <v>558</v>
      </c>
      <c r="NI1" s="5" t="s">
        <v>51</v>
      </c>
      <c r="NJ1" s="5" t="s">
        <v>50</v>
      </c>
      <c r="NK1" s="5" t="s">
        <v>53</v>
      </c>
      <c r="NL1" s="5" t="s">
        <v>52</v>
      </c>
      <c r="NM1" s="5" t="s">
        <v>55</v>
      </c>
      <c r="NN1" s="5" t="s">
        <v>54</v>
      </c>
      <c r="NO1" s="5" t="s">
        <v>57</v>
      </c>
      <c r="NP1" s="5" t="s">
        <v>56</v>
      </c>
      <c r="NQ1" s="5" t="s">
        <v>921</v>
      </c>
      <c r="NR1" s="5" t="s">
        <v>922</v>
      </c>
      <c r="NS1" s="5" t="s">
        <v>923</v>
      </c>
      <c r="NT1" s="5" t="s">
        <v>404</v>
      </c>
      <c r="NU1" s="5" t="s">
        <v>405</v>
      </c>
      <c r="NV1" s="5" t="s">
        <v>406</v>
      </c>
      <c r="NW1" s="5" t="s">
        <v>407</v>
      </c>
      <c r="NX1" s="5" t="s">
        <v>73</v>
      </c>
      <c r="NY1" s="5" t="s">
        <v>74</v>
      </c>
      <c r="NZ1" s="5" t="s">
        <v>75</v>
      </c>
      <c r="OA1" s="5" t="s">
        <v>76</v>
      </c>
      <c r="OB1" s="5" t="s">
        <v>70</v>
      </c>
      <c r="OC1" s="5" t="s">
        <v>71</v>
      </c>
      <c r="OD1" s="5" t="s">
        <v>68</v>
      </c>
      <c r="OE1" s="5" t="s">
        <v>69</v>
      </c>
      <c r="OF1" s="5" t="s">
        <v>856</v>
      </c>
      <c r="OG1" s="5" t="s">
        <v>857</v>
      </c>
      <c r="OH1" s="5" t="s">
        <v>858</v>
      </c>
      <c r="OI1" s="9" t="s">
        <v>859</v>
      </c>
      <c r="OJ1" s="5" t="s">
        <v>953</v>
      </c>
      <c r="OK1" s="9" t="s">
        <v>954</v>
      </c>
      <c r="OL1" s="23" t="s">
        <v>35</v>
      </c>
      <c r="OM1" s="23" t="s">
        <v>924</v>
      </c>
      <c r="ON1" s="23" t="s">
        <v>925</v>
      </c>
      <c r="OO1" s="23" t="s">
        <v>1032</v>
      </c>
      <c r="OP1" s="23" t="s">
        <v>1033</v>
      </c>
      <c r="OQ1" s="23" t="s">
        <v>557</v>
      </c>
      <c r="OR1" s="23" t="s">
        <v>558</v>
      </c>
      <c r="OS1" s="23" t="s">
        <v>1015</v>
      </c>
      <c r="OT1" s="23" t="s">
        <v>1016</v>
      </c>
      <c r="OU1" s="23" t="s">
        <v>1017</v>
      </c>
      <c r="OV1" s="23" t="s">
        <v>1018</v>
      </c>
      <c r="OW1" s="23" t="s">
        <v>1036</v>
      </c>
      <c r="OX1" s="23" t="s">
        <v>1037</v>
      </c>
      <c r="OY1" s="23" t="s">
        <v>1038</v>
      </c>
      <c r="OZ1" s="23" t="s">
        <v>1039</v>
      </c>
      <c r="PA1" s="32" t="s">
        <v>401</v>
      </c>
      <c r="PB1" s="5" t="s">
        <v>402</v>
      </c>
      <c r="PC1" s="32" t="s">
        <v>555</v>
      </c>
      <c r="PD1" s="5" t="s">
        <v>556</v>
      </c>
      <c r="PE1" s="32" t="s">
        <v>1019</v>
      </c>
      <c r="PF1" s="5" t="s">
        <v>1020</v>
      </c>
      <c r="PG1" s="32" t="s">
        <v>1021</v>
      </c>
      <c r="PH1" s="5" t="s">
        <v>1022</v>
      </c>
      <c r="PI1" s="32" t="s">
        <v>1040</v>
      </c>
      <c r="PJ1" s="5" t="s">
        <v>1041</v>
      </c>
      <c r="PK1" s="32" t="s">
        <v>1042</v>
      </c>
      <c r="PL1" s="5" t="s">
        <v>1043</v>
      </c>
      <c r="PM1" s="5" t="s">
        <v>98</v>
      </c>
      <c r="PN1" s="5" t="s">
        <v>99</v>
      </c>
      <c r="PO1" s="5" t="s">
        <v>100</v>
      </c>
      <c r="PP1" s="5" t="s">
        <v>101</v>
      </c>
      <c r="PQ1" s="5" t="s">
        <v>102</v>
      </c>
      <c r="PR1" s="5" t="s">
        <v>103</v>
      </c>
      <c r="PS1" s="5" t="s">
        <v>104</v>
      </c>
      <c r="PT1" s="5" t="s">
        <v>105</v>
      </c>
      <c r="PU1" s="5" t="s">
        <v>106</v>
      </c>
      <c r="PV1" s="30" t="s">
        <v>294</v>
      </c>
      <c r="PW1" s="30" t="s">
        <v>295</v>
      </c>
      <c r="PX1" s="30" t="s">
        <v>296</v>
      </c>
      <c r="PY1" s="30" t="s">
        <v>297</v>
      </c>
      <c r="PZ1" s="30" t="s">
        <v>298</v>
      </c>
      <c r="QA1" s="30" t="s">
        <v>1014</v>
      </c>
      <c r="QB1" s="30" t="s">
        <v>1044</v>
      </c>
      <c r="QC1" s="30" t="s">
        <v>1045</v>
      </c>
      <c r="QD1" s="30" t="s">
        <v>1046</v>
      </c>
      <c r="QE1" s="42" t="s">
        <v>1062</v>
      </c>
      <c r="QF1" s="42" t="s">
        <v>558</v>
      </c>
      <c r="QG1" s="42" t="s">
        <v>557</v>
      </c>
      <c r="QH1" s="42" t="s">
        <v>1016</v>
      </c>
      <c r="QI1" s="42" t="s">
        <v>1015</v>
      </c>
      <c r="QJ1" s="42" t="s">
        <v>1018</v>
      </c>
      <c r="QK1" s="42" t="s">
        <v>1017</v>
      </c>
      <c r="QL1" s="42" t="s">
        <v>1037</v>
      </c>
      <c r="QM1" s="42" t="s">
        <v>1036</v>
      </c>
      <c r="QN1" s="42" t="s">
        <v>1039</v>
      </c>
      <c r="QO1" s="42" t="s">
        <v>1038</v>
      </c>
      <c r="QP1" s="42" t="s">
        <v>1063</v>
      </c>
      <c r="QQ1" s="42" t="s">
        <v>1064</v>
      </c>
      <c r="QR1" s="42" t="s">
        <v>1065</v>
      </c>
      <c r="QS1" s="42" t="s">
        <v>1066</v>
      </c>
      <c r="QT1" s="42" t="s">
        <v>1067</v>
      </c>
      <c r="QU1" s="42" t="s">
        <v>1068</v>
      </c>
      <c r="QV1" s="42" t="s">
        <v>1069</v>
      </c>
      <c r="QW1" s="42" t="s">
        <v>1070</v>
      </c>
      <c r="QX1" s="42" t="s">
        <v>1071</v>
      </c>
      <c r="QY1" s="42" t="s">
        <v>1072</v>
      </c>
      <c r="QZ1" s="42" t="s">
        <v>1073</v>
      </c>
      <c r="RA1" s="42" t="s">
        <v>1074</v>
      </c>
      <c r="RB1" s="42" t="s">
        <v>402</v>
      </c>
      <c r="RC1" s="42" t="s">
        <v>401</v>
      </c>
      <c r="RD1" s="42" t="s">
        <v>556</v>
      </c>
      <c r="RE1" s="42" t="s">
        <v>555</v>
      </c>
      <c r="RF1" s="42" t="s">
        <v>1020</v>
      </c>
      <c r="RG1" s="42" t="s">
        <v>1019</v>
      </c>
      <c r="RH1" s="42" t="s">
        <v>1022</v>
      </c>
      <c r="RI1" s="42" t="s">
        <v>1021</v>
      </c>
      <c r="RJ1" s="42" t="s">
        <v>1041</v>
      </c>
      <c r="RK1" s="42" t="s">
        <v>1040</v>
      </c>
      <c r="RL1" s="42" t="s">
        <v>1043</v>
      </c>
      <c r="RM1" s="42" t="s">
        <v>1042</v>
      </c>
      <c r="RN1" s="42" t="s">
        <v>1075</v>
      </c>
      <c r="RO1" s="42" t="s">
        <v>1076</v>
      </c>
      <c r="RP1" s="42" t="s">
        <v>1077</v>
      </c>
      <c r="RQ1" s="42" t="s">
        <v>1078</v>
      </c>
      <c r="RR1" s="42" t="s">
        <v>1079</v>
      </c>
      <c r="RS1" s="42" t="s">
        <v>1080</v>
      </c>
      <c r="RT1" s="42" t="s">
        <v>1081</v>
      </c>
      <c r="RU1" s="42" t="s">
        <v>1082</v>
      </c>
      <c r="RV1" s="42" t="s">
        <v>1083</v>
      </c>
      <c r="RW1" s="42" t="s">
        <v>1084</v>
      </c>
      <c r="RX1" s="42" t="s">
        <v>1085</v>
      </c>
      <c r="RY1" s="42" t="s">
        <v>1086</v>
      </c>
      <c r="RZ1" s="42" t="s">
        <v>35</v>
      </c>
      <c r="SA1" s="42" t="s">
        <v>98</v>
      </c>
      <c r="SB1" s="42" t="s">
        <v>99</v>
      </c>
      <c r="SC1" s="42" t="s">
        <v>100</v>
      </c>
      <c r="SD1" s="42" t="s">
        <v>101</v>
      </c>
      <c r="SE1" s="42" t="s">
        <v>102</v>
      </c>
      <c r="SF1" s="42" t="s">
        <v>103</v>
      </c>
      <c r="SG1" s="42" t="s">
        <v>104</v>
      </c>
      <c r="SH1" s="42" t="s">
        <v>105</v>
      </c>
      <c r="SI1" s="42" t="s">
        <v>106</v>
      </c>
      <c r="SJ1" s="42" t="s">
        <v>107</v>
      </c>
      <c r="SK1" s="42" t="s">
        <v>108</v>
      </c>
      <c r="SL1" s="42" t="s">
        <v>109</v>
      </c>
      <c r="SM1" s="42" t="s">
        <v>110</v>
      </c>
      <c r="SN1" s="42" t="s">
        <v>111</v>
      </c>
      <c r="SO1" s="42" t="s">
        <v>1087</v>
      </c>
      <c r="SP1" s="42" t="s">
        <v>1088</v>
      </c>
      <c r="SQ1" s="42" t="s">
        <v>1089</v>
      </c>
      <c r="SR1" s="42" t="s">
        <v>1090</v>
      </c>
      <c r="SS1" s="42" t="s">
        <v>1091</v>
      </c>
      <c r="ST1" s="42" t="s">
        <v>1092</v>
      </c>
      <c r="SU1" s="42" t="s">
        <v>1093</v>
      </c>
      <c r="SV1" s="42" t="s">
        <v>1094</v>
      </c>
      <c r="SW1" s="42" t="s">
        <v>1095</v>
      </c>
      <c r="SX1" s="42" t="s">
        <v>1096</v>
      </c>
      <c r="SY1" s="42" t="s">
        <v>1097</v>
      </c>
      <c r="SZ1" s="42" t="s">
        <v>1139</v>
      </c>
      <c r="TA1" s="42" t="s">
        <v>924</v>
      </c>
      <c r="TB1" s="42" t="s">
        <v>1032</v>
      </c>
      <c r="TC1" s="42" t="s">
        <v>1098</v>
      </c>
      <c r="TD1" s="42" t="s">
        <v>1099</v>
      </c>
      <c r="TE1" s="42" t="s">
        <v>1100</v>
      </c>
      <c r="TF1" s="42" t="s">
        <v>1101</v>
      </c>
      <c r="TG1" s="42" t="s">
        <v>1102</v>
      </c>
      <c r="TH1" s="42" t="s">
        <v>1103</v>
      </c>
      <c r="TI1" s="42" t="s">
        <v>1104</v>
      </c>
      <c r="TJ1" s="42" t="s">
        <v>1105</v>
      </c>
      <c r="TK1" s="42" t="s">
        <v>1106</v>
      </c>
      <c r="TL1" s="42" t="s">
        <v>1140</v>
      </c>
      <c r="TM1" s="42" t="s">
        <v>925</v>
      </c>
      <c r="TN1" s="42" t="s">
        <v>1033</v>
      </c>
      <c r="TO1" s="42" t="s">
        <v>1107</v>
      </c>
      <c r="TP1" s="42" t="s">
        <v>1108</v>
      </c>
      <c r="TQ1" s="42" t="s">
        <v>1109</v>
      </c>
      <c r="TR1" s="42" t="s">
        <v>1110</v>
      </c>
      <c r="TS1" s="42" t="s">
        <v>1111</v>
      </c>
      <c r="TT1" s="42" t="s">
        <v>1112</v>
      </c>
      <c r="TU1" s="42" t="s">
        <v>1113</v>
      </c>
      <c r="TV1" s="42" t="s">
        <v>1114</v>
      </c>
      <c r="TW1" s="52" t="s">
        <v>1115</v>
      </c>
      <c r="TX1" s="39" t="s">
        <v>1940</v>
      </c>
      <c r="TY1" s="23" t="s">
        <v>1941</v>
      </c>
      <c r="TZ1" s="23" t="s">
        <v>1942</v>
      </c>
      <c r="UA1" s="23" t="s">
        <v>1975</v>
      </c>
      <c r="UB1" s="23" t="s">
        <v>1943</v>
      </c>
      <c r="UC1" s="23" t="s">
        <v>1944</v>
      </c>
      <c r="UD1" s="23" t="s">
        <v>1945</v>
      </c>
      <c r="UE1" s="23" t="s">
        <v>1946</v>
      </c>
      <c r="UF1" s="23" t="s">
        <v>35</v>
      </c>
      <c r="UG1" s="23" t="s">
        <v>98</v>
      </c>
      <c r="UH1" s="23" t="s">
        <v>99</v>
      </c>
      <c r="UI1" s="23" t="s">
        <v>100</v>
      </c>
      <c r="UJ1" s="23" t="s">
        <v>31</v>
      </c>
      <c r="UK1" s="23" t="s">
        <v>112</v>
      </c>
      <c r="UL1" s="23" t="s">
        <v>113</v>
      </c>
      <c r="UM1" s="24" t="s">
        <v>114</v>
      </c>
      <c r="UN1" s="39" t="s">
        <v>35</v>
      </c>
      <c r="UO1" s="23" t="s">
        <v>924</v>
      </c>
      <c r="UP1" s="23" t="s">
        <v>925</v>
      </c>
      <c r="UQ1" s="23" t="s">
        <v>37</v>
      </c>
      <c r="UR1" s="23" t="s">
        <v>36</v>
      </c>
      <c r="US1" s="23" t="s">
        <v>51</v>
      </c>
      <c r="UT1" s="23" t="s">
        <v>50</v>
      </c>
      <c r="UU1" s="23" t="s">
        <v>53</v>
      </c>
      <c r="UV1" s="23" t="s">
        <v>52</v>
      </c>
      <c r="UW1" s="23" t="s">
        <v>73</v>
      </c>
      <c r="UX1" s="23" t="s">
        <v>74</v>
      </c>
      <c r="UY1" s="23" t="s">
        <v>70</v>
      </c>
      <c r="UZ1" s="23" t="s">
        <v>71</v>
      </c>
      <c r="VA1" s="23" t="s">
        <v>68</v>
      </c>
      <c r="VB1" s="23" t="s">
        <v>69</v>
      </c>
      <c r="VC1" s="23" t="s">
        <v>98</v>
      </c>
      <c r="VD1" s="23" t="s">
        <v>99</v>
      </c>
      <c r="VE1" s="23" t="s">
        <v>100</v>
      </c>
      <c r="VF1" s="23" t="s">
        <v>101</v>
      </c>
      <c r="VG1" s="23" t="s">
        <v>1992</v>
      </c>
      <c r="VH1" s="23" t="s">
        <v>1995</v>
      </c>
      <c r="VI1" s="23" t="s">
        <v>1993</v>
      </c>
      <c r="VJ1" s="23" t="s">
        <v>1994</v>
      </c>
      <c r="VK1" s="23" t="s">
        <v>112</v>
      </c>
      <c r="VL1" s="23" t="s">
        <v>113</v>
      </c>
      <c r="VM1" s="24" t="s">
        <v>114</v>
      </c>
      <c r="VN1" s="28" t="s">
        <v>144</v>
      </c>
      <c r="VO1" s="19" t="s">
        <v>1996</v>
      </c>
      <c r="VP1" s="20" t="s">
        <v>1997</v>
      </c>
      <c r="VQ1" s="4" t="s">
        <v>35</v>
      </c>
      <c r="VR1" s="32" t="s">
        <v>98</v>
      </c>
      <c r="VS1" s="32" t="s">
        <v>99</v>
      </c>
      <c r="VT1" s="32" t="s">
        <v>100</v>
      </c>
      <c r="VU1" s="32" t="s">
        <v>101</v>
      </c>
      <c r="VV1" s="32" t="s">
        <v>37</v>
      </c>
      <c r="VW1" s="32" t="s">
        <v>36</v>
      </c>
      <c r="VX1" s="5" t="s">
        <v>51</v>
      </c>
      <c r="VY1" s="5" t="s">
        <v>50</v>
      </c>
      <c r="VZ1" s="5" t="s">
        <v>53</v>
      </c>
      <c r="WA1" s="5" t="s">
        <v>52</v>
      </c>
      <c r="WB1" s="5" t="s">
        <v>404</v>
      </c>
      <c r="WC1" s="5" t="s">
        <v>405</v>
      </c>
      <c r="WD1" s="5" t="s">
        <v>73</v>
      </c>
      <c r="WE1" s="5" t="s">
        <v>74</v>
      </c>
      <c r="WF1" s="5" t="s">
        <v>70</v>
      </c>
      <c r="WG1" s="5" t="s">
        <v>71</v>
      </c>
      <c r="WH1" s="5" t="s">
        <v>68</v>
      </c>
      <c r="WI1" s="5" t="s">
        <v>69</v>
      </c>
      <c r="WJ1" s="5" t="s">
        <v>858</v>
      </c>
      <c r="WK1" s="5" t="s">
        <v>859</v>
      </c>
      <c r="WL1" s="5" t="s">
        <v>862</v>
      </c>
      <c r="WM1" s="5" t="s">
        <v>863</v>
      </c>
      <c r="WN1" s="31" t="s">
        <v>864</v>
      </c>
      <c r="WO1" s="23" t="s">
        <v>1998</v>
      </c>
      <c r="WP1" s="19" t="s">
        <v>1999</v>
      </c>
      <c r="WQ1" s="20" t="s">
        <v>2000</v>
      </c>
      <c r="WR1" t="s">
        <v>35</v>
      </c>
      <c r="WS1" t="s">
        <v>98</v>
      </c>
      <c r="WT1" t="s">
        <v>99</v>
      </c>
      <c r="WU1" t="s">
        <v>100</v>
      </c>
      <c r="WV1" t="s">
        <v>101</v>
      </c>
      <c r="WW1" t="s">
        <v>102</v>
      </c>
      <c r="WX1" t="s">
        <v>103</v>
      </c>
      <c r="WY1" t="s">
        <v>104</v>
      </c>
      <c r="WZ1" t="s">
        <v>105</v>
      </c>
      <c r="XA1" t="s">
        <v>106</v>
      </c>
      <c r="XB1" t="s">
        <v>107</v>
      </c>
      <c r="XC1" t="s">
        <v>108</v>
      </c>
      <c r="XD1" t="s">
        <v>109</v>
      </c>
      <c r="XE1" t="s">
        <v>110</v>
      </c>
      <c r="XF1" t="s">
        <v>111</v>
      </c>
      <c r="XG1" t="s">
        <v>1087</v>
      </c>
      <c r="XH1" t="s">
        <v>1088</v>
      </c>
      <c r="XI1" t="s">
        <v>1089</v>
      </c>
      <c r="XJ1" t="s">
        <v>1090</v>
      </c>
      <c r="XK1" t="s">
        <v>1091</v>
      </c>
      <c r="XL1" t="s">
        <v>1092</v>
      </c>
      <c r="XM1" t="s">
        <v>46</v>
      </c>
      <c r="XN1" t="s">
        <v>47</v>
      </c>
      <c r="XO1" t="s">
        <v>48</v>
      </c>
      <c r="XP1" t="s">
        <v>49</v>
      </c>
      <c r="XQ1" t="s">
        <v>2025</v>
      </c>
      <c r="XR1" t="s">
        <v>2024</v>
      </c>
      <c r="XS1" t="s">
        <v>2026</v>
      </c>
      <c r="XT1" t="s">
        <v>2023</v>
      </c>
      <c r="XU1" t="s">
        <v>2027</v>
      </c>
      <c r="XV1" t="s">
        <v>2022</v>
      </c>
      <c r="XW1" t="s">
        <v>2028</v>
      </c>
      <c r="XX1" t="s">
        <v>2021</v>
      </c>
      <c r="XY1" t="s">
        <v>2029</v>
      </c>
      <c r="XZ1" t="s">
        <v>2020</v>
      </c>
      <c r="YA1" t="s">
        <v>2019</v>
      </c>
      <c r="YB1" t="s">
        <v>2018</v>
      </c>
      <c r="YC1" t="s">
        <v>2017</v>
      </c>
      <c r="YD1" t="s">
        <v>2016</v>
      </c>
      <c r="YE1" t="s">
        <v>62</v>
      </c>
      <c r="YF1" t="s">
        <v>63</v>
      </c>
      <c r="YG1" t="s">
        <v>64</v>
      </c>
      <c r="YH1" t="s">
        <v>65</v>
      </c>
      <c r="YI1" t="s">
        <v>66</v>
      </c>
      <c r="YJ1" t="s">
        <v>67</v>
      </c>
      <c r="YK1" t="s">
        <v>2031</v>
      </c>
      <c r="YL1" t="s">
        <v>2030</v>
      </c>
      <c r="YM1" t="s">
        <v>2033</v>
      </c>
      <c r="YN1" t="s">
        <v>2032</v>
      </c>
      <c r="YO1" t="s">
        <v>2035</v>
      </c>
      <c r="YP1" t="s">
        <v>2034</v>
      </c>
      <c r="YQ1" t="s">
        <v>2037</v>
      </c>
      <c r="YR1" t="s">
        <v>2036</v>
      </c>
      <c r="YS1" t="s">
        <v>2039</v>
      </c>
      <c r="YT1" t="s">
        <v>2038</v>
      </c>
      <c r="YU1" t="s">
        <v>2041</v>
      </c>
      <c r="YV1" t="s">
        <v>2040</v>
      </c>
      <c r="YW1" t="s">
        <v>2042</v>
      </c>
      <c r="YX1" t="s">
        <v>2043</v>
      </c>
      <c r="YY1" t="s">
        <v>73</v>
      </c>
      <c r="YZ1" t="s">
        <v>74</v>
      </c>
      <c r="ZA1" t="s">
        <v>75</v>
      </c>
      <c r="ZB1" t="s">
        <v>76</v>
      </c>
      <c r="ZC1" t="s">
        <v>77</v>
      </c>
      <c r="ZD1" t="s">
        <v>78</v>
      </c>
      <c r="ZE1" t="s">
        <v>79</v>
      </c>
      <c r="ZF1" t="s">
        <v>80</v>
      </c>
      <c r="ZG1" t="s">
        <v>81</v>
      </c>
      <c r="ZH1" t="s">
        <v>2044</v>
      </c>
      <c r="ZI1" t="s">
        <v>2045</v>
      </c>
      <c r="ZJ1" t="s">
        <v>82</v>
      </c>
      <c r="ZK1" t="s">
        <v>2046</v>
      </c>
      <c r="ZL1" t="s">
        <v>83</v>
      </c>
      <c r="ZM1" t="s">
        <v>2047</v>
      </c>
      <c r="ZN1" t="s">
        <v>84</v>
      </c>
      <c r="ZO1" t="s">
        <v>2048</v>
      </c>
      <c r="ZP1" t="s">
        <v>85</v>
      </c>
      <c r="ZQ1" t="s">
        <v>87</v>
      </c>
      <c r="ZR1" t="s">
        <v>86</v>
      </c>
      <c r="ZS1" t="s">
        <v>89</v>
      </c>
      <c r="ZT1" t="s">
        <v>88</v>
      </c>
      <c r="ZU1" t="s">
        <v>91</v>
      </c>
      <c r="ZV1" t="s">
        <v>90</v>
      </c>
      <c r="ZW1" t="s">
        <v>93</v>
      </c>
      <c r="ZX1" t="s">
        <v>92</v>
      </c>
      <c r="ZY1" t="s">
        <v>95</v>
      </c>
      <c r="ZZ1" t="s">
        <v>94</v>
      </c>
      <c r="AAA1" t="s">
        <v>2049</v>
      </c>
      <c r="AAB1" t="s">
        <v>2050</v>
      </c>
      <c r="AAC1" t="s">
        <v>1996</v>
      </c>
      <c r="AAD1" t="s">
        <v>1997</v>
      </c>
      <c r="AAE1" t="s">
        <v>2051</v>
      </c>
      <c r="AAF1" t="s">
        <v>2052</v>
      </c>
      <c r="AAG1" t="s">
        <v>2053</v>
      </c>
      <c r="AAH1" t="s">
        <v>2054</v>
      </c>
      <c r="AAI1" t="s">
        <v>2055</v>
      </c>
      <c r="AAJ1" t="s">
        <v>2056</v>
      </c>
      <c r="AAK1" t="s">
        <v>2057</v>
      </c>
      <c r="AAL1" t="s">
        <v>2058</v>
      </c>
      <c r="AAM1" t="s">
        <v>31</v>
      </c>
      <c r="AAN1" t="s">
        <v>112</v>
      </c>
      <c r="AAO1" t="s">
        <v>113</v>
      </c>
      <c r="AAP1" t="s">
        <v>114</v>
      </c>
      <c r="AAQ1" t="s">
        <v>115</v>
      </c>
      <c r="AAR1" t="s">
        <v>116</v>
      </c>
      <c r="AAS1" t="s">
        <v>117</v>
      </c>
      <c r="AAT1" t="s">
        <v>118</v>
      </c>
      <c r="AAU1" t="s">
        <v>119</v>
      </c>
      <c r="AAV1" t="s">
        <v>120</v>
      </c>
      <c r="AAW1" t="s">
        <v>121</v>
      </c>
      <c r="AAX1" t="s">
        <v>122</v>
      </c>
      <c r="AAY1" t="s">
        <v>123</v>
      </c>
      <c r="AAZ1" t="s">
        <v>124</v>
      </c>
      <c r="ABA1" t="s">
        <v>125</v>
      </c>
      <c r="ABB1" t="s">
        <v>2059</v>
      </c>
      <c r="ABC1" t="s">
        <v>2060</v>
      </c>
      <c r="ABD1" t="s">
        <v>2061</v>
      </c>
      <c r="ABE1" t="s">
        <v>2062</v>
      </c>
      <c r="ABF1" t="s">
        <v>2063</v>
      </c>
      <c r="ABG1" s="16" t="s">
        <v>2064</v>
      </c>
      <c r="ABH1" s="19" t="s">
        <v>1996</v>
      </c>
      <c r="ABI1" s="20" t="s">
        <v>1997</v>
      </c>
      <c r="ABJ1" s="19" t="s">
        <v>2051</v>
      </c>
      <c r="ABK1" s="19" t="s">
        <v>2052</v>
      </c>
      <c r="ABL1" s="4" t="s">
        <v>35</v>
      </c>
      <c r="ABM1" s="32" t="s">
        <v>98</v>
      </c>
      <c r="ABN1" s="32" t="s">
        <v>99</v>
      </c>
      <c r="ABO1" s="32" t="s">
        <v>100</v>
      </c>
      <c r="ABP1" s="32" t="s">
        <v>101</v>
      </c>
      <c r="ABQ1" s="32" t="s">
        <v>102</v>
      </c>
      <c r="ABR1" s="32" t="s">
        <v>103</v>
      </c>
      <c r="ABS1" s="32" t="s">
        <v>104</v>
      </c>
      <c r="ABT1" s="32" t="s">
        <v>105</v>
      </c>
      <c r="ABU1" s="32" t="s">
        <v>37</v>
      </c>
      <c r="ABV1" s="32" t="s">
        <v>36</v>
      </c>
      <c r="ABW1" s="32" t="s">
        <v>39</v>
      </c>
      <c r="ABX1" s="32" t="s">
        <v>38</v>
      </c>
      <c r="ABY1" s="32" t="s">
        <v>41</v>
      </c>
      <c r="ABZ1" s="32" t="s">
        <v>40</v>
      </c>
      <c r="ACA1" s="5" t="s">
        <v>51</v>
      </c>
      <c r="ACB1" s="5" t="s">
        <v>50</v>
      </c>
      <c r="ACC1" s="5" t="s">
        <v>53</v>
      </c>
      <c r="ACD1" s="5" t="s">
        <v>52</v>
      </c>
      <c r="ACE1" s="5" t="s">
        <v>55</v>
      </c>
      <c r="ACF1" s="5" t="s">
        <v>54</v>
      </c>
      <c r="ACG1" s="5" t="s">
        <v>57</v>
      </c>
      <c r="ACH1" s="5" t="s">
        <v>56</v>
      </c>
      <c r="ACI1" s="5" t="s">
        <v>404</v>
      </c>
      <c r="ACJ1" s="5" t="s">
        <v>405</v>
      </c>
      <c r="ACK1" s="5" t="s">
        <v>406</v>
      </c>
      <c r="ACL1" s="5" t="s">
        <v>407</v>
      </c>
      <c r="ACM1" s="5" t="s">
        <v>408</v>
      </c>
      <c r="ACN1" s="5" t="s">
        <v>409</v>
      </c>
      <c r="ACO1" s="5" t="s">
        <v>410</v>
      </c>
      <c r="ACP1" s="5" t="s">
        <v>2065</v>
      </c>
      <c r="ACQ1" s="5" t="s">
        <v>73</v>
      </c>
      <c r="ACR1" s="5" t="s">
        <v>74</v>
      </c>
      <c r="ACS1" s="5" t="s">
        <v>75</v>
      </c>
      <c r="ACT1" s="5" t="s">
        <v>76</v>
      </c>
      <c r="ACU1" s="5" t="s">
        <v>68</v>
      </c>
      <c r="ACV1" s="5" t="s">
        <v>69</v>
      </c>
      <c r="ACW1" s="5" t="s">
        <v>70</v>
      </c>
      <c r="ACX1" s="5" t="s">
        <v>71</v>
      </c>
      <c r="ACY1" s="5" t="s">
        <v>858</v>
      </c>
      <c r="ACZ1" s="5" t="s">
        <v>859</v>
      </c>
      <c r="ADA1" s="5" t="s">
        <v>31</v>
      </c>
      <c r="ADB1" s="5" t="s">
        <v>112</v>
      </c>
      <c r="ADC1" s="5" t="s">
        <v>113</v>
      </c>
      <c r="ADD1" s="5" t="s">
        <v>114</v>
      </c>
      <c r="ADE1" s="5" t="s">
        <v>115</v>
      </c>
      <c r="ADF1" s="5" t="s">
        <v>116</v>
      </c>
      <c r="ADG1" s="5" t="s">
        <v>117</v>
      </c>
      <c r="ADH1" s="5" t="s">
        <v>118</v>
      </c>
      <c r="ADI1" s="5" t="s">
        <v>119</v>
      </c>
      <c r="ADJ1" s="42" t="s">
        <v>35</v>
      </c>
      <c r="ADK1" s="42" t="s">
        <v>98</v>
      </c>
      <c r="ADL1" s="42" t="s">
        <v>99</v>
      </c>
      <c r="ADM1" s="42" t="s">
        <v>100</v>
      </c>
      <c r="ADN1" s="42" t="s">
        <v>101</v>
      </c>
      <c r="ADO1" s="42" t="s">
        <v>558</v>
      </c>
      <c r="ADP1" s="42" t="s">
        <v>557</v>
      </c>
      <c r="ADQ1" s="42" t="s">
        <v>921</v>
      </c>
      <c r="ADR1" s="42" t="s">
        <v>922</v>
      </c>
      <c r="ADS1" s="42" t="s">
        <v>923</v>
      </c>
      <c r="ADT1" s="42" t="s">
        <v>862</v>
      </c>
      <c r="ADU1" s="42" t="s">
        <v>863</v>
      </c>
      <c r="ADV1" s="42" t="s">
        <v>864</v>
      </c>
      <c r="ADW1" s="42" t="s">
        <v>2066</v>
      </c>
      <c r="ADX1" s="42" t="s">
        <v>2067</v>
      </c>
      <c r="ADY1" s="42" t="s">
        <v>2068</v>
      </c>
      <c r="ADZ1" s="42" t="s">
        <v>924</v>
      </c>
      <c r="AEA1" s="52" t="s">
        <v>925</v>
      </c>
      <c r="AEB1" s="53" t="s">
        <v>2192</v>
      </c>
      <c r="AEC1" s="42" t="s">
        <v>2193</v>
      </c>
      <c r="AED1" s="42" t="s">
        <v>1944</v>
      </c>
      <c r="AEE1" s="42" t="s">
        <v>31</v>
      </c>
      <c r="AEF1" s="54" t="s">
        <v>112</v>
      </c>
      <c r="AEG1" t="s">
        <v>62</v>
      </c>
      <c r="AEH1" t="s">
        <v>63</v>
      </c>
      <c r="AEI1" t="s">
        <v>73</v>
      </c>
      <c r="AEJ1" s="5" t="s">
        <v>68</v>
      </c>
      <c r="AEK1" s="5" t="s">
        <v>69</v>
      </c>
      <c r="AEL1" s="5" t="s">
        <v>70</v>
      </c>
      <c r="AEM1" s="5" t="s">
        <v>71</v>
      </c>
      <c r="AEN1" s="67" t="s">
        <v>859</v>
      </c>
      <c r="AEO1" s="67" t="s">
        <v>858</v>
      </c>
      <c r="AEP1" s="67" t="s">
        <v>404</v>
      </c>
      <c r="AEQ1" s="67" t="s">
        <v>862</v>
      </c>
      <c r="AER1" s="67" t="s">
        <v>863</v>
      </c>
    </row>
    <row r="2" spans="1:824" ht="30" x14ac:dyDescent="0.25">
      <c r="A2" s="29" t="s">
        <v>2213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43" t="str">
        <f t="array" ref="AD2">IF(COUNTIFS(AC$2:AC2,AC2)=1,"1",VALUE(SUBSTITUTE(INDEX(AD:AD,_xlfn.XMATCH(AC2,AC$1:AC1,0,-1)),"A",""))+INDEX(AE:AE,_xlfn.XMATCH(AC2,AC$1:AC1,0,-1))+1)</f>
        <v>1</v>
      </c>
      <c r="AE2" s="43">
        <f t="array" ref="AE2">SUM(IF(ISNUMBER(FIND("TmDi",$BE$1:$AAQ$1)),IF(IFERROR(ISNUMBER(VALUE(SUBSTITUTE($BE2:$AAQ2,"B",""))),FALSE),IF(ISNUMBER(VALUE(SUBSTITUTE($BE2:$AAQ2,"B",""))),1,0),0)))</f>
        <v>5</v>
      </c>
      <c r="AF2" s="12" t="s">
        <v>133</v>
      </c>
      <c r="AG2" s="12" t="s">
        <v>134</v>
      </c>
      <c r="AH2" s="12" t="s">
        <v>132</v>
      </c>
      <c r="AI2" s="60" t="str">
        <f t="array" ref="AI2">IF(COUNTIFS(AH$2:AH2,AH2)=1,"1",VALUE(SUBSTITUTE(INDEX(AI:AI,_xlfn.XMATCH(AH2,AH$1:AH1,0,-1)),"A",""))+INDEX(AJ:AJ,_xlfn.XMATCH(AH2,AH$1:AH1,0,-1))+1)</f>
        <v>1</v>
      </c>
      <c r="AJ2" s="60">
        <f t="array" ref="AJ2">SUM(IF(ISNUMBER(FIND("TmDo",$BE$1:$AAQ$1)),IF(IFERROR(ISNUMBER(VALUE(SUBSTITUTE($BE2:$AAQ2,"B",""))),FALSE),IF(ISNUMBER(VALUE(SUBSTITUTE($BE2:$AAQ2,"B",""))),1,0),0)))</f>
        <v>2</v>
      </c>
      <c r="AK2" s="12" t="str">
        <f t="shared" ref="AK2:AK55" si="0">CONCATENATE($AI2,"A")</f>
        <v>1A</v>
      </c>
      <c r="AL2" s="12" t="str">
        <f t="shared" ref="AL2:AL55" si="1">CONCATENATE($AI2,"B")</f>
        <v>1B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2">CONCATENATE("XT",U2)</f>
        <v>XT1</v>
      </c>
      <c r="BF2" s="12" t="str">
        <f t="shared" ref="BF2:BF33" si="3">CONCATENATE("C",REPLACE(AF2,1,1,"")+1)</f>
        <v>C2</v>
      </c>
      <c r="BG2" s="12" t="str">
        <f t="shared" ref="BG2:BG33" si="4">CONCATENATE("B",REPLACE(AG2,1,1,"")+1)</f>
        <v>B2</v>
      </c>
      <c r="BH2" s="12" t="str">
        <f t="shared" ref="BH2:BH33" si="5">CONCATENATE("C",REPLACE(BF2,1,1,"")+1)</f>
        <v>C3</v>
      </c>
      <c r="BI2" s="12" t="str">
        <f t="shared" ref="BI2:BI33" si="6">CONCATENATE("B",REPLACE(BG2,1,1,"")+1)</f>
        <v>B3</v>
      </c>
      <c r="BJ2" s="12" t="str">
        <f t="shared" ref="BJ2:BJ33" si="7">CONCATENATE("C",REPLACE(BH2,1,1,"")+1)</f>
        <v>C4</v>
      </c>
      <c r="BK2" s="12" t="str">
        <f t="shared" ref="BK2:BK33" si="8">CONCATENATE("B",REPLACE(BI2,1,1,"")+1)</f>
        <v>B4</v>
      </c>
      <c r="BL2" s="12" t="str">
        <f t="shared" ref="BL2:BL32" si="9">CONCATENATE("C",REPLACE(BJ2,1,1,"")+1)</f>
        <v>C5</v>
      </c>
      <c r="BM2" s="12" t="str">
        <f t="shared" ref="BM2:BM32" si="10">CONCATENATE("B",REPLACE(BK2,1,1,"")+1)</f>
        <v>B5</v>
      </c>
      <c r="BN2" s="12" t="str">
        <f t="shared" ref="BN2:BN32" si="11">CONCATENATE("C",REPLACE(BL2,1,1,"")+1)</f>
        <v>C6</v>
      </c>
      <c r="BO2" s="12" t="str">
        <f t="shared" ref="BO2:BO32" si="12">CONCATENATE("B",REPLACE(BM2,1,1,"")+1)</f>
        <v>B6</v>
      </c>
      <c r="BP2" s="12" t="str">
        <f t="shared" ref="BP2:BP33" si="13">CONCATENATE(REPLACE(AK2,LEN(AK2),1,"")+1,"A")</f>
        <v>2A</v>
      </c>
      <c r="BQ2" s="12" t="str">
        <f t="shared" ref="BQ2:BQ33" si="14">CONCATENATE(REPLACE(AL2,LEN(AL2),1,"")+1,"B")</f>
        <v>2B</v>
      </c>
      <c r="BR2" s="12" t="str">
        <f t="shared" ref="BR2:BR33" si="15">CONCATENATE(REPLACE(BP2,LEN(BP2),1,"")+1,"A")</f>
        <v>3A</v>
      </c>
      <c r="BS2" s="12" t="str">
        <f t="shared" ref="BS2:BS33" si="16">CONCATENATE(REPLACE(BQ2,LEN(BQ2),1,"")+1,"B")</f>
        <v>3B</v>
      </c>
      <c r="BT2" s="12" t="str">
        <f t="shared" ref="BT2:BT33" si="17">CONCATENATE("DI",REPLACE($AC2,1,3,""),"-",AF2)</f>
        <v>DI1-C1</v>
      </c>
      <c r="BU2" s="12" t="str">
        <f t="shared" ref="BU2:BU33" si="18">CONCATENATE("DI",REPLACE($AC2,1,3,""),"-",AG2)</f>
        <v>DI1-B1</v>
      </c>
      <c r="BV2" s="12" t="str">
        <f t="shared" ref="BV2:CE17" si="19">CONCATENATE("DI",REPLACE($AC2,1,3,""),"-",BF2)</f>
        <v>DI1-C2</v>
      </c>
      <c r="BW2" s="12" t="str">
        <f t="shared" si="19"/>
        <v>DI1-B2</v>
      </c>
      <c r="BX2" s="12" t="str">
        <f t="shared" si="19"/>
        <v>DI1-C3</v>
      </c>
      <c r="BY2" s="12" t="str">
        <f t="shared" si="19"/>
        <v>DI1-B3</v>
      </c>
      <c r="BZ2" s="12" t="str">
        <f t="shared" si="19"/>
        <v>DI1-C4</v>
      </c>
      <c r="CA2" s="12" t="str">
        <f t="shared" si="19"/>
        <v>DI1-B4</v>
      </c>
      <c r="CB2" s="12" t="str">
        <f t="shared" si="19"/>
        <v>DI1-C5</v>
      </c>
      <c r="CC2" s="12" t="str">
        <f t="shared" si="19"/>
        <v>DI1-B5</v>
      </c>
      <c r="CD2" s="12" t="str">
        <f t="shared" si="19"/>
        <v>DI1-C6</v>
      </c>
      <c r="CE2" s="12" t="str">
        <f t="shared" si="19"/>
        <v>DI1-B6</v>
      </c>
      <c r="CF2" s="12" t="str">
        <f t="shared" ref="CF2:CF33" si="20">CONCATENATE("DO",REPLACE($AH2,1,3,""),"-",AK2)</f>
        <v>DO1-1A</v>
      </c>
      <c r="CG2" s="12" t="str">
        <f t="shared" ref="CG2:CG33" si="21">CONCATENATE("DO",REPLACE($AH2,1,3,""),"-",AL2)</f>
        <v>DO1-1B</v>
      </c>
      <c r="CH2" s="12" t="str">
        <f t="shared" ref="CH2:CH33" si="22">CONCATENATE("DO",REPLACE($AH2,1,3,""),"-",BP2)</f>
        <v>DO1-2A</v>
      </c>
      <c r="CI2" s="12" t="str">
        <f t="shared" ref="CI2:CI33" si="23">CONCATENATE("DO",REPLACE($AH2,1,3,""),"-",BQ2)</f>
        <v>DO1-2B</v>
      </c>
      <c r="CJ2" s="12" t="str">
        <f t="shared" ref="CJ2:CJ33" si="24">CONCATENATE("DO",REPLACE($AH2,1,3,""),"-",BR2)</f>
        <v>DO1-3A</v>
      </c>
      <c r="CK2" s="12" t="str">
        <f t="shared" ref="CK2:CK33" si="25">CONCATENATE("DO",REPLACE($AH2,1,3,""),"-",BS2)</f>
        <v>DO1-3B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26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824" ht="30" x14ac:dyDescent="0.25">
      <c r="A3" s="29" t="s">
        <v>2214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s="46">
        <f t="array" ref="AD3">IF(COUNTIFS(AC$2:AC3,AC3)=1,"1",VALUE(SUBSTITUTE(INDEX(AD:AD,_xlfn.XMATCH(AC3,AC$1:AC2,0,-1)),"A",""))+INDEX(AE:AE,_xlfn.XMATCH(AC3,AC$1:AC2,0,-1))+1)</f>
        <v>7</v>
      </c>
      <c r="AE3" s="46">
        <f t="array" ref="AE3">SUM(IF(ISNUMBER(FIND("TmDi",$BE$1:$AAQ$1)),IF(IFERROR(ISNUMBER(VALUE(SUBSTITUTE($BE3:$AAQ3,"B",""))),FALSE),IF(ISNUMBER(VALUE(SUBSTITUTE($BE3:$AAQ3,"B",""))),1,0),0)))</f>
        <v>5</v>
      </c>
      <c r="AF3" t="s">
        <v>148</v>
      </c>
      <c r="AG3" t="s">
        <v>149</v>
      </c>
      <c r="AH3" t="s">
        <v>132</v>
      </c>
      <c r="AI3" s="61">
        <f t="array" ref="AI3">IF(COUNTIFS(AH$2:AH3,AH3)=1,"1",VALUE(SUBSTITUTE(INDEX(AI:AI,_xlfn.XMATCH(AH3,AH$1:AH2,0,-1)),"A",""))+INDEX(AJ:AJ,_xlfn.XMATCH(AH3,AH$1:AH2,0,-1))+1)</f>
        <v>4</v>
      </c>
      <c r="AJ3" s="61">
        <f t="array" ref="AJ3">SUM(IF(ISNUMBER(FIND("TmDo",$BE$1:$AAQ$1)),IF(IFERROR(ISNUMBER(VALUE(SUBSTITUTE($BE3:$AAQ3,"B",""))),FALSE),IF(ISNUMBER(VALUE(SUBSTITUTE($BE3:$AAQ3,"B",""))),1,0),0)))</f>
        <v>2</v>
      </c>
      <c r="AK3" t="str">
        <f t="shared" si="0"/>
        <v>4A</v>
      </c>
      <c r="AL3" t="str">
        <f t="shared" si="1"/>
        <v>4B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2"/>
        <v>XT2</v>
      </c>
      <c r="BF3" t="str">
        <f t="shared" si="3"/>
        <v>C8</v>
      </c>
      <c r="BG3" t="str">
        <f t="shared" si="4"/>
        <v>B8</v>
      </c>
      <c r="BH3" t="str">
        <f t="shared" si="5"/>
        <v>C9</v>
      </c>
      <c r="BI3" t="str">
        <f t="shared" si="6"/>
        <v>B9</v>
      </c>
      <c r="BJ3" t="str">
        <f t="shared" si="7"/>
        <v>C10</v>
      </c>
      <c r="BK3" t="str">
        <f t="shared" si="8"/>
        <v>B10</v>
      </c>
      <c r="BL3" t="str">
        <f t="shared" si="9"/>
        <v>C11</v>
      </c>
      <c r="BM3" t="str">
        <f t="shared" si="10"/>
        <v>B11</v>
      </c>
      <c r="BN3" t="str">
        <f t="shared" si="11"/>
        <v>C12</v>
      </c>
      <c r="BO3" t="str">
        <f t="shared" si="12"/>
        <v>B12</v>
      </c>
      <c r="BP3" t="str">
        <f t="shared" si="13"/>
        <v>5A</v>
      </c>
      <c r="BQ3" t="str">
        <f t="shared" si="14"/>
        <v>5B</v>
      </c>
      <c r="BR3" t="str">
        <f t="shared" si="15"/>
        <v>6A</v>
      </c>
      <c r="BS3" t="str">
        <f t="shared" si="16"/>
        <v>6B</v>
      </c>
      <c r="BT3" t="str">
        <f t="shared" si="17"/>
        <v>DI1-C7</v>
      </c>
      <c r="BU3" t="str">
        <f t="shared" si="18"/>
        <v>DI1-B7</v>
      </c>
      <c r="BV3" t="str">
        <f t="shared" si="19"/>
        <v>DI1-C8</v>
      </c>
      <c r="BW3" t="str">
        <f t="shared" si="19"/>
        <v>DI1-B8</v>
      </c>
      <c r="BX3" t="str">
        <f t="shared" si="19"/>
        <v>DI1-C9</v>
      </c>
      <c r="BY3" t="str">
        <f t="shared" si="19"/>
        <v>DI1-B9</v>
      </c>
      <c r="BZ3" t="str">
        <f t="shared" si="19"/>
        <v>DI1-C10</v>
      </c>
      <c r="CA3" t="str">
        <f t="shared" si="19"/>
        <v>DI1-B10</v>
      </c>
      <c r="CB3" t="str">
        <f t="shared" si="19"/>
        <v>DI1-C11</v>
      </c>
      <c r="CC3" t="str">
        <f t="shared" si="19"/>
        <v>DI1-B11</v>
      </c>
      <c r="CD3" t="str">
        <f t="shared" si="19"/>
        <v>DI1-C12</v>
      </c>
      <c r="CE3" t="str">
        <f t="shared" si="19"/>
        <v>DI1-B12</v>
      </c>
      <c r="CF3" t="str">
        <f t="shared" si="20"/>
        <v>DO1-4A</v>
      </c>
      <c r="CG3" t="str">
        <f t="shared" si="21"/>
        <v>DO1-4B</v>
      </c>
      <c r="CH3" t="str">
        <f t="shared" si="22"/>
        <v>DO1-5A</v>
      </c>
      <c r="CI3" t="str">
        <f t="shared" si="23"/>
        <v>DO1-5B</v>
      </c>
      <c r="CJ3" t="str">
        <f t="shared" si="24"/>
        <v>DO1-6A</v>
      </c>
      <c r="CK3" t="str">
        <f t="shared" si="25"/>
        <v>DO1-6B</v>
      </c>
      <c r="CL3" t="str">
        <f t="shared" ref="CL3:CL33" si="27">CONCATENATE("K",$U3,"-10")</f>
        <v>K2-10</v>
      </c>
      <c r="CM3" t="str">
        <f t="shared" ref="CM3:CM33" si="28">CONCATENATE("K",$U3,"-03")</f>
        <v>K2-03</v>
      </c>
      <c r="CN3" t="str">
        <f t="shared" ref="CN3:CN33" si="29">CONCATENATE("K",$U3,"-04")</f>
        <v>K2-04</v>
      </c>
      <c r="CO3" t="str">
        <f t="shared" ref="CO3:CO33" si="30">CONCATENATE("K",$U3,"-01")</f>
        <v>K2-01</v>
      </c>
      <c r="CP3" t="str">
        <f t="shared" ref="CP3:CP33" si="31">CONCATENATE("K",$U3,"-08")</f>
        <v>K2-08</v>
      </c>
      <c r="CQ3" t="str">
        <f t="shared" ref="CQ3:CQ33" si="32">CONCATENATE("K",$U3,"-02")</f>
        <v>K2-02</v>
      </c>
      <c r="CR3" t="str">
        <f t="shared" ref="CR3:CR33" si="33">CONCATENATE("K",$U3,"-09")</f>
        <v>K2-09</v>
      </c>
      <c r="CS3" t="str">
        <f t="shared" ref="CS3:CS33" si="34">CONCATENATE("K",$U3,"-05")</f>
        <v>K2-05</v>
      </c>
      <c r="CT3" t="str">
        <f t="shared" ref="CT3:CT33" si="35">CONCATENATE("K",$U3,"-11")</f>
        <v>K2-11</v>
      </c>
      <c r="CU3" t="str">
        <f t="shared" ref="CU3:CU33" si="36">CONCATENATE($T3,"-M",$U3,"-A9")</f>
        <v>F0-M2-A9</v>
      </c>
      <c r="CV3" t="str">
        <f t="shared" ref="CV3:CV33" si="37">CONCATENATE($T3,"-M",$U3,"-A7")</f>
        <v>F0-M2-A7</v>
      </c>
      <c r="CW3" t="str">
        <f t="shared" ref="CW3:CW33" si="38">CONCATENATE($T3,"-M",$U3,"-A8")</f>
        <v>F0-M2-A8</v>
      </c>
      <c r="CX3" t="str">
        <f t="shared" ref="CX3:CX33" si="39">CONCATENATE($T3,"-M",$U3,"-A6")</f>
        <v>F0-M2-A6</v>
      </c>
      <c r="CY3" t="str">
        <f t="shared" ref="CY3:CY33" si="40">CONCATENATE($T3,"-M",$U3,"-A30")</f>
        <v>F0-M2-A30</v>
      </c>
      <c r="CZ3" t="str">
        <f t="shared" ref="CZ3:CZ33" si="41">CONCATENATE($T3,"-M",$U3,"-N")</f>
        <v>F0-M2-N</v>
      </c>
      <c r="DA3" t="str">
        <f t="shared" si="26"/>
        <v>F0-A220-M2</v>
      </c>
      <c r="DB3" t="str">
        <f t="shared" ref="DB3:DB33" si="42">CONCATENATE($T3,"-M",$U3,"-XM01")</f>
        <v>F0-M2-XM01</v>
      </c>
      <c r="DC3" t="str">
        <f t="shared" ref="DC3:DC33" si="43">CONCATENATE($T3,"-M",$U3,"-A1")</f>
        <v>F0-M2-A1</v>
      </c>
      <c r="DD3" t="str">
        <f t="shared" ref="DD3:DD33" si="44">CONCATENATE($T3,"-M",$U3,"-A5")</f>
        <v>F0-M2-A5</v>
      </c>
      <c r="DE3" t="str">
        <f t="shared" ref="DE3:DE33" si="45">CONCATENATE($T3,"-M",$U3,"-A11")</f>
        <v>F0-M2-A11</v>
      </c>
      <c r="DF3" t="str">
        <f t="shared" ref="DF3:DF33" si="46">CONCATENATE($T3,"-M",$U3,"-A12")</f>
        <v>F0-M2-A12</v>
      </c>
      <c r="DG3" t="str">
        <f t="shared" ref="DG3:DG33" si="47">CONCATENATE($T3,"-M",$U3,"-A19")</f>
        <v>F0-M2-A19</v>
      </c>
      <c r="DH3" t="str">
        <f t="shared" ref="DH3:DH33" si="48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824" ht="30" x14ac:dyDescent="0.25">
      <c r="A4" s="29" t="s">
        <v>2215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s="46">
        <f t="array" ref="AD4">IF(COUNTIFS(AC$2:AC4,AC4)=1,"1",VALUE(SUBSTITUTE(INDEX(AD:AD,_xlfn.XMATCH(AC4,AC$1:AC3,0,-1)),"A",""))+INDEX(AE:AE,_xlfn.XMATCH(AC4,AC$1:AC3,0,-1))+1)</f>
        <v>13</v>
      </c>
      <c r="AE4" s="46">
        <f t="array" ref="AE4">SUM(IF(ISNUMBER(FIND("TmDi",$BE$1:$AAQ$1)),IF(IFERROR(ISNUMBER(VALUE(SUBSTITUTE($BE4:$AAQ4,"B",""))),FALSE),IF(ISNUMBER(VALUE(SUBSTITUTE($BE4:$AAQ4,"B",""))),1,0),0)))</f>
        <v>5</v>
      </c>
      <c r="AF4" t="s">
        <v>153</v>
      </c>
      <c r="AG4" t="s">
        <v>154</v>
      </c>
      <c r="AH4" t="s">
        <v>132</v>
      </c>
      <c r="AI4" s="61">
        <f t="array" ref="AI4">IF(COUNTIFS(AH$2:AH4,AH4)=1,"1",VALUE(SUBSTITUTE(INDEX(AI:AI,_xlfn.XMATCH(AH4,AH$1:AH3,0,-1)),"A",""))+INDEX(AJ:AJ,_xlfn.XMATCH(AH4,AH$1:AH3,0,-1))+1)</f>
        <v>7</v>
      </c>
      <c r="AJ4" s="61">
        <f t="array" ref="AJ4">SUM(IF(ISNUMBER(FIND("TmDo",$BE$1:$AAQ$1)),IF(IFERROR(ISNUMBER(VALUE(SUBSTITUTE($BE4:$AAQ4,"B",""))),FALSE),IF(ISNUMBER(VALUE(SUBSTITUTE($BE4:$AAQ4,"B",""))),1,0),0)))</f>
        <v>2</v>
      </c>
      <c r="AK4" t="str">
        <f t="shared" si="0"/>
        <v>7A</v>
      </c>
      <c r="AL4" t="str">
        <f t="shared" si="1"/>
        <v>7B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2"/>
        <v>XT3</v>
      </c>
      <c r="BF4" t="str">
        <f t="shared" si="3"/>
        <v>C14</v>
      </c>
      <c r="BG4" t="str">
        <f t="shared" si="4"/>
        <v>B14</v>
      </c>
      <c r="BH4" t="str">
        <f t="shared" si="5"/>
        <v>C15</v>
      </c>
      <c r="BI4" t="str">
        <f t="shared" si="6"/>
        <v>B15</v>
      </c>
      <c r="BJ4" t="str">
        <f t="shared" si="7"/>
        <v>C16</v>
      </c>
      <c r="BK4" t="str">
        <f t="shared" si="8"/>
        <v>B16</v>
      </c>
      <c r="BL4" t="str">
        <f t="shared" si="9"/>
        <v>C17</v>
      </c>
      <c r="BM4" t="str">
        <f t="shared" si="10"/>
        <v>B17</v>
      </c>
      <c r="BN4" t="str">
        <f t="shared" si="11"/>
        <v>C18</v>
      </c>
      <c r="BO4" t="str">
        <f t="shared" si="12"/>
        <v>B18</v>
      </c>
      <c r="BP4" t="str">
        <f t="shared" si="13"/>
        <v>8A</v>
      </c>
      <c r="BQ4" t="str">
        <f t="shared" si="14"/>
        <v>8B</v>
      </c>
      <c r="BR4" t="str">
        <f t="shared" si="15"/>
        <v>9A</v>
      </c>
      <c r="BS4" t="str">
        <f t="shared" si="16"/>
        <v>9B</v>
      </c>
      <c r="BT4" t="str">
        <f t="shared" si="17"/>
        <v>DI1-C13</v>
      </c>
      <c r="BU4" t="str">
        <f t="shared" si="18"/>
        <v>DI1-B13</v>
      </c>
      <c r="BV4" t="str">
        <f t="shared" si="19"/>
        <v>DI1-C14</v>
      </c>
      <c r="BW4" t="str">
        <f t="shared" si="19"/>
        <v>DI1-B14</v>
      </c>
      <c r="BX4" t="str">
        <f t="shared" si="19"/>
        <v>DI1-C15</v>
      </c>
      <c r="BY4" t="str">
        <f t="shared" si="19"/>
        <v>DI1-B15</v>
      </c>
      <c r="BZ4" t="str">
        <f t="shared" si="19"/>
        <v>DI1-C16</v>
      </c>
      <c r="CA4" t="str">
        <f t="shared" si="19"/>
        <v>DI1-B16</v>
      </c>
      <c r="CB4" t="str">
        <f t="shared" si="19"/>
        <v>DI1-C17</v>
      </c>
      <c r="CC4" t="str">
        <f t="shared" si="19"/>
        <v>DI1-B17</v>
      </c>
      <c r="CD4" t="str">
        <f t="shared" si="19"/>
        <v>DI1-C18</v>
      </c>
      <c r="CE4" t="str">
        <f t="shared" si="19"/>
        <v>DI1-B18</v>
      </c>
      <c r="CF4" t="str">
        <f t="shared" si="20"/>
        <v>DO1-7A</v>
      </c>
      <c r="CG4" t="str">
        <f t="shared" si="21"/>
        <v>DO1-7B</v>
      </c>
      <c r="CH4" t="str">
        <f t="shared" si="22"/>
        <v>DO1-8A</v>
      </c>
      <c r="CI4" t="str">
        <f t="shared" si="23"/>
        <v>DO1-8B</v>
      </c>
      <c r="CJ4" t="str">
        <f t="shared" si="24"/>
        <v>DO1-9A</v>
      </c>
      <c r="CK4" t="str">
        <f t="shared" si="25"/>
        <v>DO1-9B</v>
      </c>
      <c r="CL4" t="str">
        <f t="shared" si="27"/>
        <v>K3-10</v>
      </c>
      <c r="CM4" t="str">
        <f t="shared" si="28"/>
        <v>K3-03</v>
      </c>
      <c r="CN4" t="str">
        <f t="shared" si="29"/>
        <v>K3-04</v>
      </c>
      <c r="CO4" t="str">
        <f t="shared" si="30"/>
        <v>K3-01</v>
      </c>
      <c r="CP4" t="str">
        <f t="shared" si="31"/>
        <v>K3-08</v>
      </c>
      <c r="CQ4" t="str">
        <f t="shared" si="32"/>
        <v>K3-02</v>
      </c>
      <c r="CR4" t="str">
        <f t="shared" si="33"/>
        <v>K3-09</v>
      </c>
      <c r="CS4" t="str">
        <f t="shared" si="34"/>
        <v>K3-05</v>
      </c>
      <c r="CT4" t="str">
        <f t="shared" si="35"/>
        <v>K3-11</v>
      </c>
      <c r="CU4" t="str">
        <f t="shared" si="36"/>
        <v>F0-M3-A9</v>
      </c>
      <c r="CV4" t="str">
        <f t="shared" si="37"/>
        <v>F0-M3-A7</v>
      </c>
      <c r="CW4" t="str">
        <f t="shared" si="38"/>
        <v>F0-M3-A8</v>
      </c>
      <c r="CX4" t="str">
        <f t="shared" si="39"/>
        <v>F0-M3-A6</v>
      </c>
      <c r="CY4" t="str">
        <f t="shared" si="40"/>
        <v>F0-M3-A30</v>
      </c>
      <c r="CZ4" t="str">
        <f t="shared" si="41"/>
        <v>F0-M3-N</v>
      </c>
      <c r="DA4" t="str">
        <f t="shared" si="26"/>
        <v>F0-A220-M3</v>
      </c>
      <c r="DB4" t="str">
        <f t="shared" si="42"/>
        <v>F0-M3-XM01</v>
      </c>
      <c r="DC4" t="str">
        <f t="shared" si="43"/>
        <v>F0-M3-A1</v>
      </c>
      <c r="DD4" t="str">
        <f t="shared" si="44"/>
        <v>F0-M3-A5</v>
      </c>
      <c r="DE4" t="str">
        <f t="shared" si="45"/>
        <v>F0-M3-A11</v>
      </c>
      <c r="DF4" t="str">
        <f t="shared" si="46"/>
        <v>F0-M3-A12</v>
      </c>
      <c r="DG4" t="str">
        <f t="shared" si="47"/>
        <v>F0-M3-A19</v>
      </c>
      <c r="DH4" t="str">
        <f t="shared" si="48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824" ht="30" x14ac:dyDescent="0.25">
      <c r="A5" s="29" t="s">
        <v>2216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s="46">
        <f t="array" ref="AD5">IF(COUNTIFS(AC$2:AC5,AC5)=1,"1",VALUE(SUBSTITUTE(INDEX(AD:AD,_xlfn.XMATCH(AC5,AC$1:AC4,0,-1)),"A",""))+INDEX(AE:AE,_xlfn.XMATCH(AC5,AC$1:AC4,0,-1))+1)</f>
        <v>19</v>
      </c>
      <c r="AE5" s="46">
        <f t="array" ref="AE5">SUM(IF(ISNUMBER(FIND("TmDi",$BE$1:$AAQ$1)),IF(IFERROR(ISNUMBER(VALUE(SUBSTITUTE($BE5:$AAQ5,"B",""))),FALSE),IF(ISNUMBER(VALUE(SUBSTITUTE($BE5:$AAQ5,"B",""))),1,0),0)))</f>
        <v>5</v>
      </c>
      <c r="AF5" t="s">
        <v>239</v>
      </c>
      <c r="AG5" t="s">
        <v>241</v>
      </c>
      <c r="AH5" t="s">
        <v>132</v>
      </c>
      <c r="AI5" s="61">
        <f t="array" ref="AI5">IF(COUNTIFS(AH$2:AH5,AH5)=1,"1",VALUE(SUBSTITUTE(INDEX(AI:AI,_xlfn.XMATCH(AH5,AH$1:AH4,0,-1)),"A",""))+INDEX(AJ:AJ,_xlfn.XMATCH(AH5,AH$1:AH4,0,-1))+1)</f>
        <v>10</v>
      </c>
      <c r="AJ5" s="61">
        <f t="array" ref="AJ5">SUM(IF(ISNUMBER(FIND("TmDo",$BE$1:$AAQ$1)),IF(IFERROR(ISNUMBER(VALUE(SUBSTITUTE($BE5:$AAQ5,"B",""))),FALSE),IF(ISNUMBER(VALUE(SUBSTITUTE($BE5:$AAQ5,"B",""))),1,0),0)))</f>
        <v>2</v>
      </c>
      <c r="AK5" t="str">
        <f t="shared" si="0"/>
        <v>10A</v>
      </c>
      <c r="AL5" t="str">
        <f t="shared" si="1"/>
        <v>10B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2"/>
        <v>XT4</v>
      </c>
      <c r="BF5" t="str">
        <f t="shared" si="3"/>
        <v>C20</v>
      </c>
      <c r="BG5" t="str">
        <f t="shared" si="4"/>
        <v>B20</v>
      </c>
      <c r="BH5" t="str">
        <f t="shared" si="5"/>
        <v>C21</v>
      </c>
      <c r="BI5" t="str">
        <f t="shared" si="6"/>
        <v>B21</v>
      </c>
      <c r="BJ5" t="str">
        <f t="shared" si="7"/>
        <v>C22</v>
      </c>
      <c r="BK5" t="str">
        <f t="shared" si="8"/>
        <v>B22</v>
      </c>
      <c r="BL5" t="str">
        <f t="shared" si="9"/>
        <v>C23</v>
      </c>
      <c r="BM5" t="str">
        <f t="shared" si="10"/>
        <v>B23</v>
      </c>
      <c r="BN5" t="str">
        <f t="shared" si="11"/>
        <v>C24</v>
      </c>
      <c r="BO5" t="str">
        <f t="shared" si="12"/>
        <v>B24</v>
      </c>
      <c r="BP5" t="str">
        <f t="shared" si="13"/>
        <v>11A</v>
      </c>
      <c r="BQ5" t="str">
        <f t="shared" si="14"/>
        <v>11B</v>
      </c>
      <c r="BR5" t="str">
        <f t="shared" si="15"/>
        <v>12A</v>
      </c>
      <c r="BS5" t="str">
        <f t="shared" si="16"/>
        <v>12B</v>
      </c>
      <c r="BT5" t="str">
        <f t="shared" si="17"/>
        <v>DI1-C19</v>
      </c>
      <c r="BU5" t="str">
        <f t="shared" si="18"/>
        <v>DI1-B19</v>
      </c>
      <c r="BV5" t="str">
        <f t="shared" si="19"/>
        <v>DI1-C20</v>
      </c>
      <c r="BW5" t="str">
        <f t="shared" si="19"/>
        <v>DI1-B20</v>
      </c>
      <c r="BX5" t="str">
        <f t="shared" si="19"/>
        <v>DI1-C21</v>
      </c>
      <c r="BY5" t="str">
        <f t="shared" si="19"/>
        <v>DI1-B21</v>
      </c>
      <c r="BZ5" t="str">
        <f t="shared" si="19"/>
        <v>DI1-C22</v>
      </c>
      <c r="CA5" t="str">
        <f t="shared" si="19"/>
        <v>DI1-B22</v>
      </c>
      <c r="CB5" t="str">
        <f t="shared" si="19"/>
        <v>DI1-C23</v>
      </c>
      <c r="CC5" t="str">
        <f t="shared" si="19"/>
        <v>DI1-B23</v>
      </c>
      <c r="CD5" t="str">
        <f t="shared" si="19"/>
        <v>DI1-C24</v>
      </c>
      <c r="CE5" t="str">
        <f t="shared" si="19"/>
        <v>DI1-B24</v>
      </c>
      <c r="CF5" t="str">
        <f t="shared" si="20"/>
        <v>DO1-10A</v>
      </c>
      <c r="CG5" t="str">
        <f t="shared" si="21"/>
        <v>DO1-10B</v>
      </c>
      <c r="CH5" t="str">
        <f t="shared" si="22"/>
        <v>DO1-11A</v>
      </c>
      <c r="CI5" t="str">
        <f t="shared" si="23"/>
        <v>DO1-11B</v>
      </c>
      <c r="CJ5" t="str">
        <f t="shared" si="24"/>
        <v>DO1-12A</v>
      </c>
      <c r="CK5" t="str">
        <f t="shared" si="25"/>
        <v>DO1-12B</v>
      </c>
      <c r="CL5" t="str">
        <f t="shared" si="27"/>
        <v>K4-10</v>
      </c>
      <c r="CM5" t="str">
        <f t="shared" si="28"/>
        <v>K4-03</v>
      </c>
      <c r="CN5" t="str">
        <f t="shared" si="29"/>
        <v>K4-04</v>
      </c>
      <c r="CO5" t="str">
        <f t="shared" si="30"/>
        <v>K4-01</v>
      </c>
      <c r="CP5" t="str">
        <f t="shared" si="31"/>
        <v>K4-08</v>
      </c>
      <c r="CQ5" t="str">
        <f t="shared" si="32"/>
        <v>K4-02</v>
      </c>
      <c r="CR5" t="str">
        <f t="shared" si="33"/>
        <v>K4-09</v>
      </c>
      <c r="CS5" t="str">
        <f t="shared" si="34"/>
        <v>K4-05</v>
      </c>
      <c r="CT5" t="str">
        <f t="shared" si="35"/>
        <v>K4-11</v>
      </c>
      <c r="CU5" t="str">
        <f t="shared" si="36"/>
        <v>F0-M4-A9</v>
      </c>
      <c r="CV5" t="str">
        <f t="shared" si="37"/>
        <v>F0-M4-A7</v>
      </c>
      <c r="CW5" t="str">
        <f t="shared" si="38"/>
        <v>F0-M4-A8</v>
      </c>
      <c r="CX5" t="str">
        <f t="shared" si="39"/>
        <v>F0-M4-A6</v>
      </c>
      <c r="CY5" t="str">
        <f t="shared" si="40"/>
        <v>F0-M4-A30</v>
      </c>
      <c r="CZ5" t="str">
        <f t="shared" si="41"/>
        <v>F0-M4-N</v>
      </c>
      <c r="DA5" t="str">
        <f t="shared" si="26"/>
        <v>F0-A220-M4</v>
      </c>
      <c r="DB5" t="str">
        <f t="shared" si="42"/>
        <v>F0-M4-XM01</v>
      </c>
      <c r="DC5" t="str">
        <f t="shared" si="43"/>
        <v>F0-M4-A1</v>
      </c>
      <c r="DD5" t="str">
        <f t="shared" si="44"/>
        <v>F0-M4-A5</v>
      </c>
      <c r="DE5" t="str">
        <f t="shared" si="45"/>
        <v>F0-M4-A11</v>
      </c>
      <c r="DF5" t="str">
        <f t="shared" si="46"/>
        <v>F0-M4-A12</v>
      </c>
      <c r="DG5" t="str">
        <f t="shared" si="47"/>
        <v>F0-M4-A19</v>
      </c>
      <c r="DH5" t="str">
        <f t="shared" si="48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824" ht="30" x14ac:dyDescent="0.25">
      <c r="A6" s="29" t="s">
        <v>2217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s="46">
        <f t="array" ref="AD6">IF(COUNTIFS(AC$2:AC6,AC6)=1,"1",VALUE(SUBSTITUTE(INDEX(AD:AD,_xlfn.XMATCH(AC6,AC$1:AC5,0,-1)),"A",""))+INDEX(AE:AE,_xlfn.XMATCH(AC6,AC$1:AC5,0,-1))+1)</f>
        <v>25</v>
      </c>
      <c r="AE6" s="46">
        <f t="array" ref="AE6">SUM(IF(ISNUMBER(FIND("TmDi",$BE$1:$AAQ$1)),IF(IFERROR(ISNUMBER(VALUE(SUBSTITUTE($BE6:$AAQ6,"B",""))),FALSE),IF(ISNUMBER(VALUE(SUBSTITUTE($BE6:$AAQ6,"B",""))),1,0),0)))</f>
        <v>5</v>
      </c>
      <c r="AF6" t="s">
        <v>240</v>
      </c>
      <c r="AG6" t="s">
        <v>242</v>
      </c>
      <c r="AH6" t="s">
        <v>132</v>
      </c>
      <c r="AI6" s="61">
        <f t="array" ref="AI6">IF(COUNTIFS(AH$2:AH6,AH6)=1,"1",VALUE(SUBSTITUTE(INDEX(AI:AI,_xlfn.XMATCH(AH6,AH$1:AH5,0,-1)),"A",""))+INDEX(AJ:AJ,_xlfn.XMATCH(AH6,AH$1:AH5,0,-1))+1)</f>
        <v>13</v>
      </c>
      <c r="AJ6" s="61">
        <f t="array" ref="AJ6">SUM(IF(ISNUMBER(FIND("TmDo",$BE$1:$AAQ$1)),IF(IFERROR(ISNUMBER(VALUE(SUBSTITUTE($BE6:$AAQ6,"B",""))),FALSE),IF(ISNUMBER(VALUE(SUBSTITUTE($BE6:$AAQ6,"B",""))),1,0),0)))</f>
        <v>2</v>
      </c>
      <c r="AK6" t="str">
        <f t="shared" si="0"/>
        <v>13A</v>
      </c>
      <c r="AL6" t="str">
        <f t="shared" si="1"/>
        <v>13B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2"/>
        <v>XT5</v>
      </c>
      <c r="BF6" t="str">
        <f t="shared" si="3"/>
        <v>C26</v>
      </c>
      <c r="BG6" t="str">
        <f t="shared" si="4"/>
        <v>B26</v>
      </c>
      <c r="BH6" t="str">
        <f t="shared" si="5"/>
        <v>C27</v>
      </c>
      <c r="BI6" t="str">
        <f t="shared" si="6"/>
        <v>B27</v>
      </c>
      <c r="BJ6" t="str">
        <f t="shared" si="7"/>
        <v>C28</v>
      </c>
      <c r="BK6" t="str">
        <f t="shared" si="8"/>
        <v>B28</v>
      </c>
      <c r="BL6" t="str">
        <f t="shared" si="9"/>
        <v>C29</v>
      </c>
      <c r="BM6" t="str">
        <f t="shared" si="10"/>
        <v>B29</v>
      </c>
      <c r="BN6" t="str">
        <f t="shared" si="11"/>
        <v>C30</v>
      </c>
      <c r="BO6" t="str">
        <f t="shared" si="12"/>
        <v>B30</v>
      </c>
      <c r="BP6" t="str">
        <f t="shared" si="13"/>
        <v>14A</v>
      </c>
      <c r="BQ6" t="str">
        <f t="shared" si="14"/>
        <v>14B</v>
      </c>
      <c r="BR6" t="str">
        <f t="shared" si="15"/>
        <v>15A</v>
      </c>
      <c r="BS6" t="str">
        <f t="shared" si="16"/>
        <v>15B</v>
      </c>
      <c r="BT6" t="str">
        <f t="shared" si="17"/>
        <v>DI1-C25</v>
      </c>
      <c r="BU6" t="str">
        <f t="shared" si="18"/>
        <v>DI1-B25</v>
      </c>
      <c r="BV6" t="str">
        <f t="shared" si="19"/>
        <v>DI1-C26</v>
      </c>
      <c r="BW6" t="str">
        <f t="shared" si="19"/>
        <v>DI1-B26</v>
      </c>
      <c r="BX6" t="str">
        <f t="shared" si="19"/>
        <v>DI1-C27</v>
      </c>
      <c r="BY6" t="str">
        <f t="shared" si="19"/>
        <v>DI1-B27</v>
      </c>
      <c r="BZ6" t="str">
        <f t="shared" si="19"/>
        <v>DI1-C28</v>
      </c>
      <c r="CA6" t="str">
        <f t="shared" si="19"/>
        <v>DI1-B28</v>
      </c>
      <c r="CB6" t="str">
        <f t="shared" si="19"/>
        <v>DI1-C29</v>
      </c>
      <c r="CC6" t="str">
        <f t="shared" si="19"/>
        <v>DI1-B29</v>
      </c>
      <c r="CD6" t="str">
        <f t="shared" si="19"/>
        <v>DI1-C30</v>
      </c>
      <c r="CE6" t="str">
        <f t="shared" si="19"/>
        <v>DI1-B30</v>
      </c>
      <c r="CF6" t="str">
        <f t="shared" si="20"/>
        <v>DO1-13A</v>
      </c>
      <c r="CG6" t="str">
        <f t="shared" si="21"/>
        <v>DO1-13B</v>
      </c>
      <c r="CH6" t="str">
        <f t="shared" si="22"/>
        <v>DO1-14A</v>
      </c>
      <c r="CI6" t="str">
        <f t="shared" si="23"/>
        <v>DO1-14B</v>
      </c>
      <c r="CJ6" t="str">
        <f t="shared" si="24"/>
        <v>DO1-15A</v>
      </c>
      <c r="CK6" t="str">
        <f t="shared" si="25"/>
        <v>DO1-15B</v>
      </c>
      <c r="CL6" t="str">
        <f t="shared" si="27"/>
        <v>K5-10</v>
      </c>
      <c r="CM6" t="str">
        <f t="shared" si="28"/>
        <v>K5-03</v>
      </c>
      <c r="CN6" t="str">
        <f t="shared" si="29"/>
        <v>K5-04</v>
      </c>
      <c r="CO6" t="str">
        <f t="shared" si="30"/>
        <v>K5-01</v>
      </c>
      <c r="CP6" t="str">
        <f t="shared" si="31"/>
        <v>K5-08</v>
      </c>
      <c r="CQ6" t="str">
        <f t="shared" si="32"/>
        <v>K5-02</v>
      </c>
      <c r="CR6" t="str">
        <f t="shared" si="33"/>
        <v>K5-09</v>
      </c>
      <c r="CS6" t="str">
        <f t="shared" si="34"/>
        <v>K5-05</v>
      </c>
      <c r="CT6" t="str">
        <f t="shared" si="35"/>
        <v>K5-11</v>
      </c>
      <c r="CU6" t="str">
        <f t="shared" si="36"/>
        <v>F0-M5-A9</v>
      </c>
      <c r="CV6" t="str">
        <f t="shared" si="37"/>
        <v>F0-M5-A7</v>
      </c>
      <c r="CW6" t="str">
        <f t="shared" si="38"/>
        <v>F0-M5-A8</v>
      </c>
      <c r="CX6" t="str">
        <f t="shared" si="39"/>
        <v>F0-M5-A6</v>
      </c>
      <c r="CY6" t="str">
        <f t="shared" si="40"/>
        <v>F0-M5-A30</v>
      </c>
      <c r="CZ6" t="str">
        <f t="shared" si="41"/>
        <v>F0-M5-N</v>
      </c>
      <c r="DA6" t="str">
        <f t="shared" si="26"/>
        <v>F0-A220-M5</v>
      </c>
      <c r="DB6" t="str">
        <f t="shared" si="42"/>
        <v>F0-M5-XM01</v>
      </c>
      <c r="DC6" t="str">
        <f t="shared" si="43"/>
        <v>F0-M5-A1</v>
      </c>
      <c r="DD6" t="str">
        <f t="shared" si="44"/>
        <v>F0-M5-A5</v>
      </c>
      <c r="DE6" t="str">
        <f t="shared" si="45"/>
        <v>F0-M5-A11</v>
      </c>
      <c r="DF6" t="str">
        <f t="shared" si="46"/>
        <v>F0-M5-A12</v>
      </c>
      <c r="DG6" t="str">
        <f t="shared" si="47"/>
        <v>F0-M5-A19</v>
      </c>
      <c r="DH6" t="str">
        <f t="shared" si="48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824" ht="30" x14ac:dyDescent="0.25">
      <c r="A7" s="29" t="s">
        <v>2218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s="46" t="str">
        <f t="array" ref="AD7">IF(COUNTIFS(AC$2:AC7,AC7)=1,"1",VALUE(SUBSTITUTE(INDEX(AD:AD,_xlfn.XMATCH(AC7,AC$1:AC6,0,-1)),"A",""))+INDEX(AE:AE,_xlfn.XMATCH(AC7,AC$1:AC6,0,-1))+1)</f>
        <v>1</v>
      </c>
      <c r="AE7" s="46">
        <f t="array" ref="AE7">SUM(IF(ISNUMBER(FIND("TmDi",$BE$1:$AAQ$1)),IF(IFERROR(ISNUMBER(VALUE(SUBSTITUTE($BE7:$AAQ7,"B",""))),FALSE),IF(ISNUMBER(VALUE(SUBSTITUTE($BE7:$AAQ7,"B",""))),1,0),0)))</f>
        <v>5</v>
      </c>
      <c r="AF7" t="s">
        <v>133</v>
      </c>
      <c r="AG7" t="s">
        <v>134</v>
      </c>
      <c r="AH7" t="s">
        <v>132</v>
      </c>
      <c r="AI7" s="61">
        <f t="array" ref="AI7">IF(COUNTIFS(AH$2:AH7,AH7)=1,"1",VALUE(SUBSTITUTE(INDEX(AI:AI,_xlfn.XMATCH(AH7,AH$1:AH6,0,-1)),"A",""))+INDEX(AJ:AJ,_xlfn.XMATCH(AH7,AH$1:AH6,0,-1))+1)</f>
        <v>16</v>
      </c>
      <c r="AJ7" s="61">
        <f t="array" ref="AJ7">SUM(IF(ISNUMBER(FIND("TmDo",$BE$1:$AAQ$1)),IF(IFERROR(ISNUMBER(VALUE(SUBSTITUTE($BE7:$AAQ7,"B",""))),FALSE),IF(ISNUMBER(VALUE(SUBSTITUTE($BE7:$AAQ7,"B",""))),1,0),0)))</f>
        <v>2</v>
      </c>
      <c r="AK7" t="str">
        <f t="shared" si="0"/>
        <v>16A</v>
      </c>
      <c r="AL7" t="str">
        <f t="shared" si="1"/>
        <v>16B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2"/>
        <v>XT6</v>
      </c>
      <c r="BF7" t="str">
        <f t="shared" si="3"/>
        <v>C2</v>
      </c>
      <c r="BG7" t="str">
        <f t="shared" si="4"/>
        <v>B2</v>
      </c>
      <c r="BH7" t="str">
        <f t="shared" si="5"/>
        <v>C3</v>
      </c>
      <c r="BI7" t="str">
        <f t="shared" si="6"/>
        <v>B3</v>
      </c>
      <c r="BJ7" t="str">
        <f t="shared" si="7"/>
        <v>C4</v>
      </c>
      <c r="BK7" t="str">
        <f t="shared" si="8"/>
        <v>B4</v>
      </c>
      <c r="BL7" t="str">
        <f t="shared" si="9"/>
        <v>C5</v>
      </c>
      <c r="BM7" t="str">
        <f t="shared" si="10"/>
        <v>B5</v>
      </c>
      <c r="BN7" t="str">
        <f t="shared" si="11"/>
        <v>C6</v>
      </c>
      <c r="BO7" t="str">
        <f t="shared" si="12"/>
        <v>B6</v>
      </c>
      <c r="BP7" t="str">
        <f t="shared" si="13"/>
        <v>17A</v>
      </c>
      <c r="BQ7" t="str">
        <f t="shared" si="14"/>
        <v>17B</v>
      </c>
      <c r="BR7" t="str">
        <f t="shared" si="15"/>
        <v>18A</v>
      </c>
      <c r="BS7" t="str">
        <f t="shared" si="16"/>
        <v>18B</v>
      </c>
      <c r="BT7" t="str">
        <f t="shared" si="17"/>
        <v>DI2-C1</v>
      </c>
      <c r="BU7" t="str">
        <f t="shared" si="18"/>
        <v>DI2-B1</v>
      </c>
      <c r="BV7" t="str">
        <f t="shared" si="19"/>
        <v>DI2-C2</v>
      </c>
      <c r="BW7" t="str">
        <f t="shared" si="19"/>
        <v>DI2-B2</v>
      </c>
      <c r="BX7" t="str">
        <f t="shared" si="19"/>
        <v>DI2-C3</v>
      </c>
      <c r="BY7" t="str">
        <f t="shared" si="19"/>
        <v>DI2-B3</v>
      </c>
      <c r="BZ7" t="str">
        <f t="shared" si="19"/>
        <v>DI2-C4</v>
      </c>
      <c r="CA7" t="str">
        <f t="shared" si="19"/>
        <v>DI2-B4</v>
      </c>
      <c r="CB7" t="str">
        <f t="shared" si="19"/>
        <v>DI2-C5</v>
      </c>
      <c r="CC7" t="str">
        <f t="shared" si="19"/>
        <v>DI2-B5</v>
      </c>
      <c r="CD7" t="str">
        <f t="shared" si="19"/>
        <v>DI2-C6</v>
      </c>
      <c r="CE7" t="str">
        <f t="shared" si="19"/>
        <v>DI2-B6</v>
      </c>
      <c r="CF7" t="str">
        <f t="shared" si="20"/>
        <v>DO1-16A</v>
      </c>
      <c r="CG7" t="str">
        <f t="shared" si="21"/>
        <v>DO1-16B</v>
      </c>
      <c r="CH7" t="str">
        <f t="shared" si="22"/>
        <v>DO1-17A</v>
      </c>
      <c r="CI7" t="str">
        <f t="shared" si="23"/>
        <v>DO1-17B</v>
      </c>
      <c r="CJ7" t="str">
        <f t="shared" si="24"/>
        <v>DO1-18A</v>
      </c>
      <c r="CK7" t="str">
        <f t="shared" si="25"/>
        <v>DO1-18B</v>
      </c>
      <c r="CL7" t="str">
        <f t="shared" si="27"/>
        <v>K6-10</v>
      </c>
      <c r="CM7" t="str">
        <f t="shared" si="28"/>
        <v>K6-03</v>
      </c>
      <c r="CN7" t="str">
        <f t="shared" si="29"/>
        <v>K6-04</v>
      </c>
      <c r="CO7" t="str">
        <f t="shared" si="30"/>
        <v>K6-01</v>
      </c>
      <c r="CP7" t="str">
        <f t="shared" si="31"/>
        <v>K6-08</v>
      </c>
      <c r="CQ7" t="str">
        <f t="shared" si="32"/>
        <v>K6-02</v>
      </c>
      <c r="CR7" t="str">
        <f t="shared" si="33"/>
        <v>K6-09</v>
      </c>
      <c r="CS7" t="str">
        <f t="shared" si="34"/>
        <v>K6-05</v>
      </c>
      <c r="CT7" t="str">
        <f t="shared" si="35"/>
        <v>K6-11</v>
      </c>
      <c r="CU7" t="str">
        <f t="shared" si="36"/>
        <v>F0-M6-A9</v>
      </c>
      <c r="CV7" t="str">
        <f t="shared" si="37"/>
        <v>F0-M6-A7</v>
      </c>
      <c r="CW7" t="str">
        <f t="shared" si="38"/>
        <v>F0-M6-A8</v>
      </c>
      <c r="CX7" t="str">
        <f t="shared" si="39"/>
        <v>F0-M6-A6</v>
      </c>
      <c r="CY7" t="str">
        <f t="shared" si="40"/>
        <v>F0-M6-A30</v>
      </c>
      <c r="CZ7" t="str">
        <f t="shared" si="41"/>
        <v>F0-M6-N</v>
      </c>
      <c r="DA7" t="str">
        <f t="shared" si="26"/>
        <v>F0-A220-M6</v>
      </c>
      <c r="DB7" t="str">
        <f t="shared" si="42"/>
        <v>F0-M6-XM01</v>
      </c>
      <c r="DC7" t="str">
        <f t="shared" si="43"/>
        <v>F0-M6-A1</v>
      </c>
      <c r="DD7" t="str">
        <f t="shared" si="44"/>
        <v>F0-M6-A5</v>
      </c>
      <c r="DE7" t="str">
        <f t="shared" si="45"/>
        <v>F0-M6-A11</v>
      </c>
      <c r="DF7" t="str">
        <f t="shared" si="46"/>
        <v>F0-M6-A12</v>
      </c>
      <c r="DG7" t="str">
        <f t="shared" si="47"/>
        <v>F0-M6-A19</v>
      </c>
      <c r="DH7" t="str">
        <f t="shared" si="48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824" ht="30" x14ac:dyDescent="0.25">
      <c r="A8" s="29" t="s">
        <v>2219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s="46">
        <f t="array" ref="AD8">IF(COUNTIFS(AC$2:AC8,AC8)=1,"1",VALUE(SUBSTITUTE(INDEX(AD:AD,_xlfn.XMATCH(AC8,AC$1:AC7,0,-1)),"A",""))+INDEX(AE:AE,_xlfn.XMATCH(AC8,AC$1:AC7,0,-1))+1)</f>
        <v>7</v>
      </c>
      <c r="AE8" s="46">
        <f t="array" ref="AE8">SUM(IF(ISNUMBER(FIND("TmDi",$BE$1:$AAQ$1)),IF(IFERROR(ISNUMBER(VALUE(SUBSTITUTE($BE8:$AAQ8,"B",""))),FALSE),IF(ISNUMBER(VALUE(SUBSTITUTE($BE8:$AAQ8,"B",""))),1,0),0)))</f>
        <v>5</v>
      </c>
      <c r="AF8" t="s">
        <v>148</v>
      </c>
      <c r="AG8" t="s">
        <v>149</v>
      </c>
      <c r="AH8" t="s">
        <v>132</v>
      </c>
      <c r="AI8" s="61">
        <f t="array" ref="AI8">IF(COUNTIFS(AH$2:AH8,AH8)=1,"1",VALUE(SUBSTITUTE(INDEX(AI:AI,_xlfn.XMATCH(AH8,AH$1:AH7,0,-1)),"A",""))+INDEX(AJ:AJ,_xlfn.XMATCH(AH8,AH$1:AH7,0,-1))+1)</f>
        <v>19</v>
      </c>
      <c r="AJ8" s="61">
        <f t="array" ref="AJ8">SUM(IF(ISNUMBER(FIND("TmDo",$BE$1:$AAQ$1)),IF(IFERROR(ISNUMBER(VALUE(SUBSTITUTE($BE8:$AAQ8,"B",""))),FALSE),IF(ISNUMBER(VALUE(SUBSTITUTE($BE8:$AAQ8,"B",""))),1,0),0)))</f>
        <v>2</v>
      </c>
      <c r="AK8" t="str">
        <f t="shared" si="0"/>
        <v>19A</v>
      </c>
      <c r="AL8" t="str">
        <f t="shared" si="1"/>
        <v>19B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2"/>
        <v>XT7</v>
      </c>
      <c r="BF8" t="str">
        <f t="shared" si="3"/>
        <v>C8</v>
      </c>
      <c r="BG8" t="str">
        <f t="shared" si="4"/>
        <v>B8</v>
      </c>
      <c r="BH8" t="str">
        <f t="shared" si="5"/>
        <v>C9</v>
      </c>
      <c r="BI8" t="str">
        <f t="shared" si="6"/>
        <v>B9</v>
      </c>
      <c r="BJ8" t="str">
        <f t="shared" si="7"/>
        <v>C10</v>
      </c>
      <c r="BK8" t="str">
        <f t="shared" si="8"/>
        <v>B10</v>
      </c>
      <c r="BL8" t="str">
        <f t="shared" si="9"/>
        <v>C11</v>
      </c>
      <c r="BM8" t="str">
        <f t="shared" si="10"/>
        <v>B11</v>
      </c>
      <c r="BN8" t="str">
        <f t="shared" si="11"/>
        <v>C12</v>
      </c>
      <c r="BO8" t="str">
        <f t="shared" si="12"/>
        <v>B12</v>
      </c>
      <c r="BP8" t="str">
        <f t="shared" si="13"/>
        <v>20A</v>
      </c>
      <c r="BQ8" t="str">
        <f t="shared" si="14"/>
        <v>20B</v>
      </c>
      <c r="BR8" t="str">
        <f t="shared" si="15"/>
        <v>21A</v>
      </c>
      <c r="BS8" t="str">
        <f t="shared" si="16"/>
        <v>21B</v>
      </c>
      <c r="BT8" t="str">
        <f t="shared" si="17"/>
        <v>DI2-C7</v>
      </c>
      <c r="BU8" t="str">
        <f t="shared" si="18"/>
        <v>DI2-B7</v>
      </c>
      <c r="BV8" t="str">
        <f t="shared" si="19"/>
        <v>DI2-C8</v>
      </c>
      <c r="BW8" t="str">
        <f t="shared" si="19"/>
        <v>DI2-B8</v>
      </c>
      <c r="BX8" t="str">
        <f t="shared" si="19"/>
        <v>DI2-C9</v>
      </c>
      <c r="BY8" t="str">
        <f t="shared" si="19"/>
        <v>DI2-B9</v>
      </c>
      <c r="BZ8" t="str">
        <f t="shared" si="19"/>
        <v>DI2-C10</v>
      </c>
      <c r="CA8" t="str">
        <f t="shared" si="19"/>
        <v>DI2-B10</v>
      </c>
      <c r="CB8" t="str">
        <f t="shared" si="19"/>
        <v>DI2-C11</v>
      </c>
      <c r="CC8" t="str">
        <f t="shared" si="19"/>
        <v>DI2-B11</v>
      </c>
      <c r="CD8" t="str">
        <f t="shared" si="19"/>
        <v>DI2-C12</v>
      </c>
      <c r="CE8" t="str">
        <f t="shared" si="19"/>
        <v>DI2-B12</v>
      </c>
      <c r="CF8" t="str">
        <f t="shared" si="20"/>
        <v>DO1-19A</v>
      </c>
      <c r="CG8" t="str">
        <f t="shared" si="21"/>
        <v>DO1-19B</v>
      </c>
      <c r="CH8" t="str">
        <f t="shared" si="22"/>
        <v>DO1-20A</v>
      </c>
      <c r="CI8" t="str">
        <f t="shared" si="23"/>
        <v>DO1-20B</v>
      </c>
      <c r="CJ8" t="str">
        <f t="shared" si="24"/>
        <v>DO1-21A</v>
      </c>
      <c r="CK8" t="str">
        <f t="shared" si="25"/>
        <v>DO1-21B</v>
      </c>
      <c r="CL8" t="str">
        <f t="shared" si="27"/>
        <v>K7-10</v>
      </c>
      <c r="CM8" t="str">
        <f t="shared" si="28"/>
        <v>K7-03</v>
      </c>
      <c r="CN8" t="str">
        <f t="shared" si="29"/>
        <v>K7-04</v>
      </c>
      <c r="CO8" t="str">
        <f t="shared" si="30"/>
        <v>K7-01</v>
      </c>
      <c r="CP8" t="str">
        <f t="shared" si="31"/>
        <v>K7-08</v>
      </c>
      <c r="CQ8" t="str">
        <f t="shared" si="32"/>
        <v>K7-02</v>
      </c>
      <c r="CR8" t="str">
        <f t="shared" si="33"/>
        <v>K7-09</v>
      </c>
      <c r="CS8" t="str">
        <f t="shared" si="34"/>
        <v>K7-05</v>
      </c>
      <c r="CT8" t="str">
        <f t="shared" si="35"/>
        <v>K7-11</v>
      </c>
      <c r="CU8" t="str">
        <f t="shared" si="36"/>
        <v>F0-M7-A9</v>
      </c>
      <c r="CV8" t="str">
        <f t="shared" si="37"/>
        <v>F0-M7-A7</v>
      </c>
      <c r="CW8" t="str">
        <f t="shared" si="38"/>
        <v>F0-M7-A8</v>
      </c>
      <c r="CX8" t="str">
        <f t="shared" si="39"/>
        <v>F0-M7-A6</v>
      </c>
      <c r="CY8" t="str">
        <f t="shared" si="40"/>
        <v>F0-M7-A30</v>
      </c>
      <c r="CZ8" t="str">
        <f t="shared" si="41"/>
        <v>F0-M7-N</v>
      </c>
      <c r="DA8" t="str">
        <f t="shared" si="26"/>
        <v>F0-A220-M7</v>
      </c>
      <c r="DB8" t="str">
        <f t="shared" si="42"/>
        <v>F0-M7-XM01</v>
      </c>
      <c r="DC8" t="str">
        <f t="shared" si="43"/>
        <v>F0-M7-A1</v>
      </c>
      <c r="DD8" t="str">
        <f t="shared" si="44"/>
        <v>F0-M7-A5</v>
      </c>
      <c r="DE8" t="str">
        <f t="shared" si="45"/>
        <v>F0-M7-A11</v>
      </c>
      <c r="DF8" t="str">
        <f t="shared" si="46"/>
        <v>F0-M7-A12</v>
      </c>
      <c r="DG8" t="str">
        <f t="shared" si="47"/>
        <v>F0-M7-A19</v>
      </c>
      <c r="DH8" t="str">
        <f t="shared" si="48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824" ht="30" x14ac:dyDescent="0.25">
      <c r="A9" s="29" t="s">
        <v>2220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s="46">
        <f t="array" ref="AD9">IF(COUNTIFS(AC$2:AC9,AC9)=1,"1",VALUE(SUBSTITUTE(INDEX(AD:AD,_xlfn.XMATCH(AC9,AC$1:AC8,0,-1)),"A",""))+INDEX(AE:AE,_xlfn.XMATCH(AC9,AC$1:AC8,0,-1))+1)</f>
        <v>13</v>
      </c>
      <c r="AE9" s="46">
        <f t="array" ref="AE9">SUM(IF(ISNUMBER(FIND("TmDi",$BE$1:$AAQ$1)),IF(IFERROR(ISNUMBER(VALUE(SUBSTITUTE($BE9:$AAQ9,"B",""))),FALSE),IF(ISNUMBER(VALUE(SUBSTITUTE($BE9:$AAQ9,"B",""))),1,0),0)))</f>
        <v>5</v>
      </c>
      <c r="AF9" t="s">
        <v>153</v>
      </c>
      <c r="AG9" t="s">
        <v>154</v>
      </c>
      <c r="AH9" t="s">
        <v>132</v>
      </c>
      <c r="AI9" s="61">
        <f t="array" ref="AI9">IF(COUNTIFS(AH$2:AH9,AH9)=1,"1",VALUE(SUBSTITUTE(INDEX(AI:AI,_xlfn.XMATCH(AH9,AH$1:AH8,0,-1)),"A",""))+INDEX(AJ:AJ,_xlfn.XMATCH(AH9,AH$1:AH8,0,-1))+1)</f>
        <v>22</v>
      </c>
      <c r="AJ9" s="61">
        <f t="array" ref="AJ9">SUM(IF(ISNUMBER(FIND("TmDo",$BE$1:$AAQ$1)),IF(IFERROR(ISNUMBER(VALUE(SUBSTITUTE($BE9:$AAQ9,"B",""))),FALSE),IF(ISNUMBER(VALUE(SUBSTITUTE($BE9:$AAQ9,"B",""))),1,0),0)))</f>
        <v>2</v>
      </c>
      <c r="AK9" t="str">
        <f t="shared" si="0"/>
        <v>22A</v>
      </c>
      <c r="AL9" t="str">
        <f t="shared" si="1"/>
        <v>22B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2"/>
        <v>XT8</v>
      </c>
      <c r="BF9" t="str">
        <f t="shared" si="3"/>
        <v>C14</v>
      </c>
      <c r="BG9" t="str">
        <f t="shared" si="4"/>
        <v>B14</v>
      </c>
      <c r="BH9" t="str">
        <f t="shared" si="5"/>
        <v>C15</v>
      </c>
      <c r="BI9" t="str">
        <f t="shared" si="6"/>
        <v>B15</v>
      </c>
      <c r="BJ9" t="str">
        <f t="shared" si="7"/>
        <v>C16</v>
      </c>
      <c r="BK9" t="str">
        <f t="shared" si="8"/>
        <v>B16</v>
      </c>
      <c r="BL9" t="str">
        <f t="shared" si="9"/>
        <v>C17</v>
      </c>
      <c r="BM9" t="str">
        <f t="shared" si="10"/>
        <v>B17</v>
      </c>
      <c r="BN9" t="str">
        <f t="shared" si="11"/>
        <v>C18</v>
      </c>
      <c r="BO9" t="str">
        <f t="shared" si="12"/>
        <v>B18</v>
      </c>
      <c r="BP9" t="str">
        <f t="shared" si="13"/>
        <v>23A</v>
      </c>
      <c r="BQ9" t="str">
        <f t="shared" si="14"/>
        <v>23B</v>
      </c>
      <c r="BR9" t="str">
        <f t="shared" si="15"/>
        <v>24A</v>
      </c>
      <c r="BS9" t="str">
        <f t="shared" si="16"/>
        <v>24B</v>
      </c>
      <c r="BT9" t="str">
        <f t="shared" si="17"/>
        <v>DI2-C13</v>
      </c>
      <c r="BU9" t="str">
        <f t="shared" si="18"/>
        <v>DI2-B13</v>
      </c>
      <c r="BV9" t="str">
        <f t="shared" si="19"/>
        <v>DI2-C14</v>
      </c>
      <c r="BW9" t="str">
        <f t="shared" si="19"/>
        <v>DI2-B14</v>
      </c>
      <c r="BX9" t="str">
        <f t="shared" si="19"/>
        <v>DI2-C15</v>
      </c>
      <c r="BY9" t="str">
        <f t="shared" si="19"/>
        <v>DI2-B15</v>
      </c>
      <c r="BZ9" t="str">
        <f t="shared" si="19"/>
        <v>DI2-C16</v>
      </c>
      <c r="CA9" t="str">
        <f t="shared" si="19"/>
        <v>DI2-B16</v>
      </c>
      <c r="CB9" t="str">
        <f t="shared" si="19"/>
        <v>DI2-C17</v>
      </c>
      <c r="CC9" t="str">
        <f t="shared" si="19"/>
        <v>DI2-B17</v>
      </c>
      <c r="CD9" t="str">
        <f t="shared" si="19"/>
        <v>DI2-C18</v>
      </c>
      <c r="CE9" t="str">
        <f t="shared" si="19"/>
        <v>DI2-B18</v>
      </c>
      <c r="CF9" t="str">
        <f t="shared" si="20"/>
        <v>DO1-22A</v>
      </c>
      <c r="CG9" t="str">
        <f t="shared" si="21"/>
        <v>DO1-22B</v>
      </c>
      <c r="CH9" t="str">
        <f t="shared" si="22"/>
        <v>DO1-23A</v>
      </c>
      <c r="CI9" t="str">
        <f t="shared" si="23"/>
        <v>DO1-23B</v>
      </c>
      <c r="CJ9" t="str">
        <f t="shared" si="24"/>
        <v>DO1-24A</v>
      </c>
      <c r="CK9" t="str">
        <f t="shared" si="25"/>
        <v>DO1-24B</v>
      </c>
      <c r="CL9" t="str">
        <f t="shared" si="27"/>
        <v>K8-10</v>
      </c>
      <c r="CM9" t="str">
        <f t="shared" si="28"/>
        <v>K8-03</v>
      </c>
      <c r="CN9" t="str">
        <f t="shared" si="29"/>
        <v>K8-04</v>
      </c>
      <c r="CO9" t="str">
        <f t="shared" si="30"/>
        <v>K8-01</v>
      </c>
      <c r="CP9" t="str">
        <f t="shared" si="31"/>
        <v>K8-08</v>
      </c>
      <c r="CQ9" t="str">
        <f t="shared" si="32"/>
        <v>K8-02</v>
      </c>
      <c r="CR9" t="str">
        <f t="shared" si="33"/>
        <v>K8-09</v>
      </c>
      <c r="CS9" t="str">
        <f t="shared" si="34"/>
        <v>K8-05</v>
      </c>
      <c r="CT9" t="str">
        <f t="shared" si="35"/>
        <v>K8-11</v>
      </c>
      <c r="CU9" t="str">
        <f t="shared" si="36"/>
        <v>F0-M8-A9</v>
      </c>
      <c r="CV9" t="str">
        <f t="shared" si="37"/>
        <v>F0-M8-A7</v>
      </c>
      <c r="CW9" t="str">
        <f t="shared" si="38"/>
        <v>F0-M8-A8</v>
      </c>
      <c r="CX9" t="str">
        <f t="shared" si="39"/>
        <v>F0-M8-A6</v>
      </c>
      <c r="CY9" t="str">
        <f t="shared" si="40"/>
        <v>F0-M8-A30</v>
      </c>
      <c r="CZ9" t="str">
        <f t="shared" si="41"/>
        <v>F0-M8-N</v>
      </c>
      <c r="DA9" t="str">
        <f t="shared" si="26"/>
        <v>F0-A220-M8</v>
      </c>
      <c r="DB9" t="str">
        <f t="shared" si="42"/>
        <v>F0-M8-XM01</v>
      </c>
      <c r="DC9" t="str">
        <f t="shared" si="43"/>
        <v>F0-M8-A1</v>
      </c>
      <c r="DD9" t="str">
        <f t="shared" si="44"/>
        <v>F0-M8-A5</v>
      </c>
      <c r="DE9" t="str">
        <f t="shared" si="45"/>
        <v>F0-M8-A11</v>
      </c>
      <c r="DF9" t="str">
        <f t="shared" si="46"/>
        <v>F0-M8-A12</v>
      </c>
      <c r="DG9" t="str">
        <f t="shared" si="47"/>
        <v>F0-M8-A19</v>
      </c>
      <c r="DH9" t="str">
        <f t="shared" si="48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824" ht="30" x14ac:dyDescent="0.25">
      <c r="A10" s="29" t="s">
        <v>2221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s="46">
        <f t="array" ref="AD10">IF(COUNTIFS(AC$2:AC10,AC10)=1,"1",VALUE(SUBSTITUTE(INDEX(AD:AD,_xlfn.XMATCH(AC10,AC$1:AC9,0,-1)),"A",""))+INDEX(AE:AE,_xlfn.XMATCH(AC10,AC$1:AC9,0,-1))+1)</f>
        <v>19</v>
      </c>
      <c r="AE10" s="46">
        <f t="array" ref="AE10">SUM(IF(ISNUMBER(FIND("TmDi",$BE$1:$AAQ$1)),IF(IFERROR(ISNUMBER(VALUE(SUBSTITUTE($BE10:$AAQ10,"B",""))),FALSE),IF(ISNUMBER(VALUE(SUBSTITUTE($BE10:$AAQ10,"B",""))),1,0),0)))</f>
        <v>5</v>
      </c>
      <c r="AF10" t="s">
        <v>239</v>
      </c>
      <c r="AG10" t="s">
        <v>241</v>
      </c>
      <c r="AH10" t="s">
        <v>132</v>
      </c>
      <c r="AI10" s="61">
        <f t="array" ref="AI10">IF(COUNTIFS(AH$2:AH10,AH10)=1,"1",VALUE(SUBSTITUTE(INDEX(AI:AI,_xlfn.XMATCH(AH10,AH$1:AH9,0,-1)),"A",""))+INDEX(AJ:AJ,_xlfn.XMATCH(AH10,AH$1:AH9,0,-1))+1)</f>
        <v>25</v>
      </c>
      <c r="AJ10" s="61">
        <f t="array" ref="AJ10">SUM(IF(ISNUMBER(FIND("TmDo",$BE$1:$AAQ$1)),IF(IFERROR(ISNUMBER(VALUE(SUBSTITUTE($BE10:$AAQ10,"B",""))),FALSE),IF(ISNUMBER(VALUE(SUBSTITUTE($BE10:$AAQ10,"B",""))),1,0),0)))</f>
        <v>2</v>
      </c>
      <c r="AK10" t="str">
        <f t="shared" si="0"/>
        <v>25A</v>
      </c>
      <c r="AL10" t="str">
        <f t="shared" si="1"/>
        <v>25B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2"/>
        <v>XT9</v>
      </c>
      <c r="BF10" t="str">
        <f t="shared" si="3"/>
        <v>C20</v>
      </c>
      <c r="BG10" t="str">
        <f t="shared" si="4"/>
        <v>B20</v>
      </c>
      <c r="BH10" t="str">
        <f t="shared" si="5"/>
        <v>C21</v>
      </c>
      <c r="BI10" t="str">
        <f t="shared" si="6"/>
        <v>B21</v>
      </c>
      <c r="BJ10" t="str">
        <f t="shared" si="7"/>
        <v>C22</v>
      </c>
      <c r="BK10" t="str">
        <f t="shared" si="8"/>
        <v>B22</v>
      </c>
      <c r="BL10" t="str">
        <f t="shared" si="9"/>
        <v>C23</v>
      </c>
      <c r="BM10" t="str">
        <f t="shared" si="10"/>
        <v>B23</v>
      </c>
      <c r="BN10" t="str">
        <f t="shared" si="11"/>
        <v>C24</v>
      </c>
      <c r="BO10" t="str">
        <f t="shared" si="12"/>
        <v>B24</v>
      </c>
      <c r="BP10" t="str">
        <f t="shared" si="13"/>
        <v>26A</v>
      </c>
      <c r="BQ10" t="str">
        <f t="shared" si="14"/>
        <v>26B</v>
      </c>
      <c r="BR10" t="str">
        <f t="shared" si="15"/>
        <v>27A</v>
      </c>
      <c r="BS10" t="str">
        <f t="shared" si="16"/>
        <v>27B</v>
      </c>
      <c r="BT10" t="str">
        <f t="shared" si="17"/>
        <v>DI2-C19</v>
      </c>
      <c r="BU10" t="str">
        <f t="shared" si="18"/>
        <v>DI2-B19</v>
      </c>
      <c r="BV10" t="str">
        <f t="shared" si="19"/>
        <v>DI2-C20</v>
      </c>
      <c r="BW10" t="str">
        <f t="shared" si="19"/>
        <v>DI2-B20</v>
      </c>
      <c r="BX10" t="str">
        <f t="shared" si="19"/>
        <v>DI2-C21</v>
      </c>
      <c r="BY10" t="str">
        <f t="shared" si="19"/>
        <v>DI2-B21</v>
      </c>
      <c r="BZ10" t="str">
        <f t="shared" si="19"/>
        <v>DI2-C22</v>
      </c>
      <c r="CA10" t="str">
        <f t="shared" si="19"/>
        <v>DI2-B22</v>
      </c>
      <c r="CB10" t="str">
        <f t="shared" si="19"/>
        <v>DI2-C23</v>
      </c>
      <c r="CC10" t="str">
        <f t="shared" si="19"/>
        <v>DI2-B23</v>
      </c>
      <c r="CD10" t="str">
        <f t="shared" si="19"/>
        <v>DI2-C24</v>
      </c>
      <c r="CE10" t="str">
        <f t="shared" si="19"/>
        <v>DI2-B24</v>
      </c>
      <c r="CF10" t="str">
        <f t="shared" si="20"/>
        <v>DO1-25A</v>
      </c>
      <c r="CG10" t="str">
        <f t="shared" si="21"/>
        <v>DO1-25B</v>
      </c>
      <c r="CH10" t="str">
        <f t="shared" si="22"/>
        <v>DO1-26A</v>
      </c>
      <c r="CI10" t="str">
        <f t="shared" si="23"/>
        <v>DO1-26B</v>
      </c>
      <c r="CJ10" t="str">
        <f t="shared" si="24"/>
        <v>DO1-27A</v>
      </c>
      <c r="CK10" t="str">
        <f t="shared" si="25"/>
        <v>DO1-27B</v>
      </c>
      <c r="CL10" t="str">
        <f t="shared" si="27"/>
        <v>K9-10</v>
      </c>
      <c r="CM10" t="str">
        <f t="shared" si="28"/>
        <v>K9-03</v>
      </c>
      <c r="CN10" t="str">
        <f t="shared" si="29"/>
        <v>K9-04</v>
      </c>
      <c r="CO10" t="str">
        <f t="shared" si="30"/>
        <v>K9-01</v>
      </c>
      <c r="CP10" t="str">
        <f t="shared" si="31"/>
        <v>K9-08</v>
      </c>
      <c r="CQ10" t="str">
        <f t="shared" si="32"/>
        <v>K9-02</v>
      </c>
      <c r="CR10" t="str">
        <f t="shared" si="33"/>
        <v>K9-09</v>
      </c>
      <c r="CS10" t="str">
        <f t="shared" si="34"/>
        <v>K9-05</v>
      </c>
      <c r="CT10" t="str">
        <f t="shared" si="35"/>
        <v>K9-11</v>
      </c>
      <c r="CU10" t="str">
        <f t="shared" si="36"/>
        <v>F0-M9-A9</v>
      </c>
      <c r="CV10" t="str">
        <f t="shared" si="37"/>
        <v>F0-M9-A7</v>
      </c>
      <c r="CW10" t="str">
        <f t="shared" si="38"/>
        <v>F0-M9-A8</v>
      </c>
      <c r="CX10" t="str">
        <f t="shared" si="39"/>
        <v>F0-M9-A6</v>
      </c>
      <c r="CY10" t="str">
        <f t="shared" si="40"/>
        <v>F0-M9-A30</v>
      </c>
      <c r="CZ10" t="str">
        <f t="shared" si="41"/>
        <v>F0-M9-N</v>
      </c>
      <c r="DA10" t="str">
        <f t="shared" si="26"/>
        <v>F0-A220-M9</v>
      </c>
      <c r="DB10" t="str">
        <f t="shared" si="42"/>
        <v>F0-M9-XM01</v>
      </c>
      <c r="DC10" t="str">
        <f t="shared" si="43"/>
        <v>F0-M9-A1</v>
      </c>
      <c r="DD10" t="str">
        <f t="shared" si="44"/>
        <v>F0-M9-A5</v>
      </c>
      <c r="DE10" t="str">
        <f t="shared" si="45"/>
        <v>F0-M9-A11</v>
      </c>
      <c r="DF10" t="str">
        <f t="shared" si="46"/>
        <v>F0-M9-A12</v>
      </c>
      <c r="DG10" t="str">
        <f t="shared" si="47"/>
        <v>F0-M9-A19</v>
      </c>
      <c r="DH10" t="str">
        <f t="shared" si="48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824" ht="30" x14ac:dyDescent="0.25">
      <c r="A11" s="29" t="s">
        <v>2222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s="46">
        <f t="array" ref="AD11">IF(COUNTIFS(AC$2:AC11,AC11)=1,"1",VALUE(SUBSTITUTE(INDEX(AD:AD,_xlfn.XMATCH(AC11,AC$1:AC10,0,-1)),"A",""))+INDEX(AE:AE,_xlfn.XMATCH(AC11,AC$1:AC10,0,-1))+1)</f>
        <v>25</v>
      </c>
      <c r="AE11" s="46">
        <f t="array" ref="AE11">SUM(IF(ISNUMBER(FIND("TmDi",$BE$1:$AAQ$1)),IF(IFERROR(ISNUMBER(VALUE(SUBSTITUTE($BE11:$AAQ11,"B",""))),FALSE),IF(ISNUMBER(VALUE(SUBSTITUTE($BE11:$AAQ11,"B",""))),1,0),0)))</f>
        <v>5</v>
      </c>
      <c r="AF11" t="s">
        <v>240</v>
      </c>
      <c r="AG11" t="s">
        <v>242</v>
      </c>
      <c r="AH11" t="s">
        <v>132</v>
      </c>
      <c r="AI11" s="61">
        <f t="array" ref="AI11">IF(COUNTIFS(AH$2:AH11,AH11)=1,"1",VALUE(SUBSTITUTE(INDEX(AI:AI,_xlfn.XMATCH(AH11,AH$1:AH10,0,-1)),"A",""))+INDEX(AJ:AJ,_xlfn.XMATCH(AH11,AH$1:AH10,0,-1))+1)</f>
        <v>28</v>
      </c>
      <c r="AJ11" s="61">
        <f t="array" ref="AJ11">SUM(IF(ISNUMBER(FIND("TmDo",$BE$1:$AAQ$1)),IF(IFERROR(ISNUMBER(VALUE(SUBSTITUTE($BE11:$AAQ11,"B",""))),FALSE),IF(ISNUMBER(VALUE(SUBSTITUTE($BE11:$AAQ11,"B",""))),1,0),0)))</f>
        <v>2</v>
      </c>
      <c r="AK11" t="str">
        <f t="shared" si="0"/>
        <v>28A</v>
      </c>
      <c r="AL11" t="str">
        <f t="shared" si="1"/>
        <v>28B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2"/>
        <v>XT10</v>
      </c>
      <c r="BF11" t="str">
        <f t="shared" si="3"/>
        <v>C26</v>
      </c>
      <c r="BG11" t="str">
        <f t="shared" si="4"/>
        <v>B26</v>
      </c>
      <c r="BH11" t="str">
        <f t="shared" si="5"/>
        <v>C27</v>
      </c>
      <c r="BI11" t="str">
        <f t="shared" si="6"/>
        <v>B27</v>
      </c>
      <c r="BJ11" t="str">
        <f t="shared" si="7"/>
        <v>C28</v>
      </c>
      <c r="BK11" t="str">
        <f t="shared" si="8"/>
        <v>B28</v>
      </c>
      <c r="BL11" t="str">
        <f t="shared" si="9"/>
        <v>C29</v>
      </c>
      <c r="BM11" t="str">
        <f t="shared" si="10"/>
        <v>B29</v>
      </c>
      <c r="BN11" t="str">
        <f t="shared" si="11"/>
        <v>C30</v>
      </c>
      <c r="BO11" t="str">
        <f t="shared" si="12"/>
        <v>B30</v>
      </c>
      <c r="BP11" t="str">
        <f t="shared" si="13"/>
        <v>29A</v>
      </c>
      <c r="BQ11" t="str">
        <f t="shared" si="14"/>
        <v>29B</v>
      </c>
      <c r="BR11" t="str">
        <f t="shared" si="15"/>
        <v>30A</v>
      </c>
      <c r="BS11" t="str">
        <f t="shared" si="16"/>
        <v>30B</v>
      </c>
      <c r="BT11" t="str">
        <f t="shared" si="17"/>
        <v>DI2-C25</v>
      </c>
      <c r="BU11" t="str">
        <f t="shared" si="18"/>
        <v>DI2-B25</v>
      </c>
      <c r="BV11" t="str">
        <f t="shared" si="19"/>
        <v>DI2-C26</v>
      </c>
      <c r="BW11" t="str">
        <f t="shared" si="19"/>
        <v>DI2-B26</v>
      </c>
      <c r="BX11" t="str">
        <f t="shared" si="19"/>
        <v>DI2-C27</v>
      </c>
      <c r="BY11" t="str">
        <f t="shared" si="19"/>
        <v>DI2-B27</v>
      </c>
      <c r="BZ11" t="str">
        <f t="shared" si="19"/>
        <v>DI2-C28</v>
      </c>
      <c r="CA11" t="str">
        <f t="shared" si="19"/>
        <v>DI2-B28</v>
      </c>
      <c r="CB11" t="str">
        <f t="shared" si="19"/>
        <v>DI2-C29</v>
      </c>
      <c r="CC11" t="str">
        <f t="shared" si="19"/>
        <v>DI2-B29</v>
      </c>
      <c r="CD11" t="str">
        <f t="shared" si="19"/>
        <v>DI2-C30</v>
      </c>
      <c r="CE11" t="str">
        <f t="shared" si="19"/>
        <v>DI2-B30</v>
      </c>
      <c r="CF11" t="str">
        <f t="shared" si="20"/>
        <v>DO1-28A</v>
      </c>
      <c r="CG11" t="str">
        <f t="shared" si="21"/>
        <v>DO1-28B</v>
      </c>
      <c r="CH11" t="str">
        <f t="shared" si="22"/>
        <v>DO1-29A</v>
      </c>
      <c r="CI11" t="str">
        <f t="shared" si="23"/>
        <v>DO1-29B</v>
      </c>
      <c r="CJ11" t="str">
        <f t="shared" si="24"/>
        <v>DO1-30A</v>
      </c>
      <c r="CK11" t="str">
        <f t="shared" si="25"/>
        <v>DO1-30B</v>
      </c>
      <c r="CL11" t="str">
        <f t="shared" si="27"/>
        <v>K10-10</v>
      </c>
      <c r="CM11" t="str">
        <f t="shared" si="28"/>
        <v>K10-03</v>
      </c>
      <c r="CN11" t="str">
        <f t="shared" si="29"/>
        <v>K10-04</v>
      </c>
      <c r="CO11" t="str">
        <f t="shared" si="30"/>
        <v>K10-01</v>
      </c>
      <c r="CP11" t="str">
        <f t="shared" si="31"/>
        <v>K10-08</v>
      </c>
      <c r="CQ11" t="str">
        <f t="shared" si="32"/>
        <v>K10-02</v>
      </c>
      <c r="CR11" t="str">
        <f t="shared" si="33"/>
        <v>K10-09</v>
      </c>
      <c r="CS11" t="str">
        <f t="shared" si="34"/>
        <v>K10-05</v>
      </c>
      <c r="CT11" t="str">
        <f t="shared" si="35"/>
        <v>K10-11</v>
      </c>
      <c r="CU11" t="str">
        <f t="shared" si="36"/>
        <v>F0-M10-A9</v>
      </c>
      <c r="CV11" t="str">
        <f t="shared" si="37"/>
        <v>F0-M10-A7</v>
      </c>
      <c r="CW11" t="str">
        <f t="shared" si="38"/>
        <v>F0-M10-A8</v>
      </c>
      <c r="CX11" t="str">
        <f t="shared" si="39"/>
        <v>F0-M10-A6</v>
      </c>
      <c r="CY11" t="str">
        <f t="shared" si="40"/>
        <v>F0-M10-A30</v>
      </c>
      <c r="CZ11" t="str">
        <f t="shared" si="41"/>
        <v>F0-M10-N</v>
      </c>
      <c r="DA11" t="str">
        <f t="shared" si="26"/>
        <v>F0-A220-M10</v>
      </c>
      <c r="DB11" t="str">
        <f t="shared" si="42"/>
        <v>F0-M10-XM01</v>
      </c>
      <c r="DC11" t="str">
        <f t="shared" si="43"/>
        <v>F0-M10-A1</v>
      </c>
      <c r="DD11" t="str">
        <f t="shared" si="44"/>
        <v>F0-M10-A5</v>
      </c>
      <c r="DE11" t="str">
        <f t="shared" si="45"/>
        <v>F0-M10-A11</v>
      </c>
      <c r="DF11" t="str">
        <f t="shared" si="46"/>
        <v>F0-M10-A12</v>
      </c>
      <c r="DG11" t="str">
        <f t="shared" si="47"/>
        <v>F0-M10-A19</v>
      </c>
      <c r="DH11" t="str">
        <f t="shared" si="48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824" ht="30" x14ac:dyDescent="0.25">
      <c r="A12" s="29" t="s">
        <v>2223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s="46" t="str">
        <f t="array" ref="AD12">IF(COUNTIFS(AC$2:AC12,AC12)=1,"1",VALUE(SUBSTITUTE(INDEX(AD:AD,_xlfn.XMATCH(AC12,AC$1:AC11,0,-1)),"A",""))+INDEX(AE:AE,_xlfn.XMATCH(AC12,AC$1:AC11,0,-1))+1)</f>
        <v>1</v>
      </c>
      <c r="AE12" s="46">
        <f t="array" ref="AE12">SUM(IF(ISNUMBER(FIND("TmDi",$BE$1:$AAQ$1)),IF(IFERROR(ISNUMBER(VALUE(SUBSTITUTE($BE12:$AAQ12,"B",""))),FALSE),IF(ISNUMBER(VALUE(SUBSTITUTE($BE12:$AAQ12,"B",""))),1,0),0)))</f>
        <v>5</v>
      </c>
      <c r="AF12" t="s">
        <v>133</v>
      </c>
      <c r="AG12" t="s">
        <v>134</v>
      </c>
      <c r="AH12" t="s">
        <v>267</v>
      </c>
      <c r="AI12" s="61" t="str">
        <f t="array" ref="AI12">IF(COUNTIFS(AH$2:AH12,AH12)=1,"1",VALUE(SUBSTITUTE(INDEX(AI:AI,_xlfn.XMATCH(AH12,AH$1:AH11,0,-1)),"A",""))+INDEX(AJ:AJ,_xlfn.XMATCH(AH12,AH$1:AH11,0,-1))+1)</f>
        <v>1</v>
      </c>
      <c r="AJ12" s="61">
        <f t="array" ref="AJ12">SUM(IF(ISNUMBER(FIND("TmDo",$BE$1:$AAQ$1)),IF(IFERROR(ISNUMBER(VALUE(SUBSTITUTE($BE12:$AAQ12,"B",""))),FALSE),IF(ISNUMBER(VALUE(SUBSTITUTE($BE12:$AAQ12,"B",""))),1,0),0)))</f>
        <v>2</v>
      </c>
      <c r="AK12" t="str">
        <f t="shared" si="0"/>
        <v>1A</v>
      </c>
      <c r="AL12" t="str">
        <f t="shared" si="1"/>
        <v>1B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2"/>
        <v>XT11</v>
      </c>
      <c r="BF12" t="str">
        <f t="shared" si="3"/>
        <v>C2</v>
      </c>
      <c r="BG12" t="str">
        <f t="shared" si="4"/>
        <v>B2</v>
      </c>
      <c r="BH12" t="str">
        <f t="shared" si="5"/>
        <v>C3</v>
      </c>
      <c r="BI12" t="str">
        <f t="shared" si="6"/>
        <v>B3</v>
      </c>
      <c r="BJ12" t="str">
        <f t="shared" si="7"/>
        <v>C4</v>
      </c>
      <c r="BK12" t="str">
        <f t="shared" si="8"/>
        <v>B4</v>
      </c>
      <c r="BL12" t="str">
        <f t="shared" si="9"/>
        <v>C5</v>
      </c>
      <c r="BM12" t="str">
        <f t="shared" si="10"/>
        <v>B5</v>
      </c>
      <c r="BN12" t="str">
        <f t="shared" si="11"/>
        <v>C6</v>
      </c>
      <c r="BO12" t="str">
        <f t="shared" si="12"/>
        <v>B6</v>
      </c>
      <c r="BP12" t="str">
        <f t="shared" si="13"/>
        <v>2A</v>
      </c>
      <c r="BQ12" t="str">
        <f t="shared" si="14"/>
        <v>2B</v>
      </c>
      <c r="BR12" t="str">
        <f t="shared" si="15"/>
        <v>3A</v>
      </c>
      <c r="BS12" t="str">
        <f t="shared" si="16"/>
        <v>3B</v>
      </c>
      <c r="BT12" t="str">
        <f t="shared" si="17"/>
        <v>DI3-C1</v>
      </c>
      <c r="BU12" t="str">
        <f t="shared" si="18"/>
        <v>DI3-B1</v>
      </c>
      <c r="BV12" t="str">
        <f t="shared" si="19"/>
        <v>DI3-C2</v>
      </c>
      <c r="BW12" t="str">
        <f t="shared" si="19"/>
        <v>DI3-B2</v>
      </c>
      <c r="BX12" t="str">
        <f t="shared" si="19"/>
        <v>DI3-C3</v>
      </c>
      <c r="BY12" t="str">
        <f t="shared" si="19"/>
        <v>DI3-B3</v>
      </c>
      <c r="BZ12" t="str">
        <f t="shared" si="19"/>
        <v>DI3-C4</v>
      </c>
      <c r="CA12" t="str">
        <f t="shared" si="19"/>
        <v>DI3-B4</v>
      </c>
      <c r="CB12" t="str">
        <f t="shared" si="19"/>
        <v>DI3-C5</v>
      </c>
      <c r="CC12" t="str">
        <f t="shared" si="19"/>
        <v>DI3-B5</v>
      </c>
      <c r="CD12" t="str">
        <f t="shared" si="19"/>
        <v>DI3-C6</v>
      </c>
      <c r="CE12" t="str">
        <f t="shared" si="19"/>
        <v>DI3-B6</v>
      </c>
      <c r="CF12" t="str">
        <f t="shared" si="20"/>
        <v>DO2-1A</v>
      </c>
      <c r="CG12" t="str">
        <f t="shared" si="21"/>
        <v>DO2-1B</v>
      </c>
      <c r="CH12" t="str">
        <f t="shared" si="22"/>
        <v>DO2-2A</v>
      </c>
      <c r="CI12" t="str">
        <f t="shared" si="23"/>
        <v>DO2-2B</v>
      </c>
      <c r="CJ12" t="str">
        <f t="shared" si="24"/>
        <v>DO2-3A</v>
      </c>
      <c r="CK12" t="str">
        <f t="shared" si="25"/>
        <v>DO2-3B</v>
      </c>
      <c r="CL12" t="str">
        <f t="shared" si="27"/>
        <v>K11-10</v>
      </c>
      <c r="CM12" t="str">
        <f t="shared" si="28"/>
        <v>K11-03</v>
      </c>
      <c r="CN12" t="str">
        <f t="shared" si="29"/>
        <v>K11-04</v>
      </c>
      <c r="CO12" t="str">
        <f t="shared" si="30"/>
        <v>K11-01</v>
      </c>
      <c r="CP12" t="str">
        <f t="shared" si="31"/>
        <v>K11-08</v>
      </c>
      <c r="CQ12" t="str">
        <f t="shared" si="32"/>
        <v>K11-02</v>
      </c>
      <c r="CR12" t="str">
        <f t="shared" si="33"/>
        <v>K11-09</v>
      </c>
      <c r="CS12" t="str">
        <f t="shared" si="34"/>
        <v>K11-05</v>
      </c>
      <c r="CT12" t="str">
        <f t="shared" si="35"/>
        <v>K11-11</v>
      </c>
      <c r="CU12" t="str">
        <f t="shared" si="36"/>
        <v>F0-M11-A9</v>
      </c>
      <c r="CV12" t="str">
        <f t="shared" si="37"/>
        <v>F0-M11-A7</v>
      </c>
      <c r="CW12" t="str">
        <f t="shared" si="38"/>
        <v>F0-M11-A8</v>
      </c>
      <c r="CX12" t="str">
        <f t="shared" si="39"/>
        <v>F0-M11-A6</v>
      </c>
      <c r="CY12" t="str">
        <f t="shared" si="40"/>
        <v>F0-M11-A30</v>
      </c>
      <c r="CZ12" t="str">
        <f t="shared" si="41"/>
        <v>F0-M11-N</v>
      </c>
      <c r="DA12" t="str">
        <f t="shared" si="26"/>
        <v>F0-A220-M11</v>
      </c>
      <c r="DB12" t="str">
        <f t="shared" si="42"/>
        <v>F0-M11-XM01</v>
      </c>
      <c r="DC12" t="str">
        <f t="shared" si="43"/>
        <v>F0-M11-A1</v>
      </c>
      <c r="DD12" t="str">
        <f t="shared" si="44"/>
        <v>F0-M11-A5</v>
      </c>
      <c r="DE12" t="str">
        <f t="shared" si="45"/>
        <v>F0-M11-A11</v>
      </c>
      <c r="DF12" t="str">
        <f t="shared" si="46"/>
        <v>F0-M11-A12</v>
      </c>
      <c r="DG12" t="str">
        <f t="shared" si="47"/>
        <v>F0-M11-A19</v>
      </c>
      <c r="DH12" t="str">
        <f t="shared" si="48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824" ht="30" x14ac:dyDescent="0.25">
      <c r="A13" s="29" t="s">
        <v>2224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s="46">
        <f t="array" ref="AD13">IF(COUNTIFS(AC$2:AC13,AC13)=1,"1",VALUE(SUBSTITUTE(INDEX(AD:AD,_xlfn.XMATCH(AC13,AC$1:AC12,0,-1)),"A",""))+INDEX(AE:AE,_xlfn.XMATCH(AC13,AC$1:AC12,0,-1))+1)</f>
        <v>7</v>
      </c>
      <c r="AE13" s="46">
        <f t="array" ref="AE13">SUM(IF(ISNUMBER(FIND("TmDi",$BE$1:$AAQ$1)),IF(IFERROR(ISNUMBER(VALUE(SUBSTITUTE($BE13:$AAQ13,"B",""))),FALSE),IF(ISNUMBER(VALUE(SUBSTITUTE($BE13:$AAQ13,"B",""))),1,0),0)))</f>
        <v>5</v>
      </c>
      <c r="AF13" t="s">
        <v>148</v>
      </c>
      <c r="AG13" t="s">
        <v>149</v>
      </c>
      <c r="AH13" t="s">
        <v>267</v>
      </c>
      <c r="AI13" s="61">
        <f t="array" ref="AI13">IF(COUNTIFS(AH$2:AH13,AH13)=1,"1",VALUE(SUBSTITUTE(INDEX(AI:AI,_xlfn.XMATCH(AH13,AH$1:AH12,0,-1)),"A",""))+INDEX(AJ:AJ,_xlfn.XMATCH(AH13,AH$1:AH12,0,-1))+1)</f>
        <v>4</v>
      </c>
      <c r="AJ13" s="61">
        <f t="array" ref="AJ13">SUM(IF(ISNUMBER(FIND("TmDo",$BE$1:$AAQ$1)),IF(IFERROR(ISNUMBER(VALUE(SUBSTITUTE($BE13:$AAQ13,"B",""))),FALSE),IF(ISNUMBER(VALUE(SUBSTITUTE($BE13:$AAQ13,"B",""))),1,0),0)))</f>
        <v>2</v>
      </c>
      <c r="AK13" t="str">
        <f t="shared" si="0"/>
        <v>4A</v>
      </c>
      <c r="AL13" t="str">
        <f t="shared" si="1"/>
        <v>4B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2"/>
        <v>XT12</v>
      </c>
      <c r="BF13" t="str">
        <f t="shared" si="3"/>
        <v>C8</v>
      </c>
      <c r="BG13" t="str">
        <f t="shared" si="4"/>
        <v>B8</v>
      </c>
      <c r="BH13" t="str">
        <f t="shared" si="5"/>
        <v>C9</v>
      </c>
      <c r="BI13" t="str">
        <f t="shared" si="6"/>
        <v>B9</v>
      </c>
      <c r="BJ13" t="str">
        <f t="shared" si="7"/>
        <v>C10</v>
      </c>
      <c r="BK13" t="str">
        <f t="shared" si="8"/>
        <v>B10</v>
      </c>
      <c r="BL13" t="str">
        <f t="shared" si="9"/>
        <v>C11</v>
      </c>
      <c r="BM13" t="str">
        <f t="shared" si="10"/>
        <v>B11</v>
      </c>
      <c r="BN13" t="str">
        <f t="shared" si="11"/>
        <v>C12</v>
      </c>
      <c r="BO13" t="str">
        <f t="shared" si="12"/>
        <v>B12</v>
      </c>
      <c r="BP13" t="str">
        <f t="shared" si="13"/>
        <v>5A</v>
      </c>
      <c r="BQ13" t="str">
        <f t="shared" si="14"/>
        <v>5B</v>
      </c>
      <c r="BR13" t="str">
        <f t="shared" si="15"/>
        <v>6A</v>
      </c>
      <c r="BS13" t="str">
        <f t="shared" si="16"/>
        <v>6B</v>
      </c>
      <c r="BT13" t="str">
        <f t="shared" si="17"/>
        <v>DI3-C7</v>
      </c>
      <c r="BU13" t="str">
        <f t="shared" si="18"/>
        <v>DI3-B7</v>
      </c>
      <c r="BV13" t="str">
        <f t="shared" si="19"/>
        <v>DI3-C8</v>
      </c>
      <c r="BW13" t="str">
        <f t="shared" si="19"/>
        <v>DI3-B8</v>
      </c>
      <c r="BX13" t="str">
        <f t="shared" si="19"/>
        <v>DI3-C9</v>
      </c>
      <c r="BY13" t="str">
        <f t="shared" si="19"/>
        <v>DI3-B9</v>
      </c>
      <c r="BZ13" t="str">
        <f t="shared" si="19"/>
        <v>DI3-C10</v>
      </c>
      <c r="CA13" t="str">
        <f t="shared" si="19"/>
        <v>DI3-B10</v>
      </c>
      <c r="CB13" t="str">
        <f t="shared" si="19"/>
        <v>DI3-C11</v>
      </c>
      <c r="CC13" t="str">
        <f t="shared" si="19"/>
        <v>DI3-B11</v>
      </c>
      <c r="CD13" t="str">
        <f t="shared" si="19"/>
        <v>DI3-C12</v>
      </c>
      <c r="CE13" t="str">
        <f t="shared" si="19"/>
        <v>DI3-B12</v>
      </c>
      <c r="CF13" t="str">
        <f t="shared" si="20"/>
        <v>DO2-4A</v>
      </c>
      <c r="CG13" t="str">
        <f t="shared" si="21"/>
        <v>DO2-4B</v>
      </c>
      <c r="CH13" t="str">
        <f t="shared" si="22"/>
        <v>DO2-5A</v>
      </c>
      <c r="CI13" t="str">
        <f t="shared" si="23"/>
        <v>DO2-5B</v>
      </c>
      <c r="CJ13" t="str">
        <f t="shared" si="24"/>
        <v>DO2-6A</v>
      </c>
      <c r="CK13" t="str">
        <f t="shared" si="25"/>
        <v>DO2-6B</v>
      </c>
      <c r="CL13" t="str">
        <f t="shared" si="27"/>
        <v>K12-10</v>
      </c>
      <c r="CM13" t="str">
        <f t="shared" si="28"/>
        <v>K12-03</v>
      </c>
      <c r="CN13" t="str">
        <f t="shared" si="29"/>
        <v>K12-04</v>
      </c>
      <c r="CO13" t="str">
        <f t="shared" si="30"/>
        <v>K12-01</v>
      </c>
      <c r="CP13" t="str">
        <f t="shared" si="31"/>
        <v>K12-08</v>
      </c>
      <c r="CQ13" t="str">
        <f t="shared" si="32"/>
        <v>K12-02</v>
      </c>
      <c r="CR13" t="str">
        <f t="shared" si="33"/>
        <v>K12-09</v>
      </c>
      <c r="CS13" t="str">
        <f t="shared" si="34"/>
        <v>K12-05</v>
      </c>
      <c r="CT13" t="str">
        <f t="shared" si="35"/>
        <v>K12-11</v>
      </c>
      <c r="CU13" t="str">
        <f t="shared" si="36"/>
        <v>F0-M12-A9</v>
      </c>
      <c r="CV13" t="str">
        <f t="shared" si="37"/>
        <v>F0-M12-A7</v>
      </c>
      <c r="CW13" t="str">
        <f t="shared" si="38"/>
        <v>F0-M12-A8</v>
      </c>
      <c r="CX13" t="str">
        <f t="shared" si="39"/>
        <v>F0-M12-A6</v>
      </c>
      <c r="CY13" t="str">
        <f t="shared" si="40"/>
        <v>F0-M12-A30</v>
      </c>
      <c r="CZ13" t="str">
        <f t="shared" si="41"/>
        <v>F0-M12-N</v>
      </c>
      <c r="DA13" t="str">
        <f t="shared" si="26"/>
        <v>F0-A220-M12</v>
      </c>
      <c r="DB13" t="str">
        <f t="shared" si="42"/>
        <v>F0-M12-XM01</v>
      </c>
      <c r="DC13" t="str">
        <f t="shared" si="43"/>
        <v>F0-M12-A1</v>
      </c>
      <c r="DD13" t="str">
        <f t="shared" si="44"/>
        <v>F0-M12-A5</v>
      </c>
      <c r="DE13" t="str">
        <f t="shared" si="45"/>
        <v>F0-M12-A11</v>
      </c>
      <c r="DF13" t="str">
        <f t="shared" si="46"/>
        <v>F0-M12-A12</v>
      </c>
      <c r="DG13" t="str">
        <f t="shared" si="47"/>
        <v>F0-M12-A19</v>
      </c>
      <c r="DH13" t="str">
        <f t="shared" si="48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824" ht="30" x14ac:dyDescent="0.25">
      <c r="A14" s="29" t="s">
        <v>2225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s="46">
        <f t="array" ref="AD14">IF(COUNTIFS(AC$2:AC14,AC14)=1,"1",VALUE(SUBSTITUTE(INDEX(AD:AD,_xlfn.XMATCH(AC14,AC$1:AC13,0,-1)),"A",""))+INDEX(AE:AE,_xlfn.XMATCH(AC14,AC$1:AC13,0,-1))+1)</f>
        <v>13</v>
      </c>
      <c r="AE14" s="46">
        <f t="array" ref="AE14">SUM(IF(ISNUMBER(FIND("TmDi",$BE$1:$AAQ$1)),IF(IFERROR(ISNUMBER(VALUE(SUBSTITUTE($BE14:$AAQ14,"B",""))),FALSE),IF(ISNUMBER(VALUE(SUBSTITUTE($BE14:$AAQ14,"B",""))),1,0),0)))</f>
        <v>5</v>
      </c>
      <c r="AF14" t="s">
        <v>153</v>
      </c>
      <c r="AG14" t="s">
        <v>154</v>
      </c>
      <c r="AH14" t="s">
        <v>267</v>
      </c>
      <c r="AI14" s="61">
        <f t="array" ref="AI14">IF(COUNTIFS(AH$2:AH14,AH14)=1,"1",VALUE(SUBSTITUTE(INDEX(AI:AI,_xlfn.XMATCH(AH14,AH$1:AH13,0,-1)),"A",""))+INDEX(AJ:AJ,_xlfn.XMATCH(AH14,AH$1:AH13,0,-1))+1)</f>
        <v>7</v>
      </c>
      <c r="AJ14" s="61">
        <f t="array" ref="AJ14">SUM(IF(ISNUMBER(FIND("TmDo",$BE$1:$AAQ$1)),IF(IFERROR(ISNUMBER(VALUE(SUBSTITUTE($BE14:$AAQ14,"B",""))),FALSE),IF(ISNUMBER(VALUE(SUBSTITUTE($BE14:$AAQ14,"B",""))),1,0),0)))</f>
        <v>2</v>
      </c>
      <c r="AK14" t="str">
        <f t="shared" si="0"/>
        <v>7A</v>
      </c>
      <c r="AL14" t="str">
        <f t="shared" si="1"/>
        <v>7B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2"/>
        <v>XT13</v>
      </c>
      <c r="BF14" t="str">
        <f t="shared" si="3"/>
        <v>C14</v>
      </c>
      <c r="BG14" t="str">
        <f t="shared" si="4"/>
        <v>B14</v>
      </c>
      <c r="BH14" t="str">
        <f t="shared" si="5"/>
        <v>C15</v>
      </c>
      <c r="BI14" t="str">
        <f t="shared" si="6"/>
        <v>B15</v>
      </c>
      <c r="BJ14" t="str">
        <f t="shared" si="7"/>
        <v>C16</v>
      </c>
      <c r="BK14" t="str">
        <f t="shared" si="8"/>
        <v>B16</v>
      </c>
      <c r="BL14" t="str">
        <f t="shared" si="9"/>
        <v>C17</v>
      </c>
      <c r="BM14" t="str">
        <f t="shared" si="10"/>
        <v>B17</v>
      </c>
      <c r="BN14" t="str">
        <f t="shared" si="11"/>
        <v>C18</v>
      </c>
      <c r="BO14" t="str">
        <f t="shared" si="12"/>
        <v>B18</v>
      </c>
      <c r="BP14" t="str">
        <f t="shared" si="13"/>
        <v>8A</v>
      </c>
      <c r="BQ14" t="str">
        <f t="shared" si="14"/>
        <v>8B</v>
      </c>
      <c r="BR14" t="str">
        <f t="shared" si="15"/>
        <v>9A</v>
      </c>
      <c r="BS14" t="str">
        <f t="shared" si="16"/>
        <v>9B</v>
      </c>
      <c r="BT14" t="str">
        <f t="shared" si="17"/>
        <v>DI3-C13</v>
      </c>
      <c r="BU14" t="str">
        <f t="shared" si="18"/>
        <v>DI3-B13</v>
      </c>
      <c r="BV14" t="str">
        <f t="shared" si="19"/>
        <v>DI3-C14</v>
      </c>
      <c r="BW14" t="str">
        <f t="shared" si="19"/>
        <v>DI3-B14</v>
      </c>
      <c r="BX14" t="str">
        <f t="shared" si="19"/>
        <v>DI3-C15</v>
      </c>
      <c r="BY14" t="str">
        <f t="shared" si="19"/>
        <v>DI3-B15</v>
      </c>
      <c r="BZ14" t="str">
        <f t="shared" si="19"/>
        <v>DI3-C16</v>
      </c>
      <c r="CA14" t="str">
        <f t="shared" si="19"/>
        <v>DI3-B16</v>
      </c>
      <c r="CB14" t="str">
        <f t="shared" si="19"/>
        <v>DI3-C17</v>
      </c>
      <c r="CC14" t="str">
        <f t="shared" si="19"/>
        <v>DI3-B17</v>
      </c>
      <c r="CD14" t="str">
        <f t="shared" si="19"/>
        <v>DI3-C18</v>
      </c>
      <c r="CE14" t="str">
        <f t="shared" si="19"/>
        <v>DI3-B18</v>
      </c>
      <c r="CF14" t="str">
        <f t="shared" si="20"/>
        <v>DO2-7A</v>
      </c>
      <c r="CG14" t="str">
        <f t="shared" si="21"/>
        <v>DO2-7B</v>
      </c>
      <c r="CH14" t="str">
        <f t="shared" si="22"/>
        <v>DO2-8A</v>
      </c>
      <c r="CI14" t="str">
        <f t="shared" si="23"/>
        <v>DO2-8B</v>
      </c>
      <c r="CJ14" t="str">
        <f t="shared" si="24"/>
        <v>DO2-9A</v>
      </c>
      <c r="CK14" t="str">
        <f t="shared" si="25"/>
        <v>DO2-9B</v>
      </c>
      <c r="CL14" t="str">
        <f t="shared" si="27"/>
        <v>K13-10</v>
      </c>
      <c r="CM14" t="str">
        <f t="shared" si="28"/>
        <v>K13-03</v>
      </c>
      <c r="CN14" t="str">
        <f t="shared" si="29"/>
        <v>K13-04</v>
      </c>
      <c r="CO14" t="str">
        <f t="shared" si="30"/>
        <v>K13-01</v>
      </c>
      <c r="CP14" t="str">
        <f t="shared" si="31"/>
        <v>K13-08</v>
      </c>
      <c r="CQ14" t="str">
        <f t="shared" si="32"/>
        <v>K13-02</v>
      </c>
      <c r="CR14" t="str">
        <f t="shared" si="33"/>
        <v>K13-09</v>
      </c>
      <c r="CS14" t="str">
        <f t="shared" si="34"/>
        <v>K13-05</v>
      </c>
      <c r="CT14" t="str">
        <f t="shared" si="35"/>
        <v>K13-11</v>
      </c>
      <c r="CU14" t="str">
        <f t="shared" si="36"/>
        <v>F0-M13-A9</v>
      </c>
      <c r="CV14" t="str">
        <f t="shared" si="37"/>
        <v>F0-M13-A7</v>
      </c>
      <c r="CW14" t="str">
        <f t="shared" si="38"/>
        <v>F0-M13-A8</v>
      </c>
      <c r="CX14" t="str">
        <f t="shared" si="39"/>
        <v>F0-M13-A6</v>
      </c>
      <c r="CY14" t="str">
        <f t="shared" si="40"/>
        <v>F0-M13-A30</v>
      </c>
      <c r="CZ14" t="str">
        <f t="shared" si="41"/>
        <v>F0-M13-N</v>
      </c>
      <c r="DA14" t="str">
        <f t="shared" si="26"/>
        <v>F0-A220-M13</v>
      </c>
      <c r="DB14" t="str">
        <f t="shared" si="42"/>
        <v>F0-M13-XM01</v>
      </c>
      <c r="DC14" t="str">
        <f t="shared" si="43"/>
        <v>F0-M13-A1</v>
      </c>
      <c r="DD14" t="str">
        <f t="shared" si="44"/>
        <v>F0-M13-A5</v>
      </c>
      <c r="DE14" t="str">
        <f t="shared" si="45"/>
        <v>F0-M13-A11</v>
      </c>
      <c r="DF14" t="str">
        <f t="shared" si="46"/>
        <v>F0-M13-A12</v>
      </c>
      <c r="DG14" t="str">
        <f t="shared" si="47"/>
        <v>F0-M13-A19</v>
      </c>
      <c r="DH14" t="str">
        <f t="shared" si="48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824" ht="30" x14ac:dyDescent="0.25">
      <c r="A15" s="29" t="s">
        <v>2226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s="46">
        <f t="array" ref="AD15">IF(COUNTIFS(AC$2:AC15,AC15)=1,"1",VALUE(SUBSTITUTE(INDEX(AD:AD,_xlfn.XMATCH(AC15,AC$1:AC14,0,-1)),"A",""))+INDEX(AE:AE,_xlfn.XMATCH(AC15,AC$1:AC14,0,-1))+1)</f>
        <v>19</v>
      </c>
      <c r="AE15" s="46">
        <f t="array" ref="AE15">SUM(IF(ISNUMBER(FIND("TmDi",$BE$1:$AAQ$1)),IF(IFERROR(ISNUMBER(VALUE(SUBSTITUTE($BE15:$AAQ15,"B",""))),FALSE),IF(ISNUMBER(VALUE(SUBSTITUTE($BE15:$AAQ15,"B",""))),1,0),0)))</f>
        <v>5</v>
      </c>
      <c r="AF15" t="s">
        <v>239</v>
      </c>
      <c r="AG15" t="s">
        <v>241</v>
      </c>
      <c r="AH15" t="s">
        <v>267</v>
      </c>
      <c r="AI15" s="61">
        <f t="array" ref="AI15">IF(COUNTIFS(AH$2:AH15,AH15)=1,"1",VALUE(SUBSTITUTE(INDEX(AI:AI,_xlfn.XMATCH(AH15,AH$1:AH14,0,-1)),"A",""))+INDEX(AJ:AJ,_xlfn.XMATCH(AH15,AH$1:AH14,0,-1))+1)</f>
        <v>10</v>
      </c>
      <c r="AJ15" s="61">
        <f t="array" ref="AJ15">SUM(IF(ISNUMBER(FIND("TmDo",$BE$1:$AAQ$1)),IF(IFERROR(ISNUMBER(VALUE(SUBSTITUTE($BE15:$AAQ15,"B",""))),FALSE),IF(ISNUMBER(VALUE(SUBSTITUTE($BE15:$AAQ15,"B",""))),1,0),0)))</f>
        <v>2</v>
      </c>
      <c r="AK15" t="str">
        <f t="shared" si="0"/>
        <v>10A</v>
      </c>
      <c r="AL15" t="str">
        <f t="shared" si="1"/>
        <v>10B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2"/>
        <v>XT14</v>
      </c>
      <c r="BF15" t="str">
        <f t="shared" si="3"/>
        <v>C20</v>
      </c>
      <c r="BG15" t="str">
        <f t="shared" si="4"/>
        <v>B20</v>
      </c>
      <c r="BH15" t="str">
        <f t="shared" si="5"/>
        <v>C21</v>
      </c>
      <c r="BI15" t="str">
        <f t="shared" si="6"/>
        <v>B21</v>
      </c>
      <c r="BJ15" t="str">
        <f t="shared" si="7"/>
        <v>C22</v>
      </c>
      <c r="BK15" t="str">
        <f t="shared" si="8"/>
        <v>B22</v>
      </c>
      <c r="BL15" t="str">
        <f t="shared" si="9"/>
        <v>C23</v>
      </c>
      <c r="BM15" t="str">
        <f t="shared" si="10"/>
        <v>B23</v>
      </c>
      <c r="BN15" t="str">
        <f t="shared" si="11"/>
        <v>C24</v>
      </c>
      <c r="BO15" t="str">
        <f t="shared" si="12"/>
        <v>B24</v>
      </c>
      <c r="BP15" t="str">
        <f t="shared" si="13"/>
        <v>11A</v>
      </c>
      <c r="BQ15" t="str">
        <f t="shared" si="14"/>
        <v>11B</v>
      </c>
      <c r="BR15" t="str">
        <f t="shared" si="15"/>
        <v>12A</v>
      </c>
      <c r="BS15" t="str">
        <f t="shared" si="16"/>
        <v>12B</v>
      </c>
      <c r="BT15" t="str">
        <f t="shared" si="17"/>
        <v>DI3-C19</v>
      </c>
      <c r="BU15" t="str">
        <f t="shared" si="18"/>
        <v>DI3-B19</v>
      </c>
      <c r="BV15" t="str">
        <f t="shared" si="19"/>
        <v>DI3-C20</v>
      </c>
      <c r="BW15" t="str">
        <f t="shared" si="19"/>
        <v>DI3-B20</v>
      </c>
      <c r="BX15" t="str">
        <f t="shared" si="19"/>
        <v>DI3-C21</v>
      </c>
      <c r="BY15" t="str">
        <f t="shared" si="19"/>
        <v>DI3-B21</v>
      </c>
      <c r="BZ15" t="str">
        <f t="shared" si="19"/>
        <v>DI3-C22</v>
      </c>
      <c r="CA15" t="str">
        <f t="shared" si="19"/>
        <v>DI3-B22</v>
      </c>
      <c r="CB15" t="str">
        <f t="shared" si="19"/>
        <v>DI3-C23</v>
      </c>
      <c r="CC15" t="str">
        <f t="shared" si="19"/>
        <v>DI3-B23</v>
      </c>
      <c r="CD15" t="str">
        <f t="shared" si="19"/>
        <v>DI3-C24</v>
      </c>
      <c r="CE15" t="str">
        <f t="shared" si="19"/>
        <v>DI3-B24</v>
      </c>
      <c r="CF15" t="str">
        <f t="shared" si="20"/>
        <v>DO2-10A</v>
      </c>
      <c r="CG15" t="str">
        <f t="shared" si="21"/>
        <v>DO2-10B</v>
      </c>
      <c r="CH15" t="str">
        <f t="shared" si="22"/>
        <v>DO2-11A</v>
      </c>
      <c r="CI15" t="str">
        <f t="shared" si="23"/>
        <v>DO2-11B</v>
      </c>
      <c r="CJ15" t="str">
        <f t="shared" si="24"/>
        <v>DO2-12A</v>
      </c>
      <c r="CK15" t="str">
        <f t="shared" si="25"/>
        <v>DO2-12B</v>
      </c>
      <c r="CL15" t="str">
        <f t="shared" si="27"/>
        <v>K14-10</v>
      </c>
      <c r="CM15" t="str">
        <f t="shared" si="28"/>
        <v>K14-03</v>
      </c>
      <c r="CN15" t="str">
        <f t="shared" si="29"/>
        <v>K14-04</v>
      </c>
      <c r="CO15" t="str">
        <f t="shared" si="30"/>
        <v>K14-01</v>
      </c>
      <c r="CP15" t="str">
        <f t="shared" si="31"/>
        <v>K14-08</v>
      </c>
      <c r="CQ15" t="str">
        <f t="shared" si="32"/>
        <v>K14-02</v>
      </c>
      <c r="CR15" t="str">
        <f t="shared" si="33"/>
        <v>K14-09</v>
      </c>
      <c r="CS15" t="str">
        <f t="shared" si="34"/>
        <v>K14-05</v>
      </c>
      <c r="CT15" t="str">
        <f t="shared" si="35"/>
        <v>K14-11</v>
      </c>
      <c r="CU15" t="str">
        <f t="shared" si="36"/>
        <v>F0-M14-A9</v>
      </c>
      <c r="CV15" t="str">
        <f t="shared" si="37"/>
        <v>F0-M14-A7</v>
      </c>
      <c r="CW15" t="str">
        <f t="shared" si="38"/>
        <v>F0-M14-A8</v>
      </c>
      <c r="CX15" t="str">
        <f t="shared" si="39"/>
        <v>F0-M14-A6</v>
      </c>
      <c r="CY15" t="str">
        <f t="shared" si="40"/>
        <v>F0-M14-A30</v>
      </c>
      <c r="CZ15" t="str">
        <f t="shared" si="41"/>
        <v>F0-M14-N</v>
      </c>
      <c r="DA15" t="str">
        <f t="shared" si="26"/>
        <v>F0-A220-M14</v>
      </c>
      <c r="DB15" t="str">
        <f t="shared" si="42"/>
        <v>F0-M14-XM01</v>
      </c>
      <c r="DC15" t="str">
        <f t="shared" si="43"/>
        <v>F0-M14-A1</v>
      </c>
      <c r="DD15" t="str">
        <f t="shared" si="44"/>
        <v>F0-M14-A5</v>
      </c>
      <c r="DE15" t="str">
        <f t="shared" si="45"/>
        <v>F0-M14-A11</v>
      </c>
      <c r="DF15" t="str">
        <f t="shared" si="46"/>
        <v>F0-M14-A12</v>
      </c>
      <c r="DG15" t="str">
        <f t="shared" si="47"/>
        <v>F0-M14-A19</v>
      </c>
      <c r="DH15" t="str">
        <f t="shared" si="48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824" ht="30" x14ac:dyDescent="0.25">
      <c r="A16" s="29" t="s">
        <v>2227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s="46">
        <f t="array" ref="AD16">IF(COUNTIFS(AC$2:AC16,AC16)=1,"1",VALUE(SUBSTITUTE(INDEX(AD:AD,_xlfn.XMATCH(AC16,AC$1:AC15,0,-1)),"A",""))+INDEX(AE:AE,_xlfn.XMATCH(AC16,AC$1:AC15,0,-1))+1)</f>
        <v>25</v>
      </c>
      <c r="AE16" s="46">
        <f t="array" ref="AE16">SUM(IF(ISNUMBER(FIND("TmDi",$BE$1:$AAQ$1)),IF(IFERROR(ISNUMBER(VALUE(SUBSTITUTE($BE16:$AAQ16,"B",""))),FALSE),IF(ISNUMBER(VALUE(SUBSTITUTE($BE16:$AAQ16,"B",""))),1,0),0)))</f>
        <v>5</v>
      </c>
      <c r="AF16" t="s">
        <v>240</v>
      </c>
      <c r="AG16" t="s">
        <v>242</v>
      </c>
      <c r="AH16" t="s">
        <v>267</v>
      </c>
      <c r="AI16" s="61">
        <f t="array" ref="AI16">IF(COUNTIFS(AH$2:AH16,AH16)=1,"1",VALUE(SUBSTITUTE(INDEX(AI:AI,_xlfn.XMATCH(AH16,AH$1:AH15,0,-1)),"A",""))+INDEX(AJ:AJ,_xlfn.XMATCH(AH16,AH$1:AH15,0,-1))+1)</f>
        <v>13</v>
      </c>
      <c r="AJ16" s="61">
        <f t="array" ref="AJ16">SUM(IF(ISNUMBER(FIND("TmDo",$BE$1:$AAQ$1)),IF(IFERROR(ISNUMBER(VALUE(SUBSTITUTE($BE16:$AAQ16,"B",""))),FALSE),IF(ISNUMBER(VALUE(SUBSTITUTE($BE16:$AAQ16,"B",""))),1,0),0)))</f>
        <v>2</v>
      </c>
      <c r="AK16" t="str">
        <f t="shared" si="0"/>
        <v>13A</v>
      </c>
      <c r="AL16" t="str">
        <f t="shared" si="1"/>
        <v>13B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2"/>
        <v>XT15</v>
      </c>
      <c r="BF16" t="str">
        <f t="shared" si="3"/>
        <v>C26</v>
      </c>
      <c r="BG16" t="str">
        <f t="shared" si="4"/>
        <v>B26</v>
      </c>
      <c r="BH16" t="str">
        <f t="shared" si="5"/>
        <v>C27</v>
      </c>
      <c r="BI16" t="str">
        <f t="shared" si="6"/>
        <v>B27</v>
      </c>
      <c r="BJ16" t="str">
        <f t="shared" si="7"/>
        <v>C28</v>
      </c>
      <c r="BK16" t="str">
        <f t="shared" si="8"/>
        <v>B28</v>
      </c>
      <c r="BL16" t="str">
        <f t="shared" si="9"/>
        <v>C29</v>
      </c>
      <c r="BM16" t="str">
        <f t="shared" si="10"/>
        <v>B29</v>
      </c>
      <c r="BN16" t="str">
        <f t="shared" si="11"/>
        <v>C30</v>
      </c>
      <c r="BO16" t="str">
        <f t="shared" si="12"/>
        <v>B30</v>
      </c>
      <c r="BP16" t="str">
        <f t="shared" si="13"/>
        <v>14A</v>
      </c>
      <c r="BQ16" t="str">
        <f t="shared" si="14"/>
        <v>14B</v>
      </c>
      <c r="BR16" t="str">
        <f t="shared" si="15"/>
        <v>15A</v>
      </c>
      <c r="BS16" t="str">
        <f t="shared" si="16"/>
        <v>15B</v>
      </c>
      <c r="BT16" t="str">
        <f t="shared" si="17"/>
        <v>DI3-C25</v>
      </c>
      <c r="BU16" t="str">
        <f t="shared" si="18"/>
        <v>DI3-B25</v>
      </c>
      <c r="BV16" t="str">
        <f t="shared" si="19"/>
        <v>DI3-C26</v>
      </c>
      <c r="BW16" t="str">
        <f t="shared" si="19"/>
        <v>DI3-B26</v>
      </c>
      <c r="BX16" t="str">
        <f t="shared" si="19"/>
        <v>DI3-C27</v>
      </c>
      <c r="BY16" t="str">
        <f t="shared" si="19"/>
        <v>DI3-B27</v>
      </c>
      <c r="BZ16" t="str">
        <f t="shared" si="19"/>
        <v>DI3-C28</v>
      </c>
      <c r="CA16" t="str">
        <f t="shared" si="19"/>
        <v>DI3-B28</v>
      </c>
      <c r="CB16" t="str">
        <f t="shared" si="19"/>
        <v>DI3-C29</v>
      </c>
      <c r="CC16" t="str">
        <f t="shared" si="19"/>
        <v>DI3-B29</v>
      </c>
      <c r="CD16" t="str">
        <f t="shared" si="19"/>
        <v>DI3-C30</v>
      </c>
      <c r="CE16" t="str">
        <f t="shared" si="19"/>
        <v>DI3-B30</v>
      </c>
      <c r="CF16" t="str">
        <f t="shared" si="20"/>
        <v>DO2-13A</v>
      </c>
      <c r="CG16" t="str">
        <f t="shared" si="21"/>
        <v>DO2-13B</v>
      </c>
      <c r="CH16" t="str">
        <f t="shared" si="22"/>
        <v>DO2-14A</v>
      </c>
      <c r="CI16" t="str">
        <f t="shared" si="23"/>
        <v>DO2-14B</v>
      </c>
      <c r="CJ16" t="str">
        <f t="shared" si="24"/>
        <v>DO2-15A</v>
      </c>
      <c r="CK16" t="str">
        <f t="shared" si="25"/>
        <v>DO2-15B</v>
      </c>
      <c r="CL16" t="str">
        <f t="shared" si="27"/>
        <v>K15-10</v>
      </c>
      <c r="CM16" t="str">
        <f t="shared" si="28"/>
        <v>K15-03</v>
      </c>
      <c r="CN16" t="str">
        <f t="shared" si="29"/>
        <v>K15-04</v>
      </c>
      <c r="CO16" t="str">
        <f t="shared" si="30"/>
        <v>K15-01</v>
      </c>
      <c r="CP16" t="str">
        <f t="shared" si="31"/>
        <v>K15-08</v>
      </c>
      <c r="CQ16" t="str">
        <f t="shared" si="32"/>
        <v>K15-02</v>
      </c>
      <c r="CR16" t="str">
        <f t="shared" si="33"/>
        <v>K15-09</v>
      </c>
      <c r="CS16" t="str">
        <f t="shared" si="34"/>
        <v>K15-05</v>
      </c>
      <c r="CT16" t="str">
        <f t="shared" si="35"/>
        <v>K15-11</v>
      </c>
      <c r="CU16" t="str">
        <f t="shared" si="36"/>
        <v>F0-M15-A9</v>
      </c>
      <c r="CV16" t="str">
        <f t="shared" si="37"/>
        <v>F0-M15-A7</v>
      </c>
      <c r="CW16" t="str">
        <f t="shared" si="38"/>
        <v>F0-M15-A8</v>
      </c>
      <c r="CX16" t="str">
        <f t="shared" si="39"/>
        <v>F0-M15-A6</v>
      </c>
      <c r="CY16" t="str">
        <f t="shared" si="40"/>
        <v>F0-M15-A30</v>
      </c>
      <c r="CZ16" t="str">
        <f t="shared" si="41"/>
        <v>F0-M15-N</v>
      </c>
      <c r="DA16" t="str">
        <f t="shared" si="26"/>
        <v>F0-A220-M15</v>
      </c>
      <c r="DB16" t="str">
        <f t="shared" si="42"/>
        <v>F0-M15-XM01</v>
      </c>
      <c r="DC16" t="str">
        <f t="shared" si="43"/>
        <v>F0-M15-A1</v>
      </c>
      <c r="DD16" t="str">
        <f t="shared" si="44"/>
        <v>F0-M15-A5</v>
      </c>
      <c r="DE16" t="str">
        <f t="shared" si="45"/>
        <v>F0-M15-A11</v>
      </c>
      <c r="DF16" t="str">
        <f t="shared" si="46"/>
        <v>F0-M15-A12</v>
      </c>
      <c r="DG16" t="str">
        <f t="shared" si="47"/>
        <v>F0-M15-A19</v>
      </c>
      <c r="DH16" t="str">
        <f t="shared" si="48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ht="30" x14ac:dyDescent="0.25">
      <c r="A17" s="29" t="s">
        <v>2228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s="46" t="str">
        <f t="array" ref="AD17">IF(COUNTIFS(AC$2:AC17,AC17)=1,"1",VALUE(SUBSTITUTE(INDEX(AD:AD,_xlfn.XMATCH(AC17,AC$1:AC16,0,-1)),"A",""))+INDEX(AE:AE,_xlfn.XMATCH(AC17,AC$1:AC16,0,-1))+1)</f>
        <v>1</v>
      </c>
      <c r="AE17" s="46">
        <f t="array" ref="AE17">SUM(IF(ISNUMBER(FIND("TmDi",$BE$1:$AAQ$1)),IF(IFERROR(ISNUMBER(VALUE(SUBSTITUTE($BE17:$AAQ17,"B",""))),FALSE),IF(ISNUMBER(VALUE(SUBSTITUTE($BE17:$AAQ17,"B",""))),1,0),0)))</f>
        <v>5</v>
      </c>
      <c r="AF17" t="s">
        <v>133</v>
      </c>
      <c r="AG17" t="s">
        <v>134</v>
      </c>
      <c r="AH17" t="s">
        <v>267</v>
      </c>
      <c r="AI17" s="61">
        <f t="array" ref="AI17">IF(COUNTIFS(AH$2:AH17,AH17)=1,"1",VALUE(SUBSTITUTE(INDEX(AI:AI,_xlfn.XMATCH(AH17,AH$1:AH16,0,-1)),"A",""))+INDEX(AJ:AJ,_xlfn.XMATCH(AH17,AH$1:AH16,0,-1))+1)</f>
        <v>16</v>
      </c>
      <c r="AJ17" s="61">
        <f t="array" ref="AJ17">SUM(IF(ISNUMBER(FIND("TmDo",$BE$1:$AAQ$1)),IF(IFERROR(ISNUMBER(VALUE(SUBSTITUTE($BE17:$AAQ17,"B",""))),FALSE),IF(ISNUMBER(VALUE(SUBSTITUTE($BE17:$AAQ17,"B",""))),1,0),0)))</f>
        <v>2</v>
      </c>
      <c r="AK17" t="str">
        <f t="shared" si="0"/>
        <v>16A</v>
      </c>
      <c r="AL17" t="str">
        <f t="shared" si="1"/>
        <v>16B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2"/>
        <v>XT16</v>
      </c>
      <c r="BF17" t="str">
        <f t="shared" si="3"/>
        <v>C2</v>
      </c>
      <c r="BG17" t="str">
        <f t="shared" si="4"/>
        <v>B2</v>
      </c>
      <c r="BH17" t="str">
        <f t="shared" si="5"/>
        <v>C3</v>
      </c>
      <c r="BI17" t="str">
        <f t="shared" si="6"/>
        <v>B3</v>
      </c>
      <c r="BJ17" t="str">
        <f t="shared" si="7"/>
        <v>C4</v>
      </c>
      <c r="BK17" t="str">
        <f t="shared" si="8"/>
        <v>B4</v>
      </c>
      <c r="BL17" t="str">
        <f t="shared" si="9"/>
        <v>C5</v>
      </c>
      <c r="BM17" t="str">
        <f t="shared" si="10"/>
        <v>B5</v>
      </c>
      <c r="BN17" t="str">
        <f t="shared" si="11"/>
        <v>C6</v>
      </c>
      <c r="BO17" t="str">
        <f t="shared" si="12"/>
        <v>B6</v>
      </c>
      <c r="BP17" t="str">
        <f t="shared" si="13"/>
        <v>17A</v>
      </c>
      <c r="BQ17" t="str">
        <f t="shared" si="14"/>
        <v>17B</v>
      </c>
      <c r="BR17" t="str">
        <f t="shared" si="15"/>
        <v>18A</v>
      </c>
      <c r="BS17" t="str">
        <f t="shared" si="16"/>
        <v>18B</v>
      </c>
      <c r="BT17" t="str">
        <f t="shared" si="17"/>
        <v>DI4-C1</v>
      </c>
      <c r="BU17" t="str">
        <f t="shared" si="18"/>
        <v>DI4-B1</v>
      </c>
      <c r="BV17" t="str">
        <f t="shared" si="19"/>
        <v>DI4-C2</v>
      </c>
      <c r="BW17" t="str">
        <f t="shared" si="19"/>
        <v>DI4-B2</v>
      </c>
      <c r="BX17" t="str">
        <f t="shared" si="19"/>
        <v>DI4-C3</v>
      </c>
      <c r="BY17" t="str">
        <f t="shared" si="19"/>
        <v>DI4-B3</v>
      </c>
      <c r="BZ17" t="str">
        <f t="shared" si="19"/>
        <v>DI4-C4</v>
      </c>
      <c r="CA17" t="str">
        <f t="shared" si="19"/>
        <v>DI4-B4</v>
      </c>
      <c r="CB17" t="str">
        <f t="shared" si="19"/>
        <v>DI4-C5</v>
      </c>
      <c r="CC17" t="str">
        <f t="shared" si="19"/>
        <v>DI4-B5</v>
      </c>
      <c r="CD17" t="str">
        <f t="shared" si="19"/>
        <v>DI4-C6</v>
      </c>
      <c r="CE17" t="str">
        <f t="shared" si="19"/>
        <v>DI4-B6</v>
      </c>
      <c r="CF17" t="str">
        <f t="shared" si="20"/>
        <v>DO2-16A</v>
      </c>
      <c r="CG17" t="str">
        <f t="shared" si="21"/>
        <v>DO2-16B</v>
      </c>
      <c r="CH17" t="str">
        <f t="shared" si="22"/>
        <v>DO2-17A</v>
      </c>
      <c r="CI17" t="str">
        <f t="shared" si="23"/>
        <v>DO2-17B</v>
      </c>
      <c r="CJ17" t="str">
        <f t="shared" si="24"/>
        <v>DO2-18A</v>
      </c>
      <c r="CK17" t="str">
        <f t="shared" si="25"/>
        <v>DO2-18B</v>
      </c>
      <c r="CL17" t="str">
        <f t="shared" si="27"/>
        <v>K16-10</v>
      </c>
      <c r="CM17" t="str">
        <f t="shared" si="28"/>
        <v>K16-03</v>
      </c>
      <c r="CN17" t="str">
        <f t="shared" si="29"/>
        <v>K16-04</v>
      </c>
      <c r="CO17" t="str">
        <f t="shared" si="30"/>
        <v>K16-01</v>
      </c>
      <c r="CP17" t="str">
        <f t="shared" si="31"/>
        <v>K16-08</v>
      </c>
      <c r="CQ17" t="str">
        <f t="shared" si="32"/>
        <v>K16-02</v>
      </c>
      <c r="CR17" t="str">
        <f t="shared" si="33"/>
        <v>K16-09</v>
      </c>
      <c r="CS17" t="str">
        <f t="shared" si="34"/>
        <v>K16-05</v>
      </c>
      <c r="CT17" t="str">
        <f t="shared" si="35"/>
        <v>K16-11</v>
      </c>
      <c r="CU17" t="str">
        <f t="shared" si="36"/>
        <v>F0-M16-A9</v>
      </c>
      <c r="CV17" t="str">
        <f t="shared" si="37"/>
        <v>F0-M16-A7</v>
      </c>
      <c r="CW17" t="str">
        <f t="shared" si="38"/>
        <v>F0-M16-A8</v>
      </c>
      <c r="CX17" t="str">
        <f t="shared" si="39"/>
        <v>F0-M16-A6</v>
      </c>
      <c r="CY17" t="str">
        <f t="shared" si="40"/>
        <v>F0-M16-A30</v>
      </c>
      <c r="CZ17" t="str">
        <f t="shared" si="41"/>
        <v>F0-M16-N</v>
      </c>
      <c r="DA17" t="str">
        <f t="shared" si="26"/>
        <v>F0-A220-M16</v>
      </c>
      <c r="DB17" t="str">
        <f t="shared" si="42"/>
        <v>F0-M16-XM01</v>
      </c>
      <c r="DC17" t="str">
        <f t="shared" si="43"/>
        <v>F0-M16-A1</v>
      </c>
      <c r="DD17" t="str">
        <f t="shared" si="44"/>
        <v>F0-M16-A5</v>
      </c>
      <c r="DE17" t="str">
        <f t="shared" si="45"/>
        <v>F0-M16-A11</v>
      </c>
      <c r="DF17" t="str">
        <f t="shared" si="46"/>
        <v>F0-M16-A12</v>
      </c>
      <c r="DG17" t="str">
        <f t="shared" si="47"/>
        <v>F0-M16-A19</v>
      </c>
      <c r="DH17" t="str">
        <f t="shared" si="48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ht="30" x14ac:dyDescent="0.25">
      <c r="A18" s="29" t="s">
        <v>2229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s="46">
        <f t="array" ref="AD18">IF(COUNTIFS(AC$2:AC18,AC18)=1,"1",VALUE(SUBSTITUTE(INDEX(AD:AD,_xlfn.XMATCH(AC18,AC$1:AC17,0,-1)),"A",""))+INDEX(AE:AE,_xlfn.XMATCH(AC18,AC$1:AC17,0,-1))+1)</f>
        <v>7</v>
      </c>
      <c r="AE18" s="46">
        <f t="array" ref="AE18">SUM(IF(ISNUMBER(FIND("TmDi",$BE$1:$AAQ$1)),IF(IFERROR(ISNUMBER(VALUE(SUBSTITUTE($BE18:$AAQ18,"B",""))),FALSE),IF(ISNUMBER(VALUE(SUBSTITUTE($BE18:$AAQ18,"B",""))),1,0),0)))</f>
        <v>5</v>
      </c>
      <c r="AF18" t="s">
        <v>148</v>
      </c>
      <c r="AG18" t="s">
        <v>149</v>
      </c>
      <c r="AH18" t="s">
        <v>267</v>
      </c>
      <c r="AI18" s="61">
        <f t="array" ref="AI18">IF(COUNTIFS(AH$2:AH18,AH18)=1,"1",VALUE(SUBSTITUTE(INDEX(AI:AI,_xlfn.XMATCH(AH18,AH$1:AH17,0,-1)),"A",""))+INDEX(AJ:AJ,_xlfn.XMATCH(AH18,AH$1:AH17,0,-1))+1)</f>
        <v>19</v>
      </c>
      <c r="AJ18" s="61">
        <f t="array" ref="AJ18">SUM(IF(ISNUMBER(FIND("TmDo",$BE$1:$AAQ$1)),IF(IFERROR(ISNUMBER(VALUE(SUBSTITUTE($BE18:$AAQ18,"B",""))),FALSE),IF(ISNUMBER(VALUE(SUBSTITUTE($BE18:$AAQ18,"B",""))),1,0),0)))</f>
        <v>2</v>
      </c>
      <c r="AK18" t="str">
        <f t="shared" si="0"/>
        <v>19A</v>
      </c>
      <c r="AL18" t="str">
        <f t="shared" si="1"/>
        <v>19B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2"/>
        <v>XT17</v>
      </c>
      <c r="BF18" t="str">
        <f t="shared" si="3"/>
        <v>C8</v>
      </c>
      <c r="BG18" t="str">
        <f t="shared" si="4"/>
        <v>B8</v>
      </c>
      <c r="BH18" t="str">
        <f t="shared" si="5"/>
        <v>C9</v>
      </c>
      <c r="BI18" t="str">
        <f t="shared" si="6"/>
        <v>B9</v>
      </c>
      <c r="BJ18" t="str">
        <f t="shared" si="7"/>
        <v>C10</v>
      </c>
      <c r="BK18" t="str">
        <f t="shared" si="8"/>
        <v>B10</v>
      </c>
      <c r="BL18" t="str">
        <f t="shared" si="9"/>
        <v>C11</v>
      </c>
      <c r="BM18" t="str">
        <f t="shared" si="10"/>
        <v>B11</v>
      </c>
      <c r="BN18" t="str">
        <f t="shared" si="11"/>
        <v>C12</v>
      </c>
      <c r="BO18" t="str">
        <f t="shared" si="12"/>
        <v>B12</v>
      </c>
      <c r="BP18" t="str">
        <f t="shared" si="13"/>
        <v>20A</v>
      </c>
      <c r="BQ18" t="str">
        <f t="shared" si="14"/>
        <v>20B</v>
      </c>
      <c r="BR18" t="str">
        <f t="shared" si="15"/>
        <v>21A</v>
      </c>
      <c r="BS18" t="str">
        <f t="shared" si="16"/>
        <v>21B</v>
      </c>
      <c r="BT18" t="str">
        <f t="shared" si="17"/>
        <v>DI4-C7</v>
      </c>
      <c r="BU18" t="str">
        <f t="shared" si="18"/>
        <v>DI4-B7</v>
      </c>
      <c r="BV18" t="str">
        <f t="shared" ref="BV18:CE33" si="49">CONCATENATE("DI",REPLACE($AC18,1,3,""),"-",BF18)</f>
        <v>DI4-C8</v>
      </c>
      <c r="BW18" t="str">
        <f t="shared" si="49"/>
        <v>DI4-B8</v>
      </c>
      <c r="BX18" t="str">
        <f t="shared" si="49"/>
        <v>DI4-C9</v>
      </c>
      <c r="BY18" t="str">
        <f t="shared" si="49"/>
        <v>DI4-B9</v>
      </c>
      <c r="BZ18" t="str">
        <f t="shared" si="49"/>
        <v>DI4-C10</v>
      </c>
      <c r="CA18" t="str">
        <f t="shared" si="49"/>
        <v>DI4-B10</v>
      </c>
      <c r="CB18" t="str">
        <f t="shared" si="49"/>
        <v>DI4-C11</v>
      </c>
      <c r="CC18" t="str">
        <f t="shared" si="49"/>
        <v>DI4-B11</v>
      </c>
      <c r="CD18" t="str">
        <f t="shared" si="49"/>
        <v>DI4-C12</v>
      </c>
      <c r="CE18" t="str">
        <f t="shared" si="49"/>
        <v>DI4-B12</v>
      </c>
      <c r="CF18" t="str">
        <f t="shared" si="20"/>
        <v>DO2-19A</v>
      </c>
      <c r="CG18" t="str">
        <f t="shared" si="21"/>
        <v>DO2-19B</v>
      </c>
      <c r="CH18" t="str">
        <f t="shared" si="22"/>
        <v>DO2-20A</v>
      </c>
      <c r="CI18" t="str">
        <f t="shared" si="23"/>
        <v>DO2-20B</v>
      </c>
      <c r="CJ18" t="str">
        <f t="shared" si="24"/>
        <v>DO2-21A</v>
      </c>
      <c r="CK18" t="str">
        <f t="shared" si="25"/>
        <v>DO2-21B</v>
      </c>
      <c r="CL18" t="str">
        <f t="shared" si="27"/>
        <v>K17-10</v>
      </c>
      <c r="CM18" t="str">
        <f t="shared" si="28"/>
        <v>K17-03</v>
      </c>
      <c r="CN18" t="str">
        <f t="shared" si="29"/>
        <v>K17-04</v>
      </c>
      <c r="CO18" t="str">
        <f t="shared" si="30"/>
        <v>K17-01</v>
      </c>
      <c r="CP18" t="str">
        <f t="shared" si="31"/>
        <v>K17-08</v>
      </c>
      <c r="CQ18" t="str">
        <f t="shared" si="32"/>
        <v>K17-02</v>
      </c>
      <c r="CR18" t="str">
        <f t="shared" si="33"/>
        <v>K17-09</v>
      </c>
      <c r="CS18" t="str">
        <f t="shared" si="34"/>
        <v>K17-05</v>
      </c>
      <c r="CT18" t="str">
        <f t="shared" si="35"/>
        <v>K17-11</v>
      </c>
      <c r="CU18" t="str">
        <f t="shared" si="36"/>
        <v>F0-M17-A9</v>
      </c>
      <c r="CV18" t="str">
        <f t="shared" si="37"/>
        <v>F0-M17-A7</v>
      </c>
      <c r="CW18" t="str">
        <f t="shared" si="38"/>
        <v>F0-M17-A8</v>
      </c>
      <c r="CX18" t="str">
        <f t="shared" si="39"/>
        <v>F0-M17-A6</v>
      </c>
      <c r="CY18" t="str">
        <f t="shared" si="40"/>
        <v>F0-M17-A30</v>
      </c>
      <c r="CZ18" t="str">
        <f t="shared" si="41"/>
        <v>F0-M17-N</v>
      </c>
      <c r="DA18" t="str">
        <f t="shared" si="26"/>
        <v>F0-A220-M17</v>
      </c>
      <c r="DB18" t="str">
        <f t="shared" si="42"/>
        <v>F0-M17-XM01</v>
      </c>
      <c r="DC18" t="str">
        <f t="shared" si="43"/>
        <v>F0-M17-A1</v>
      </c>
      <c r="DD18" t="str">
        <f t="shared" si="44"/>
        <v>F0-M17-A5</v>
      </c>
      <c r="DE18" t="str">
        <f t="shared" si="45"/>
        <v>F0-M17-A11</v>
      </c>
      <c r="DF18" t="str">
        <f t="shared" si="46"/>
        <v>F0-M17-A12</v>
      </c>
      <c r="DG18" t="str">
        <f t="shared" si="47"/>
        <v>F0-M17-A19</v>
      </c>
      <c r="DH18" t="str">
        <f t="shared" si="48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ht="30" x14ac:dyDescent="0.25">
      <c r="A19" s="29" t="s">
        <v>2230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s="46">
        <f t="array" ref="AD19">IF(COUNTIFS(AC$2:AC19,AC19)=1,"1",VALUE(SUBSTITUTE(INDEX(AD:AD,_xlfn.XMATCH(AC19,AC$1:AC18,0,-1)),"A",""))+INDEX(AE:AE,_xlfn.XMATCH(AC19,AC$1:AC18,0,-1))+1)</f>
        <v>13</v>
      </c>
      <c r="AE19" s="46">
        <f t="array" ref="AE19">SUM(IF(ISNUMBER(FIND("TmDi",$BE$1:$AAQ$1)),IF(IFERROR(ISNUMBER(VALUE(SUBSTITUTE($BE19:$AAQ19,"B",""))),FALSE),IF(ISNUMBER(VALUE(SUBSTITUTE($BE19:$AAQ19,"B",""))),1,0),0)))</f>
        <v>5</v>
      </c>
      <c r="AF19" t="s">
        <v>153</v>
      </c>
      <c r="AG19" t="s">
        <v>154</v>
      </c>
      <c r="AH19" t="s">
        <v>267</v>
      </c>
      <c r="AI19" s="61">
        <f t="array" ref="AI19">IF(COUNTIFS(AH$2:AH19,AH19)=1,"1",VALUE(SUBSTITUTE(INDEX(AI:AI,_xlfn.XMATCH(AH19,AH$1:AH18,0,-1)),"A",""))+INDEX(AJ:AJ,_xlfn.XMATCH(AH19,AH$1:AH18,0,-1))+1)</f>
        <v>22</v>
      </c>
      <c r="AJ19" s="61">
        <f t="array" ref="AJ19">SUM(IF(ISNUMBER(FIND("TmDo",$BE$1:$AAQ$1)),IF(IFERROR(ISNUMBER(VALUE(SUBSTITUTE($BE19:$AAQ19,"B",""))),FALSE),IF(ISNUMBER(VALUE(SUBSTITUTE($BE19:$AAQ19,"B",""))),1,0),0)))</f>
        <v>2</v>
      </c>
      <c r="AK19" t="str">
        <f t="shared" si="0"/>
        <v>22A</v>
      </c>
      <c r="AL19" t="str">
        <f t="shared" si="1"/>
        <v>22B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2"/>
        <v>XT18</v>
      </c>
      <c r="BF19" t="str">
        <f t="shared" si="3"/>
        <v>C14</v>
      </c>
      <c r="BG19" t="str">
        <f t="shared" si="4"/>
        <v>B14</v>
      </c>
      <c r="BH19" t="str">
        <f t="shared" si="5"/>
        <v>C15</v>
      </c>
      <c r="BI19" t="str">
        <f t="shared" si="6"/>
        <v>B15</v>
      </c>
      <c r="BJ19" t="str">
        <f t="shared" si="7"/>
        <v>C16</v>
      </c>
      <c r="BK19" t="str">
        <f t="shared" si="8"/>
        <v>B16</v>
      </c>
      <c r="BL19" t="str">
        <f t="shared" si="9"/>
        <v>C17</v>
      </c>
      <c r="BM19" t="str">
        <f t="shared" si="10"/>
        <v>B17</v>
      </c>
      <c r="BN19" t="str">
        <f t="shared" si="11"/>
        <v>C18</v>
      </c>
      <c r="BO19" t="str">
        <f t="shared" si="12"/>
        <v>B18</v>
      </c>
      <c r="BP19" t="str">
        <f t="shared" si="13"/>
        <v>23A</v>
      </c>
      <c r="BQ19" t="str">
        <f t="shared" si="14"/>
        <v>23B</v>
      </c>
      <c r="BR19" t="str">
        <f t="shared" si="15"/>
        <v>24A</v>
      </c>
      <c r="BS19" t="str">
        <f t="shared" si="16"/>
        <v>24B</v>
      </c>
      <c r="BT19" t="str">
        <f t="shared" si="17"/>
        <v>DI4-C13</v>
      </c>
      <c r="BU19" t="str">
        <f t="shared" si="18"/>
        <v>DI4-B13</v>
      </c>
      <c r="BV19" t="str">
        <f t="shared" si="49"/>
        <v>DI4-C14</v>
      </c>
      <c r="BW19" t="str">
        <f t="shared" si="49"/>
        <v>DI4-B14</v>
      </c>
      <c r="BX19" t="str">
        <f t="shared" si="49"/>
        <v>DI4-C15</v>
      </c>
      <c r="BY19" t="str">
        <f t="shared" si="49"/>
        <v>DI4-B15</v>
      </c>
      <c r="BZ19" t="str">
        <f t="shared" si="49"/>
        <v>DI4-C16</v>
      </c>
      <c r="CA19" t="str">
        <f t="shared" si="49"/>
        <v>DI4-B16</v>
      </c>
      <c r="CB19" t="str">
        <f t="shared" si="49"/>
        <v>DI4-C17</v>
      </c>
      <c r="CC19" t="str">
        <f t="shared" si="49"/>
        <v>DI4-B17</v>
      </c>
      <c r="CD19" t="str">
        <f t="shared" si="49"/>
        <v>DI4-C18</v>
      </c>
      <c r="CE19" t="str">
        <f t="shared" si="49"/>
        <v>DI4-B18</v>
      </c>
      <c r="CF19" t="str">
        <f t="shared" si="20"/>
        <v>DO2-22A</v>
      </c>
      <c r="CG19" t="str">
        <f t="shared" si="21"/>
        <v>DO2-22B</v>
      </c>
      <c r="CH19" t="str">
        <f t="shared" si="22"/>
        <v>DO2-23A</v>
      </c>
      <c r="CI19" t="str">
        <f t="shared" si="23"/>
        <v>DO2-23B</v>
      </c>
      <c r="CJ19" t="str">
        <f t="shared" si="24"/>
        <v>DO2-24A</v>
      </c>
      <c r="CK19" t="str">
        <f t="shared" si="25"/>
        <v>DO2-24B</v>
      </c>
      <c r="CL19" t="str">
        <f t="shared" si="27"/>
        <v>K18-10</v>
      </c>
      <c r="CM19" t="str">
        <f t="shared" si="28"/>
        <v>K18-03</v>
      </c>
      <c r="CN19" t="str">
        <f t="shared" si="29"/>
        <v>K18-04</v>
      </c>
      <c r="CO19" t="str">
        <f t="shared" si="30"/>
        <v>K18-01</v>
      </c>
      <c r="CP19" t="str">
        <f t="shared" si="31"/>
        <v>K18-08</v>
      </c>
      <c r="CQ19" t="str">
        <f t="shared" si="32"/>
        <v>K18-02</v>
      </c>
      <c r="CR19" t="str">
        <f t="shared" si="33"/>
        <v>K18-09</v>
      </c>
      <c r="CS19" t="str">
        <f t="shared" si="34"/>
        <v>K18-05</v>
      </c>
      <c r="CT19" t="str">
        <f t="shared" si="35"/>
        <v>K18-11</v>
      </c>
      <c r="CU19" t="str">
        <f t="shared" si="36"/>
        <v>F0-M18-A9</v>
      </c>
      <c r="CV19" t="str">
        <f t="shared" si="37"/>
        <v>F0-M18-A7</v>
      </c>
      <c r="CW19" t="str">
        <f t="shared" si="38"/>
        <v>F0-M18-A8</v>
      </c>
      <c r="CX19" t="str">
        <f t="shared" si="39"/>
        <v>F0-M18-A6</v>
      </c>
      <c r="CY19" t="str">
        <f t="shared" si="40"/>
        <v>F0-M18-A30</v>
      </c>
      <c r="CZ19" t="str">
        <f t="shared" si="41"/>
        <v>F0-M18-N</v>
      </c>
      <c r="DA19" t="str">
        <f t="shared" si="26"/>
        <v>F0-A220-M18</v>
      </c>
      <c r="DB19" t="str">
        <f t="shared" si="42"/>
        <v>F0-M18-XM01</v>
      </c>
      <c r="DC19" t="str">
        <f t="shared" si="43"/>
        <v>F0-M18-A1</v>
      </c>
      <c r="DD19" t="str">
        <f t="shared" si="44"/>
        <v>F0-M18-A5</v>
      </c>
      <c r="DE19" t="str">
        <f t="shared" si="45"/>
        <v>F0-M18-A11</v>
      </c>
      <c r="DF19" t="str">
        <f t="shared" si="46"/>
        <v>F0-M18-A12</v>
      </c>
      <c r="DG19" t="str">
        <f t="shared" si="47"/>
        <v>F0-M18-A19</v>
      </c>
      <c r="DH19" t="str">
        <f t="shared" si="48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ht="30" x14ac:dyDescent="0.25">
      <c r="A20" s="29" t="s">
        <v>2231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s="46">
        <f t="array" ref="AD20">IF(COUNTIFS(AC$2:AC20,AC20)=1,"1",VALUE(SUBSTITUTE(INDEX(AD:AD,_xlfn.XMATCH(AC20,AC$1:AC19,0,-1)),"A",""))+INDEX(AE:AE,_xlfn.XMATCH(AC20,AC$1:AC19,0,-1))+1)</f>
        <v>19</v>
      </c>
      <c r="AE20" s="46">
        <f t="array" ref="AE20">SUM(IF(ISNUMBER(FIND("TmDi",$BE$1:$AAQ$1)),IF(IFERROR(ISNUMBER(VALUE(SUBSTITUTE($BE20:$AAQ20,"B",""))),FALSE),IF(ISNUMBER(VALUE(SUBSTITUTE($BE20:$AAQ20,"B",""))),1,0),0)))</f>
        <v>5</v>
      </c>
      <c r="AF20" t="s">
        <v>239</v>
      </c>
      <c r="AG20" t="s">
        <v>241</v>
      </c>
      <c r="AH20" t="s">
        <v>267</v>
      </c>
      <c r="AI20" s="61">
        <f t="array" ref="AI20">IF(COUNTIFS(AH$2:AH20,AH20)=1,"1",VALUE(SUBSTITUTE(INDEX(AI:AI,_xlfn.XMATCH(AH20,AH$1:AH19,0,-1)),"A",""))+INDEX(AJ:AJ,_xlfn.XMATCH(AH20,AH$1:AH19,0,-1))+1)</f>
        <v>25</v>
      </c>
      <c r="AJ20" s="61">
        <f t="array" ref="AJ20">SUM(IF(ISNUMBER(FIND("TmDo",$BE$1:$AAQ$1)),IF(IFERROR(ISNUMBER(VALUE(SUBSTITUTE($BE20:$AAQ20,"B",""))),FALSE),IF(ISNUMBER(VALUE(SUBSTITUTE($BE20:$AAQ20,"B",""))),1,0),0)))</f>
        <v>2</v>
      </c>
      <c r="AK20" t="str">
        <f t="shared" si="0"/>
        <v>25A</v>
      </c>
      <c r="AL20" t="str">
        <f t="shared" si="1"/>
        <v>25B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2"/>
        <v>XT19</v>
      </c>
      <c r="BF20" t="str">
        <f t="shared" si="3"/>
        <v>C20</v>
      </c>
      <c r="BG20" t="str">
        <f t="shared" si="4"/>
        <v>B20</v>
      </c>
      <c r="BH20" t="str">
        <f t="shared" si="5"/>
        <v>C21</v>
      </c>
      <c r="BI20" t="str">
        <f t="shared" si="6"/>
        <v>B21</v>
      </c>
      <c r="BJ20" t="str">
        <f t="shared" si="7"/>
        <v>C22</v>
      </c>
      <c r="BK20" t="str">
        <f t="shared" si="8"/>
        <v>B22</v>
      </c>
      <c r="BL20" t="str">
        <f t="shared" si="9"/>
        <v>C23</v>
      </c>
      <c r="BM20" t="str">
        <f t="shared" si="10"/>
        <v>B23</v>
      </c>
      <c r="BN20" t="str">
        <f t="shared" si="11"/>
        <v>C24</v>
      </c>
      <c r="BO20" t="str">
        <f t="shared" si="12"/>
        <v>B24</v>
      </c>
      <c r="BP20" t="str">
        <f t="shared" si="13"/>
        <v>26A</v>
      </c>
      <c r="BQ20" t="str">
        <f t="shared" si="14"/>
        <v>26B</v>
      </c>
      <c r="BR20" t="str">
        <f t="shared" si="15"/>
        <v>27A</v>
      </c>
      <c r="BS20" t="str">
        <f t="shared" si="16"/>
        <v>27B</v>
      </c>
      <c r="BT20" t="str">
        <f t="shared" si="17"/>
        <v>DI4-C19</v>
      </c>
      <c r="BU20" t="str">
        <f t="shared" si="18"/>
        <v>DI4-B19</v>
      </c>
      <c r="BV20" t="str">
        <f t="shared" si="49"/>
        <v>DI4-C20</v>
      </c>
      <c r="BW20" t="str">
        <f t="shared" si="49"/>
        <v>DI4-B20</v>
      </c>
      <c r="BX20" t="str">
        <f t="shared" si="49"/>
        <v>DI4-C21</v>
      </c>
      <c r="BY20" t="str">
        <f t="shared" si="49"/>
        <v>DI4-B21</v>
      </c>
      <c r="BZ20" t="str">
        <f t="shared" si="49"/>
        <v>DI4-C22</v>
      </c>
      <c r="CA20" t="str">
        <f t="shared" si="49"/>
        <v>DI4-B22</v>
      </c>
      <c r="CB20" t="str">
        <f t="shared" si="49"/>
        <v>DI4-C23</v>
      </c>
      <c r="CC20" t="str">
        <f t="shared" si="49"/>
        <v>DI4-B23</v>
      </c>
      <c r="CD20" t="str">
        <f t="shared" si="49"/>
        <v>DI4-C24</v>
      </c>
      <c r="CE20" t="str">
        <f t="shared" si="49"/>
        <v>DI4-B24</v>
      </c>
      <c r="CF20" t="str">
        <f t="shared" si="20"/>
        <v>DO2-25A</v>
      </c>
      <c r="CG20" t="str">
        <f t="shared" si="21"/>
        <v>DO2-25B</v>
      </c>
      <c r="CH20" t="str">
        <f t="shared" si="22"/>
        <v>DO2-26A</v>
      </c>
      <c r="CI20" t="str">
        <f t="shared" si="23"/>
        <v>DO2-26B</v>
      </c>
      <c r="CJ20" t="str">
        <f t="shared" si="24"/>
        <v>DO2-27A</v>
      </c>
      <c r="CK20" t="str">
        <f t="shared" si="25"/>
        <v>DO2-27B</v>
      </c>
      <c r="CL20" t="str">
        <f t="shared" si="27"/>
        <v>K19-10</v>
      </c>
      <c r="CM20" t="str">
        <f t="shared" si="28"/>
        <v>K19-03</v>
      </c>
      <c r="CN20" t="str">
        <f t="shared" si="29"/>
        <v>K19-04</v>
      </c>
      <c r="CO20" t="str">
        <f t="shared" si="30"/>
        <v>K19-01</v>
      </c>
      <c r="CP20" t="str">
        <f t="shared" si="31"/>
        <v>K19-08</v>
      </c>
      <c r="CQ20" t="str">
        <f t="shared" si="32"/>
        <v>K19-02</v>
      </c>
      <c r="CR20" t="str">
        <f t="shared" si="33"/>
        <v>K19-09</v>
      </c>
      <c r="CS20" t="str">
        <f t="shared" si="34"/>
        <v>K19-05</v>
      </c>
      <c r="CT20" t="str">
        <f t="shared" si="35"/>
        <v>K19-11</v>
      </c>
      <c r="CU20" t="str">
        <f t="shared" si="36"/>
        <v>F0-M19-A9</v>
      </c>
      <c r="CV20" t="str">
        <f t="shared" si="37"/>
        <v>F0-M19-A7</v>
      </c>
      <c r="CW20" t="str">
        <f t="shared" si="38"/>
        <v>F0-M19-A8</v>
      </c>
      <c r="CX20" t="str">
        <f t="shared" si="39"/>
        <v>F0-M19-A6</v>
      </c>
      <c r="CY20" t="str">
        <f t="shared" si="40"/>
        <v>F0-M19-A30</v>
      </c>
      <c r="CZ20" t="str">
        <f t="shared" si="41"/>
        <v>F0-M19-N</v>
      </c>
      <c r="DA20" t="str">
        <f t="shared" si="26"/>
        <v>F0-A220-M19</v>
      </c>
      <c r="DB20" t="str">
        <f t="shared" si="42"/>
        <v>F0-M19-XM01</v>
      </c>
      <c r="DC20" t="str">
        <f t="shared" si="43"/>
        <v>F0-M19-A1</v>
      </c>
      <c r="DD20" t="str">
        <f t="shared" si="44"/>
        <v>F0-M19-A5</v>
      </c>
      <c r="DE20" t="str">
        <f t="shared" si="45"/>
        <v>F0-M19-A11</v>
      </c>
      <c r="DF20" t="str">
        <f t="shared" si="46"/>
        <v>F0-M19-A12</v>
      </c>
      <c r="DG20" t="str">
        <f t="shared" si="47"/>
        <v>F0-M19-A19</v>
      </c>
      <c r="DH20" t="str">
        <f t="shared" si="48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ht="30" x14ac:dyDescent="0.25">
      <c r="A21" s="29" t="s">
        <v>2232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s="46">
        <f t="array" ref="AD21">IF(COUNTIFS(AC$2:AC21,AC21)=1,"1",VALUE(SUBSTITUTE(INDEX(AD:AD,_xlfn.XMATCH(AC21,AC$1:AC20,0,-1)),"A",""))+INDEX(AE:AE,_xlfn.XMATCH(AC21,AC$1:AC20,0,-1))+1)</f>
        <v>25</v>
      </c>
      <c r="AE21" s="46">
        <f t="array" ref="AE21">SUM(IF(ISNUMBER(FIND("TmDi",$BE$1:$AAQ$1)),IF(IFERROR(ISNUMBER(VALUE(SUBSTITUTE($BE21:$AAQ21,"B",""))),FALSE),IF(ISNUMBER(VALUE(SUBSTITUTE($BE21:$AAQ21,"B",""))),1,0),0)))</f>
        <v>5</v>
      </c>
      <c r="AF21" t="s">
        <v>240</v>
      </c>
      <c r="AG21" t="s">
        <v>242</v>
      </c>
      <c r="AH21" t="s">
        <v>267</v>
      </c>
      <c r="AI21" s="61">
        <f t="array" ref="AI21">IF(COUNTIFS(AH$2:AH21,AH21)=1,"1",VALUE(SUBSTITUTE(INDEX(AI:AI,_xlfn.XMATCH(AH21,AH$1:AH20,0,-1)),"A",""))+INDEX(AJ:AJ,_xlfn.XMATCH(AH21,AH$1:AH20,0,-1))+1)</f>
        <v>28</v>
      </c>
      <c r="AJ21" s="61">
        <f t="array" ref="AJ21">SUM(IF(ISNUMBER(FIND("TmDo",$BE$1:$AAQ$1)),IF(IFERROR(ISNUMBER(VALUE(SUBSTITUTE($BE21:$AAQ21,"B",""))),FALSE),IF(ISNUMBER(VALUE(SUBSTITUTE($BE21:$AAQ21,"B",""))),1,0),0)))</f>
        <v>2</v>
      </c>
      <c r="AK21" t="str">
        <f t="shared" si="0"/>
        <v>28A</v>
      </c>
      <c r="AL21" t="str">
        <f t="shared" si="1"/>
        <v>28B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2"/>
        <v>XT20</v>
      </c>
      <c r="BF21" t="str">
        <f t="shared" si="3"/>
        <v>C26</v>
      </c>
      <c r="BG21" t="str">
        <f t="shared" si="4"/>
        <v>B26</v>
      </c>
      <c r="BH21" t="str">
        <f t="shared" si="5"/>
        <v>C27</v>
      </c>
      <c r="BI21" t="str">
        <f t="shared" si="6"/>
        <v>B27</v>
      </c>
      <c r="BJ21" t="str">
        <f t="shared" si="7"/>
        <v>C28</v>
      </c>
      <c r="BK21" t="str">
        <f t="shared" si="8"/>
        <v>B28</v>
      </c>
      <c r="BL21" t="str">
        <f t="shared" si="9"/>
        <v>C29</v>
      </c>
      <c r="BM21" t="str">
        <f t="shared" si="10"/>
        <v>B29</v>
      </c>
      <c r="BN21" t="str">
        <f t="shared" si="11"/>
        <v>C30</v>
      </c>
      <c r="BO21" t="str">
        <f t="shared" si="12"/>
        <v>B30</v>
      </c>
      <c r="BP21" t="str">
        <f t="shared" si="13"/>
        <v>29A</v>
      </c>
      <c r="BQ21" t="str">
        <f t="shared" si="14"/>
        <v>29B</v>
      </c>
      <c r="BR21" t="str">
        <f t="shared" si="15"/>
        <v>30A</v>
      </c>
      <c r="BS21" t="str">
        <f t="shared" si="16"/>
        <v>30B</v>
      </c>
      <c r="BT21" t="str">
        <f t="shared" si="17"/>
        <v>DI4-C25</v>
      </c>
      <c r="BU21" t="str">
        <f t="shared" si="18"/>
        <v>DI4-B25</v>
      </c>
      <c r="BV21" t="str">
        <f t="shared" si="49"/>
        <v>DI4-C26</v>
      </c>
      <c r="BW21" t="str">
        <f t="shared" si="49"/>
        <v>DI4-B26</v>
      </c>
      <c r="BX21" t="str">
        <f t="shared" si="49"/>
        <v>DI4-C27</v>
      </c>
      <c r="BY21" t="str">
        <f t="shared" si="49"/>
        <v>DI4-B27</v>
      </c>
      <c r="BZ21" t="str">
        <f t="shared" si="49"/>
        <v>DI4-C28</v>
      </c>
      <c r="CA21" t="str">
        <f t="shared" si="49"/>
        <v>DI4-B28</v>
      </c>
      <c r="CB21" t="str">
        <f t="shared" si="49"/>
        <v>DI4-C29</v>
      </c>
      <c r="CC21" t="str">
        <f t="shared" si="49"/>
        <v>DI4-B29</v>
      </c>
      <c r="CD21" t="str">
        <f t="shared" si="49"/>
        <v>DI4-C30</v>
      </c>
      <c r="CE21" t="str">
        <f t="shared" si="49"/>
        <v>DI4-B30</v>
      </c>
      <c r="CF21" t="str">
        <f t="shared" si="20"/>
        <v>DO2-28A</v>
      </c>
      <c r="CG21" t="str">
        <f t="shared" si="21"/>
        <v>DO2-28B</v>
      </c>
      <c r="CH21" t="str">
        <f t="shared" si="22"/>
        <v>DO2-29A</v>
      </c>
      <c r="CI21" t="str">
        <f t="shared" si="23"/>
        <v>DO2-29B</v>
      </c>
      <c r="CJ21" t="str">
        <f t="shared" si="24"/>
        <v>DO2-30A</v>
      </c>
      <c r="CK21" t="str">
        <f t="shared" si="25"/>
        <v>DO2-30B</v>
      </c>
      <c r="CL21" t="str">
        <f t="shared" si="27"/>
        <v>K20-10</v>
      </c>
      <c r="CM21" t="str">
        <f t="shared" si="28"/>
        <v>K20-03</v>
      </c>
      <c r="CN21" t="str">
        <f t="shared" si="29"/>
        <v>K20-04</v>
      </c>
      <c r="CO21" t="str">
        <f t="shared" si="30"/>
        <v>K20-01</v>
      </c>
      <c r="CP21" t="str">
        <f t="shared" si="31"/>
        <v>K20-08</v>
      </c>
      <c r="CQ21" t="str">
        <f t="shared" si="32"/>
        <v>K20-02</v>
      </c>
      <c r="CR21" t="str">
        <f t="shared" si="33"/>
        <v>K20-09</v>
      </c>
      <c r="CS21" t="str">
        <f t="shared" si="34"/>
        <v>K20-05</v>
      </c>
      <c r="CT21" t="str">
        <f t="shared" si="35"/>
        <v>K20-11</v>
      </c>
      <c r="CU21" t="str">
        <f t="shared" si="36"/>
        <v>F0-M20-A9</v>
      </c>
      <c r="CV21" t="str">
        <f t="shared" si="37"/>
        <v>F0-M20-A7</v>
      </c>
      <c r="CW21" t="str">
        <f t="shared" si="38"/>
        <v>F0-M20-A8</v>
      </c>
      <c r="CX21" t="str">
        <f t="shared" si="39"/>
        <v>F0-M20-A6</v>
      </c>
      <c r="CY21" t="str">
        <f t="shared" si="40"/>
        <v>F0-M20-A30</v>
      </c>
      <c r="CZ21" t="str">
        <f t="shared" si="41"/>
        <v>F0-M20-N</v>
      </c>
      <c r="DA21" t="str">
        <f t="shared" si="26"/>
        <v>F0-A220-M20</v>
      </c>
      <c r="DB21" t="str">
        <f t="shared" si="42"/>
        <v>F0-M20-XM01</v>
      </c>
      <c r="DC21" t="str">
        <f t="shared" si="43"/>
        <v>F0-M20-A1</v>
      </c>
      <c r="DD21" t="str">
        <f t="shared" si="44"/>
        <v>F0-M20-A5</v>
      </c>
      <c r="DE21" t="str">
        <f t="shared" si="45"/>
        <v>F0-M20-A11</v>
      </c>
      <c r="DF21" t="str">
        <f t="shared" si="46"/>
        <v>F0-M20-A12</v>
      </c>
      <c r="DG21" t="str">
        <f t="shared" si="47"/>
        <v>F0-M20-A19</v>
      </c>
      <c r="DH21" t="str">
        <f t="shared" si="48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ht="30" x14ac:dyDescent="0.25">
      <c r="A22" s="29" t="s">
        <v>2233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s="46" t="str">
        <f t="array" ref="AD22">IF(COUNTIFS(AC$2:AC22,AC22)=1,"1",VALUE(SUBSTITUTE(INDEX(AD:AD,_xlfn.XMATCH(AC22,AC$1:AC21,0,-1)),"A",""))+INDEX(AE:AE,_xlfn.XMATCH(AC22,AC$1:AC21,0,-1))+1)</f>
        <v>1</v>
      </c>
      <c r="AE22" s="46">
        <f t="array" ref="AE22">SUM(IF(ISNUMBER(FIND("TmDi",$BE$1:$AAQ$1)),IF(IFERROR(ISNUMBER(VALUE(SUBSTITUTE($BE22:$AAQ22,"B",""))),FALSE),IF(ISNUMBER(VALUE(SUBSTITUTE($BE22:$AAQ22,"B",""))),1,0),0)))</f>
        <v>5</v>
      </c>
      <c r="AF22" t="s">
        <v>133</v>
      </c>
      <c r="AG22" t="s">
        <v>134</v>
      </c>
      <c r="AH22" t="s">
        <v>268</v>
      </c>
      <c r="AI22" s="61" t="str">
        <f t="array" ref="AI22">IF(COUNTIFS(AH$2:AH22,AH22)=1,"1",VALUE(SUBSTITUTE(INDEX(AI:AI,_xlfn.XMATCH(AH22,AH$1:AH21,0,-1)),"A",""))+INDEX(AJ:AJ,_xlfn.XMATCH(AH22,AH$1:AH21,0,-1))+1)</f>
        <v>1</v>
      </c>
      <c r="AJ22" s="61">
        <f t="array" ref="AJ22">SUM(IF(ISNUMBER(FIND("TmDo",$BE$1:$AAQ$1)),IF(IFERROR(ISNUMBER(VALUE(SUBSTITUTE($BE22:$AAQ22,"B",""))),FALSE),IF(ISNUMBER(VALUE(SUBSTITUTE($BE22:$AAQ22,"B",""))),1,0),0)))</f>
        <v>2</v>
      </c>
      <c r="AK22" t="str">
        <f t="shared" si="0"/>
        <v>1A</v>
      </c>
      <c r="AL22" t="str">
        <f t="shared" si="1"/>
        <v>1B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2"/>
        <v>XT21</v>
      </c>
      <c r="BF22" t="str">
        <f t="shared" si="3"/>
        <v>C2</v>
      </c>
      <c r="BG22" t="str">
        <f t="shared" si="4"/>
        <v>B2</v>
      </c>
      <c r="BH22" t="str">
        <f t="shared" si="5"/>
        <v>C3</v>
      </c>
      <c r="BI22" t="str">
        <f t="shared" si="6"/>
        <v>B3</v>
      </c>
      <c r="BJ22" t="str">
        <f t="shared" si="7"/>
        <v>C4</v>
      </c>
      <c r="BK22" t="str">
        <f t="shared" si="8"/>
        <v>B4</v>
      </c>
      <c r="BL22" t="str">
        <f t="shared" si="9"/>
        <v>C5</v>
      </c>
      <c r="BM22" t="str">
        <f t="shared" si="10"/>
        <v>B5</v>
      </c>
      <c r="BN22" t="str">
        <f t="shared" si="11"/>
        <v>C6</v>
      </c>
      <c r="BO22" t="str">
        <f t="shared" si="12"/>
        <v>B6</v>
      </c>
      <c r="BP22" t="str">
        <f t="shared" si="13"/>
        <v>2A</v>
      </c>
      <c r="BQ22" t="str">
        <f t="shared" si="14"/>
        <v>2B</v>
      </c>
      <c r="BR22" t="str">
        <f t="shared" si="15"/>
        <v>3A</v>
      </c>
      <c r="BS22" t="str">
        <f t="shared" si="16"/>
        <v>3B</v>
      </c>
      <c r="BT22" t="str">
        <f t="shared" si="17"/>
        <v>DI5-C1</v>
      </c>
      <c r="BU22" t="str">
        <f t="shared" si="18"/>
        <v>DI5-B1</v>
      </c>
      <c r="BV22" t="str">
        <f t="shared" si="49"/>
        <v>DI5-C2</v>
      </c>
      <c r="BW22" t="str">
        <f t="shared" si="49"/>
        <v>DI5-B2</v>
      </c>
      <c r="BX22" t="str">
        <f t="shared" si="49"/>
        <v>DI5-C3</v>
      </c>
      <c r="BY22" t="str">
        <f t="shared" si="49"/>
        <v>DI5-B3</v>
      </c>
      <c r="BZ22" t="str">
        <f t="shared" si="49"/>
        <v>DI5-C4</v>
      </c>
      <c r="CA22" t="str">
        <f t="shared" si="49"/>
        <v>DI5-B4</v>
      </c>
      <c r="CB22" t="str">
        <f t="shared" si="49"/>
        <v>DI5-C5</v>
      </c>
      <c r="CC22" t="str">
        <f t="shared" si="49"/>
        <v>DI5-B5</v>
      </c>
      <c r="CD22" t="str">
        <f t="shared" si="49"/>
        <v>DI5-C6</v>
      </c>
      <c r="CE22" t="str">
        <f t="shared" si="49"/>
        <v>DI5-B6</v>
      </c>
      <c r="CF22" t="str">
        <f t="shared" si="20"/>
        <v>DO3-1A</v>
      </c>
      <c r="CG22" t="str">
        <f t="shared" si="21"/>
        <v>DO3-1B</v>
      </c>
      <c r="CH22" t="str">
        <f t="shared" si="22"/>
        <v>DO3-2A</v>
      </c>
      <c r="CI22" t="str">
        <f t="shared" si="23"/>
        <v>DO3-2B</v>
      </c>
      <c r="CJ22" t="str">
        <f t="shared" si="24"/>
        <v>DO3-3A</v>
      </c>
      <c r="CK22" t="str">
        <f t="shared" si="25"/>
        <v>DO3-3B</v>
      </c>
      <c r="CL22" t="str">
        <f t="shared" si="27"/>
        <v>K21-10</v>
      </c>
      <c r="CM22" t="str">
        <f t="shared" si="28"/>
        <v>K21-03</v>
      </c>
      <c r="CN22" t="str">
        <f t="shared" si="29"/>
        <v>K21-04</v>
      </c>
      <c r="CO22" t="str">
        <f t="shared" si="30"/>
        <v>K21-01</v>
      </c>
      <c r="CP22" t="str">
        <f t="shared" si="31"/>
        <v>K21-08</v>
      </c>
      <c r="CQ22" t="str">
        <f t="shared" si="32"/>
        <v>K21-02</v>
      </c>
      <c r="CR22" t="str">
        <f t="shared" si="33"/>
        <v>K21-09</v>
      </c>
      <c r="CS22" t="str">
        <f t="shared" si="34"/>
        <v>K21-05</v>
      </c>
      <c r="CT22" t="str">
        <f t="shared" si="35"/>
        <v>K21-11</v>
      </c>
      <c r="CU22" t="str">
        <f t="shared" si="36"/>
        <v>F0-M21-A9</v>
      </c>
      <c r="CV22" t="str">
        <f t="shared" si="37"/>
        <v>F0-M21-A7</v>
      </c>
      <c r="CW22" t="str">
        <f t="shared" si="38"/>
        <v>F0-M21-A8</v>
      </c>
      <c r="CX22" t="str">
        <f t="shared" si="39"/>
        <v>F0-M21-A6</v>
      </c>
      <c r="CY22" t="str">
        <f t="shared" si="40"/>
        <v>F0-M21-A30</v>
      </c>
      <c r="CZ22" t="str">
        <f t="shared" si="41"/>
        <v>F0-M21-N</v>
      </c>
      <c r="DA22" t="str">
        <f t="shared" si="26"/>
        <v>F0-A220-M21</v>
      </c>
      <c r="DB22" t="str">
        <f t="shared" si="42"/>
        <v>F0-M21-XM01</v>
      </c>
      <c r="DC22" t="str">
        <f t="shared" si="43"/>
        <v>F0-M21-A1</v>
      </c>
      <c r="DD22" t="str">
        <f t="shared" si="44"/>
        <v>F0-M21-A5</v>
      </c>
      <c r="DE22" t="str">
        <f t="shared" si="45"/>
        <v>F0-M21-A11</v>
      </c>
      <c r="DF22" t="str">
        <f t="shared" si="46"/>
        <v>F0-M21-A12</v>
      </c>
      <c r="DG22" t="str">
        <f t="shared" si="47"/>
        <v>F0-M21-A19</v>
      </c>
      <c r="DH22" t="str">
        <f t="shared" si="48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ht="30" x14ac:dyDescent="0.25">
      <c r="A23" s="29" t="s">
        <v>2234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s="46">
        <f t="array" ref="AD23">IF(COUNTIFS(AC$2:AC23,AC23)=1,"1",VALUE(SUBSTITUTE(INDEX(AD:AD,_xlfn.XMATCH(AC23,AC$1:AC22,0,-1)),"A",""))+INDEX(AE:AE,_xlfn.XMATCH(AC23,AC$1:AC22,0,-1))+1)</f>
        <v>7</v>
      </c>
      <c r="AE23" s="46">
        <f t="array" ref="AE23">SUM(IF(ISNUMBER(FIND("TmDi",$BE$1:$AAQ$1)),IF(IFERROR(ISNUMBER(VALUE(SUBSTITUTE($BE23:$AAQ23,"B",""))),FALSE),IF(ISNUMBER(VALUE(SUBSTITUTE($BE23:$AAQ23,"B",""))),1,0),0)))</f>
        <v>5</v>
      </c>
      <c r="AF23" t="s">
        <v>148</v>
      </c>
      <c r="AG23" t="s">
        <v>149</v>
      </c>
      <c r="AH23" t="s">
        <v>268</v>
      </c>
      <c r="AI23" s="61">
        <f t="array" ref="AI23">IF(COUNTIFS(AH$2:AH23,AH23)=1,"1",VALUE(SUBSTITUTE(INDEX(AI:AI,_xlfn.XMATCH(AH23,AH$1:AH22,0,-1)),"A",""))+INDEX(AJ:AJ,_xlfn.XMATCH(AH23,AH$1:AH22,0,-1))+1)</f>
        <v>4</v>
      </c>
      <c r="AJ23" s="61">
        <f t="array" ref="AJ23">SUM(IF(ISNUMBER(FIND("TmDo",$BE$1:$AAQ$1)),IF(IFERROR(ISNUMBER(VALUE(SUBSTITUTE($BE23:$AAQ23,"B",""))),FALSE),IF(ISNUMBER(VALUE(SUBSTITUTE($BE23:$AAQ23,"B",""))),1,0),0)))</f>
        <v>2</v>
      </c>
      <c r="AK23" t="str">
        <f t="shared" si="0"/>
        <v>4A</v>
      </c>
      <c r="AL23" t="str">
        <f t="shared" si="1"/>
        <v>4B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2"/>
        <v>XT22</v>
      </c>
      <c r="BF23" t="str">
        <f t="shared" si="3"/>
        <v>C8</v>
      </c>
      <c r="BG23" t="str">
        <f t="shared" si="4"/>
        <v>B8</v>
      </c>
      <c r="BH23" t="str">
        <f t="shared" si="5"/>
        <v>C9</v>
      </c>
      <c r="BI23" t="str">
        <f t="shared" si="6"/>
        <v>B9</v>
      </c>
      <c r="BJ23" t="str">
        <f t="shared" si="7"/>
        <v>C10</v>
      </c>
      <c r="BK23" t="str">
        <f t="shared" si="8"/>
        <v>B10</v>
      </c>
      <c r="BL23" t="str">
        <f t="shared" si="9"/>
        <v>C11</v>
      </c>
      <c r="BM23" t="str">
        <f t="shared" si="10"/>
        <v>B11</v>
      </c>
      <c r="BN23" t="str">
        <f t="shared" si="11"/>
        <v>C12</v>
      </c>
      <c r="BO23" t="str">
        <f t="shared" si="12"/>
        <v>B12</v>
      </c>
      <c r="BP23" t="str">
        <f t="shared" si="13"/>
        <v>5A</v>
      </c>
      <c r="BQ23" t="str">
        <f t="shared" si="14"/>
        <v>5B</v>
      </c>
      <c r="BR23" t="str">
        <f t="shared" si="15"/>
        <v>6A</v>
      </c>
      <c r="BS23" t="str">
        <f t="shared" si="16"/>
        <v>6B</v>
      </c>
      <c r="BT23" t="str">
        <f t="shared" si="17"/>
        <v>DI5-C7</v>
      </c>
      <c r="BU23" t="str">
        <f t="shared" si="18"/>
        <v>DI5-B7</v>
      </c>
      <c r="BV23" t="str">
        <f t="shared" si="49"/>
        <v>DI5-C8</v>
      </c>
      <c r="BW23" t="str">
        <f t="shared" si="49"/>
        <v>DI5-B8</v>
      </c>
      <c r="BX23" t="str">
        <f t="shared" si="49"/>
        <v>DI5-C9</v>
      </c>
      <c r="BY23" t="str">
        <f t="shared" si="49"/>
        <v>DI5-B9</v>
      </c>
      <c r="BZ23" t="str">
        <f t="shared" si="49"/>
        <v>DI5-C10</v>
      </c>
      <c r="CA23" t="str">
        <f t="shared" si="49"/>
        <v>DI5-B10</v>
      </c>
      <c r="CB23" t="str">
        <f t="shared" si="49"/>
        <v>DI5-C11</v>
      </c>
      <c r="CC23" t="str">
        <f t="shared" si="49"/>
        <v>DI5-B11</v>
      </c>
      <c r="CD23" t="str">
        <f t="shared" si="49"/>
        <v>DI5-C12</v>
      </c>
      <c r="CE23" t="str">
        <f t="shared" si="49"/>
        <v>DI5-B12</v>
      </c>
      <c r="CF23" t="str">
        <f t="shared" si="20"/>
        <v>DO3-4A</v>
      </c>
      <c r="CG23" t="str">
        <f t="shared" si="21"/>
        <v>DO3-4B</v>
      </c>
      <c r="CH23" t="str">
        <f t="shared" si="22"/>
        <v>DO3-5A</v>
      </c>
      <c r="CI23" t="str">
        <f t="shared" si="23"/>
        <v>DO3-5B</v>
      </c>
      <c r="CJ23" t="str">
        <f t="shared" si="24"/>
        <v>DO3-6A</v>
      </c>
      <c r="CK23" t="str">
        <f t="shared" si="25"/>
        <v>DO3-6B</v>
      </c>
      <c r="CL23" t="str">
        <f t="shared" si="27"/>
        <v>K22-10</v>
      </c>
      <c r="CM23" t="str">
        <f t="shared" si="28"/>
        <v>K22-03</v>
      </c>
      <c r="CN23" t="str">
        <f t="shared" si="29"/>
        <v>K22-04</v>
      </c>
      <c r="CO23" t="str">
        <f t="shared" si="30"/>
        <v>K22-01</v>
      </c>
      <c r="CP23" t="str">
        <f t="shared" si="31"/>
        <v>K22-08</v>
      </c>
      <c r="CQ23" t="str">
        <f t="shared" si="32"/>
        <v>K22-02</v>
      </c>
      <c r="CR23" t="str">
        <f t="shared" si="33"/>
        <v>K22-09</v>
      </c>
      <c r="CS23" t="str">
        <f t="shared" si="34"/>
        <v>K22-05</v>
      </c>
      <c r="CT23" t="str">
        <f t="shared" si="35"/>
        <v>K22-11</v>
      </c>
      <c r="CU23" t="str">
        <f t="shared" si="36"/>
        <v>F0-M22-A9</v>
      </c>
      <c r="CV23" t="str">
        <f t="shared" si="37"/>
        <v>F0-M22-A7</v>
      </c>
      <c r="CW23" t="str">
        <f t="shared" si="38"/>
        <v>F0-M22-A8</v>
      </c>
      <c r="CX23" t="str">
        <f t="shared" si="39"/>
        <v>F0-M22-A6</v>
      </c>
      <c r="CY23" t="str">
        <f t="shared" si="40"/>
        <v>F0-M22-A30</v>
      </c>
      <c r="CZ23" t="str">
        <f t="shared" si="41"/>
        <v>F0-M22-N</v>
      </c>
      <c r="DA23" t="str">
        <f t="shared" si="26"/>
        <v>F0-A220-M22</v>
      </c>
      <c r="DB23" t="str">
        <f t="shared" si="42"/>
        <v>F0-M22-XM01</v>
      </c>
      <c r="DC23" t="str">
        <f t="shared" si="43"/>
        <v>F0-M22-A1</v>
      </c>
      <c r="DD23" t="str">
        <f t="shared" si="44"/>
        <v>F0-M22-A5</v>
      </c>
      <c r="DE23" t="str">
        <f t="shared" si="45"/>
        <v>F0-M22-A11</v>
      </c>
      <c r="DF23" t="str">
        <f t="shared" si="46"/>
        <v>F0-M22-A12</v>
      </c>
      <c r="DG23" t="str">
        <f t="shared" si="47"/>
        <v>F0-M22-A19</v>
      </c>
      <c r="DH23" t="str">
        <f t="shared" si="48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ht="30" x14ac:dyDescent="0.25">
      <c r="A24" s="29" t="s">
        <v>2235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s="46">
        <f t="array" ref="AD24">IF(COUNTIFS(AC$2:AC24,AC24)=1,"1",VALUE(SUBSTITUTE(INDEX(AD:AD,_xlfn.XMATCH(AC24,AC$1:AC23,0,-1)),"A",""))+INDEX(AE:AE,_xlfn.XMATCH(AC24,AC$1:AC23,0,-1))+1)</f>
        <v>13</v>
      </c>
      <c r="AE24" s="46">
        <f t="array" ref="AE24">SUM(IF(ISNUMBER(FIND("TmDi",$BE$1:$AAQ$1)),IF(IFERROR(ISNUMBER(VALUE(SUBSTITUTE($BE24:$AAQ24,"B",""))),FALSE),IF(ISNUMBER(VALUE(SUBSTITUTE($BE24:$AAQ24,"B",""))),1,0),0)))</f>
        <v>5</v>
      </c>
      <c r="AF24" t="s">
        <v>153</v>
      </c>
      <c r="AG24" t="s">
        <v>154</v>
      </c>
      <c r="AH24" t="s">
        <v>268</v>
      </c>
      <c r="AI24" s="61">
        <f t="array" ref="AI24">IF(COUNTIFS(AH$2:AH24,AH24)=1,"1",VALUE(SUBSTITUTE(INDEX(AI:AI,_xlfn.XMATCH(AH24,AH$1:AH23,0,-1)),"A",""))+INDEX(AJ:AJ,_xlfn.XMATCH(AH24,AH$1:AH23,0,-1))+1)</f>
        <v>7</v>
      </c>
      <c r="AJ24" s="61">
        <f t="array" ref="AJ24">SUM(IF(ISNUMBER(FIND("TmDo",$BE$1:$AAQ$1)),IF(IFERROR(ISNUMBER(VALUE(SUBSTITUTE($BE24:$AAQ24,"B",""))),FALSE),IF(ISNUMBER(VALUE(SUBSTITUTE($BE24:$AAQ24,"B",""))),1,0),0)))</f>
        <v>2</v>
      </c>
      <c r="AK24" t="str">
        <f t="shared" si="0"/>
        <v>7A</v>
      </c>
      <c r="AL24" t="str">
        <f t="shared" si="1"/>
        <v>7B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2"/>
        <v>XT23</v>
      </c>
      <c r="BF24" t="str">
        <f t="shared" si="3"/>
        <v>C14</v>
      </c>
      <c r="BG24" t="str">
        <f t="shared" si="4"/>
        <v>B14</v>
      </c>
      <c r="BH24" t="str">
        <f t="shared" si="5"/>
        <v>C15</v>
      </c>
      <c r="BI24" t="str">
        <f t="shared" si="6"/>
        <v>B15</v>
      </c>
      <c r="BJ24" t="str">
        <f t="shared" si="7"/>
        <v>C16</v>
      </c>
      <c r="BK24" t="str">
        <f t="shared" si="8"/>
        <v>B16</v>
      </c>
      <c r="BL24" t="str">
        <f t="shared" si="9"/>
        <v>C17</v>
      </c>
      <c r="BM24" t="str">
        <f t="shared" si="10"/>
        <v>B17</v>
      </c>
      <c r="BN24" t="str">
        <f t="shared" si="11"/>
        <v>C18</v>
      </c>
      <c r="BO24" t="str">
        <f t="shared" si="12"/>
        <v>B18</v>
      </c>
      <c r="BP24" t="str">
        <f t="shared" si="13"/>
        <v>8A</v>
      </c>
      <c r="BQ24" t="str">
        <f t="shared" si="14"/>
        <v>8B</v>
      </c>
      <c r="BR24" t="str">
        <f t="shared" si="15"/>
        <v>9A</v>
      </c>
      <c r="BS24" t="str">
        <f t="shared" si="16"/>
        <v>9B</v>
      </c>
      <c r="BT24" t="str">
        <f t="shared" si="17"/>
        <v>DI5-C13</v>
      </c>
      <c r="BU24" t="str">
        <f t="shared" si="18"/>
        <v>DI5-B13</v>
      </c>
      <c r="BV24" t="str">
        <f t="shared" si="49"/>
        <v>DI5-C14</v>
      </c>
      <c r="BW24" t="str">
        <f t="shared" si="49"/>
        <v>DI5-B14</v>
      </c>
      <c r="BX24" t="str">
        <f t="shared" si="49"/>
        <v>DI5-C15</v>
      </c>
      <c r="BY24" t="str">
        <f t="shared" si="49"/>
        <v>DI5-B15</v>
      </c>
      <c r="BZ24" t="str">
        <f t="shared" si="49"/>
        <v>DI5-C16</v>
      </c>
      <c r="CA24" t="str">
        <f t="shared" si="49"/>
        <v>DI5-B16</v>
      </c>
      <c r="CB24" t="str">
        <f t="shared" si="49"/>
        <v>DI5-C17</v>
      </c>
      <c r="CC24" t="str">
        <f t="shared" si="49"/>
        <v>DI5-B17</v>
      </c>
      <c r="CD24" t="str">
        <f t="shared" si="49"/>
        <v>DI5-C18</v>
      </c>
      <c r="CE24" t="str">
        <f t="shared" si="49"/>
        <v>DI5-B18</v>
      </c>
      <c r="CF24" t="str">
        <f t="shared" si="20"/>
        <v>DO3-7A</v>
      </c>
      <c r="CG24" t="str">
        <f t="shared" si="21"/>
        <v>DO3-7B</v>
      </c>
      <c r="CH24" t="str">
        <f t="shared" si="22"/>
        <v>DO3-8A</v>
      </c>
      <c r="CI24" t="str">
        <f t="shared" si="23"/>
        <v>DO3-8B</v>
      </c>
      <c r="CJ24" t="str">
        <f t="shared" si="24"/>
        <v>DO3-9A</v>
      </c>
      <c r="CK24" t="str">
        <f t="shared" si="25"/>
        <v>DO3-9B</v>
      </c>
      <c r="CL24" t="str">
        <f t="shared" si="27"/>
        <v>K23-10</v>
      </c>
      <c r="CM24" t="str">
        <f t="shared" si="28"/>
        <v>K23-03</v>
      </c>
      <c r="CN24" t="str">
        <f t="shared" si="29"/>
        <v>K23-04</v>
      </c>
      <c r="CO24" t="str">
        <f t="shared" si="30"/>
        <v>K23-01</v>
      </c>
      <c r="CP24" t="str">
        <f t="shared" si="31"/>
        <v>K23-08</v>
      </c>
      <c r="CQ24" t="str">
        <f t="shared" si="32"/>
        <v>K23-02</v>
      </c>
      <c r="CR24" t="str">
        <f t="shared" si="33"/>
        <v>K23-09</v>
      </c>
      <c r="CS24" t="str">
        <f t="shared" si="34"/>
        <v>K23-05</v>
      </c>
      <c r="CT24" t="str">
        <f t="shared" si="35"/>
        <v>K23-11</v>
      </c>
      <c r="CU24" t="str">
        <f t="shared" si="36"/>
        <v>F0-M23-A9</v>
      </c>
      <c r="CV24" t="str">
        <f t="shared" si="37"/>
        <v>F0-M23-A7</v>
      </c>
      <c r="CW24" t="str">
        <f t="shared" si="38"/>
        <v>F0-M23-A8</v>
      </c>
      <c r="CX24" t="str">
        <f t="shared" si="39"/>
        <v>F0-M23-A6</v>
      </c>
      <c r="CY24" t="str">
        <f t="shared" si="40"/>
        <v>F0-M23-A30</v>
      </c>
      <c r="CZ24" t="str">
        <f t="shared" si="41"/>
        <v>F0-M23-N</v>
      </c>
      <c r="DA24" t="str">
        <f t="shared" si="26"/>
        <v>F0-A220-M23</v>
      </c>
      <c r="DB24" t="str">
        <f t="shared" si="42"/>
        <v>F0-M23-XM01</v>
      </c>
      <c r="DC24" t="str">
        <f t="shared" si="43"/>
        <v>F0-M23-A1</v>
      </c>
      <c r="DD24" t="str">
        <f t="shared" si="44"/>
        <v>F0-M23-A5</v>
      </c>
      <c r="DE24" t="str">
        <f t="shared" si="45"/>
        <v>F0-M23-A11</v>
      </c>
      <c r="DF24" t="str">
        <f t="shared" si="46"/>
        <v>F0-M23-A12</v>
      </c>
      <c r="DG24" t="str">
        <f t="shared" si="47"/>
        <v>F0-M23-A19</v>
      </c>
      <c r="DH24" t="str">
        <f t="shared" si="48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ht="30" x14ac:dyDescent="0.25">
      <c r="A25" s="29" t="s">
        <v>2236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s="46">
        <f t="array" ref="AD25">IF(COUNTIFS(AC$2:AC25,AC25)=1,"1",VALUE(SUBSTITUTE(INDEX(AD:AD,_xlfn.XMATCH(AC25,AC$1:AC24,0,-1)),"A",""))+INDEX(AE:AE,_xlfn.XMATCH(AC25,AC$1:AC24,0,-1))+1)</f>
        <v>19</v>
      </c>
      <c r="AE25" s="46">
        <f t="array" ref="AE25">SUM(IF(ISNUMBER(FIND("TmDi",$BE$1:$AAQ$1)),IF(IFERROR(ISNUMBER(VALUE(SUBSTITUTE($BE25:$AAQ25,"B",""))),FALSE),IF(ISNUMBER(VALUE(SUBSTITUTE($BE25:$AAQ25,"B",""))),1,0),0)))</f>
        <v>5</v>
      </c>
      <c r="AF25" t="s">
        <v>239</v>
      </c>
      <c r="AG25" t="s">
        <v>241</v>
      </c>
      <c r="AH25" t="s">
        <v>268</v>
      </c>
      <c r="AI25" s="61">
        <f t="array" ref="AI25">IF(COUNTIFS(AH$2:AH25,AH25)=1,"1",VALUE(SUBSTITUTE(INDEX(AI:AI,_xlfn.XMATCH(AH25,AH$1:AH24,0,-1)),"A",""))+INDEX(AJ:AJ,_xlfn.XMATCH(AH25,AH$1:AH24,0,-1))+1)</f>
        <v>10</v>
      </c>
      <c r="AJ25" s="61">
        <f t="array" ref="AJ25">SUM(IF(ISNUMBER(FIND("TmDo",$BE$1:$AAQ$1)),IF(IFERROR(ISNUMBER(VALUE(SUBSTITUTE($BE25:$AAQ25,"B",""))),FALSE),IF(ISNUMBER(VALUE(SUBSTITUTE($BE25:$AAQ25,"B",""))),1,0),0)))</f>
        <v>2</v>
      </c>
      <c r="AK25" t="str">
        <f t="shared" si="0"/>
        <v>10A</v>
      </c>
      <c r="AL25" t="str">
        <f t="shared" si="1"/>
        <v>10B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2"/>
        <v>XT24</v>
      </c>
      <c r="BF25" t="str">
        <f t="shared" si="3"/>
        <v>C20</v>
      </c>
      <c r="BG25" t="str">
        <f t="shared" si="4"/>
        <v>B20</v>
      </c>
      <c r="BH25" t="str">
        <f t="shared" si="5"/>
        <v>C21</v>
      </c>
      <c r="BI25" t="str">
        <f t="shared" si="6"/>
        <v>B21</v>
      </c>
      <c r="BJ25" t="str">
        <f t="shared" si="7"/>
        <v>C22</v>
      </c>
      <c r="BK25" t="str">
        <f t="shared" si="8"/>
        <v>B22</v>
      </c>
      <c r="BL25" t="str">
        <f t="shared" si="9"/>
        <v>C23</v>
      </c>
      <c r="BM25" t="str">
        <f t="shared" si="10"/>
        <v>B23</v>
      </c>
      <c r="BN25" t="str">
        <f t="shared" si="11"/>
        <v>C24</v>
      </c>
      <c r="BO25" t="str">
        <f t="shared" si="12"/>
        <v>B24</v>
      </c>
      <c r="BP25" t="str">
        <f t="shared" si="13"/>
        <v>11A</v>
      </c>
      <c r="BQ25" t="str">
        <f t="shared" si="14"/>
        <v>11B</v>
      </c>
      <c r="BR25" t="str">
        <f t="shared" si="15"/>
        <v>12A</v>
      </c>
      <c r="BS25" t="str">
        <f t="shared" si="16"/>
        <v>12B</v>
      </c>
      <c r="BT25" t="str">
        <f t="shared" si="17"/>
        <v>DI5-C19</v>
      </c>
      <c r="BU25" t="str">
        <f t="shared" si="18"/>
        <v>DI5-B19</v>
      </c>
      <c r="BV25" t="str">
        <f t="shared" si="49"/>
        <v>DI5-C20</v>
      </c>
      <c r="BW25" t="str">
        <f t="shared" si="49"/>
        <v>DI5-B20</v>
      </c>
      <c r="BX25" t="str">
        <f t="shared" si="49"/>
        <v>DI5-C21</v>
      </c>
      <c r="BY25" t="str">
        <f t="shared" si="49"/>
        <v>DI5-B21</v>
      </c>
      <c r="BZ25" t="str">
        <f t="shared" si="49"/>
        <v>DI5-C22</v>
      </c>
      <c r="CA25" t="str">
        <f t="shared" si="49"/>
        <v>DI5-B22</v>
      </c>
      <c r="CB25" t="str">
        <f t="shared" si="49"/>
        <v>DI5-C23</v>
      </c>
      <c r="CC25" t="str">
        <f t="shared" si="49"/>
        <v>DI5-B23</v>
      </c>
      <c r="CD25" t="str">
        <f t="shared" si="49"/>
        <v>DI5-C24</v>
      </c>
      <c r="CE25" t="str">
        <f t="shared" si="49"/>
        <v>DI5-B24</v>
      </c>
      <c r="CF25" t="str">
        <f t="shared" si="20"/>
        <v>DO3-10A</v>
      </c>
      <c r="CG25" t="str">
        <f t="shared" si="21"/>
        <v>DO3-10B</v>
      </c>
      <c r="CH25" t="str">
        <f t="shared" si="22"/>
        <v>DO3-11A</v>
      </c>
      <c r="CI25" t="str">
        <f t="shared" si="23"/>
        <v>DO3-11B</v>
      </c>
      <c r="CJ25" t="str">
        <f t="shared" si="24"/>
        <v>DO3-12A</v>
      </c>
      <c r="CK25" t="str">
        <f t="shared" si="25"/>
        <v>DO3-12B</v>
      </c>
      <c r="CL25" t="str">
        <f t="shared" si="27"/>
        <v>K24-10</v>
      </c>
      <c r="CM25" t="str">
        <f t="shared" si="28"/>
        <v>K24-03</v>
      </c>
      <c r="CN25" t="str">
        <f t="shared" si="29"/>
        <v>K24-04</v>
      </c>
      <c r="CO25" t="str">
        <f t="shared" si="30"/>
        <v>K24-01</v>
      </c>
      <c r="CP25" t="str">
        <f t="shared" si="31"/>
        <v>K24-08</v>
      </c>
      <c r="CQ25" t="str">
        <f t="shared" si="32"/>
        <v>K24-02</v>
      </c>
      <c r="CR25" t="str">
        <f t="shared" si="33"/>
        <v>K24-09</v>
      </c>
      <c r="CS25" t="str">
        <f t="shared" si="34"/>
        <v>K24-05</v>
      </c>
      <c r="CT25" t="str">
        <f t="shared" si="35"/>
        <v>K24-11</v>
      </c>
      <c r="CU25" t="str">
        <f t="shared" si="36"/>
        <v>F0-M24-A9</v>
      </c>
      <c r="CV25" t="str">
        <f t="shared" si="37"/>
        <v>F0-M24-A7</v>
      </c>
      <c r="CW25" t="str">
        <f t="shared" si="38"/>
        <v>F0-M24-A8</v>
      </c>
      <c r="CX25" t="str">
        <f t="shared" si="39"/>
        <v>F0-M24-A6</v>
      </c>
      <c r="CY25" t="str">
        <f t="shared" si="40"/>
        <v>F0-M24-A30</v>
      </c>
      <c r="CZ25" t="str">
        <f t="shared" si="41"/>
        <v>F0-M24-N</v>
      </c>
      <c r="DA25" t="str">
        <f t="shared" si="26"/>
        <v>F0-A220-M24</v>
      </c>
      <c r="DB25" t="str">
        <f t="shared" si="42"/>
        <v>F0-M24-XM01</v>
      </c>
      <c r="DC25" t="str">
        <f t="shared" si="43"/>
        <v>F0-M24-A1</v>
      </c>
      <c r="DD25" t="str">
        <f t="shared" si="44"/>
        <v>F0-M24-A5</v>
      </c>
      <c r="DE25" t="str">
        <f t="shared" si="45"/>
        <v>F0-M24-A11</v>
      </c>
      <c r="DF25" t="str">
        <f t="shared" si="46"/>
        <v>F0-M24-A12</v>
      </c>
      <c r="DG25" t="str">
        <f t="shared" si="47"/>
        <v>F0-M24-A19</v>
      </c>
      <c r="DH25" t="str">
        <f t="shared" si="48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ht="30" x14ac:dyDescent="0.25">
      <c r="A26" s="29" t="s">
        <v>2237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s="46">
        <f t="array" ref="AD26">IF(COUNTIFS(AC$2:AC26,AC26)=1,"1",VALUE(SUBSTITUTE(INDEX(AD:AD,_xlfn.XMATCH(AC26,AC$1:AC25,0,-1)),"A",""))+INDEX(AE:AE,_xlfn.XMATCH(AC26,AC$1:AC25,0,-1))+1)</f>
        <v>25</v>
      </c>
      <c r="AE26" s="46">
        <f t="array" ref="AE26">SUM(IF(ISNUMBER(FIND("TmDi",$BE$1:$AAQ$1)),IF(IFERROR(ISNUMBER(VALUE(SUBSTITUTE($BE26:$AAQ26,"B",""))),FALSE),IF(ISNUMBER(VALUE(SUBSTITUTE($BE26:$AAQ26,"B",""))),1,0),0)))</f>
        <v>5</v>
      </c>
      <c r="AF26" t="s">
        <v>240</v>
      </c>
      <c r="AG26" t="s">
        <v>242</v>
      </c>
      <c r="AH26" t="s">
        <v>268</v>
      </c>
      <c r="AI26" s="61">
        <f t="array" ref="AI26">IF(COUNTIFS(AH$2:AH26,AH26)=1,"1",VALUE(SUBSTITUTE(INDEX(AI:AI,_xlfn.XMATCH(AH26,AH$1:AH25,0,-1)),"A",""))+INDEX(AJ:AJ,_xlfn.XMATCH(AH26,AH$1:AH25,0,-1))+1)</f>
        <v>13</v>
      </c>
      <c r="AJ26" s="61">
        <f t="array" ref="AJ26">SUM(IF(ISNUMBER(FIND("TmDo",$BE$1:$AAQ$1)),IF(IFERROR(ISNUMBER(VALUE(SUBSTITUTE($BE26:$AAQ26,"B",""))),FALSE),IF(ISNUMBER(VALUE(SUBSTITUTE($BE26:$AAQ26,"B",""))),1,0),0)))</f>
        <v>2</v>
      </c>
      <c r="AK26" t="str">
        <f t="shared" si="0"/>
        <v>13A</v>
      </c>
      <c r="AL26" t="str">
        <f t="shared" si="1"/>
        <v>13B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2"/>
        <v>XT25</v>
      </c>
      <c r="BF26" t="str">
        <f t="shared" si="3"/>
        <v>C26</v>
      </c>
      <c r="BG26" t="str">
        <f t="shared" si="4"/>
        <v>B26</v>
      </c>
      <c r="BH26" t="str">
        <f t="shared" si="5"/>
        <v>C27</v>
      </c>
      <c r="BI26" t="str">
        <f t="shared" si="6"/>
        <v>B27</v>
      </c>
      <c r="BJ26" t="str">
        <f t="shared" si="7"/>
        <v>C28</v>
      </c>
      <c r="BK26" t="str">
        <f t="shared" si="8"/>
        <v>B28</v>
      </c>
      <c r="BL26" t="str">
        <f t="shared" si="9"/>
        <v>C29</v>
      </c>
      <c r="BM26" t="str">
        <f t="shared" si="10"/>
        <v>B29</v>
      </c>
      <c r="BN26" t="str">
        <f t="shared" si="11"/>
        <v>C30</v>
      </c>
      <c r="BO26" t="str">
        <f t="shared" si="12"/>
        <v>B30</v>
      </c>
      <c r="BP26" t="str">
        <f t="shared" si="13"/>
        <v>14A</v>
      </c>
      <c r="BQ26" t="str">
        <f t="shared" si="14"/>
        <v>14B</v>
      </c>
      <c r="BR26" t="str">
        <f t="shared" si="15"/>
        <v>15A</v>
      </c>
      <c r="BS26" t="str">
        <f t="shared" si="16"/>
        <v>15B</v>
      </c>
      <c r="BT26" t="str">
        <f t="shared" si="17"/>
        <v>DI5-C25</v>
      </c>
      <c r="BU26" t="str">
        <f t="shared" si="18"/>
        <v>DI5-B25</v>
      </c>
      <c r="BV26" t="str">
        <f t="shared" si="49"/>
        <v>DI5-C26</v>
      </c>
      <c r="BW26" t="str">
        <f t="shared" si="49"/>
        <v>DI5-B26</v>
      </c>
      <c r="BX26" t="str">
        <f t="shared" si="49"/>
        <v>DI5-C27</v>
      </c>
      <c r="BY26" t="str">
        <f t="shared" si="49"/>
        <v>DI5-B27</v>
      </c>
      <c r="BZ26" t="str">
        <f t="shared" si="49"/>
        <v>DI5-C28</v>
      </c>
      <c r="CA26" t="str">
        <f t="shared" si="49"/>
        <v>DI5-B28</v>
      </c>
      <c r="CB26" t="str">
        <f t="shared" si="49"/>
        <v>DI5-C29</v>
      </c>
      <c r="CC26" t="str">
        <f t="shared" si="49"/>
        <v>DI5-B29</v>
      </c>
      <c r="CD26" t="str">
        <f t="shared" si="49"/>
        <v>DI5-C30</v>
      </c>
      <c r="CE26" t="str">
        <f t="shared" si="49"/>
        <v>DI5-B30</v>
      </c>
      <c r="CF26" t="str">
        <f t="shared" si="20"/>
        <v>DO3-13A</v>
      </c>
      <c r="CG26" t="str">
        <f t="shared" si="21"/>
        <v>DO3-13B</v>
      </c>
      <c r="CH26" t="str">
        <f t="shared" si="22"/>
        <v>DO3-14A</v>
      </c>
      <c r="CI26" t="str">
        <f t="shared" si="23"/>
        <v>DO3-14B</v>
      </c>
      <c r="CJ26" t="str">
        <f t="shared" si="24"/>
        <v>DO3-15A</v>
      </c>
      <c r="CK26" t="str">
        <f t="shared" si="25"/>
        <v>DO3-15B</v>
      </c>
      <c r="CL26" t="str">
        <f t="shared" si="27"/>
        <v>K25-10</v>
      </c>
      <c r="CM26" t="str">
        <f t="shared" si="28"/>
        <v>K25-03</v>
      </c>
      <c r="CN26" t="str">
        <f t="shared" si="29"/>
        <v>K25-04</v>
      </c>
      <c r="CO26" t="str">
        <f t="shared" si="30"/>
        <v>K25-01</v>
      </c>
      <c r="CP26" t="str">
        <f t="shared" si="31"/>
        <v>K25-08</v>
      </c>
      <c r="CQ26" t="str">
        <f t="shared" si="32"/>
        <v>K25-02</v>
      </c>
      <c r="CR26" t="str">
        <f t="shared" si="33"/>
        <v>K25-09</v>
      </c>
      <c r="CS26" t="str">
        <f t="shared" si="34"/>
        <v>K25-05</v>
      </c>
      <c r="CT26" t="str">
        <f t="shared" si="35"/>
        <v>K25-11</v>
      </c>
      <c r="CU26" t="str">
        <f t="shared" si="36"/>
        <v>F0-M25-A9</v>
      </c>
      <c r="CV26" t="str">
        <f t="shared" si="37"/>
        <v>F0-M25-A7</v>
      </c>
      <c r="CW26" t="str">
        <f t="shared" si="38"/>
        <v>F0-M25-A8</v>
      </c>
      <c r="CX26" t="str">
        <f t="shared" si="39"/>
        <v>F0-M25-A6</v>
      </c>
      <c r="CY26" t="str">
        <f t="shared" si="40"/>
        <v>F0-M25-A30</v>
      </c>
      <c r="CZ26" t="str">
        <f t="shared" si="41"/>
        <v>F0-M25-N</v>
      </c>
      <c r="DA26" t="str">
        <f t="shared" si="26"/>
        <v>F0-A220-M25</v>
      </c>
      <c r="DB26" t="str">
        <f t="shared" si="42"/>
        <v>F0-M25-XM01</v>
      </c>
      <c r="DC26" t="str">
        <f t="shared" si="43"/>
        <v>F0-M25-A1</v>
      </c>
      <c r="DD26" t="str">
        <f t="shared" si="44"/>
        <v>F0-M25-A5</v>
      </c>
      <c r="DE26" t="str">
        <f t="shared" si="45"/>
        <v>F0-M25-A11</v>
      </c>
      <c r="DF26" t="str">
        <f t="shared" si="46"/>
        <v>F0-M25-A12</v>
      </c>
      <c r="DG26" t="str">
        <f t="shared" si="47"/>
        <v>F0-M25-A19</v>
      </c>
      <c r="DH26" t="str">
        <f t="shared" si="48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ht="30" x14ac:dyDescent="0.25">
      <c r="A27" s="29" t="s">
        <v>2238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s="46" t="str">
        <f t="array" ref="AD27">IF(COUNTIFS(AC$2:AC27,AC27)=1,"1",VALUE(SUBSTITUTE(INDEX(AD:AD,_xlfn.XMATCH(AC27,AC$1:AC26,0,-1)),"A",""))+INDEX(AE:AE,_xlfn.XMATCH(AC27,AC$1:AC26,0,-1))+1)</f>
        <v>1</v>
      </c>
      <c r="AE27" s="46">
        <f t="array" ref="AE27">SUM(IF(ISNUMBER(FIND("TmDi",$BE$1:$AAQ$1)),IF(IFERROR(ISNUMBER(VALUE(SUBSTITUTE($BE27:$AAQ27,"B",""))),FALSE),IF(ISNUMBER(VALUE(SUBSTITUTE($BE27:$AAQ27,"B",""))),1,0),0)))</f>
        <v>5</v>
      </c>
      <c r="AF27" t="s">
        <v>133</v>
      </c>
      <c r="AG27" t="s">
        <v>134</v>
      </c>
      <c r="AH27" t="s">
        <v>268</v>
      </c>
      <c r="AI27" s="61">
        <f t="array" ref="AI27">IF(COUNTIFS(AH$2:AH27,AH27)=1,"1",VALUE(SUBSTITUTE(INDEX(AI:AI,_xlfn.XMATCH(AH27,AH$1:AH26,0,-1)),"A",""))+INDEX(AJ:AJ,_xlfn.XMATCH(AH27,AH$1:AH26,0,-1))+1)</f>
        <v>16</v>
      </c>
      <c r="AJ27" s="61">
        <f t="array" ref="AJ27">SUM(IF(ISNUMBER(FIND("TmDo",$BE$1:$AAQ$1)),IF(IFERROR(ISNUMBER(VALUE(SUBSTITUTE($BE27:$AAQ27,"B",""))),FALSE),IF(ISNUMBER(VALUE(SUBSTITUTE($BE27:$AAQ27,"B",""))),1,0),0)))</f>
        <v>2</v>
      </c>
      <c r="AK27" t="str">
        <f t="shared" si="0"/>
        <v>16A</v>
      </c>
      <c r="AL27" t="str">
        <f t="shared" si="1"/>
        <v>16B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2"/>
        <v>XT26</v>
      </c>
      <c r="BF27" t="str">
        <f t="shared" si="3"/>
        <v>C2</v>
      </c>
      <c r="BG27" t="str">
        <f t="shared" si="4"/>
        <v>B2</v>
      </c>
      <c r="BH27" t="str">
        <f t="shared" si="5"/>
        <v>C3</v>
      </c>
      <c r="BI27" t="str">
        <f t="shared" si="6"/>
        <v>B3</v>
      </c>
      <c r="BJ27" t="str">
        <f t="shared" si="7"/>
        <v>C4</v>
      </c>
      <c r="BK27" t="str">
        <f t="shared" si="8"/>
        <v>B4</v>
      </c>
      <c r="BL27" t="str">
        <f t="shared" si="9"/>
        <v>C5</v>
      </c>
      <c r="BM27" t="str">
        <f t="shared" si="10"/>
        <v>B5</v>
      </c>
      <c r="BN27" t="str">
        <f t="shared" si="11"/>
        <v>C6</v>
      </c>
      <c r="BO27" t="str">
        <f t="shared" si="12"/>
        <v>B6</v>
      </c>
      <c r="BP27" t="str">
        <f t="shared" si="13"/>
        <v>17A</v>
      </c>
      <c r="BQ27" t="str">
        <f t="shared" si="14"/>
        <v>17B</v>
      </c>
      <c r="BR27" t="str">
        <f t="shared" si="15"/>
        <v>18A</v>
      </c>
      <c r="BS27" t="str">
        <f t="shared" si="16"/>
        <v>18B</v>
      </c>
      <c r="BT27" t="str">
        <f t="shared" si="17"/>
        <v>DI6-C1</v>
      </c>
      <c r="BU27" t="str">
        <f t="shared" si="18"/>
        <v>DI6-B1</v>
      </c>
      <c r="BV27" t="str">
        <f t="shared" si="49"/>
        <v>DI6-C2</v>
      </c>
      <c r="BW27" t="str">
        <f t="shared" si="49"/>
        <v>DI6-B2</v>
      </c>
      <c r="BX27" t="str">
        <f t="shared" si="49"/>
        <v>DI6-C3</v>
      </c>
      <c r="BY27" t="str">
        <f t="shared" si="49"/>
        <v>DI6-B3</v>
      </c>
      <c r="BZ27" t="str">
        <f t="shared" si="49"/>
        <v>DI6-C4</v>
      </c>
      <c r="CA27" t="str">
        <f t="shared" si="49"/>
        <v>DI6-B4</v>
      </c>
      <c r="CB27" t="str">
        <f t="shared" si="49"/>
        <v>DI6-C5</v>
      </c>
      <c r="CC27" t="str">
        <f t="shared" si="49"/>
        <v>DI6-B5</v>
      </c>
      <c r="CD27" t="str">
        <f t="shared" si="49"/>
        <v>DI6-C6</v>
      </c>
      <c r="CE27" t="str">
        <f t="shared" si="49"/>
        <v>DI6-B6</v>
      </c>
      <c r="CF27" t="str">
        <f t="shared" si="20"/>
        <v>DO3-16A</v>
      </c>
      <c r="CG27" t="str">
        <f t="shared" si="21"/>
        <v>DO3-16B</v>
      </c>
      <c r="CH27" t="str">
        <f t="shared" si="22"/>
        <v>DO3-17A</v>
      </c>
      <c r="CI27" t="str">
        <f t="shared" si="23"/>
        <v>DO3-17B</v>
      </c>
      <c r="CJ27" t="str">
        <f t="shared" si="24"/>
        <v>DO3-18A</v>
      </c>
      <c r="CK27" t="str">
        <f t="shared" si="25"/>
        <v>DO3-18B</v>
      </c>
      <c r="CL27" t="str">
        <f t="shared" si="27"/>
        <v>K26-10</v>
      </c>
      <c r="CM27" t="str">
        <f t="shared" si="28"/>
        <v>K26-03</v>
      </c>
      <c r="CN27" t="str">
        <f t="shared" si="29"/>
        <v>K26-04</v>
      </c>
      <c r="CO27" t="str">
        <f t="shared" si="30"/>
        <v>K26-01</v>
      </c>
      <c r="CP27" t="str">
        <f t="shared" si="31"/>
        <v>K26-08</v>
      </c>
      <c r="CQ27" t="str">
        <f t="shared" si="32"/>
        <v>K26-02</v>
      </c>
      <c r="CR27" t="str">
        <f t="shared" si="33"/>
        <v>K26-09</v>
      </c>
      <c r="CS27" t="str">
        <f t="shared" si="34"/>
        <v>K26-05</v>
      </c>
      <c r="CT27" t="str">
        <f t="shared" si="35"/>
        <v>K26-11</v>
      </c>
      <c r="CU27" t="str">
        <f t="shared" si="36"/>
        <v>F0-M26-A9</v>
      </c>
      <c r="CV27" t="str">
        <f t="shared" si="37"/>
        <v>F0-M26-A7</v>
      </c>
      <c r="CW27" t="str">
        <f t="shared" si="38"/>
        <v>F0-M26-A8</v>
      </c>
      <c r="CX27" t="str">
        <f t="shared" si="39"/>
        <v>F0-M26-A6</v>
      </c>
      <c r="CY27" t="str">
        <f t="shared" si="40"/>
        <v>F0-M26-A30</v>
      </c>
      <c r="CZ27" t="str">
        <f t="shared" si="41"/>
        <v>F0-M26-N</v>
      </c>
      <c r="DA27" t="str">
        <f t="shared" si="26"/>
        <v>F0-A220-M26</v>
      </c>
      <c r="DB27" t="str">
        <f t="shared" si="42"/>
        <v>F0-M26-XM01</v>
      </c>
      <c r="DC27" t="str">
        <f t="shared" si="43"/>
        <v>F0-M26-A1</v>
      </c>
      <c r="DD27" t="str">
        <f t="shared" si="44"/>
        <v>F0-M26-A5</v>
      </c>
      <c r="DE27" t="str">
        <f t="shared" si="45"/>
        <v>F0-M26-A11</v>
      </c>
      <c r="DF27" t="str">
        <f t="shared" si="46"/>
        <v>F0-M26-A12</v>
      </c>
      <c r="DG27" t="str">
        <f t="shared" si="47"/>
        <v>F0-M26-A19</v>
      </c>
      <c r="DH27" t="str">
        <f t="shared" si="48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ht="30" x14ac:dyDescent="0.25">
      <c r="A28" s="29" t="s">
        <v>2239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s="46">
        <f t="array" ref="AD28">IF(COUNTIFS(AC$2:AC28,AC28)=1,"1",VALUE(SUBSTITUTE(INDEX(AD:AD,_xlfn.XMATCH(AC28,AC$1:AC27,0,-1)),"A",""))+INDEX(AE:AE,_xlfn.XMATCH(AC28,AC$1:AC27,0,-1))+1)</f>
        <v>7</v>
      </c>
      <c r="AE28" s="46">
        <f t="array" ref="AE28">SUM(IF(ISNUMBER(FIND("TmDi",$BE$1:$AAQ$1)),IF(IFERROR(ISNUMBER(VALUE(SUBSTITUTE($BE28:$AAQ28,"B",""))),FALSE),IF(ISNUMBER(VALUE(SUBSTITUTE($BE28:$AAQ28,"B",""))),1,0),0)))</f>
        <v>5</v>
      </c>
      <c r="AF28" t="s">
        <v>148</v>
      </c>
      <c r="AG28" t="s">
        <v>149</v>
      </c>
      <c r="AH28" t="s">
        <v>268</v>
      </c>
      <c r="AI28" s="61">
        <f t="array" ref="AI28">IF(COUNTIFS(AH$2:AH28,AH28)=1,"1",VALUE(SUBSTITUTE(INDEX(AI:AI,_xlfn.XMATCH(AH28,AH$1:AH27,0,-1)),"A",""))+INDEX(AJ:AJ,_xlfn.XMATCH(AH28,AH$1:AH27,0,-1))+1)</f>
        <v>19</v>
      </c>
      <c r="AJ28" s="61">
        <f t="array" ref="AJ28">SUM(IF(ISNUMBER(FIND("TmDo",$BE$1:$AAQ$1)),IF(IFERROR(ISNUMBER(VALUE(SUBSTITUTE($BE28:$AAQ28,"B",""))),FALSE),IF(ISNUMBER(VALUE(SUBSTITUTE($BE28:$AAQ28,"B",""))),1,0),0)))</f>
        <v>2</v>
      </c>
      <c r="AK28" t="str">
        <f t="shared" si="0"/>
        <v>19A</v>
      </c>
      <c r="AL28" t="str">
        <f t="shared" si="1"/>
        <v>19B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2"/>
        <v>XT27</v>
      </c>
      <c r="BF28" t="str">
        <f t="shared" si="3"/>
        <v>C8</v>
      </c>
      <c r="BG28" t="str">
        <f t="shared" si="4"/>
        <v>B8</v>
      </c>
      <c r="BH28" t="str">
        <f t="shared" si="5"/>
        <v>C9</v>
      </c>
      <c r="BI28" t="str">
        <f t="shared" si="6"/>
        <v>B9</v>
      </c>
      <c r="BJ28" t="str">
        <f t="shared" si="7"/>
        <v>C10</v>
      </c>
      <c r="BK28" t="str">
        <f t="shared" si="8"/>
        <v>B10</v>
      </c>
      <c r="BL28" t="str">
        <f t="shared" si="9"/>
        <v>C11</v>
      </c>
      <c r="BM28" t="str">
        <f t="shared" si="10"/>
        <v>B11</v>
      </c>
      <c r="BN28" t="str">
        <f t="shared" si="11"/>
        <v>C12</v>
      </c>
      <c r="BO28" t="str">
        <f t="shared" si="12"/>
        <v>B12</v>
      </c>
      <c r="BP28" t="str">
        <f t="shared" si="13"/>
        <v>20A</v>
      </c>
      <c r="BQ28" t="str">
        <f t="shared" si="14"/>
        <v>20B</v>
      </c>
      <c r="BR28" t="str">
        <f t="shared" si="15"/>
        <v>21A</v>
      </c>
      <c r="BS28" t="str">
        <f t="shared" si="16"/>
        <v>21B</v>
      </c>
      <c r="BT28" t="str">
        <f t="shared" si="17"/>
        <v>DI6-C7</v>
      </c>
      <c r="BU28" t="str">
        <f t="shared" si="18"/>
        <v>DI6-B7</v>
      </c>
      <c r="BV28" t="str">
        <f t="shared" si="49"/>
        <v>DI6-C8</v>
      </c>
      <c r="BW28" t="str">
        <f t="shared" si="49"/>
        <v>DI6-B8</v>
      </c>
      <c r="BX28" t="str">
        <f t="shared" si="49"/>
        <v>DI6-C9</v>
      </c>
      <c r="BY28" t="str">
        <f t="shared" si="49"/>
        <v>DI6-B9</v>
      </c>
      <c r="BZ28" t="str">
        <f t="shared" si="49"/>
        <v>DI6-C10</v>
      </c>
      <c r="CA28" t="str">
        <f t="shared" si="49"/>
        <v>DI6-B10</v>
      </c>
      <c r="CB28" t="str">
        <f t="shared" si="49"/>
        <v>DI6-C11</v>
      </c>
      <c r="CC28" t="str">
        <f t="shared" si="49"/>
        <v>DI6-B11</v>
      </c>
      <c r="CD28" t="str">
        <f t="shared" si="49"/>
        <v>DI6-C12</v>
      </c>
      <c r="CE28" t="str">
        <f t="shared" si="49"/>
        <v>DI6-B12</v>
      </c>
      <c r="CF28" t="str">
        <f t="shared" si="20"/>
        <v>DO3-19A</v>
      </c>
      <c r="CG28" t="str">
        <f t="shared" si="21"/>
        <v>DO3-19B</v>
      </c>
      <c r="CH28" t="str">
        <f t="shared" si="22"/>
        <v>DO3-20A</v>
      </c>
      <c r="CI28" t="str">
        <f t="shared" si="23"/>
        <v>DO3-20B</v>
      </c>
      <c r="CJ28" t="str">
        <f t="shared" si="24"/>
        <v>DO3-21A</v>
      </c>
      <c r="CK28" t="str">
        <f t="shared" si="25"/>
        <v>DO3-21B</v>
      </c>
      <c r="CL28" t="str">
        <f t="shared" si="27"/>
        <v>K27-10</v>
      </c>
      <c r="CM28" t="str">
        <f t="shared" si="28"/>
        <v>K27-03</v>
      </c>
      <c r="CN28" t="str">
        <f t="shared" si="29"/>
        <v>K27-04</v>
      </c>
      <c r="CO28" t="str">
        <f t="shared" si="30"/>
        <v>K27-01</v>
      </c>
      <c r="CP28" t="str">
        <f t="shared" si="31"/>
        <v>K27-08</v>
      </c>
      <c r="CQ28" t="str">
        <f t="shared" si="32"/>
        <v>K27-02</v>
      </c>
      <c r="CR28" t="str">
        <f t="shared" si="33"/>
        <v>K27-09</v>
      </c>
      <c r="CS28" t="str">
        <f t="shared" si="34"/>
        <v>K27-05</v>
      </c>
      <c r="CT28" t="str">
        <f t="shared" si="35"/>
        <v>K27-11</v>
      </c>
      <c r="CU28" t="str">
        <f t="shared" si="36"/>
        <v>F0-M27-A9</v>
      </c>
      <c r="CV28" t="str">
        <f t="shared" si="37"/>
        <v>F0-M27-A7</v>
      </c>
      <c r="CW28" t="str">
        <f t="shared" si="38"/>
        <v>F0-M27-A8</v>
      </c>
      <c r="CX28" t="str">
        <f t="shared" si="39"/>
        <v>F0-M27-A6</v>
      </c>
      <c r="CY28" t="str">
        <f t="shared" si="40"/>
        <v>F0-M27-A30</v>
      </c>
      <c r="CZ28" t="str">
        <f t="shared" si="41"/>
        <v>F0-M27-N</v>
      </c>
      <c r="DA28" t="str">
        <f t="shared" si="26"/>
        <v>F0-A220-M27</v>
      </c>
      <c r="DB28" t="str">
        <f t="shared" si="42"/>
        <v>F0-M27-XM01</v>
      </c>
      <c r="DC28" t="str">
        <f t="shared" si="43"/>
        <v>F0-M27-A1</v>
      </c>
      <c r="DD28" t="str">
        <f t="shared" si="44"/>
        <v>F0-M27-A5</v>
      </c>
      <c r="DE28" t="str">
        <f t="shared" si="45"/>
        <v>F0-M27-A11</v>
      </c>
      <c r="DF28" t="str">
        <f t="shared" si="46"/>
        <v>F0-M27-A12</v>
      </c>
      <c r="DG28" t="str">
        <f t="shared" si="47"/>
        <v>F0-M27-A19</v>
      </c>
      <c r="DH28" t="str">
        <f t="shared" si="48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ht="30" x14ac:dyDescent="0.25">
      <c r="A29" s="29" t="s">
        <v>2240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s="46">
        <f t="array" ref="AD29">IF(COUNTIFS(AC$2:AC29,AC29)=1,"1",VALUE(SUBSTITUTE(INDEX(AD:AD,_xlfn.XMATCH(AC29,AC$1:AC28,0,-1)),"A",""))+INDEX(AE:AE,_xlfn.XMATCH(AC29,AC$1:AC28,0,-1))+1)</f>
        <v>13</v>
      </c>
      <c r="AE29" s="46">
        <f t="array" ref="AE29">SUM(IF(ISNUMBER(FIND("TmDi",$BE$1:$AAQ$1)),IF(IFERROR(ISNUMBER(VALUE(SUBSTITUTE($BE29:$AAQ29,"B",""))),FALSE),IF(ISNUMBER(VALUE(SUBSTITUTE($BE29:$AAQ29,"B",""))),1,0),0)))</f>
        <v>5</v>
      </c>
      <c r="AF29" t="s">
        <v>153</v>
      </c>
      <c r="AG29" t="s">
        <v>154</v>
      </c>
      <c r="AH29" t="s">
        <v>268</v>
      </c>
      <c r="AI29" s="61">
        <f t="array" ref="AI29">IF(COUNTIFS(AH$2:AH29,AH29)=1,"1",VALUE(SUBSTITUTE(INDEX(AI:AI,_xlfn.XMATCH(AH29,AH$1:AH28,0,-1)),"A",""))+INDEX(AJ:AJ,_xlfn.XMATCH(AH29,AH$1:AH28,0,-1))+1)</f>
        <v>22</v>
      </c>
      <c r="AJ29" s="61">
        <f t="array" ref="AJ29">SUM(IF(ISNUMBER(FIND("TmDo",$BE$1:$AAQ$1)),IF(IFERROR(ISNUMBER(VALUE(SUBSTITUTE($BE29:$AAQ29,"B",""))),FALSE),IF(ISNUMBER(VALUE(SUBSTITUTE($BE29:$AAQ29,"B",""))),1,0),0)))</f>
        <v>2</v>
      </c>
      <c r="AK29" t="str">
        <f t="shared" si="0"/>
        <v>22A</v>
      </c>
      <c r="AL29" t="str">
        <f t="shared" si="1"/>
        <v>22B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2"/>
        <v>XT28</v>
      </c>
      <c r="BF29" t="str">
        <f t="shared" si="3"/>
        <v>C14</v>
      </c>
      <c r="BG29" t="str">
        <f t="shared" si="4"/>
        <v>B14</v>
      </c>
      <c r="BH29" t="str">
        <f t="shared" si="5"/>
        <v>C15</v>
      </c>
      <c r="BI29" t="str">
        <f t="shared" si="6"/>
        <v>B15</v>
      </c>
      <c r="BJ29" t="str">
        <f t="shared" si="7"/>
        <v>C16</v>
      </c>
      <c r="BK29" t="str">
        <f t="shared" si="8"/>
        <v>B16</v>
      </c>
      <c r="BL29" t="str">
        <f t="shared" si="9"/>
        <v>C17</v>
      </c>
      <c r="BM29" t="str">
        <f t="shared" si="10"/>
        <v>B17</v>
      </c>
      <c r="BN29" t="str">
        <f t="shared" si="11"/>
        <v>C18</v>
      </c>
      <c r="BO29" t="str">
        <f t="shared" si="12"/>
        <v>B18</v>
      </c>
      <c r="BP29" t="str">
        <f t="shared" si="13"/>
        <v>23A</v>
      </c>
      <c r="BQ29" t="str">
        <f t="shared" si="14"/>
        <v>23B</v>
      </c>
      <c r="BR29" t="str">
        <f t="shared" si="15"/>
        <v>24A</v>
      </c>
      <c r="BS29" t="str">
        <f t="shared" si="16"/>
        <v>24B</v>
      </c>
      <c r="BT29" t="str">
        <f t="shared" si="17"/>
        <v>DI6-C13</v>
      </c>
      <c r="BU29" t="str">
        <f t="shared" si="18"/>
        <v>DI6-B13</v>
      </c>
      <c r="BV29" t="str">
        <f t="shared" si="49"/>
        <v>DI6-C14</v>
      </c>
      <c r="BW29" t="str">
        <f t="shared" si="49"/>
        <v>DI6-B14</v>
      </c>
      <c r="BX29" t="str">
        <f t="shared" si="49"/>
        <v>DI6-C15</v>
      </c>
      <c r="BY29" t="str">
        <f t="shared" si="49"/>
        <v>DI6-B15</v>
      </c>
      <c r="BZ29" t="str">
        <f t="shared" si="49"/>
        <v>DI6-C16</v>
      </c>
      <c r="CA29" t="str">
        <f t="shared" si="49"/>
        <v>DI6-B16</v>
      </c>
      <c r="CB29" t="str">
        <f t="shared" si="49"/>
        <v>DI6-C17</v>
      </c>
      <c r="CC29" t="str">
        <f t="shared" si="49"/>
        <v>DI6-B17</v>
      </c>
      <c r="CD29" t="str">
        <f t="shared" si="49"/>
        <v>DI6-C18</v>
      </c>
      <c r="CE29" t="str">
        <f t="shared" si="49"/>
        <v>DI6-B18</v>
      </c>
      <c r="CF29" t="str">
        <f t="shared" si="20"/>
        <v>DO3-22A</v>
      </c>
      <c r="CG29" t="str">
        <f t="shared" si="21"/>
        <v>DO3-22B</v>
      </c>
      <c r="CH29" t="str">
        <f t="shared" si="22"/>
        <v>DO3-23A</v>
      </c>
      <c r="CI29" t="str">
        <f t="shared" si="23"/>
        <v>DO3-23B</v>
      </c>
      <c r="CJ29" t="str">
        <f t="shared" si="24"/>
        <v>DO3-24A</v>
      </c>
      <c r="CK29" t="str">
        <f t="shared" si="25"/>
        <v>DO3-24B</v>
      </c>
      <c r="CL29" t="str">
        <f t="shared" si="27"/>
        <v>K28-10</v>
      </c>
      <c r="CM29" t="str">
        <f t="shared" si="28"/>
        <v>K28-03</v>
      </c>
      <c r="CN29" t="str">
        <f t="shared" si="29"/>
        <v>K28-04</v>
      </c>
      <c r="CO29" t="str">
        <f t="shared" si="30"/>
        <v>K28-01</v>
      </c>
      <c r="CP29" t="str">
        <f t="shared" si="31"/>
        <v>K28-08</v>
      </c>
      <c r="CQ29" t="str">
        <f t="shared" si="32"/>
        <v>K28-02</v>
      </c>
      <c r="CR29" t="str">
        <f t="shared" si="33"/>
        <v>K28-09</v>
      </c>
      <c r="CS29" t="str">
        <f t="shared" si="34"/>
        <v>K28-05</v>
      </c>
      <c r="CT29" t="str">
        <f t="shared" si="35"/>
        <v>K28-11</v>
      </c>
      <c r="CU29" t="str">
        <f t="shared" si="36"/>
        <v>F0-M28-A9</v>
      </c>
      <c r="CV29" t="str">
        <f t="shared" si="37"/>
        <v>F0-M28-A7</v>
      </c>
      <c r="CW29" t="str">
        <f t="shared" si="38"/>
        <v>F0-M28-A8</v>
      </c>
      <c r="CX29" t="str">
        <f t="shared" si="39"/>
        <v>F0-M28-A6</v>
      </c>
      <c r="CY29" t="str">
        <f t="shared" si="40"/>
        <v>F0-M28-A30</v>
      </c>
      <c r="CZ29" t="str">
        <f t="shared" si="41"/>
        <v>F0-M28-N</v>
      </c>
      <c r="DA29" t="str">
        <f t="shared" si="26"/>
        <v>F0-A220-M28</v>
      </c>
      <c r="DB29" t="str">
        <f t="shared" si="42"/>
        <v>F0-M28-XM01</v>
      </c>
      <c r="DC29" t="str">
        <f t="shared" si="43"/>
        <v>F0-M28-A1</v>
      </c>
      <c r="DD29" t="str">
        <f t="shared" si="44"/>
        <v>F0-M28-A5</v>
      </c>
      <c r="DE29" t="str">
        <f t="shared" si="45"/>
        <v>F0-M28-A11</v>
      </c>
      <c r="DF29" t="str">
        <f t="shared" si="46"/>
        <v>F0-M28-A12</v>
      </c>
      <c r="DG29" t="str">
        <f t="shared" si="47"/>
        <v>F0-M28-A19</v>
      </c>
      <c r="DH29" t="str">
        <f t="shared" si="48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ht="30" x14ac:dyDescent="0.25">
      <c r="A30" s="29" t="s">
        <v>2241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s="46">
        <f t="array" ref="AD30">IF(COUNTIFS(AC$2:AC30,AC30)=1,"1",VALUE(SUBSTITUTE(INDEX(AD:AD,_xlfn.XMATCH(AC30,AC$1:AC29,0,-1)),"A",""))+INDEX(AE:AE,_xlfn.XMATCH(AC30,AC$1:AC29,0,-1))+1)</f>
        <v>19</v>
      </c>
      <c r="AE30" s="46">
        <f t="array" ref="AE30">SUM(IF(ISNUMBER(FIND("TmDi",$BE$1:$AAQ$1)),IF(IFERROR(ISNUMBER(VALUE(SUBSTITUTE($BE30:$AAQ30,"B",""))),FALSE),IF(ISNUMBER(VALUE(SUBSTITUTE($BE30:$AAQ30,"B",""))),1,0),0)))</f>
        <v>5</v>
      </c>
      <c r="AF30" t="s">
        <v>239</v>
      </c>
      <c r="AG30" t="s">
        <v>241</v>
      </c>
      <c r="AH30" t="s">
        <v>268</v>
      </c>
      <c r="AI30" s="61">
        <f t="array" ref="AI30">IF(COUNTIFS(AH$2:AH30,AH30)=1,"1",VALUE(SUBSTITUTE(INDEX(AI:AI,_xlfn.XMATCH(AH30,AH$1:AH29,0,-1)),"A",""))+INDEX(AJ:AJ,_xlfn.XMATCH(AH30,AH$1:AH29,0,-1))+1)</f>
        <v>25</v>
      </c>
      <c r="AJ30" s="61">
        <f t="array" ref="AJ30">SUM(IF(ISNUMBER(FIND("TmDo",$BE$1:$AAQ$1)),IF(IFERROR(ISNUMBER(VALUE(SUBSTITUTE($BE30:$AAQ30,"B",""))),FALSE),IF(ISNUMBER(VALUE(SUBSTITUTE($BE30:$AAQ30,"B",""))),1,0),0)))</f>
        <v>2</v>
      </c>
      <c r="AK30" t="str">
        <f t="shared" si="0"/>
        <v>25A</v>
      </c>
      <c r="AL30" t="str">
        <f t="shared" si="1"/>
        <v>25B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2"/>
        <v>XT29</v>
      </c>
      <c r="BF30" t="str">
        <f t="shared" si="3"/>
        <v>C20</v>
      </c>
      <c r="BG30" t="str">
        <f t="shared" si="4"/>
        <v>B20</v>
      </c>
      <c r="BH30" t="str">
        <f t="shared" si="5"/>
        <v>C21</v>
      </c>
      <c r="BI30" t="str">
        <f t="shared" si="6"/>
        <v>B21</v>
      </c>
      <c r="BJ30" t="str">
        <f t="shared" si="7"/>
        <v>C22</v>
      </c>
      <c r="BK30" t="str">
        <f t="shared" si="8"/>
        <v>B22</v>
      </c>
      <c r="BL30" t="str">
        <f t="shared" si="9"/>
        <v>C23</v>
      </c>
      <c r="BM30" t="str">
        <f t="shared" si="10"/>
        <v>B23</v>
      </c>
      <c r="BN30" t="str">
        <f t="shared" si="11"/>
        <v>C24</v>
      </c>
      <c r="BO30" t="str">
        <f t="shared" si="12"/>
        <v>B24</v>
      </c>
      <c r="BP30" t="str">
        <f t="shared" si="13"/>
        <v>26A</v>
      </c>
      <c r="BQ30" t="str">
        <f t="shared" si="14"/>
        <v>26B</v>
      </c>
      <c r="BR30" t="str">
        <f t="shared" si="15"/>
        <v>27A</v>
      </c>
      <c r="BS30" t="str">
        <f t="shared" si="16"/>
        <v>27B</v>
      </c>
      <c r="BT30" t="str">
        <f t="shared" si="17"/>
        <v>DI6-C19</v>
      </c>
      <c r="BU30" t="str">
        <f t="shared" si="18"/>
        <v>DI6-B19</v>
      </c>
      <c r="BV30" t="str">
        <f t="shared" si="49"/>
        <v>DI6-C20</v>
      </c>
      <c r="BW30" t="str">
        <f t="shared" si="49"/>
        <v>DI6-B20</v>
      </c>
      <c r="BX30" t="str">
        <f t="shared" si="49"/>
        <v>DI6-C21</v>
      </c>
      <c r="BY30" t="str">
        <f t="shared" si="49"/>
        <v>DI6-B21</v>
      </c>
      <c r="BZ30" t="str">
        <f t="shared" si="49"/>
        <v>DI6-C22</v>
      </c>
      <c r="CA30" t="str">
        <f t="shared" si="49"/>
        <v>DI6-B22</v>
      </c>
      <c r="CB30" t="str">
        <f t="shared" si="49"/>
        <v>DI6-C23</v>
      </c>
      <c r="CC30" t="str">
        <f t="shared" si="49"/>
        <v>DI6-B23</v>
      </c>
      <c r="CD30" t="str">
        <f t="shared" si="49"/>
        <v>DI6-C24</v>
      </c>
      <c r="CE30" t="str">
        <f t="shared" si="49"/>
        <v>DI6-B24</v>
      </c>
      <c r="CF30" t="str">
        <f t="shared" si="20"/>
        <v>DO3-25A</v>
      </c>
      <c r="CG30" t="str">
        <f t="shared" si="21"/>
        <v>DO3-25B</v>
      </c>
      <c r="CH30" t="str">
        <f t="shared" si="22"/>
        <v>DO3-26A</v>
      </c>
      <c r="CI30" t="str">
        <f t="shared" si="23"/>
        <v>DO3-26B</v>
      </c>
      <c r="CJ30" t="str">
        <f t="shared" si="24"/>
        <v>DO3-27A</v>
      </c>
      <c r="CK30" t="str">
        <f t="shared" si="25"/>
        <v>DO3-27B</v>
      </c>
      <c r="CL30" t="str">
        <f t="shared" si="27"/>
        <v>K29-10</v>
      </c>
      <c r="CM30" t="str">
        <f t="shared" si="28"/>
        <v>K29-03</v>
      </c>
      <c r="CN30" t="str">
        <f t="shared" si="29"/>
        <v>K29-04</v>
      </c>
      <c r="CO30" t="str">
        <f t="shared" si="30"/>
        <v>K29-01</v>
      </c>
      <c r="CP30" t="str">
        <f t="shared" si="31"/>
        <v>K29-08</v>
      </c>
      <c r="CQ30" t="str">
        <f t="shared" si="32"/>
        <v>K29-02</v>
      </c>
      <c r="CR30" t="str">
        <f t="shared" si="33"/>
        <v>K29-09</v>
      </c>
      <c r="CS30" t="str">
        <f t="shared" si="34"/>
        <v>K29-05</v>
      </c>
      <c r="CT30" t="str">
        <f t="shared" si="35"/>
        <v>K29-11</v>
      </c>
      <c r="CU30" t="str">
        <f t="shared" si="36"/>
        <v>F0-M29-A9</v>
      </c>
      <c r="CV30" t="str">
        <f t="shared" si="37"/>
        <v>F0-M29-A7</v>
      </c>
      <c r="CW30" t="str">
        <f t="shared" si="38"/>
        <v>F0-M29-A8</v>
      </c>
      <c r="CX30" t="str">
        <f t="shared" si="39"/>
        <v>F0-M29-A6</v>
      </c>
      <c r="CY30" t="str">
        <f t="shared" si="40"/>
        <v>F0-M29-A30</v>
      </c>
      <c r="CZ30" t="str">
        <f t="shared" si="41"/>
        <v>F0-M29-N</v>
      </c>
      <c r="DA30" t="str">
        <f t="shared" si="26"/>
        <v>F0-A220-M29</v>
      </c>
      <c r="DB30" t="str">
        <f t="shared" si="42"/>
        <v>F0-M29-XM01</v>
      </c>
      <c r="DC30" t="str">
        <f t="shared" si="43"/>
        <v>F0-M29-A1</v>
      </c>
      <c r="DD30" t="str">
        <f t="shared" si="44"/>
        <v>F0-M29-A5</v>
      </c>
      <c r="DE30" t="str">
        <f t="shared" si="45"/>
        <v>F0-M29-A11</v>
      </c>
      <c r="DF30" t="str">
        <f t="shared" si="46"/>
        <v>F0-M29-A12</v>
      </c>
      <c r="DG30" t="str">
        <f t="shared" si="47"/>
        <v>F0-M29-A19</v>
      </c>
      <c r="DH30" t="str">
        <f t="shared" si="48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ht="30" x14ac:dyDescent="0.25">
      <c r="A31" s="29" t="s">
        <v>2242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s="46">
        <f t="array" ref="AD31">IF(COUNTIFS(AC$2:AC31,AC31)=1,"1",VALUE(SUBSTITUTE(INDEX(AD:AD,_xlfn.XMATCH(AC31,AC$1:AC30,0,-1)),"A",""))+INDEX(AE:AE,_xlfn.XMATCH(AC31,AC$1:AC30,0,-1))+1)</f>
        <v>25</v>
      </c>
      <c r="AE31" s="46">
        <f t="array" ref="AE31">SUM(IF(ISNUMBER(FIND("TmDi",$BE$1:$AAQ$1)),IF(IFERROR(ISNUMBER(VALUE(SUBSTITUTE($BE31:$AAQ31,"B",""))),FALSE),IF(ISNUMBER(VALUE(SUBSTITUTE($BE31:$AAQ31,"B",""))),1,0),0)))</f>
        <v>5</v>
      </c>
      <c r="AF31" t="s">
        <v>240</v>
      </c>
      <c r="AG31" t="s">
        <v>242</v>
      </c>
      <c r="AH31" t="s">
        <v>268</v>
      </c>
      <c r="AI31" s="61">
        <f t="array" ref="AI31">IF(COUNTIFS(AH$2:AH31,AH31)=1,"1",VALUE(SUBSTITUTE(INDEX(AI:AI,_xlfn.XMATCH(AH31,AH$1:AH30,0,-1)),"A",""))+INDEX(AJ:AJ,_xlfn.XMATCH(AH31,AH$1:AH30,0,-1))+1)</f>
        <v>28</v>
      </c>
      <c r="AJ31" s="61">
        <f t="array" ref="AJ31">SUM(IF(ISNUMBER(FIND("TmDo",$BE$1:$AAQ$1)),IF(IFERROR(ISNUMBER(VALUE(SUBSTITUTE($BE31:$AAQ31,"B",""))),FALSE),IF(ISNUMBER(VALUE(SUBSTITUTE($BE31:$AAQ31,"B",""))),1,0),0)))</f>
        <v>2</v>
      </c>
      <c r="AK31" t="str">
        <f t="shared" si="0"/>
        <v>28A</v>
      </c>
      <c r="AL31" t="str">
        <f t="shared" si="1"/>
        <v>28B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2"/>
        <v>XT30</v>
      </c>
      <c r="BF31" t="str">
        <f t="shared" si="3"/>
        <v>C26</v>
      </c>
      <c r="BG31" t="str">
        <f t="shared" si="4"/>
        <v>B26</v>
      </c>
      <c r="BH31" t="str">
        <f t="shared" si="5"/>
        <v>C27</v>
      </c>
      <c r="BI31" t="str">
        <f t="shared" si="6"/>
        <v>B27</v>
      </c>
      <c r="BJ31" t="str">
        <f t="shared" si="7"/>
        <v>C28</v>
      </c>
      <c r="BK31" t="str">
        <f t="shared" si="8"/>
        <v>B28</v>
      </c>
      <c r="BL31" t="str">
        <f t="shared" si="9"/>
        <v>C29</v>
      </c>
      <c r="BM31" t="str">
        <f t="shared" si="10"/>
        <v>B29</v>
      </c>
      <c r="BN31" t="str">
        <f t="shared" si="11"/>
        <v>C30</v>
      </c>
      <c r="BO31" t="str">
        <f t="shared" si="12"/>
        <v>B30</v>
      </c>
      <c r="BP31" t="str">
        <f t="shared" si="13"/>
        <v>29A</v>
      </c>
      <c r="BQ31" t="str">
        <f t="shared" si="14"/>
        <v>29B</v>
      </c>
      <c r="BR31" t="str">
        <f t="shared" si="15"/>
        <v>30A</v>
      </c>
      <c r="BS31" t="str">
        <f t="shared" si="16"/>
        <v>30B</v>
      </c>
      <c r="BT31" t="str">
        <f t="shared" si="17"/>
        <v>DI6-C25</v>
      </c>
      <c r="BU31" t="str">
        <f t="shared" si="18"/>
        <v>DI6-B25</v>
      </c>
      <c r="BV31" t="str">
        <f t="shared" si="49"/>
        <v>DI6-C26</v>
      </c>
      <c r="BW31" t="str">
        <f t="shared" si="49"/>
        <v>DI6-B26</v>
      </c>
      <c r="BX31" t="str">
        <f t="shared" si="49"/>
        <v>DI6-C27</v>
      </c>
      <c r="BY31" t="str">
        <f t="shared" si="49"/>
        <v>DI6-B27</v>
      </c>
      <c r="BZ31" t="str">
        <f t="shared" si="49"/>
        <v>DI6-C28</v>
      </c>
      <c r="CA31" t="str">
        <f t="shared" si="49"/>
        <v>DI6-B28</v>
      </c>
      <c r="CB31" t="str">
        <f t="shared" si="49"/>
        <v>DI6-C29</v>
      </c>
      <c r="CC31" t="str">
        <f t="shared" si="49"/>
        <v>DI6-B29</v>
      </c>
      <c r="CD31" t="str">
        <f t="shared" si="49"/>
        <v>DI6-C30</v>
      </c>
      <c r="CE31" t="str">
        <f t="shared" si="49"/>
        <v>DI6-B30</v>
      </c>
      <c r="CF31" t="str">
        <f t="shared" si="20"/>
        <v>DO3-28A</v>
      </c>
      <c r="CG31" t="str">
        <f t="shared" si="21"/>
        <v>DO3-28B</v>
      </c>
      <c r="CH31" t="str">
        <f t="shared" si="22"/>
        <v>DO3-29A</v>
      </c>
      <c r="CI31" t="str">
        <f t="shared" si="23"/>
        <v>DO3-29B</v>
      </c>
      <c r="CJ31" t="str">
        <f t="shared" si="24"/>
        <v>DO3-30A</v>
      </c>
      <c r="CK31" t="str">
        <f t="shared" si="25"/>
        <v>DO3-30B</v>
      </c>
      <c r="CL31" t="str">
        <f t="shared" si="27"/>
        <v>K30-10</v>
      </c>
      <c r="CM31" t="str">
        <f t="shared" si="28"/>
        <v>K30-03</v>
      </c>
      <c r="CN31" t="str">
        <f t="shared" si="29"/>
        <v>K30-04</v>
      </c>
      <c r="CO31" t="str">
        <f t="shared" si="30"/>
        <v>K30-01</v>
      </c>
      <c r="CP31" t="str">
        <f t="shared" si="31"/>
        <v>K30-08</v>
      </c>
      <c r="CQ31" t="str">
        <f t="shared" si="32"/>
        <v>K30-02</v>
      </c>
      <c r="CR31" t="str">
        <f t="shared" si="33"/>
        <v>K30-09</v>
      </c>
      <c r="CS31" t="str">
        <f t="shared" si="34"/>
        <v>K30-05</v>
      </c>
      <c r="CT31" t="str">
        <f t="shared" si="35"/>
        <v>K30-11</v>
      </c>
      <c r="CU31" t="str">
        <f t="shared" si="36"/>
        <v>F0-M30-A9</v>
      </c>
      <c r="CV31" t="str">
        <f t="shared" si="37"/>
        <v>F0-M30-A7</v>
      </c>
      <c r="CW31" t="str">
        <f t="shared" si="38"/>
        <v>F0-M30-A8</v>
      </c>
      <c r="CX31" t="str">
        <f t="shared" si="39"/>
        <v>F0-M30-A6</v>
      </c>
      <c r="CY31" t="str">
        <f t="shared" si="40"/>
        <v>F0-M30-A30</v>
      </c>
      <c r="CZ31" t="str">
        <f t="shared" si="41"/>
        <v>F0-M30-N</v>
      </c>
      <c r="DA31" t="str">
        <f t="shared" si="26"/>
        <v>F0-A220-M30</v>
      </c>
      <c r="DB31" t="str">
        <f t="shared" si="42"/>
        <v>F0-M30-XM01</v>
      </c>
      <c r="DC31" t="str">
        <f t="shared" si="43"/>
        <v>F0-M30-A1</v>
      </c>
      <c r="DD31" t="str">
        <f t="shared" si="44"/>
        <v>F0-M30-A5</v>
      </c>
      <c r="DE31" t="str">
        <f t="shared" si="45"/>
        <v>F0-M30-A11</v>
      </c>
      <c r="DF31" t="str">
        <f t="shared" si="46"/>
        <v>F0-M30-A12</v>
      </c>
      <c r="DG31" t="str">
        <f t="shared" si="47"/>
        <v>F0-M30-A19</v>
      </c>
      <c r="DH31" t="str">
        <f t="shared" si="48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30.75" thickBot="1" x14ac:dyDescent="0.3">
      <c r="A32" s="29" t="s">
        <v>2243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58" t="str">
        <f t="array" ref="AD32">IF(COUNTIFS(AC$2:AC32,AC32)=1,"1",VALUE(SUBSTITUTE(INDEX(AD:AD,_xlfn.XMATCH(AC32,AC$1:AC31,0,-1)),"A",""))+INDEX(AE:AE,_xlfn.XMATCH(AC32,AC$1:AC31,0,-1))+1)</f>
        <v>1</v>
      </c>
      <c r="AE32" s="58">
        <f t="array" ref="AE32">SUM(IF(ISNUMBER(FIND("TmDi",$BE$1:$AAQ$1)),IF(IFERROR(ISNUMBER(VALUE(SUBSTITUTE($BE32:$AAQ32,"B",""))),FALSE),IF(ISNUMBER(VALUE(SUBSTITUTE($BE32:$AAQ32,"B",""))),1,0),0)))</f>
        <v>5</v>
      </c>
      <c r="AF32" s="19" t="s">
        <v>133</v>
      </c>
      <c r="AG32" s="19" t="s">
        <v>134</v>
      </c>
      <c r="AH32" s="19" t="s">
        <v>269</v>
      </c>
      <c r="AI32" s="62" t="str">
        <f t="array" ref="AI32">IF(COUNTIFS(AH$2:AH32,AH32)=1,"1",VALUE(SUBSTITUTE(INDEX(AI:AI,_xlfn.XMATCH(AH32,AH$1:AH31,0,-1)),"A",""))+INDEX(AJ:AJ,_xlfn.XMATCH(AH32,AH$1:AH31,0,-1))+1)</f>
        <v>1</v>
      </c>
      <c r="AJ32" s="62">
        <f t="array" ref="AJ32">SUM(IF(ISNUMBER(FIND("TmDo",$BE$1:$AAQ$1)),IF(IFERROR(ISNUMBER(VALUE(SUBSTITUTE($BE32:$AAQ32,"B",""))),FALSE),IF(ISNUMBER(VALUE(SUBSTITUTE($BE32:$AAQ32,"B",""))),1,0),0)))</f>
        <v>2</v>
      </c>
      <c r="AK32" s="19" t="str">
        <f t="shared" si="0"/>
        <v>1A</v>
      </c>
      <c r="AL32" s="19" t="str">
        <f t="shared" si="1"/>
        <v>1B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2"/>
        <v>XT31</v>
      </c>
      <c r="BF32" s="19" t="str">
        <f t="shared" si="3"/>
        <v>C2</v>
      </c>
      <c r="BG32" s="19" t="str">
        <f t="shared" si="4"/>
        <v>B2</v>
      </c>
      <c r="BH32" s="19" t="str">
        <f t="shared" si="5"/>
        <v>C3</v>
      </c>
      <c r="BI32" s="19" t="str">
        <f t="shared" si="6"/>
        <v>B3</v>
      </c>
      <c r="BJ32" s="19" t="str">
        <f t="shared" si="7"/>
        <v>C4</v>
      </c>
      <c r="BK32" s="19" t="str">
        <f t="shared" si="8"/>
        <v>B4</v>
      </c>
      <c r="BL32" s="19" t="str">
        <f t="shared" si="9"/>
        <v>C5</v>
      </c>
      <c r="BM32" s="19" t="str">
        <f t="shared" si="10"/>
        <v>B5</v>
      </c>
      <c r="BN32" s="19" t="str">
        <f t="shared" si="11"/>
        <v>C6</v>
      </c>
      <c r="BO32" s="19" t="str">
        <f t="shared" si="12"/>
        <v>B6</v>
      </c>
      <c r="BP32" s="19" t="str">
        <f t="shared" si="13"/>
        <v>2A</v>
      </c>
      <c r="BQ32" s="19" t="str">
        <f t="shared" si="14"/>
        <v>2B</v>
      </c>
      <c r="BR32" s="19" t="str">
        <f t="shared" si="15"/>
        <v>3A</v>
      </c>
      <c r="BS32" s="19" t="str">
        <f t="shared" si="16"/>
        <v>3B</v>
      </c>
      <c r="BT32" s="19" t="str">
        <f t="shared" si="17"/>
        <v>DI7-C1</v>
      </c>
      <c r="BU32" s="19" t="str">
        <f t="shared" si="18"/>
        <v>DI7-B1</v>
      </c>
      <c r="BV32" s="19" t="str">
        <f t="shared" si="49"/>
        <v>DI7-C2</v>
      </c>
      <c r="BW32" s="19" t="str">
        <f t="shared" si="49"/>
        <v>DI7-B2</v>
      </c>
      <c r="BX32" s="19" t="str">
        <f t="shared" si="49"/>
        <v>DI7-C3</v>
      </c>
      <c r="BY32" s="19" t="str">
        <f t="shared" si="49"/>
        <v>DI7-B3</v>
      </c>
      <c r="BZ32" s="19" t="str">
        <f t="shared" si="49"/>
        <v>DI7-C4</v>
      </c>
      <c r="CA32" s="19" t="str">
        <f t="shared" si="49"/>
        <v>DI7-B4</v>
      </c>
      <c r="CB32" s="19" t="str">
        <f t="shared" si="49"/>
        <v>DI7-C5</v>
      </c>
      <c r="CC32" s="19" t="str">
        <f t="shared" si="49"/>
        <v>DI7-B5</v>
      </c>
      <c r="CD32" s="19" t="str">
        <f t="shared" si="49"/>
        <v>DI7-C6</v>
      </c>
      <c r="CE32" s="19" t="str">
        <f t="shared" si="49"/>
        <v>DI7-B6</v>
      </c>
      <c r="CF32" s="19" t="str">
        <f t="shared" si="20"/>
        <v>DO4-1A</v>
      </c>
      <c r="CG32" s="19" t="str">
        <f t="shared" si="21"/>
        <v>DO4-1B</v>
      </c>
      <c r="CH32" s="19" t="str">
        <f t="shared" si="22"/>
        <v>DO4-2A</v>
      </c>
      <c r="CI32" s="19" t="str">
        <f t="shared" si="23"/>
        <v>DO4-2B</v>
      </c>
      <c r="CJ32" s="19" t="str">
        <f t="shared" si="24"/>
        <v>DO4-3A</v>
      </c>
      <c r="CK32" s="19" t="str">
        <f t="shared" si="25"/>
        <v>DO4-3B</v>
      </c>
      <c r="CL32" s="19" t="str">
        <f t="shared" si="27"/>
        <v>K31-10</v>
      </c>
      <c r="CM32" s="19" t="str">
        <f t="shared" si="28"/>
        <v>K31-03</v>
      </c>
      <c r="CN32" s="19" t="str">
        <f t="shared" si="29"/>
        <v>K31-04</v>
      </c>
      <c r="CO32" s="19" t="str">
        <f t="shared" si="30"/>
        <v>K31-01</v>
      </c>
      <c r="CP32" s="19" t="str">
        <f t="shared" si="31"/>
        <v>K31-08</v>
      </c>
      <c r="CQ32" s="19" t="str">
        <f t="shared" si="32"/>
        <v>K31-02</v>
      </c>
      <c r="CR32" s="19" t="str">
        <f t="shared" si="33"/>
        <v>K31-09</v>
      </c>
      <c r="CS32" s="19" t="str">
        <f t="shared" si="34"/>
        <v>K31-05</v>
      </c>
      <c r="CT32" s="19" t="str">
        <f t="shared" si="35"/>
        <v>K31-11</v>
      </c>
      <c r="CU32" s="19" t="str">
        <f t="shared" si="36"/>
        <v>F0-M31-A9</v>
      </c>
      <c r="CV32" s="19" t="str">
        <f t="shared" si="37"/>
        <v>F0-M31-A7</v>
      </c>
      <c r="CW32" s="19" t="str">
        <f t="shared" si="38"/>
        <v>F0-M31-A8</v>
      </c>
      <c r="CX32" s="19" t="str">
        <f t="shared" si="39"/>
        <v>F0-M31-A6</v>
      </c>
      <c r="CY32" s="19" t="str">
        <f t="shared" si="40"/>
        <v>F0-M31-A30</v>
      </c>
      <c r="CZ32" s="19" t="str">
        <f t="shared" si="41"/>
        <v>F0-M31-N</v>
      </c>
      <c r="DA32" s="19" t="str">
        <f t="shared" si="26"/>
        <v>F0-A220-M31</v>
      </c>
      <c r="DB32" s="19" t="str">
        <f t="shared" si="42"/>
        <v>F0-M31-XM01</v>
      </c>
      <c r="DC32" s="19" t="str">
        <f t="shared" si="43"/>
        <v>F0-M31-A1</v>
      </c>
      <c r="DD32" s="19" t="str">
        <f t="shared" si="44"/>
        <v>F0-M31-A5</v>
      </c>
      <c r="DE32" s="19" t="str">
        <f t="shared" si="45"/>
        <v>F0-M31-A11</v>
      </c>
      <c r="DF32" s="19" t="str">
        <f t="shared" si="46"/>
        <v>F0-M31-A12</v>
      </c>
      <c r="DG32" s="19" t="str">
        <f t="shared" si="47"/>
        <v>F0-M31-A19</v>
      </c>
      <c r="DH32" s="19" t="str">
        <f t="shared" si="48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30.75" thickBot="1" x14ac:dyDescent="0.3">
      <c r="A33" s="29" t="s">
        <v>2244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68">
        <f t="array" ref="AD33">IF(COUNTIFS(AC$2:AC33,AC33)=1,"1",VALUE(SUBSTITUTE(INDEX(AD:AD,_xlfn.XMATCH(AC33,AC$1:AC32,0,-1)),"A",""))+INDEX(AE:AE,_xlfn.XMATCH(AC33,AC$1:AC32,0,-1))+1)</f>
        <v>7</v>
      </c>
      <c r="AE33" s="68">
        <f t="array" ref="AE33">SUM(IF(ISNUMBER(FIND("TmDi",$BE$1:$AAQ$1)),IF(IFERROR(ISNUMBER(VALUE(SUBSTITUTE($BE33:$AAQ33,"B",""))),FALSE),IF(ISNUMBER(VALUE(SUBSTITUTE($BE33:$AAQ33,"B",""))),1,0),0)))</f>
        <v>3</v>
      </c>
      <c r="AF33" s="23" t="s">
        <v>148</v>
      </c>
      <c r="AG33" s="23" t="s">
        <v>149</v>
      </c>
      <c r="AH33" s="23" t="s">
        <v>269</v>
      </c>
      <c r="AI33" s="63">
        <f t="array" ref="AI33">IF(COUNTIFS(AH$2:AH33,AH33)=1,"1",VALUE(SUBSTITUTE(INDEX(AI:AI,_xlfn.XMATCH(AH33,AH$1:AH32,0,-1)),"A",""))+INDEX(AJ:AJ,_xlfn.XMATCH(AH33,AH$1:AH32,0,-1))+1)</f>
        <v>4</v>
      </c>
      <c r="AJ33" s="63">
        <f t="array" ref="AJ33">SUM(IF(ISNUMBER(FIND("TmDo",$BE$1:$AAQ$1)),IF(IFERROR(ISNUMBER(VALUE(SUBSTITUTE($BE33:$AAQ33,"B",""))),FALSE),IF(ISNUMBER(VALUE(SUBSTITUTE($BE33:$AAQ33,"B",""))),1,0),0)))</f>
        <v>2</v>
      </c>
      <c r="AK33" s="23" t="str">
        <f t="shared" si="0"/>
        <v>4A</v>
      </c>
      <c r="AL33" s="23" t="str">
        <f t="shared" si="1"/>
        <v>4B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2"/>
        <v>XT32</v>
      </c>
      <c r="BF33" s="23" t="str">
        <f t="shared" si="3"/>
        <v>C8</v>
      </c>
      <c r="BG33" s="23" t="str">
        <f t="shared" si="4"/>
        <v>B8</v>
      </c>
      <c r="BH33" s="23" t="str">
        <f t="shared" si="5"/>
        <v>C9</v>
      </c>
      <c r="BI33" s="23" t="str">
        <f t="shared" si="6"/>
        <v>B9</v>
      </c>
      <c r="BJ33" s="23" t="str">
        <f t="shared" si="7"/>
        <v>C10</v>
      </c>
      <c r="BK33" s="23" t="str">
        <f t="shared" si="8"/>
        <v>B10</v>
      </c>
      <c r="BL33" s="23"/>
      <c r="BM33" s="23"/>
      <c r="BN33" s="23"/>
      <c r="BO33" s="23"/>
      <c r="BP33" s="23" t="str">
        <f t="shared" si="13"/>
        <v>5A</v>
      </c>
      <c r="BQ33" s="23" t="str">
        <f t="shared" si="14"/>
        <v>5B</v>
      </c>
      <c r="BR33" s="23" t="str">
        <f t="shared" si="15"/>
        <v>6A</v>
      </c>
      <c r="BS33" s="23" t="str">
        <f t="shared" si="16"/>
        <v>6B</v>
      </c>
      <c r="BT33" s="23" t="str">
        <f t="shared" si="17"/>
        <v>DI7-C7</v>
      </c>
      <c r="BU33" s="23" t="str">
        <f t="shared" si="18"/>
        <v>DI7-B7</v>
      </c>
      <c r="BV33" s="23" t="str">
        <f t="shared" si="49"/>
        <v>DI7-C8</v>
      </c>
      <c r="BW33" s="23" t="str">
        <f t="shared" si="49"/>
        <v>DI7-B8</v>
      </c>
      <c r="BX33" s="23" t="str">
        <f t="shared" si="49"/>
        <v>DI7-C9</v>
      </c>
      <c r="BY33" s="23" t="str">
        <f t="shared" si="49"/>
        <v>DI7-B9</v>
      </c>
      <c r="BZ33" s="23" t="str">
        <f t="shared" si="49"/>
        <v>DI7-C10</v>
      </c>
      <c r="CA33" s="23" t="str">
        <f t="shared" si="49"/>
        <v>DI7-B10</v>
      </c>
      <c r="CB33" s="23" t="str">
        <f t="shared" si="49"/>
        <v>DI7-</v>
      </c>
      <c r="CC33" s="23" t="str">
        <f t="shared" si="49"/>
        <v>DI7-</v>
      </c>
      <c r="CD33" s="23" t="str">
        <f t="shared" si="49"/>
        <v>DI7-</v>
      </c>
      <c r="CE33" s="23" t="str">
        <f t="shared" si="49"/>
        <v>DI7-</v>
      </c>
      <c r="CF33" s="23" t="str">
        <f t="shared" si="20"/>
        <v>DO4-4A</v>
      </c>
      <c r="CG33" s="23" t="str">
        <f t="shared" si="21"/>
        <v>DO4-4B</v>
      </c>
      <c r="CH33" s="23" t="str">
        <f t="shared" si="22"/>
        <v>DO4-5A</v>
      </c>
      <c r="CI33" s="23" t="str">
        <f t="shared" si="23"/>
        <v>DO4-5B</v>
      </c>
      <c r="CJ33" s="23" t="str">
        <f t="shared" si="24"/>
        <v>DO4-6A</v>
      </c>
      <c r="CK33" s="23" t="str">
        <f t="shared" si="25"/>
        <v>DO4-6B</v>
      </c>
      <c r="CL33" s="23" t="str">
        <f t="shared" si="27"/>
        <v>K32-10</v>
      </c>
      <c r="CM33" s="23" t="str">
        <f t="shared" si="28"/>
        <v>K32-03</v>
      </c>
      <c r="CN33" s="23" t="str">
        <f t="shared" si="29"/>
        <v>K32-04</v>
      </c>
      <c r="CO33" s="23" t="str">
        <f t="shared" si="30"/>
        <v>K32-01</v>
      </c>
      <c r="CP33" s="23" t="str">
        <f t="shared" si="31"/>
        <v>K32-08</v>
      </c>
      <c r="CQ33" s="23" t="str">
        <f t="shared" si="32"/>
        <v>K32-02</v>
      </c>
      <c r="CR33" s="23" t="str">
        <f t="shared" si="33"/>
        <v>K32-09</v>
      </c>
      <c r="CS33" s="23" t="str">
        <f t="shared" si="34"/>
        <v>K32-05</v>
      </c>
      <c r="CT33" s="23" t="str">
        <f t="shared" si="35"/>
        <v>K32-11</v>
      </c>
      <c r="CU33" s="23" t="str">
        <f t="shared" si="36"/>
        <v>F0-M32-A9</v>
      </c>
      <c r="CV33" s="23" t="str">
        <f t="shared" si="37"/>
        <v>F0-M32-A7</v>
      </c>
      <c r="CW33" s="23" t="str">
        <f t="shared" si="38"/>
        <v>F0-M32-A8</v>
      </c>
      <c r="CX33" s="23" t="str">
        <f t="shared" si="39"/>
        <v>F0-M32-A6</v>
      </c>
      <c r="CY33" s="23" t="str">
        <f t="shared" si="40"/>
        <v>F0-M32-A30</v>
      </c>
      <c r="CZ33" s="23" t="str">
        <f t="shared" si="41"/>
        <v>F0-M32-N</v>
      </c>
      <c r="DA33" s="23" t="str">
        <f t="shared" si="26"/>
        <v>F0-A220-M32</v>
      </c>
      <c r="DB33" s="23" t="str">
        <f t="shared" si="42"/>
        <v>F0-M32-XM01</v>
      </c>
      <c r="DC33" s="23" t="str">
        <f t="shared" si="43"/>
        <v>F0-M32-A1</v>
      </c>
      <c r="DD33" s="23" t="str">
        <f t="shared" si="44"/>
        <v>F0-M32-A5</v>
      </c>
      <c r="DE33" s="23" t="str">
        <f t="shared" si="45"/>
        <v>F0-M32-A11</v>
      </c>
      <c r="DF33" s="23" t="str">
        <f t="shared" si="46"/>
        <v>F0-M32-A12</v>
      </c>
      <c r="DG33" s="23" t="str">
        <f t="shared" si="47"/>
        <v>F0-M32-A19</v>
      </c>
      <c r="DH33" s="23" t="str">
        <f t="shared" si="48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ht="30" x14ac:dyDescent="0.25">
      <c r="A34" s="29" t="s">
        <v>2245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69" t="str">
        <f t="array" ref="AD34">IF(COUNTIFS(AC$2:AC34,AC34)=1,"1",VALUE(SUBSTITUTE(INDEX(AD:AD,_xlfn.XMATCH(AC34,AC$1:AC33,0,-1)),"A",""))+INDEX(AE:AE,_xlfn.XMATCH(AC34,AC$1:AC33,0,-1))+1)</f>
        <v>1</v>
      </c>
      <c r="AE34" s="69">
        <f t="array" ref="AE34">SUM(IF(ISNUMBER(FIND("TmDi",$BE$1:$AAQ$1)),IF(IFERROR(ISNUMBER(VALUE(SUBSTITUTE($BE34:$AAQ34,"B",""))),FALSE),IF(ISNUMBER(VALUE(SUBSTITUTE($BE34:$AAQ34,"B",""))),1,0),0)))</f>
        <v>2</v>
      </c>
      <c r="AF34" s="12" t="s">
        <v>133</v>
      </c>
      <c r="AG34" s="12" t="s">
        <v>134</v>
      </c>
      <c r="AH34" s="12" t="s">
        <v>383</v>
      </c>
      <c r="AI34" s="60" t="str">
        <f t="array" ref="AI34">IF(COUNTIFS(AH$2:AH34,AH34)=1,"1",VALUE(SUBSTITUTE(INDEX(AI:AI,_xlfn.XMATCH(AH34,AH$1:AH33,0,-1)),"A",""))+INDEX(AJ:AJ,_xlfn.XMATCH(AH34,AH$1:AH33,0,-1))+1)</f>
        <v>1</v>
      </c>
      <c r="AJ34" s="60">
        <f t="array" ref="AJ34">SUM(IF(ISNUMBER(FIND("TmDo",$BE$1:$AAQ$1)),IF(IFERROR(ISNUMBER(VALUE(SUBSTITUTE($BE34:$AAQ34,"B",""))),FALSE),IF(ISNUMBER(VALUE(SUBSTITUTE($BE34:$AAQ34,"B",""))),1,0),0)))</f>
        <v>1</v>
      </c>
      <c r="AK34" s="12" t="str">
        <f t="shared" si="0"/>
        <v>1A</v>
      </c>
      <c r="AL34" s="12" t="str">
        <f t="shared" si="1"/>
        <v>1B</v>
      </c>
      <c r="AM34" s="12">
        <v>31</v>
      </c>
      <c r="AN34" s="12" t="str">
        <f>CONCATENATE(AM34,"XT")</f>
        <v>31XT</v>
      </c>
      <c r="AO34" s="12" t="str">
        <f t="shared" ref="AO34:AO42" si="50">CONCATENATE(AM34,"X")</f>
        <v>31X</v>
      </c>
      <c r="AP34" s="12" t="s">
        <v>137</v>
      </c>
      <c r="AQ34" s="12" t="s">
        <v>138</v>
      </c>
      <c r="AR34" s="12" t="str">
        <f t="shared" ref="AR34:AR42" si="51">CONCATENATE("Соединительная коробка (",REPLACE(A34,SEARCH("AA",A34),2,"GB"),")")</f>
        <v>Соединительная коробка (F0GAD12
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52">CONCATENATE("XT",U34)</f>
        <v>XT33</v>
      </c>
      <c r="ES34" s="12" t="str">
        <f t="shared" ref="ES34:ES42" si="53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 t="shared" ref="EW34:EW42" si="54">CONCATENATE(REPLACE(AK34,LEN(AK34),1,"")+1,"A")</f>
        <v>2A</v>
      </c>
      <c r="EX34" s="12" t="str">
        <f t="shared" ref="EX34:EX42" si="55">CONCATENATE(REPLACE(AL34,LEN(AL34),1,"")+1,"B")</f>
        <v>2B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35" si="56">CONCATENATE("DI",REPLACE($AC34,1,3,""),"-",ES34)</f>
        <v>DI8-C2</v>
      </c>
      <c r="FB34" s="12" t="str">
        <f t="shared" si="56"/>
        <v>DI8-B2</v>
      </c>
      <c r="FC34" s="12" t="str">
        <f t="shared" si="56"/>
        <v>DI8-C3</v>
      </c>
      <c r="FD34" s="12" t="str">
        <f t="shared" si="56"/>
        <v>DI8-B3</v>
      </c>
      <c r="FE34" s="12" t="str">
        <f>CONCATENATE("DO",REPLACE($AH34,1,3,""),"-",AK34)</f>
        <v>DO5-1A</v>
      </c>
      <c r="FF34" s="12" t="str">
        <f>CONCATENATE("DO",REPLACE($AH34,1,3,""),"-",AL34)</f>
        <v>DO5-1B</v>
      </c>
      <c r="FG34" s="12" t="str">
        <f>CONCATENATE("DO",REPLACE($AH34,1,3,""),"-",EW34)</f>
        <v>DO5-2A</v>
      </c>
      <c r="FH34" s="12" t="str">
        <f>CONCATENATE("DO",REPLACE($AH34,1,3,""),"-",EX34)</f>
        <v>DO5-2B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57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58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ht="30" x14ac:dyDescent="0.25">
      <c r="A35" s="29" t="s">
        <v>2246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s="46">
        <f t="array" ref="AD35">IF(COUNTIFS(AC$2:AC35,AC35)=1,"1",VALUE(SUBSTITUTE(INDEX(AD:AD,_xlfn.XMATCH(AC35,AC$1:AC34,0,-1)),"A",""))+INDEX(AE:AE,_xlfn.XMATCH(AC35,AC$1:AC34,0,-1))+1)</f>
        <v>4</v>
      </c>
      <c r="AE35" s="46">
        <f t="array" ref="AE35">SUM(IF(ISNUMBER(FIND("TmDi",$BE$1:$AAQ$1)),IF(IFERROR(ISNUMBER(VALUE(SUBSTITUTE($BE35:$AAQ35,"B",""))),FALSE),IF(ISNUMBER(VALUE(SUBSTITUTE($BE35:$AAQ35,"B",""))),1,0),0)))</f>
        <v>2</v>
      </c>
      <c r="AF35" t="s">
        <v>369</v>
      </c>
      <c r="AG35" t="s">
        <v>370</v>
      </c>
      <c r="AH35" t="s">
        <v>383</v>
      </c>
      <c r="AI35" s="61">
        <f t="array" ref="AI35">IF(COUNTIFS(AH$2:AH35,AH35)=1,"1",VALUE(SUBSTITUTE(INDEX(AI:AI,_xlfn.XMATCH(AH35,AH$1:AH34,0,-1)),"A",""))+INDEX(AJ:AJ,_xlfn.XMATCH(AH35,AH$1:AH34,0,-1))+1)</f>
        <v>3</v>
      </c>
      <c r="AJ35" s="61">
        <f t="array" ref="AJ35">SUM(IF(ISNUMBER(FIND("TmDo",$BE$1:$AAQ$1)),IF(IFERROR(ISNUMBER(VALUE(SUBSTITUTE($BE35:$AAQ35,"B",""))),FALSE),IF(ISNUMBER(VALUE(SUBSTITUTE($BE35:$AAQ35,"B",""))),1,0),0)))</f>
        <v>1</v>
      </c>
      <c r="AK35" t="str">
        <f t="shared" si="0"/>
        <v>3A</v>
      </c>
      <c r="AL35" t="str">
        <f t="shared" si="1"/>
        <v>3B</v>
      </c>
      <c r="AM35">
        <v>45</v>
      </c>
      <c r="AN35" t="str">
        <f t="shared" ref="AN35:AN42" si="59">CONCATENATE(AM35,"XT")</f>
        <v>45XT</v>
      </c>
      <c r="AO35" t="str">
        <f t="shared" si="50"/>
        <v>45X</v>
      </c>
      <c r="AP35" t="s">
        <v>137</v>
      </c>
      <c r="AQ35" t="s">
        <v>138</v>
      </c>
      <c r="AR35" t="str">
        <f t="shared" si="51"/>
        <v>Соединительная коробка (F0GAD16
GB801)</v>
      </c>
      <c r="AT35" t="s">
        <v>139</v>
      </c>
      <c r="AU35" t="s">
        <v>140</v>
      </c>
      <c r="BD35" s="16"/>
      <c r="ER35" s="27" t="str">
        <f t="shared" si="52"/>
        <v>XT34</v>
      </c>
      <c r="ES35" t="str">
        <f t="shared" si="53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 t="shared" si="54"/>
        <v>4A</v>
      </c>
      <c r="EX35" t="str">
        <f t="shared" si="55"/>
        <v>4B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56"/>
        <v>DI8-C5</v>
      </c>
      <c r="FB35" t="str">
        <f t="shared" si="56"/>
        <v>DI8-B5</v>
      </c>
      <c r="FC35" t="str">
        <f t="shared" si="56"/>
        <v>DI8-C6</v>
      </c>
      <c r="FD35" t="str">
        <f t="shared" si="56"/>
        <v>DI8-B6</v>
      </c>
      <c r="FE35" t="str">
        <f>CONCATENATE("DO",REPLACE($AH35,1,3,""),"-",AK35)</f>
        <v>DO5-3A</v>
      </c>
      <c r="FF35" t="str">
        <f>CONCATENATE("DO",REPLACE($AH35,1,3,""),"-",AL35)</f>
        <v>DO5-3B</v>
      </c>
      <c r="FG35" t="str">
        <f>CONCATENATE("DO",REPLACE($AH35,1,3,""),"-",EW35)</f>
        <v>DO5-4A</v>
      </c>
      <c r="FH35" t="str">
        <f>CONCATENATE("DO",REPLACE($AH35,1,3,""),"-",EX35)</f>
        <v>DO5-4B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57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58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ht="30" x14ac:dyDescent="0.25">
      <c r="A36" s="29" t="s">
        <v>2247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s="46">
        <f t="array" ref="AD36">IF(COUNTIFS(AC$2:AC36,AC36)=1,"1",VALUE(SUBSTITUTE(INDEX(AD:AD,_xlfn.XMATCH(AC36,AC$1:AC35,0,-1)),"A",""))+INDEX(AE:AE,_xlfn.XMATCH(AC36,AC$1:AC35,0,-1))+1)</f>
        <v>7</v>
      </c>
      <c r="AE36" s="46">
        <f t="array" ref="AE36">SUM(IF(ISNUMBER(FIND("TmDi",$BE$1:$AAQ$1)),IF(IFERROR(ISNUMBER(VALUE(SUBSTITUTE($BE36:$AAQ36,"B",""))),FALSE),IF(ISNUMBER(VALUE(SUBSTITUTE($BE36:$AAQ36,"B",""))),1,0),0)))</f>
        <v>2</v>
      </c>
      <c r="AF36" t="s">
        <v>148</v>
      </c>
      <c r="AG36" t="s">
        <v>149</v>
      </c>
      <c r="AH36" t="s">
        <v>383</v>
      </c>
      <c r="AI36" s="61">
        <f t="array" ref="AI36">IF(COUNTIFS(AH$2:AH36,AH36)=1,"1",VALUE(SUBSTITUTE(INDEX(AI:AI,_xlfn.XMATCH(AH36,AH$1:AH35,0,-1)),"A",""))+INDEX(AJ:AJ,_xlfn.XMATCH(AH36,AH$1:AH35,0,-1))+1)</f>
        <v>5</v>
      </c>
      <c r="AJ36" s="61">
        <f t="array" ref="AJ36">SUM(IF(ISNUMBER(FIND("TmDo",$BE$1:$AAQ$1)),IF(IFERROR(ISNUMBER(VALUE(SUBSTITUTE($BE36:$AAQ36,"B",""))),FALSE),IF(ISNUMBER(VALUE(SUBSTITUTE($BE36:$AAQ36,"B",""))),1,0),0)))</f>
        <v>1</v>
      </c>
      <c r="AK36" t="str">
        <f t="shared" si="0"/>
        <v>5A</v>
      </c>
      <c r="AL36" t="str">
        <f t="shared" si="1"/>
        <v>5B</v>
      </c>
      <c r="AM36">
        <v>44</v>
      </c>
      <c r="AN36" t="str">
        <f t="shared" si="59"/>
        <v>44XT</v>
      </c>
      <c r="AO36" t="str">
        <f t="shared" si="50"/>
        <v>44X</v>
      </c>
      <c r="AP36" t="s">
        <v>137</v>
      </c>
      <c r="AQ36" t="s">
        <v>138</v>
      </c>
      <c r="AR36" t="str">
        <f t="shared" si="51"/>
        <v>Соединительная коробка (F0GHJ20
GB801)</v>
      </c>
      <c r="AT36" t="s">
        <v>139</v>
      </c>
      <c r="AU36" t="s">
        <v>140</v>
      </c>
      <c r="BD36" s="16"/>
      <c r="ER36" s="27" t="str">
        <f t="shared" si="52"/>
        <v>XT35</v>
      </c>
      <c r="ES36" t="str">
        <f t="shared" si="53"/>
        <v>C8</v>
      </c>
      <c r="ET36" t="str">
        <f t="shared" ref="ET36:ET42" si="60">CONCATENATE("B",REPLACE(AG36,1,1,"")+1)</f>
        <v>B8</v>
      </c>
      <c r="EU36" t="str">
        <f t="shared" ref="EU36:EU42" si="61">CONCATENATE("C",REPLACE(ES36,1,1,"")+1)</f>
        <v>C9</v>
      </c>
      <c r="EV36" t="str">
        <f t="shared" ref="EV36:EV42" si="62">CONCATENATE("B",REPLACE(ET36,1,1,"")+1)</f>
        <v>B9</v>
      </c>
      <c r="EW36" t="str">
        <f t="shared" si="54"/>
        <v>6A</v>
      </c>
      <c r="EX36" t="str">
        <f t="shared" si="55"/>
        <v>6B</v>
      </c>
      <c r="EY36" t="str">
        <f t="shared" ref="EY36:EY42" si="63">CONCATENATE("DI",REPLACE($AC36,1,3,""),"-",AF36)</f>
        <v>DI8-C7</v>
      </c>
      <c r="EZ36" t="str">
        <f t="shared" ref="EZ36:EZ42" si="64">CONCATENATE("DI",REPLACE($AC36,1,3,""),"-",AG36)</f>
        <v>DI8-B7</v>
      </c>
      <c r="FA36" t="str">
        <f t="shared" ref="FA36:FA42" si="65">CONCATENATE("DI",REPLACE($AC36,1,3,""),"-",ES36)</f>
        <v>DI8-C8</v>
      </c>
      <c r="FB36" t="str">
        <f t="shared" ref="FB36:FB42" si="66">CONCATENATE("DI",REPLACE($AC36,1,3,""),"-",ET36)</f>
        <v>DI8-B8</v>
      </c>
      <c r="FC36" t="str">
        <f t="shared" ref="FC36:FC42" si="67">CONCATENATE("DI",REPLACE($AC36,1,3,""),"-",EU36)</f>
        <v>DI8-C9</v>
      </c>
      <c r="FD36" t="str">
        <f t="shared" ref="FD36:FD42" si="68">CONCATENATE("DI",REPLACE($AC36,1,3,""),"-",EV36)</f>
        <v>DI8-B9</v>
      </c>
      <c r="FE36" t="str">
        <f t="shared" ref="FE36:FE42" si="69">CONCATENATE("DO",REPLACE($AH36,1,3,""),"-",AK36)</f>
        <v>DO5-5A</v>
      </c>
      <c r="FF36" t="str">
        <f t="shared" ref="FF36:FF42" si="70">CONCATENATE("DO",REPLACE($AH36,1,3,""),"-",AL36)</f>
        <v>DO5-5B</v>
      </c>
      <c r="FG36" t="str">
        <f t="shared" ref="FG36:FG42" si="71">CONCATENATE("DO",REPLACE($AH36,1,3,""),"-",EW36)</f>
        <v>DO5-6A</v>
      </c>
      <c r="FH36" t="str">
        <f t="shared" ref="FH36:FH42" si="72">CONCATENATE("DO",REPLACE($AH36,1,3,""),"-",EX36)</f>
        <v>DO5-6B</v>
      </c>
      <c r="FI36" t="str">
        <f t="shared" ref="FI36:FI42" si="73">CONCATENATE("K",$U36,"-03")</f>
        <v>K35-03</v>
      </c>
      <c r="FJ36" t="str">
        <f t="shared" ref="FJ36:FJ42" si="74">CONCATENATE("K",$U36,"-04")</f>
        <v>K35-04</v>
      </c>
      <c r="FK36" t="str">
        <f t="shared" ref="FK36:FK42" si="75">CONCATENATE("K",$U36,"-01")</f>
        <v>K35-01</v>
      </c>
      <c r="FL36" t="str">
        <f t="shared" ref="FL36:FL42" si="76">CONCATENATE("K",$U36,"-02")</f>
        <v>K35-02</v>
      </c>
      <c r="FM36" t="str">
        <f t="shared" si="57"/>
        <v>K35-05</v>
      </c>
      <c r="FN36" t="str">
        <f t="shared" ref="FN36:FN42" si="77">CONCATENATE($T36,"-M",$U36,"-H1")</f>
        <v>F0-M35-H1</v>
      </c>
      <c r="FO36" t="str">
        <f t="shared" ref="FO36:FO42" si="78">CONCATENATE($T36,"-M",$U36,"-A1")</f>
        <v>F0-M35-A1</v>
      </c>
      <c r="FP36" t="str">
        <f t="shared" ref="FP36:FP42" si="79">CONCATENATE($T36,"-M",$U36,"-3")</f>
        <v>F0-M35-3</v>
      </c>
      <c r="FQ36" t="str">
        <f t="shared" ref="FQ36:FQ42" si="80">CONCATENATE($T36,"-M",$U36,"-2")</f>
        <v>F0-M35-2</v>
      </c>
      <c r="FR36" t="str">
        <f t="shared" ref="FR36:FR42" si="81">CONCATENATE($T36,"-M",$U36,"-16")</f>
        <v>F0-M35-16</v>
      </c>
      <c r="FS36" t="str">
        <f t="shared" ref="FS36:FS42" si="82">CONCATENATE($T36,"-M",$U36,"-15")</f>
        <v>F0-M35-15</v>
      </c>
      <c r="FT36" t="str">
        <f t="shared" ref="FT36:FT42" si="83">CONCATENATE($T36,"-A220-M",$U36,)</f>
        <v>F0-A220-M35</v>
      </c>
      <c r="FU36" t="str">
        <f t="shared" si="58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ht="30" x14ac:dyDescent="0.25">
      <c r="A37" s="29" t="s">
        <v>2248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s="46">
        <f t="array" ref="AD37">IF(COUNTIFS(AC$2:AC37,AC37)=1,"1",VALUE(SUBSTITUTE(INDEX(AD:AD,_xlfn.XMATCH(AC37,AC$1:AC36,0,-1)),"A",""))+INDEX(AE:AE,_xlfn.XMATCH(AC37,AC$1:AC36,0,-1))+1)</f>
        <v>10</v>
      </c>
      <c r="AE37" s="46">
        <f t="array" ref="AE37">SUM(IF(ISNUMBER(FIND("TmDi",$BE$1:$AAQ$1)),IF(IFERROR(ISNUMBER(VALUE(SUBSTITUTE($BE37:$AAQ37,"B",""))),FALSE),IF(ISNUMBER(VALUE(SUBSTITUTE($BE37:$AAQ37,"B",""))),1,0),0)))</f>
        <v>2</v>
      </c>
      <c r="AF37" t="s">
        <v>377</v>
      </c>
      <c r="AG37" t="s">
        <v>378</v>
      </c>
      <c r="AH37" t="s">
        <v>383</v>
      </c>
      <c r="AI37" s="61">
        <f t="array" ref="AI37">IF(COUNTIFS(AH$2:AH37,AH37)=1,"1",VALUE(SUBSTITUTE(INDEX(AI:AI,_xlfn.XMATCH(AH37,AH$1:AH36,0,-1)),"A",""))+INDEX(AJ:AJ,_xlfn.XMATCH(AH37,AH$1:AH36,0,-1))+1)</f>
        <v>7</v>
      </c>
      <c r="AJ37" s="61">
        <f t="array" ref="AJ37">SUM(IF(ISNUMBER(FIND("TmDo",$BE$1:$AAQ$1)),IF(IFERROR(ISNUMBER(VALUE(SUBSTITUTE($BE37:$AAQ37,"B",""))),FALSE),IF(ISNUMBER(VALUE(SUBSTITUTE($BE37:$AAQ37,"B",""))),1,0),0)))</f>
        <v>1</v>
      </c>
      <c r="AK37" t="str">
        <f t="shared" si="0"/>
        <v>7A</v>
      </c>
      <c r="AL37" t="str">
        <f t="shared" si="1"/>
        <v>7B</v>
      </c>
      <c r="AM37">
        <v>42</v>
      </c>
      <c r="AN37" t="str">
        <f t="shared" si="59"/>
        <v>42XT</v>
      </c>
      <c r="AO37" t="str">
        <f t="shared" si="50"/>
        <v>42X</v>
      </c>
      <c r="AP37" t="s">
        <v>137</v>
      </c>
      <c r="AQ37" t="s">
        <v>138</v>
      </c>
      <c r="AR37" t="str">
        <f t="shared" si="51"/>
        <v>Соединительная коробка (F0GAD17
GB801)</v>
      </c>
      <c r="AT37" t="s">
        <v>139</v>
      </c>
      <c r="AU37" t="s">
        <v>140</v>
      </c>
      <c r="BD37" s="16"/>
      <c r="ER37" s="27" t="str">
        <f t="shared" si="52"/>
        <v>XT36</v>
      </c>
      <c r="ES37" t="str">
        <f t="shared" si="53"/>
        <v>C11</v>
      </c>
      <c r="ET37" t="str">
        <f t="shared" si="60"/>
        <v>B11</v>
      </c>
      <c r="EU37" t="str">
        <f t="shared" si="61"/>
        <v>C12</v>
      </c>
      <c r="EV37" t="str">
        <f t="shared" si="62"/>
        <v>B12</v>
      </c>
      <c r="EW37" t="str">
        <f t="shared" si="54"/>
        <v>8A</v>
      </c>
      <c r="EX37" t="str">
        <f t="shared" si="55"/>
        <v>8B</v>
      </c>
      <c r="EY37" t="str">
        <f t="shared" si="63"/>
        <v>DI8-C10</v>
      </c>
      <c r="EZ37" t="str">
        <f t="shared" si="64"/>
        <v>DI8-B10</v>
      </c>
      <c r="FA37" t="str">
        <f t="shared" si="65"/>
        <v>DI8-C11</v>
      </c>
      <c r="FB37" t="str">
        <f t="shared" si="66"/>
        <v>DI8-B11</v>
      </c>
      <c r="FC37" t="str">
        <f t="shared" si="67"/>
        <v>DI8-C12</v>
      </c>
      <c r="FD37" t="str">
        <f t="shared" si="68"/>
        <v>DI8-B12</v>
      </c>
      <c r="FE37" t="str">
        <f t="shared" si="69"/>
        <v>DO5-7A</v>
      </c>
      <c r="FF37" t="str">
        <f t="shared" si="70"/>
        <v>DO5-7B</v>
      </c>
      <c r="FG37" t="str">
        <f t="shared" si="71"/>
        <v>DO5-8A</v>
      </c>
      <c r="FH37" t="str">
        <f t="shared" si="72"/>
        <v>DO5-8B</v>
      </c>
      <c r="FI37" t="str">
        <f t="shared" si="73"/>
        <v>K36-03</v>
      </c>
      <c r="FJ37" t="str">
        <f t="shared" si="74"/>
        <v>K36-04</v>
      </c>
      <c r="FK37" t="str">
        <f t="shared" si="75"/>
        <v>K36-01</v>
      </c>
      <c r="FL37" t="str">
        <f t="shared" si="76"/>
        <v>K36-02</v>
      </c>
      <c r="FM37" t="str">
        <f t="shared" si="57"/>
        <v>K36-05</v>
      </c>
      <c r="FN37" t="str">
        <f t="shared" si="77"/>
        <v>F0-M36-H1</v>
      </c>
      <c r="FO37" t="str">
        <f t="shared" si="78"/>
        <v>F0-M36-A1</v>
      </c>
      <c r="FP37" t="str">
        <f t="shared" si="79"/>
        <v>F0-M36-3</v>
      </c>
      <c r="FQ37" t="str">
        <f t="shared" si="80"/>
        <v>F0-M36-2</v>
      </c>
      <c r="FR37" t="str">
        <f t="shared" si="81"/>
        <v>F0-M36-16</v>
      </c>
      <c r="FS37" t="str">
        <f t="shared" si="82"/>
        <v>F0-M36-15</v>
      </c>
      <c r="FT37" t="str">
        <f t="shared" si="83"/>
        <v>F0-A220-M36</v>
      </c>
      <c r="FU37" t="str">
        <f t="shared" si="58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ht="30" x14ac:dyDescent="0.25">
      <c r="A38" s="29" t="s">
        <v>2249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s="46">
        <f t="array" ref="AD38">IF(COUNTIFS(AC$2:AC38,AC38)=1,"1",VALUE(SUBSTITUTE(INDEX(AD:AD,_xlfn.XMATCH(AC38,AC$1:AC37,0,-1)),"A",""))+INDEX(AE:AE,_xlfn.XMATCH(AC38,AC$1:AC37,0,-1))+1)</f>
        <v>13</v>
      </c>
      <c r="AE38" s="46">
        <f t="array" ref="AE38">SUM(IF(ISNUMBER(FIND("TmDi",$BE$1:$AAQ$1)),IF(IFERROR(ISNUMBER(VALUE(SUBSTITUTE($BE38:$AAQ38,"B",""))),FALSE),IF(ISNUMBER(VALUE(SUBSTITUTE($BE38:$AAQ38,"B",""))),1,0),0)))</f>
        <v>2</v>
      </c>
      <c r="AF38" t="s">
        <v>153</v>
      </c>
      <c r="AG38" t="s">
        <v>154</v>
      </c>
      <c r="AH38" t="s">
        <v>383</v>
      </c>
      <c r="AI38" s="61">
        <f t="array" ref="AI38">IF(COUNTIFS(AH$2:AH38,AH38)=1,"1",VALUE(SUBSTITUTE(INDEX(AI:AI,_xlfn.XMATCH(AH38,AH$1:AH37,0,-1)),"A",""))+INDEX(AJ:AJ,_xlfn.XMATCH(AH38,AH$1:AH37,0,-1))+1)</f>
        <v>9</v>
      </c>
      <c r="AJ38" s="61">
        <f t="array" ref="AJ38">SUM(IF(ISNUMBER(FIND("TmDo",$BE$1:$AAQ$1)),IF(IFERROR(ISNUMBER(VALUE(SUBSTITUTE($BE38:$AAQ38,"B",""))),FALSE),IF(ISNUMBER(VALUE(SUBSTITUTE($BE38:$AAQ38,"B",""))),1,0),0)))</f>
        <v>1</v>
      </c>
      <c r="AK38" t="str">
        <f t="shared" si="0"/>
        <v>9A</v>
      </c>
      <c r="AL38" t="str">
        <f t="shared" si="1"/>
        <v>9B</v>
      </c>
      <c r="AM38">
        <v>46</v>
      </c>
      <c r="AN38" t="str">
        <f t="shared" si="59"/>
        <v>46XT</v>
      </c>
      <c r="AO38" t="str">
        <f t="shared" si="50"/>
        <v>46X</v>
      </c>
      <c r="AP38" t="s">
        <v>137</v>
      </c>
      <c r="AQ38" t="s">
        <v>138</v>
      </c>
      <c r="AR38" t="str">
        <f t="shared" si="51"/>
        <v>Соединительная коробка (F0NDG24
GB801)</v>
      </c>
      <c r="AT38" t="s">
        <v>139</v>
      </c>
      <c r="AU38" t="s">
        <v>140</v>
      </c>
      <c r="BD38" s="16"/>
      <c r="ER38" s="27" t="str">
        <f t="shared" si="52"/>
        <v>XT37</v>
      </c>
      <c r="ES38" t="str">
        <f t="shared" si="53"/>
        <v>C14</v>
      </c>
      <c r="ET38" t="str">
        <f t="shared" si="60"/>
        <v>B14</v>
      </c>
      <c r="EU38" t="str">
        <f t="shared" si="61"/>
        <v>C15</v>
      </c>
      <c r="EV38" t="str">
        <f t="shared" si="62"/>
        <v>B15</v>
      </c>
      <c r="EW38" t="str">
        <f t="shared" si="54"/>
        <v>10A</v>
      </c>
      <c r="EX38" t="str">
        <f t="shared" si="55"/>
        <v>10B</v>
      </c>
      <c r="EY38" t="str">
        <f t="shared" si="63"/>
        <v>DI8-C13</v>
      </c>
      <c r="EZ38" t="str">
        <f t="shared" si="64"/>
        <v>DI8-B13</v>
      </c>
      <c r="FA38" t="str">
        <f t="shared" si="65"/>
        <v>DI8-C14</v>
      </c>
      <c r="FB38" t="str">
        <f t="shared" si="66"/>
        <v>DI8-B14</v>
      </c>
      <c r="FC38" t="str">
        <f t="shared" si="67"/>
        <v>DI8-C15</v>
      </c>
      <c r="FD38" t="str">
        <f t="shared" si="68"/>
        <v>DI8-B15</v>
      </c>
      <c r="FE38" t="str">
        <f t="shared" si="69"/>
        <v>DO5-9A</v>
      </c>
      <c r="FF38" t="str">
        <f t="shared" si="70"/>
        <v>DO5-9B</v>
      </c>
      <c r="FG38" t="str">
        <f t="shared" si="71"/>
        <v>DO5-10A</v>
      </c>
      <c r="FH38" t="str">
        <f t="shared" si="72"/>
        <v>DO5-10B</v>
      </c>
      <c r="FI38" t="str">
        <f t="shared" si="73"/>
        <v>K37-03</v>
      </c>
      <c r="FJ38" t="str">
        <f t="shared" si="74"/>
        <v>K37-04</v>
      </c>
      <c r="FK38" t="str">
        <f t="shared" si="75"/>
        <v>K37-01</v>
      </c>
      <c r="FL38" t="str">
        <f t="shared" si="76"/>
        <v>K37-02</v>
      </c>
      <c r="FM38" t="str">
        <f t="shared" si="57"/>
        <v>K37-05</v>
      </c>
      <c r="FN38" t="str">
        <f t="shared" si="77"/>
        <v>F0-M37-H1</v>
      </c>
      <c r="FO38" t="str">
        <f t="shared" si="78"/>
        <v>F0-M37-A1</v>
      </c>
      <c r="FP38" t="str">
        <f t="shared" si="79"/>
        <v>F0-M37-3</v>
      </c>
      <c r="FQ38" t="str">
        <f t="shared" si="80"/>
        <v>F0-M37-2</v>
      </c>
      <c r="FR38" t="str">
        <f t="shared" si="81"/>
        <v>F0-M37-16</v>
      </c>
      <c r="FS38" t="str">
        <f t="shared" si="82"/>
        <v>F0-M37-15</v>
      </c>
      <c r="FT38" t="str">
        <f t="shared" si="83"/>
        <v>F0-A220-M37</v>
      </c>
      <c r="FU38" t="str">
        <f t="shared" si="58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ht="30" x14ac:dyDescent="0.25">
      <c r="A39" s="29" t="s">
        <v>2250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s="46">
        <f t="array" ref="AD39">IF(COUNTIFS(AC$2:AC39,AC39)=1,"1",VALUE(SUBSTITUTE(INDEX(AD:AD,_xlfn.XMATCH(AC39,AC$1:AC38,0,-1)),"A",""))+INDEX(AE:AE,_xlfn.XMATCH(AC39,AC$1:AC38,0,-1))+1)</f>
        <v>16</v>
      </c>
      <c r="AE39" s="46">
        <f t="array" ref="AE39">SUM(IF(ISNUMBER(FIND("TmDi",$BE$1:$AAQ$1)),IF(IFERROR(ISNUMBER(VALUE(SUBSTITUTE($BE39:$AAQ39,"B",""))),FALSE),IF(ISNUMBER(VALUE(SUBSTITUTE($BE39:$AAQ39,"B",""))),1,0),0)))</f>
        <v>2</v>
      </c>
      <c r="AF39" t="s">
        <v>379</v>
      </c>
      <c r="AG39" t="s">
        <v>380</v>
      </c>
      <c r="AH39" t="s">
        <v>383</v>
      </c>
      <c r="AI39" s="61">
        <f t="array" ref="AI39">IF(COUNTIFS(AH$2:AH39,AH39)=1,"1",VALUE(SUBSTITUTE(INDEX(AI:AI,_xlfn.XMATCH(AH39,AH$1:AH38,0,-1)),"A",""))+INDEX(AJ:AJ,_xlfn.XMATCH(AH39,AH$1:AH38,0,-1))+1)</f>
        <v>11</v>
      </c>
      <c r="AJ39" s="61">
        <f t="array" ref="AJ39">SUM(IF(ISNUMBER(FIND("TmDo",$BE$1:$AAQ$1)),IF(IFERROR(ISNUMBER(VALUE(SUBSTITUTE($BE39:$AAQ39,"B",""))),FALSE),IF(ISNUMBER(VALUE(SUBSTITUTE($BE39:$AAQ39,"B",""))),1,0),0)))</f>
        <v>1</v>
      </c>
      <c r="AK39" t="str">
        <f t="shared" si="0"/>
        <v>11A</v>
      </c>
      <c r="AL39" t="str">
        <f t="shared" si="1"/>
        <v>11B</v>
      </c>
      <c r="AM39">
        <v>55</v>
      </c>
      <c r="AN39" t="str">
        <f t="shared" si="59"/>
        <v>55XT</v>
      </c>
      <c r="AO39" t="str">
        <f t="shared" si="50"/>
        <v>55X</v>
      </c>
      <c r="AP39" t="s">
        <v>137</v>
      </c>
      <c r="AQ39" t="s">
        <v>138</v>
      </c>
      <c r="AR39" t="str">
        <f t="shared" si="51"/>
        <v>Соединительная коробка (F0NDG20
GB803)</v>
      </c>
      <c r="AT39" t="s">
        <v>139</v>
      </c>
      <c r="AU39" t="s">
        <v>140</v>
      </c>
      <c r="BD39" s="16"/>
      <c r="ER39" s="27" t="str">
        <f t="shared" si="52"/>
        <v>XT38</v>
      </c>
      <c r="ES39" t="str">
        <f t="shared" si="53"/>
        <v>C17</v>
      </c>
      <c r="ET39" t="str">
        <f t="shared" si="60"/>
        <v>B17</v>
      </c>
      <c r="EU39" t="str">
        <f t="shared" si="61"/>
        <v>C18</v>
      </c>
      <c r="EV39" t="str">
        <f t="shared" si="62"/>
        <v>B18</v>
      </c>
      <c r="EW39" t="str">
        <f t="shared" si="54"/>
        <v>12A</v>
      </c>
      <c r="EX39" t="str">
        <f t="shared" si="55"/>
        <v>12B</v>
      </c>
      <c r="EY39" t="str">
        <f t="shared" si="63"/>
        <v>DI8-C16</v>
      </c>
      <c r="EZ39" t="str">
        <f t="shared" si="64"/>
        <v>DI8-B16</v>
      </c>
      <c r="FA39" t="str">
        <f t="shared" si="65"/>
        <v>DI8-C17</v>
      </c>
      <c r="FB39" t="str">
        <f t="shared" si="66"/>
        <v>DI8-B17</v>
      </c>
      <c r="FC39" t="str">
        <f t="shared" si="67"/>
        <v>DI8-C18</v>
      </c>
      <c r="FD39" t="str">
        <f t="shared" si="68"/>
        <v>DI8-B18</v>
      </c>
      <c r="FE39" t="str">
        <f t="shared" si="69"/>
        <v>DO5-11A</v>
      </c>
      <c r="FF39" t="str">
        <f t="shared" si="70"/>
        <v>DO5-11B</v>
      </c>
      <c r="FG39" t="str">
        <f t="shared" si="71"/>
        <v>DO5-12A</v>
      </c>
      <c r="FH39" t="str">
        <f t="shared" si="72"/>
        <v>DO5-12B</v>
      </c>
      <c r="FI39" t="str">
        <f t="shared" si="73"/>
        <v>K38-03</v>
      </c>
      <c r="FJ39" t="str">
        <f t="shared" si="74"/>
        <v>K38-04</v>
      </c>
      <c r="FK39" t="str">
        <f t="shared" si="75"/>
        <v>K38-01</v>
      </c>
      <c r="FL39" t="str">
        <f t="shared" si="76"/>
        <v>K38-02</v>
      </c>
      <c r="FM39" t="str">
        <f t="shared" si="57"/>
        <v>K38-05</v>
      </c>
      <c r="FN39" t="str">
        <f t="shared" si="77"/>
        <v>F0-M38-H1</v>
      </c>
      <c r="FO39" t="str">
        <f t="shared" si="78"/>
        <v>F0-M38-A1</v>
      </c>
      <c r="FP39" t="str">
        <f t="shared" si="79"/>
        <v>F0-M38-3</v>
      </c>
      <c r="FQ39" t="str">
        <f t="shared" si="80"/>
        <v>F0-M38-2</v>
      </c>
      <c r="FR39" t="str">
        <f t="shared" si="81"/>
        <v>F0-M38-16</v>
      </c>
      <c r="FS39" t="str">
        <f t="shared" si="82"/>
        <v>F0-M38-15</v>
      </c>
      <c r="FT39" t="str">
        <f t="shared" si="83"/>
        <v>F0-A220-M38</v>
      </c>
      <c r="FU39" t="str">
        <f t="shared" si="58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ht="30" x14ac:dyDescent="0.25">
      <c r="A40" s="29" t="s">
        <v>2251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s="46">
        <f t="array" ref="AD40">IF(COUNTIFS(AC$2:AC40,AC40)=1,"1",VALUE(SUBSTITUTE(INDEX(AD:AD,_xlfn.XMATCH(AC40,AC$1:AC39,0,-1)),"A",""))+INDEX(AE:AE,_xlfn.XMATCH(AC40,AC$1:AC39,0,-1))+1)</f>
        <v>19</v>
      </c>
      <c r="AE40" s="46">
        <f t="array" ref="AE40">SUM(IF(ISNUMBER(FIND("TmDi",$BE$1:$AAQ$1)),IF(IFERROR(ISNUMBER(VALUE(SUBSTITUTE($BE40:$AAQ40,"B",""))),FALSE),IF(ISNUMBER(VALUE(SUBSTITUTE($BE40:$AAQ40,"B",""))),1,0),0)))</f>
        <v>2</v>
      </c>
      <c r="AF40" t="s">
        <v>239</v>
      </c>
      <c r="AG40" t="s">
        <v>241</v>
      </c>
      <c r="AH40" t="s">
        <v>383</v>
      </c>
      <c r="AI40" s="61">
        <f t="array" ref="AI40">IF(COUNTIFS(AH$2:AH40,AH40)=1,"1",VALUE(SUBSTITUTE(INDEX(AI:AI,_xlfn.XMATCH(AH40,AH$1:AH39,0,-1)),"A",""))+INDEX(AJ:AJ,_xlfn.XMATCH(AH40,AH$1:AH39,0,-1))+1)</f>
        <v>13</v>
      </c>
      <c r="AJ40" s="61">
        <f t="array" ref="AJ40">SUM(IF(ISNUMBER(FIND("TmDo",$BE$1:$AAQ$1)),IF(IFERROR(ISNUMBER(VALUE(SUBSTITUTE($BE40:$AAQ40,"B",""))),FALSE),IF(ISNUMBER(VALUE(SUBSTITUTE($BE40:$AAQ40,"B",""))),1,0),0)))</f>
        <v>1</v>
      </c>
      <c r="AK40" t="str">
        <f t="shared" si="0"/>
        <v>13A</v>
      </c>
      <c r="AL40" t="str">
        <f t="shared" si="1"/>
        <v>13B</v>
      </c>
      <c r="AM40">
        <v>56</v>
      </c>
      <c r="AN40" t="str">
        <f t="shared" si="59"/>
        <v>56XT</v>
      </c>
      <c r="AO40" t="str">
        <f t="shared" si="50"/>
        <v>56X</v>
      </c>
      <c r="AP40" t="s">
        <v>137</v>
      </c>
      <c r="AQ40" t="s">
        <v>138</v>
      </c>
      <c r="AR40" t="str">
        <f t="shared" si="51"/>
        <v>Соединительная коробка (F0GAC01
GB801)</v>
      </c>
      <c r="AT40" t="s">
        <v>139</v>
      </c>
      <c r="AU40" t="s">
        <v>140</v>
      </c>
      <c r="BD40" s="16"/>
      <c r="ER40" s="27" t="str">
        <f t="shared" si="52"/>
        <v>XT39</v>
      </c>
      <c r="ES40" t="str">
        <f t="shared" si="53"/>
        <v>C20</v>
      </c>
      <c r="ET40" t="str">
        <f t="shared" si="60"/>
        <v>B20</v>
      </c>
      <c r="EU40" t="str">
        <f t="shared" si="61"/>
        <v>C21</v>
      </c>
      <c r="EV40" t="str">
        <f t="shared" si="62"/>
        <v>B21</v>
      </c>
      <c r="EW40" t="str">
        <f t="shared" si="54"/>
        <v>14A</v>
      </c>
      <c r="EX40" t="str">
        <f t="shared" si="55"/>
        <v>14B</v>
      </c>
      <c r="EY40" t="str">
        <f t="shared" si="63"/>
        <v>DI8-C19</v>
      </c>
      <c r="EZ40" t="str">
        <f t="shared" si="64"/>
        <v>DI8-B19</v>
      </c>
      <c r="FA40" t="str">
        <f t="shared" si="65"/>
        <v>DI8-C20</v>
      </c>
      <c r="FB40" t="str">
        <f t="shared" si="66"/>
        <v>DI8-B20</v>
      </c>
      <c r="FC40" t="str">
        <f t="shared" si="67"/>
        <v>DI8-C21</v>
      </c>
      <c r="FD40" t="str">
        <f t="shared" si="68"/>
        <v>DI8-B21</v>
      </c>
      <c r="FE40" t="str">
        <f t="shared" si="69"/>
        <v>DO5-13A</v>
      </c>
      <c r="FF40" t="str">
        <f t="shared" si="70"/>
        <v>DO5-13B</v>
      </c>
      <c r="FG40" t="str">
        <f t="shared" si="71"/>
        <v>DO5-14A</v>
      </c>
      <c r="FH40" t="str">
        <f t="shared" si="72"/>
        <v>DO5-14B</v>
      </c>
      <c r="FI40" t="str">
        <f t="shared" si="73"/>
        <v>K39-03</v>
      </c>
      <c r="FJ40" t="str">
        <f t="shared" si="74"/>
        <v>K39-04</v>
      </c>
      <c r="FK40" t="str">
        <f t="shared" si="75"/>
        <v>K39-01</v>
      </c>
      <c r="FL40" t="str">
        <f t="shared" si="76"/>
        <v>K39-02</v>
      </c>
      <c r="FM40" t="str">
        <f t="shared" si="57"/>
        <v>K39-05</v>
      </c>
      <c r="FN40" t="str">
        <f t="shared" si="77"/>
        <v>F0-M39-H1</v>
      </c>
      <c r="FO40" t="str">
        <f t="shared" si="78"/>
        <v>F0-M39-A1</v>
      </c>
      <c r="FP40" t="str">
        <f t="shared" si="79"/>
        <v>F0-M39-3</v>
      </c>
      <c r="FQ40" t="str">
        <f t="shared" si="80"/>
        <v>F0-M39-2</v>
      </c>
      <c r="FR40" t="str">
        <f t="shared" si="81"/>
        <v>F0-M39-16</v>
      </c>
      <c r="FS40" t="str">
        <f t="shared" si="82"/>
        <v>F0-M39-15</v>
      </c>
      <c r="FT40" t="str">
        <f t="shared" si="83"/>
        <v>F0-A220-M39</v>
      </c>
      <c r="FU40" t="str">
        <f t="shared" si="58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ht="30" x14ac:dyDescent="0.25">
      <c r="A41" s="29" t="s">
        <v>2252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s="46">
        <f t="array" ref="AD41">IF(COUNTIFS(AC$2:AC41,AC41)=1,"1",VALUE(SUBSTITUTE(INDEX(AD:AD,_xlfn.XMATCH(AC41,AC$1:AC40,0,-1)),"A",""))+INDEX(AE:AE,_xlfn.XMATCH(AC41,AC$1:AC40,0,-1))+1)</f>
        <v>22</v>
      </c>
      <c r="AE41" s="46">
        <f t="array" ref="AE41">SUM(IF(ISNUMBER(FIND("TmDi",$BE$1:$AAQ$1)),IF(IFERROR(ISNUMBER(VALUE(SUBSTITUTE($BE41:$AAQ41,"B",""))),FALSE),IF(ISNUMBER(VALUE(SUBSTITUTE($BE41:$AAQ41,"B",""))),1,0),0)))</f>
        <v>2</v>
      </c>
      <c r="AF41" t="s">
        <v>381</v>
      </c>
      <c r="AG41" t="s">
        <v>382</v>
      </c>
      <c r="AH41" t="s">
        <v>383</v>
      </c>
      <c r="AI41" s="61">
        <f t="array" ref="AI41">IF(COUNTIFS(AH$2:AH41,AH41)=1,"1",VALUE(SUBSTITUTE(INDEX(AI:AI,_xlfn.XMATCH(AH41,AH$1:AH40,0,-1)),"A",""))+INDEX(AJ:AJ,_xlfn.XMATCH(AH41,AH$1:AH40,0,-1))+1)</f>
        <v>15</v>
      </c>
      <c r="AJ41" s="61">
        <f t="array" ref="AJ41">SUM(IF(ISNUMBER(FIND("TmDo",$BE$1:$AAQ$1)),IF(IFERROR(ISNUMBER(VALUE(SUBSTITUTE($BE41:$AAQ41,"B",""))),FALSE),IF(ISNUMBER(VALUE(SUBSTITUTE($BE41:$AAQ41,"B",""))),1,0),0)))</f>
        <v>1</v>
      </c>
      <c r="AK41" t="str">
        <f t="shared" si="0"/>
        <v>15A</v>
      </c>
      <c r="AL41" t="str">
        <f t="shared" si="1"/>
        <v>15B</v>
      </c>
      <c r="AM41">
        <v>57</v>
      </c>
      <c r="AN41" t="str">
        <f t="shared" si="59"/>
        <v>57XT</v>
      </c>
      <c r="AO41" t="str">
        <f t="shared" si="50"/>
        <v>57X</v>
      </c>
      <c r="AP41" t="s">
        <v>137</v>
      </c>
      <c r="AQ41" t="s">
        <v>138</v>
      </c>
      <c r="AR41" t="str">
        <f t="shared" si="51"/>
        <v>Соединительная коробка (F0GAC01
GB802)</v>
      </c>
      <c r="AT41" t="s">
        <v>139</v>
      </c>
      <c r="AU41" t="s">
        <v>140</v>
      </c>
      <c r="BD41" s="16"/>
      <c r="ER41" s="27" t="str">
        <f t="shared" si="52"/>
        <v>XT40</v>
      </c>
      <c r="ES41" t="str">
        <f t="shared" si="53"/>
        <v>C23</v>
      </c>
      <c r="ET41" t="str">
        <f t="shared" si="60"/>
        <v>B23</v>
      </c>
      <c r="EU41" t="str">
        <f t="shared" si="61"/>
        <v>C24</v>
      </c>
      <c r="EV41" t="str">
        <f t="shared" si="62"/>
        <v>B24</v>
      </c>
      <c r="EW41" t="str">
        <f t="shared" si="54"/>
        <v>16A</v>
      </c>
      <c r="EX41" t="str">
        <f t="shared" si="55"/>
        <v>16B</v>
      </c>
      <c r="EY41" t="str">
        <f t="shared" si="63"/>
        <v>DI8-C22</v>
      </c>
      <c r="EZ41" t="str">
        <f t="shared" si="64"/>
        <v>DI8-B22</v>
      </c>
      <c r="FA41" t="str">
        <f t="shared" si="65"/>
        <v>DI8-C23</v>
      </c>
      <c r="FB41" t="str">
        <f t="shared" si="66"/>
        <v>DI8-B23</v>
      </c>
      <c r="FC41" t="str">
        <f t="shared" si="67"/>
        <v>DI8-C24</v>
      </c>
      <c r="FD41" t="str">
        <f t="shared" si="68"/>
        <v>DI8-B24</v>
      </c>
      <c r="FE41" t="str">
        <f t="shared" si="69"/>
        <v>DO5-15A</v>
      </c>
      <c r="FF41" t="str">
        <f t="shared" si="70"/>
        <v>DO5-15B</v>
      </c>
      <c r="FG41" t="str">
        <f t="shared" si="71"/>
        <v>DO5-16A</v>
      </c>
      <c r="FH41" t="str">
        <f t="shared" si="72"/>
        <v>DO5-16B</v>
      </c>
      <c r="FI41" t="str">
        <f t="shared" si="73"/>
        <v>K40-03</v>
      </c>
      <c r="FJ41" t="str">
        <f t="shared" si="74"/>
        <v>K40-04</v>
      </c>
      <c r="FK41" t="str">
        <f t="shared" si="75"/>
        <v>K40-01</v>
      </c>
      <c r="FL41" t="str">
        <f t="shared" si="76"/>
        <v>K40-02</v>
      </c>
      <c r="FM41" t="str">
        <f t="shared" si="57"/>
        <v>K40-05</v>
      </c>
      <c r="FN41" t="str">
        <f t="shared" si="77"/>
        <v>F0-M40-H1</v>
      </c>
      <c r="FO41" t="str">
        <f t="shared" si="78"/>
        <v>F0-M40-A1</v>
      </c>
      <c r="FP41" t="str">
        <f t="shared" si="79"/>
        <v>F0-M40-3</v>
      </c>
      <c r="FQ41" t="str">
        <f t="shared" si="80"/>
        <v>F0-M40-2</v>
      </c>
      <c r="FR41" t="str">
        <f t="shared" si="81"/>
        <v>F0-M40-16</v>
      </c>
      <c r="FS41" t="str">
        <f t="shared" si="82"/>
        <v>F0-M40-15</v>
      </c>
      <c r="FT41" t="str">
        <f t="shared" si="83"/>
        <v>F0-A220-M40</v>
      </c>
      <c r="FU41" t="str">
        <f t="shared" si="58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30.75" thickBot="1" x14ac:dyDescent="0.3">
      <c r="A42" s="29" t="s">
        <v>2253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58">
        <f t="array" ref="AD42">IF(COUNTIFS(AC$2:AC42,AC42)=1,"1",VALUE(SUBSTITUTE(INDEX(AD:AD,_xlfn.XMATCH(AC42,AC$1:AC41,0,-1)),"A",""))+INDEX(AE:AE,_xlfn.XMATCH(AC42,AC$1:AC41,0,-1))+1)</f>
        <v>25</v>
      </c>
      <c r="AE42" s="58">
        <f t="array" ref="AE42">SUM(IF(ISNUMBER(FIND("TmDi",$BE$1:$AAQ$1)),IF(IFERROR(ISNUMBER(VALUE(SUBSTITUTE($BE42:$AAQ42,"B",""))),FALSE),IF(ISNUMBER(VALUE(SUBSTITUTE($BE42:$AAQ42,"B",""))),1,0),0)))</f>
        <v>2</v>
      </c>
      <c r="AF42" s="19" t="s">
        <v>240</v>
      </c>
      <c r="AG42" s="19" t="s">
        <v>242</v>
      </c>
      <c r="AH42" s="19" t="s">
        <v>383</v>
      </c>
      <c r="AI42" s="62">
        <f t="array" ref="AI42">IF(COUNTIFS(AH$2:AH42,AH42)=1,"1",VALUE(SUBSTITUTE(INDEX(AI:AI,_xlfn.XMATCH(AH42,AH$1:AH41,0,-1)),"A",""))+INDEX(AJ:AJ,_xlfn.XMATCH(AH42,AH$1:AH41,0,-1))+1)</f>
        <v>17</v>
      </c>
      <c r="AJ42" s="62">
        <f t="array" ref="AJ42">SUM(IF(ISNUMBER(FIND("TmDo",$BE$1:$AAQ$1)),IF(IFERROR(ISNUMBER(VALUE(SUBSTITUTE($BE42:$AAQ42,"B",""))),FALSE),IF(ISNUMBER(VALUE(SUBSTITUTE($BE42:$AAQ42,"B",""))),1,0),0)))</f>
        <v>1</v>
      </c>
      <c r="AK42" s="19" t="str">
        <f t="shared" si="0"/>
        <v>17A</v>
      </c>
      <c r="AL42" s="19" t="str">
        <f t="shared" si="1"/>
        <v>17B</v>
      </c>
      <c r="AM42" s="19">
        <v>58</v>
      </c>
      <c r="AN42" s="19" t="str">
        <f t="shared" si="59"/>
        <v>58XT</v>
      </c>
      <c r="AO42" s="19" t="str">
        <f t="shared" si="50"/>
        <v>58X</v>
      </c>
      <c r="AP42" s="19" t="s">
        <v>137</v>
      </c>
      <c r="AQ42" s="19" t="s">
        <v>138</v>
      </c>
      <c r="AR42" s="19" t="str">
        <f t="shared" si="51"/>
        <v>Соединительная коробка (F0GBJ01
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52"/>
        <v>XT41</v>
      </c>
      <c r="ES42" s="19" t="str">
        <f t="shared" si="53"/>
        <v>C26</v>
      </c>
      <c r="ET42" s="19" t="str">
        <f t="shared" si="60"/>
        <v>B26</v>
      </c>
      <c r="EU42" s="19" t="str">
        <f t="shared" si="61"/>
        <v>C27</v>
      </c>
      <c r="EV42" s="19" t="str">
        <f t="shared" si="62"/>
        <v>B27</v>
      </c>
      <c r="EW42" s="19" t="str">
        <f t="shared" si="54"/>
        <v>18A</v>
      </c>
      <c r="EX42" s="19" t="str">
        <f t="shared" si="55"/>
        <v>18B</v>
      </c>
      <c r="EY42" s="19" t="str">
        <f t="shared" si="63"/>
        <v>DI8-C25</v>
      </c>
      <c r="EZ42" s="19" t="str">
        <f t="shared" si="64"/>
        <v>DI8-B25</v>
      </c>
      <c r="FA42" s="19" t="str">
        <f t="shared" si="65"/>
        <v>DI8-C26</v>
      </c>
      <c r="FB42" s="19" t="str">
        <f t="shared" si="66"/>
        <v>DI8-B26</v>
      </c>
      <c r="FC42" s="19" t="str">
        <f t="shared" si="67"/>
        <v>DI8-C27</v>
      </c>
      <c r="FD42" s="19" t="str">
        <f t="shared" si="68"/>
        <v>DI8-B27</v>
      </c>
      <c r="FE42" s="19" t="str">
        <f t="shared" si="69"/>
        <v>DO5-17A</v>
      </c>
      <c r="FF42" s="19" t="str">
        <f t="shared" si="70"/>
        <v>DO5-17B</v>
      </c>
      <c r="FG42" s="19" t="str">
        <f t="shared" si="71"/>
        <v>DO5-18A</v>
      </c>
      <c r="FH42" s="19" t="str">
        <f t="shared" si="72"/>
        <v>DO5-18B</v>
      </c>
      <c r="FI42" s="19" t="str">
        <f t="shared" si="73"/>
        <v>K41-03</v>
      </c>
      <c r="FJ42" s="19" t="str">
        <f t="shared" si="74"/>
        <v>K41-04</v>
      </c>
      <c r="FK42" s="19" t="str">
        <f t="shared" si="75"/>
        <v>K41-01</v>
      </c>
      <c r="FL42" s="19" t="str">
        <f t="shared" si="76"/>
        <v>K41-02</v>
      </c>
      <c r="FM42" s="19" t="str">
        <f t="shared" si="57"/>
        <v>K41-05</v>
      </c>
      <c r="FN42" s="19" t="str">
        <f t="shared" si="77"/>
        <v>F0-M41-H1</v>
      </c>
      <c r="FO42" s="19" t="str">
        <f t="shared" si="78"/>
        <v>F0-M41-A1</v>
      </c>
      <c r="FP42" s="19" t="str">
        <f t="shared" si="79"/>
        <v>F0-M41-3</v>
      </c>
      <c r="FQ42" s="19" t="str">
        <f t="shared" si="80"/>
        <v>F0-M41-2</v>
      </c>
      <c r="FR42" s="19" t="str">
        <f t="shared" si="81"/>
        <v>F0-M41-16</v>
      </c>
      <c r="FS42" s="19" t="str">
        <f t="shared" si="82"/>
        <v>F0-M41-15</v>
      </c>
      <c r="FT42" s="19" t="str">
        <f t="shared" si="83"/>
        <v>F0-A220-M41</v>
      </c>
      <c r="FU42" s="19" t="str">
        <f t="shared" si="58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ht="30" x14ac:dyDescent="0.25">
      <c r="A43" s="29" t="s">
        <v>2254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SUM(IF(ISNUMBER(FIND("TmAi",$BE$1:$AAQ$1)),IF(IFERROR(ISODD(SUBSTITUTE($BE43:$AAQ43,"A","")),FALSE),IF(ISODD(SUBSTITUTE($BE43:$AAQ43,"A","")),1,0),0)))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69" t="str">
        <f t="array" ref="AD43">IF(COUNTIFS(AC$2:AC43,AC43)=1,"1",VALUE(SUBSTITUTE(INDEX(AD:AD,_xlfn.XMATCH(AC43,AC$1:AC42,0,-1)),"A",""))+INDEX(AE:AE,_xlfn.XMATCH(AC43,AC$1:AC42,0,-1))+1)</f>
        <v>1</v>
      </c>
      <c r="AE43" s="69">
        <f t="array" ref="AE43">SUM(IF(ISNUMBER(FIND("TmDi",$BE$1:$AAQ$1)),IF(IFERROR(ISNUMBER(VALUE(SUBSTITUTE($BE43:$AAQ43,"B",""))),FALSE),IF(ISNUMBER(VALUE(SUBSTITUTE($BE43:$AAQ43,"B",""))),1,0),0)))</f>
        <v>5</v>
      </c>
      <c r="AF43" s="11" t="s">
        <v>133</v>
      </c>
      <c r="AG43" s="11" t="s">
        <v>134</v>
      </c>
      <c r="AH43" s="11" t="s">
        <v>388</v>
      </c>
      <c r="AI43" s="64" t="str">
        <f t="array" ref="AI43">IF(COUNTIFS(AH$2:AH43,AH43)=1,"1",VALUE(SUBSTITUTE(INDEX(AI:AI,_xlfn.XMATCH(AH43,AH$1:AH42,0,-1)),"A",""))+INDEX(AJ:AJ,_xlfn.XMATCH(AH43,AH$1:AH42,0,-1))+1)</f>
        <v>1</v>
      </c>
      <c r="AJ43" s="64">
        <f t="array" ref="AJ43">SUM(IF(ISNUMBER(FIND("TmDo",$BE$1:$AAQ$1)),IF(IFERROR(ISNUMBER(VALUE(SUBSTITUTE($BE43:$AAQ43,"B",""))),FALSE),IF(ISNUMBER(VALUE(SUBSTITUTE($BE43:$AAQ43,"B",""))),1,0),0)))</f>
        <v>1</v>
      </c>
      <c r="AK43" s="11" t="str">
        <f t="shared" si="0"/>
        <v>1A</v>
      </c>
      <c r="AL43" s="11" t="str">
        <f t="shared" si="1"/>
        <v>1B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84">CONCATENATE("XT",U43)</f>
        <v>XT42</v>
      </c>
      <c r="GU43" s="12" t="str">
        <f t="shared" ref="GU43:GU55" si="85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 t="shared" ref="HE43:HE55" si="86">CONCATENATE(REPLACE(AK43,LEN(AK43),1,"")+1,"A")</f>
        <v>2A</v>
      </c>
      <c r="HF43" s="12" t="str">
        <f t="shared" ref="HF43:HF55" si="87">CONCATENATE(REPLACE(AL43,LEN(AL43),1,"")+1,"B")</f>
        <v>2B</v>
      </c>
      <c r="HG43" s="12" t="str">
        <f t="shared" ref="HG43:HG55" si="88">CONCATENATE("AI",REPLACE($X43,1,3,""),"-",AA43)</f>
        <v>AI1-1A</v>
      </c>
      <c r="HH43" s="12" t="str">
        <f t="shared" ref="HH43:HH55" si="89">CONCATENATE("AI",REPLACE($X43,1,3,""),"-",AB43)</f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44" si="90">CONCATENATE("DI",REPLACE($AC43,1,3,""),"-",GU43)</f>
        <v>DI9-C2</v>
      </c>
      <c r="HL43" s="12" t="str">
        <f t="shared" si="90"/>
        <v>DI9-B2</v>
      </c>
      <c r="HM43" s="12" t="str">
        <f t="shared" si="90"/>
        <v>DI9-C3</v>
      </c>
      <c r="HN43" s="12" t="str">
        <f t="shared" si="90"/>
        <v>DI9-B3</v>
      </c>
      <c r="HO43" s="12" t="str">
        <f t="shared" si="90"/>
        <v>DI9-C4</v>
      </c>
      <c r="HP43" s="12" t="str">
        <f t="shared" si="90"/>
        <v>DI9-B4</v>
      </c>
      <c r="HQ43" s="12" t="str">
        <f t="shared" si="90"/>
        <v>DI9-C5</v>
      </c>
      <c r="HR43" s="12" t="str">
        <f t="shared" si="90"/>
        <v>DI9-B5</v>
      </c>
      <c r="HS43" s="12" t="str">
        <f t="shared" si="90"/>
        <v>DI9-C6</v>
      </c>
      <c r="HT43" s="12" t="str">
        <f t="shared" si="90"/>
        <v>DI9-B6</v>
      </c>
      <c r="HU43" s="12" t="str">
        <f>CONCATENATE("DO",REPLACE($AH43,1,3,""),"-",AK43)</f>
        <v>DO6-1A</v>
      </c>
      <c r="HV43" s="12" t="str">
        <f>CONCATENATE("DO",REPLACE($AH43,1,3,""),"-",AL43)</f>
        <v>DO6-1B</v>
      </c>
      <c r="HW43" s="12" t="str">
        <f>CONCATENATE("DO",REPLACE($AH43,1,3,""),"-",HE43)</f>
        <v>DO6-2A</v>
      </c>
      <c r="HX43" s="12" t="str">
        <f>CONCATENATE("DO",REPLACE($AH43,1,3,""),"-",HF43)</f>
        <v>DO6-2B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ht="30" x14ac:dyDescent="0.25">
      <c r="A44" s="29" t="s">
        <v>2255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SUM(IF(ISNUMBER(FIND("TmAi",$BE$1:$AAQ$1)),IF(IFERROR(ISODD(SUBSTITUTE($BE44:$AAQ44,"A","")),FALSE),IF(ISODD(SUBSTITUTE($BE44:$AAQ44,"A","")),1,0),0)))</f>
        <v>0</v>
      </c>
      <c r="AA44" t="str">
        <f t="shared" ref="AA44:AA55" si="91">CONCATENATE($Y44*2-1,"A")</f>
        <v>3A</v>
      </c>
      <c r="AB44" t="str">
        <f t="shared" ref="AB44:AB55" si="92">CONCATENATE($Y44*2-1,"B")</f>
        <v>3B</v>
      </c>
      <c r="AC44" t="s">
        <v>278</v>
      </c>
      <c r="AD44" s="46">
        <f t="array" ref="AD44">IF(COUNTIFS(AC$2:AC44,AC44)=1,"1",VALUE(SUBSTITUTE(INDEX(AD:AD,_xlfn.XMATCH(AC44,AC$1:AC43,0,-1)),"A",""))+INDEX(AE:AE,_xlfn.XMATCH(AC44,AC$1:AC43,0,-1))+1)</f>
        <v>7</v>
      </c>
      <c r="AE44" s="46">
        <f t="array" ref="AE44">SUM(IF(ISNUMBER(FIND("TmDi",$BE$1:$AAQ$1)),IF(IFERROR(ISNUMBER(VALUE(SUBSTITUTE($BE44:$AAQ44,"B",""))),FALSE),IF(ISNUMBER(VALUE(SUBSTITUTE($BE44:$AAQ44,"B",""))),1,0),0)))</f>
        <v>5</v>
      </c>
      <c r="AF44" t="s">
        <v>148</v>
      </c>
      <c r="AG44" t="s">
        <v>149</v>
      </c>
      <c r="AH44" t="s">
        <v>388</v>
      </c>
      <c r="AI44" s="61">
        <f t="array" ref="AI44">IF(COUNTIFS(AH$2:AH44,AH44)=1,"1",VALUE(SUBSTITUTE(INDEX(AI:AI,_xlfn.XMATCH(AH44,AH$1:AH43,0,-1)),"A",""))+INDEX(AJ:AJ,_xlfn.XMATCH(AH44,AH$1:AH43,0,-1))+1)</f>
        <v>3</v>
      </c>
      <c r="AJ44" s="61">
        <f t="array" ref="AJ44">SUM(IF(ISNUMBER(FIND("TmDo",$BE$1:$AAQ$1)),IF(IFERROR(ISNUMBER(VALUE(SUBSTITUTE($BE44:$AAQ44,"B",""))),FALSE),IF(ISNUMBER(VALUE(SUBSTITUTE($BE44:$AAQ44,"B",""))),1,0),0)))</f>
        <v>1</v>
      </c>
      <c r="AK44" t="str">
        <f t="shared" si="0"/>
        <v>3A</v>
      </c>
      <c r="AL44" t="str">
        <f t="shared" si="1"/>
        <v>3B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84"/>
        <v>XT43</v>
      </c>
      <c r="GU44" t="str">
        <f t="shared" si="85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 t="shared" si="86"/>
        <v>4A</v>
      </c>
      <c r="HF44" t="str">
        <f t="shared" si="87"/>
        <v>4B</v>
      </c>
      <c r="HG44" t="str">
        <f t="shared" si="88"/>
        <v>AI1-3A</v>
      </c>
      <c r="HH44" t="str">
        <f t="shared" si="89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90"/>
        <v>DI9-C8</v>
      </c>
      <c r="HL44" t="str">
        <f t="shared" si="90"/>
        <v>DI9-B8</v>
      </c>
      <c r="HM44" t="str">
        <f t="shared" si="90"/>
        <v>DI9-C9</v>
      </c>
      <c r="HN44" t="str">
        <f t="shared" si="90"/>
        <v>DI9-B9</v>
      </c>
      <c r="HO44" t="str">
        <f t="shared" si="90"/>
        <v>DI9-C10</v>
      </c>
      <c r="HP44" t="str">
        <f t="shared" si="90"/>
        <v>DI9-B10</v>
      </c>
      <c r="HQ44" t="str">
        <f t="shared" si="90"/>
        <v>DI9-C11</v>
      </c>
      <c r="HR44" t="str">
        <f t="shared" si="90"/>
        <v>DI9-B11</v>
      </c>
      <c r="HS44" t="str">
        <f t="shared" si="90"/>
        <v>DI9-C12</v>
      </c>
      <c r="HT44" t="str">
        <f t="shared" si="90"/>
        <v>DI9-B12</v>
      </c>
      <c r="HU44" t="str">
        <f>CONCATENATE("DO",REPLACE($AH44,1,3,""),"-",AK44)</f>
        <v>DO6-3A</v>
      </c>
      <c r="HV44" t="str">
        <f>CONCATENATE("DO",REPLACE($AH44,1,3,""),"-",AL44)</f>
        <v>DO6-3B</v>
      </c>
      <c r="HW44" t="str">
        <f>CONCATENATE("DO",REPLACE($AH44,1,3,""),"-",HE44)</f>
        <v>DO6-4A</v>
      </c>
      <c r="HX44" t="str">
        <f>CONCATENATE("DO",REPLACE($AH44,1,3,""),"-",HF44)</f>
        <v>DO6-4B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IY44" si="93">IR43</f>
        <v>A1</v>
      </c>
      <c r="IS44" t="str">
        <f t="shared" si="93"/>
        <v>A2</v>
      </c>
      <c r="IT44">
        <f t="shared" si="93"/>
        <v>11</v>
      </c>
      <c r="IU44">
        <f t="shared" si="93"/>
        <v>14</v>
      </c>
      <c r="IV44" t="str">
        <f t="shared" si="93"/>
        <v>24v6</v>
      </c>
      <c r="IW44" t="str">
        <f t="shared" si="93"/>
        <v>0v6</v>
      </c>
      <c r="IX44">
        <f t="shared" si="93"/>
        <v>1</v>
      </c>
      <c r="IY44">
        <f t="shared" si="93"/>
        <v>2</v>
      </c>
      <c r="IZ44">
        <f t="shared" ref="IZ44:JY44" si="94">IZ43</f>
        <v>3</v>
      </c>
      <c r="JA44">
        <f t="shared" si="94"/>
        <v>4</v>
      </c>
      <c r="JB44">
        <f t="shared" si="94"/>
        <v>5</v>
      </c>
      <c r="JC44">
        <f t="shared" si="94"/>
        <v>6</v>
      </c>
      <c r="JD44">
        <f t="shared" si="94"/>
        <v>7</v>
      </c>
      <c r="JE44">
        <f t="shared" si="94"/>
        <v>8</v>
      </c>
      <c r="JF44">
        <f t="shared" si="94"/>
        <v>9</v>
      </c>
      <c r="JG44">
        <f t="shared" si="94"/>
        <v>10</v>
      </c>
      <c r="JH44">
        <f t="shared" si="94"/>
        <v>11</v>
      </c>
      <c r="JI44">
        <f t="shared" si="94"/>
        <v>12</v>
      </c>
      <c r="JJ44">
        <f t="shared" si="94"/>
        <v>13</v>
      </c>
      <c r="JK44">
        <f t="shared" si="94"/>
        <v>14</v>
      </c>
      <c r="JL44">
        <f t="shared" si="94"/>
        <v>17</v>
      </c>
      <c r="JM44">
        <f t="shared" si="94"/>
        <v>15</v>
      </c>
      <c r="JN44">
        <f t="shared" si="94"/>
        <v>18</v>
      </c>
      <c r="JO44">
        <f t="shared" si="94"/>
        <v>11</v>
      </c>
      <c r="JP44">
        <f t="shared" si="94"/>
        <v>9</v>
      </c>
      <c r="JQ44">
        <f t="shared" si="94"/>
        <v>6</v>
      </c>
      <c r="JR44">
        <f t="shared" si="94"/>
        <v>20</v>
      </c>
      <c r="JS44">
        <f t="shared" si="94"/>
        <v>7</v>
      </c>
      <c r="JT44">
        <f t="shared" si="94"/>
        <v>10</v>
      </c>
      <c r="JU44">
        <f t="shared" si="94"/>
        <v>22</v>
      </c>
      <c r="JV44">
        <f t="shared" si="94"/>
        <v>23</v>
      </c>
      <c r="JW44">
        <f t="shared" si="94"/>
        <v>26</v>
      </c>
      <c r="JX44">
        <f t="shared" si="94"/>
        <v>27</v>
      </c>
      <c r="JY44" s="16">
        <f t="shared" si="94"/>
        <v>30</v>
      </c>
    </row>
    <row r="45" spans="1:285" ht="30" x14ac:dyDescent="0.25">
      <c r="A45" s="29" t="s">
        <v>2256</v>
      </c>
      <c r="B45" t="s">
        <v>423</v>
      </c>
      <c r="P45" t="s">
        <v>391</v>
      </c>
      <c r="T45" s="14" t="s">
        <v>554</v>
      </c>
      <c r="U45" s="15">
        <f t="shared" ref="U45:U55" si="9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SUM(IF(ISNUMBER(FIND("TmAi",$BE$1:$AAQ$1)),IF(IFERROR(ISODD(SUBSTITUTE($BE45:$AAQ45,"A","")),FALSE),IF(ISODD(SUBSTITUTE($BE45:$AAQ45,"A","")),1,0),0)))</f>
        <v>0</v>
      </c>
      <c r="AA45" t="str">
        <f t="shared" si="91"/>
        <v>5A</v>
      </c>
      <c r="AB45" t="str">
        <f t="shared" si="92"/>
        <v>5B</v>
      </c>
      <c r="AC45" s="15" t="s">
        <v>278</v>
      </c>
      <c r="AD45" s="70">
        <f t="array" ref="AD45">IF(COUNTIFS(AC$2:AC45,AC45)=1,"1",VALUE(SUBSTITUTE(INDEX(AD:AD,_xlfn.XMATCH(AC45,AC$1:AC44,0,-1)),"A",""))+INDEX(AE:AE,_xlfn.XMATCH(AC45,AC$1:AC44,0,-1))+1)</f>
        <v>13</v>
      </c>
      <c r="AE45" s="70">
        <f t="array" ref="AE45">SUM(IF(ISNUMBER(FIND("TmDi",$BE$1:$AAQ$1)),IF(IFERROR(ISNUMBER(VALUE(SUBSTITUTE($BE45:$AAQ45,"B",""))),FALSE),IF(ISNUMBER(VALUE(SUBSTITUTE($BE45:$AAQ45,"B",""))),1,0),0)))</f>
        <v>5</v>
      </c>
      <c r="AF45" s="15" t="s">
        <v>153</v>
      </c>
      <c r="AG45" s="15" t="s">
        <v>154</v>
      </c>
      <c r="AH45" s="15" t="s">
        <v>388</v>
      </c>
      <c r="AI45" s="65">
        <f t="array" ref="AI45">IF(COUNTIFS(AH$2:AH45,AH45)=1,"1",VALUE(SUBSTITUTE(INDEX(AI:AI,_xlfn.XMATCH(AH45,AH$1:AH44,0,-1)),"A",""))+INDEX(AJ:AJ,_xlfn.XMATCH(AH45,AH$1:AH44,0,-1))+1)</f>
        <v>5</v>
      </c>
      <c r="AJ45" s="65">
        <f t="array" ref="AJ45">SUM(IF(ISNUMBER(FIND("TmDo",$BE$1:$AAQ$1)),IF(IFERROR(ISNUMBER(VALUE(SUBSTITUTE($BE45:$AAQ45,"B",""))),FALSE),IF(ISNUMBER(VALUE(SUBSTITUTE($BE45:$AAQ45,"B",""))),1,0),0)))</f>
        <v>1</v>
      </c>
      <c r="AK45" s="15" t="str">
        <f t="shared" si="0"/>
        <v>5A</v>
      </c>
      <c r="AL45" s="15" t="str">
        <f t="shared" si="1"/>
        <v>5B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84"/>
        <v>XT44</v>
      </c>
      <c r="GU45" t="str">
        <f t="shared" si="85"/>
        <v>C14</v>
      </c>
      <c r="GV45" t="str">
        <f t="shared" ref="GV45:GV55" si="96">CONCATENATE("B",REPLACE(AG45,1,1,"")+1)</f>
        <v>B14</v>
      </c>
      <c r="GW45" t="str">
        <f t="shared" ref="GW45:GW55" si="97">CONCATENATE("C",REPLACE(GU45,1,1,"")+1)</f>
        <v>C15</v>
      </c>
      <c r="GX45" t="str">
        <f t="shared" ref="GX45:GX55" si="98">CONCATENATE("B",REPLACE(GV45,1,1,"")+1)</f>
        <v>B15</v>
      </c>
      <c r="GY45" t="str">
        <f t="shared" ref="GY45:GY55" si="99">CONCATENATE("C",REPLACE(GW45,1,1,"")+1)</f>
        <v>C16</v>
      </c>
      <c r="GZ45" t="str">
        <f t="shared" ref="GZ45:GZ55" si="100">CONCATENATE("B",REPLACE(GX45,1,1,"")+1)</f>
        <v>B16</v>
      </c>
      <c r="HA45" t="str">
        <f t="shared" ref="HA45:HA55" si="101">CONCATENATE("C",REPLACE(GY45,1,1,"")+1)</f>
        <v>C17</v>
      </c>
      <c r="HB45" t="str">
        <f t="shared" ref="HB45:HB55" si="102">CONCATENATE("B",REPLACE(GZ45,1,1,"")+1)</f>
        <v>B17</v>
      </c>
      <c r="HC45" t="str">
        <f t="shared" ref="HC45:HC55" si="103">CONCATENATE("C",REPLACE(HA45,1,1,"")+1)</f>
        <v>C18</v>
      </c>
      <c r="HD45" t="str">
        <f t="shared" ref="HD45:HD55" si="104">CONCATENATE("B",REPLACE(HB45,1,1,"")+1)</f>
        <v>B18</v>
      </c>
      <c r="HE45" t="str">
        <f t="shared" si="86"/>
        <v>6A</v>
      </c>
      <c r="HF45" t="str">
        <f t="shared" si="87"/>
        <v>6B</v>
      </c>
      <c r="HG45" t="str">
        <f t="shared" si="88"/>
        <v>AI1-5A</v>
      </c>
      <c r="HH45" t="str">
        <f t="shared" si="89"/>
        <v>AI1-5B</v>
      </c>
      <c r="HI45" t="str">
        <f t="shared" ref="HI45:HI55" si="105">CONCATENATE("DI",REPLACE($AC45,1,3,""),"-",AF45)</f>
        <v>DI9-C13</v>
      </c>
      <c r="HJ45" t="str">
        <f t="shared" ref="HJ45:HJ55" si="106">CONCATENATE("DI",REPLACE($AC45,1,3,""),"-",AG45)</f>
        <v>DI9-B13</v>
      </c>
      <c r="HK45" t="str">
        <f t="shared" ref="HK45:HK55" si="107">CONCATENATE("DI",REPLACE($AC45,1,3,""),"-",GU45)</f>
        <v>DI9-C14</v>
      </c>
      <c r="HL45" t="str">
        <f t="shared" ref="HL45:HL55" si="108">CONCATENATE("DI",REPLACE($AC45,1,3,""),"-",GV45)</f>
        <v>DI9-B14</v>
      </c>
      <c r="HM45" t="str">
        <f t="shared" ref="HM45:HM55" si="109">CONCATENATE("DI",REPLACE($AC45,1,3,""),"-",GW45)</f>
        <v>DI9-C15</v>
      </c>
      <c r="HN45" t="str">
        <f t="shared" ref="HN45:HN55" si="110">CONCATENATE("DI",REPLACE($AC45,1,3,""),"-",GX45)</f>
        <v>DI9-B15</v>
      </c>
      <c r="HO45" t="str">
        <f t="shared" ref="HO45:HO55" si="111">CONCATENATE("DI",REPLACE($AC45,1,3,""),"-",GY45)</f>
        <v>DI9-C16</v>
      </c>
      <c r="HP45" t="str">
        <f t="shared" ref="HP45:HP55" si="112">CONCATENATE("DI",REPLACE($AC45,1,3,""),"-",GZ45)</f>
        <v>DI9-B16</v>
      </c>
      <c r="HQ45" t="str">
        <f t="shared" ref="HQ45:HQ55" si="113">CONCATENATE("DI",REPLACE($AC45,1,3,""),"-",HA45)</f>
        <v>DI9-C17</v>
      </c>
      <c r="HR45" t="str">
        <f t="shared" ref="HR45:HR55" si="114">CONCATENATE("DI",REPLACE($AC45,1,3,""),"-",HB45)</f>
        <v>DI9-B17</v>
      </c>
      <c r="HS45" t="str">
        <f t="shared" ref="HS45:HS55" si="115">CONCATENATE("DI",REPLACE($AC45,1,3,""),"-",HC45)</f>
        <v>DI9-C18</v>
      </c>
      <c r="HT45" t="str">
        <f t="shared" ref="HT45:HT55" si="116">CONCATENATE("DI",REPLACE($AC45,1,3,""),"-",HD45)</f>
        <v>DI9-B18</v>
      </c>
      <c r="HU45" t="str">
        <f t="shared" ref="HU45:HU55" si="117">CONCATENATE("DO",REPLACE($AH45,1,3,""),"-",AK45)</f>
        <v>DO6-5A</v>
      </c>
      <c r="HV45" t="str">
        <f t="shared" ref="HV45:HV55" si="118">CONCATENATE("DO",REPLACE($AH45,1,3,""),"-",AL45)</f>
        <v>DO6-5B</v>
      </c>
      <c r="HW45" t="str">
        <f t="shared" ref="HW45:HW55" si="119">CONCATENATE("DO",REPLACE($AH45,1,3,""),"-",HE45)</f>
        <v>DO6-6A</v>
      </c>
      <c r="HX45" t="str">
        <f t="shared" ref="HX45:HX55" si="120">CONCATENATE("DO",REPLACE($AH45,1,3,""),"-",HF45)</f>
        <v>DO6-6B</v>
      </c>
      <c r="HY45" t="str">
        <f t="shared" ref="HY45:HY55" si="121">CONCATENATE("K",$U45,"-01")</f>
        <v>K44-01</v>
      </c>
      <c r="HZ45" t="str">
        <f t="shared" ref="HZ45:HZ55" si="122">CONCATENATE("K",$U45,"-02")</f>
        <v>K44-02</v>
      </c>
      <c r="IA45" t="str">
        <f t="shared" ref="IA45:IA55" si="123">CONCATENATE("K",$U45,"-03")</f>
        <v>K44-03</v>
      </c>
      <c r="IB45" t="str">
        <f t="shared" ref="IB45:IB55" si="124">CONCATENATE("K",$U45,"-04")</f>
        <v>K44-04</v>
      </c>
      <c r="IC45" t="str">
        <f t="shared" ref="IC45:IC55" si="125">CONCATENATE("K",$U45,"-05")</f>
        <v>K44-05</v>
      </c>
      <c r="ID45" t="str">
        <f t="shared" ref="ID45:ID55" si="126">CONCATENATE("K",$U45,"-06")</f>
        <v>K44-06</v>
      </c>
      <c r="IE45" t="str">
        <f t="shared" ref="IE45:IE55" si="127">CONCATENATE("K",$U45,"-07")</f>
        <v>K44-07</v>
      </c>
      <c r="IF45" t="str">
        <f t="shared" ref="IF45:IF55" si="128">CONCATENATE("K",$U45,"-08")</f>
        <v>K44-08</v>
      </c>
      <c r="IG45" t="str">
        <f t="shared" ref="IG45:IG55" si="129">CONCATENATE($T45,"-M",$U45,"-AMS-12")</f>
        <v>F0-M44-AMS-12</v>
      </c>
      <c r="IH45" t="str">
        <f t="shared" ref="IH45:IH55" si="130">CONCATENATE($T45,"-M",$U45,"-AMS-10")</f>
        <v>F0-M44-AMS-10</v>
      </c>
      <c r="II45" t="str">
        <f t="shared" ref="II45:II55" si="131">CONCATENATE($T45,"-M",$U45,"-AMS-11")</f>
        <v>F0-M44-AMS-11</v>
      </c>
      <c r="IJ45" t="str">
        <f t="shared" ref="IJ45:IJ55" si="132">CONCATENATE($T45,"-M",$U45,"-AMS-13")</f>
        <v>F0-M44-AMS-13</v>
      </c>
      <c r="IK45" t="str">
        <f t="shared" ref="IK45:IK55" si="133">CONCATENATE($T45,"-M",$U45,"-AMS-9")</f>
        <v>F0-M44-AMS-9</v>
      </c>
      <c r="IL45" t="str">
        <f t="shared" ref="IL45:IL55" si="134">CONCATENATE($T45,"-M",$U45,"-AMS-7")</f>
        <v>F0-M44-AMS-7</v>
      </c>
      <c r="IM45" t="str">
        <f t="shared" ref="IM45:IM55" si="135">CONCATENATE($T45,"-M",$U45,"-AMS-18")</f>
        <v>F0-M44-AMS-18</v>
      </c>
      <c r="IN45" t="str">
        <f t="shared" ref="IN45:IN55" si="136">CONCATENATE($T45,"-M",$U45,"-AMS-20")</f>
        <v>F0-M44-AMS-20</v>
      </c>
      <c r="IO45" t="str">
        <f t="shared" ref="IO45:IO55" si="137">CONCATENATE($T45,"-M",$U45,"-AMS-17")</f>
        <v>F0-M44-AMS-17</v>
      </c>
      <c r="IP45" t="str">
        <f t="shared" ref="IP45:IP55" si="138">CONCATENATE($T45,"-+24-M",$U45,)</f>
        <v>F0-+24-M44</v>
      </c>
      <c r="IQ45" t="str">
        <f t="shared" ref="IQ45:IQ55" si="139">CONCATENATE($T45,"-M",$U45,"-XM01")</f>
        <v>F0-M44-XM01</v>
      </c>
      <c r="IR45" t="str">
        <f t="shared" ref="IR45:JY45" si="140">IR44</f>
        <v>A1</v>
      </c>
      <c r="IS45" t="str">
        <f t="shared" si="140"/>
        <v>A2</v>
      </c>
      <c r="IT45">
        <f t="shared" si="140"/>
        <v>11</v>
      </c>
      <c r="IU45">
        <f t="shared" si="140"/>
        <v>14</v>
      </c>
      <c r="IV45" t="str">
        <f t="shared" si="140"/>
        <v>24v6</v>
      </c>
      <c r="IW45" t="str">
        <f t="shared" si="140"/>
        <v>0v6</v>
      </c>
      <c r="IX45">
        <f t="shared" si="140"/>
        <v>1</v>
      </c>
      <c r="IY45">
        <f t="shared" si="140"/>
        <v>2</v>
      </c>
      <c r="IZ45">
        <f t="shared" si="140"/>
        <v>3</v>
      </c>
      <c r="JA45">
        <f t="shared" si="140"/>
        <v>4</v>
      </c>
      <c r="JB45">
        <f t="shared" si="140"/>
        <v>5</v>
      </c>
      <c r="JC45">
        <f t="shared" si="140"/>
        <v>6</v>
      </c>
      <c r="JD45">
        <f t="shared" si="140"/>
        <v>7</v>
      </c>
      <c r="JE45">
        <f t="shared" si="140"/>
        <v>8</v>
      </c>
      <c r="JF45">
        <f t="shared" si="140"/>
        <v>9</v>
      </c>
      <c r="JG45">
        <f t="shared" si="140"/>
        <v>10</v>
      </c>
      <c r="JH45">
        <f t="shared" si="140"/>
        <v>11</v>
      </c>
      <c r="JI45">
        <f t="shared" si="140"/>
        <v>12</v>
      </c>
      <c r="JJ45">
        <f t="shared" si="140"/>
        <v>13</v>
      </c>
      <c r="JK45">
        <f t="shared" si="140"/>
        <v>14</v>
      </c>
      <c r="JL45">
        <f t="shared" si="140"/>
        <v>17</v>
      </c>
      <c r="JM45">
        <f t="shared" si="140"/>
        <v>15</v>
      </c>
      <c r="JN45">
        <f t="shared" si="140"/>
        <v>18</v>
      </c>
      <c r="JO45">
        <f t="shared" si="140"/>
        <v>11</v>
      </c>
      <c r="JP45">
        <f t="shared" si="140"/>
        <v>9</v>
      </c>
      <c r="JQ45">
        <f t="shared" si="140"/>
        <v>6</v>
      </c>
      <c r="JR45">
        <f t="shared" si="140"/>
        <v>20</v>
      </c>
      <c r="JS45">
        <f t="shared" si="140"/>
        <v>7</v>
      </c>
      <c r="JT45">
        <f t="shared" si="140"/>
        <v>10</v>
      </c>
      <c r="JU45">
        <f t="shared" si="140"/>
        <v>22</v>
      </c>
      <c r="JV45">
        <f t="shared" si="140"/>
        <v>23</v>
      </c>
      <c r="JW45">
        <f t="shared" si="140"/>
        <v>26</v>
      </c>
      <c r="JX45">
        <f t="shared" si="140"/>
        <v>27</v>
      </c>
      <c r="JY45" s="16">
        <f t="shared" si="140"/>
        <v>30</v>
      </c>
    </row>
    <row r="46" spans="1:285" ht="30" x14ac:dyDescent="0.25">
      <c r="A46" s="29" t="s">
        <v>2257</v>
      </c>
      <c r="B46" t="s">
        <v>426</v>
      </c>
      <c r="P46" t="s">
        <v>391</v>
      </c>
      <c r="T46" s="14" t="s">
        <v>554</v>
      </c>
      <c r="U46" s="15">
        <f t="shared" si="9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SUM(IF(ISNUMBER(FIND("TmAi",$BE$1:$AAQ$1)),IF(IFERROR(ISODD(SUBSTITUTE($BE46:$AAQ46,"A","")),FALSE),IF(ISODD(SUBSTITUTE($BE46:$AAQ46,"A","")),1,0),0)))</f>
        <v>0</v>
      </c>
      <c r="AA46" t="str">
        <f t="shared" si="91"/>
        <v>7A</v>
      </c>
      <c r="AB46" t="str">
        <f t="shared" si="92"/>
        <v>7B</v>
      </c>
      <c r="AC46" s="15" t="s">
        <v>278</v>
      </c>
      <c r="AD46" s="70">
        <f t="array" ref="AD46">IF(COUNTIFS(AC$2:AC46,AC46)=1,"1",VALUE(SUBSTITUTE(INDEX(AD:AD,_xlfn.XMATCH(AC46,AC$1:AC45,0,-1)),"A",""))+INDEX(AE:AE,_xlfn.XMATCH(AC46,AC$1:AC45,0,-1))+1)</f>
        <v>19</v>
      </c>
      <c r="AE46" s="70">
        <f t="array" ref="AE46">SUM(IF(ISNUMBER(FIND("TmDi",$BE$1:$AAQ$1)),IF(IFERROR(ISNUMBER(VALUE(SUBSTITUTE($BE46:$AAQ46,"B",""))),FALSE),IF(ISNUMBER(VALUE(SUBSTITUTE($BE46:$AAQ46,"B",""))),1,0),0)))</f>
        <v>5</v>
      </c>
      <c r="AF46" t="s">
        <v>239</v>
      </c>
      <c r="AG46" t="s">
        <v>241</v>
      </c>
      <c r="AH46" s="15" t="s">
        <v>388</v>
      </c>
      <c r="AI46" s="65">
        <f t="array" ref="AI46">IF(COUNTIFS(AH$2:AH46,AH46)=1,"1",VALUE(SUBSTITUTE(INDEX(AI:AI,_xlfn.XMATCH(AH46,AH$1:AH45,0,-1)),"A",""))+INDEX(AJ:AJ,_xlfn.XMATCH(AH46,AH$1:AH45,0,-1))+1)</f>
        <v>7</v>
      </c>
      <c r="AJ46" s="65">
        <f t="array" ref="AJ46">SUM(IF(ISNUMBER(FIND("TmDo",$BE$1:$AAQ$1)),IF(IFERROR(ISNUMBER(VALUE(SUBSTITUTE($BE46:$AAQ46,"B",""))),FALSE),IF(ISNUMBER(VALUE(SUBSTITUTE($BE46:$AAQ46,"B",""))),1,0),0)))</f>
        <v>1</v>
      </c>
      <c r="AK46" t="str">
        <f t="shared" si="0"/>
        <v>7A</v>
      </c>
      <c r="AL46" t="str">
        <f t="shared" si="1"/>
        <v>7B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84"/>
        <v>XT45</v>
      </c>
      <c r="GU46" t="str">
        <f t="shared" si="85"/>
        <v>C20</v>
      </c>
      <c r="GV46" t="str">
        <f t="shared" si="96"/>
        <v>B20</v>
      </c>
      <c r="GW46" t="str">
        <f t="shared" si="97"/>
        <v>C21</v>
      </c>
      <c r="GX46" t="str">
        <f t="shared" si="98"/>
        <v>B21</v>
      </c>
      <c r="GY46" t="str">
        <f t="shared" si="99"/>
        <v>C22</v>
      </c>
      <c r="GZ46" t="str">
        <f t="shared" si="100"/>
        <v>B22</v>
      </c>
      <c r="HA46" t="str">
        <f t="shared" si="101"/>
        <v>C23</v>
      </c>
      <c r="HB46" t="str">
        <f t="shared" si="102"/>
        <v>B23</v>
      </c>
      <c r="HC46" t="str">
        <f t="shared" si="103"/>
        <v>C24</v>
      </c>
      <c r="HD46" t="str">
        <f t="shared" si="104"/>
        <v>B24</v>
      </c>
      <c r="HE46" t="str">
        <f t="shared" si="86"/>
        <v>8A</v>
      </c>
      <c r="HF46" t="str">
        <f t="shared" si="87"/>
        <v>8B</v>
      </c>
      <c r="HG46" t="str">
        <f t="shared" si="88"/>
        <v>AI1-7A</v>
      </c>
      <c r="HH46" t="str">
        <f t="shared" si="89"/>
        <v>AI1-7B</v>
      </c>
      <c r="HI46" t="str">
        <f t="shared" si="105"/>
        <v>DI9-C19</v>
      </c>
      <c r="HJ46" t="str">
        <f t="shared" si="106"/>
        <v>DI9-B19</v>
      </c>
      <c r="HK46" t="str">
        <f t="shared" si="107"/>
        <v>DI9-C20</v>
      </c>
      <c r="HL46" t="str">
        <f t="shared" si="108"/>
        <v>DI9-B20</v>
      </c>
      <c r="HM46" t="str">
        <f t="shared" si="109"/>
        <v>DI9-C21</v>
      </c>
      <c r="HN46" t="str">
        <f t="shared" si="110"/>
        <v>DI9-B21</v>
      </c>
      <c r="HO46" t="str">
        <f t="shared" si="111"/>
        <v>DI9-C22</v>
      </c>
      <c r="HP46" t="str">
        <f t="shared" si="112"/>
        <v>DI9-B22</v>
      </c>
      <c r="HQ46" t="str">
        <f t="shared" si="113"/>
        <v>DI9-C23</v>
      </c>
      <c r="HR46" t="str">
        <f t="shared" si="114"/>
        <v>DI9-B23</v>
      </c>
      <c r="HS46" t="str">
        <f t="shared" si="115"/>
        <v>DI9-C24</v>
      </c>
      <c r="HT46" t="str">
        <f t="shared" si="116"/>
        <v>DI9-B24</v>
      </c>
      <c r="HU46" t="str">
        <f t="shared" si="117"/>
        <v>DO6-7A</v>
      </c>
      <c r="HV46" t="str">
        <f t="shared" si="118"/>
        <v>DO6-7B</v>
      </c>
      <c r="HW46" t="str">
        <f t="shared" si="119"/>
        <v>DO6-8A</v>
      </c>
      <c r="HX46" t="str">
        <f t="shared" si="120"/>
        <v>DO6-8B</v>
      </c>
      <c r="HY46" t="str">
        <f t="shared" si="121"/>
        <v>K45-01</v>
      </c>
      <c r="HZ46" t="str">
        <f t="shared" si="122"/>
        <v>K45-02</v>
      </c>
      <c r="IA46" t="str">
        <f t="shared" si="123"/>
        <v>K45-03</v>
      </c>
      <c r="IB46" t="str">
        <f t="shared" si="124"/>
        <v>K45-04</v>
      </c>
      <c r="IC46" t="str">
        <f t="shared" si="125"/>
        <v>K45-05</v>
      </c>
      <c r="ID46" t="str">
        <f t="shared" si="126"/>
        <v>K45-06</v>
      </c>
      <c r="IE46" t="str">
        <f t="shared" si="127"/>
        <v>K45-07</v>
      </c>
      <c r="IF46" t="str">
        <f t="shared" si="128"/>
        <v>K45-08</v>
      </c>
      <c r="IG46" t="str">
        <f t="shared" si="129"/>
        <v>F0-M45-AMS-12</v>
      </c>
      <c r="IH46" t="str">
        <f t="shared" si="130"/>
        <v>F0-M45-AMS-10</v>
      </c>
      <c r="II46" t="str">
        <f t="shared" si="131"/>
        <v>F0-M45-AMS-11</v>
      </c>
      <c r="IJ46" t="str">
        <f t="shared" si="132"/>
        <v>F0-M45-AMS-13</v>
      </c>
      <c r="IK46" t="str">
        <f t="shared" si="133"/>
        <v>F0-M45-AMS-9</v>
      </c>
      <c r="IL46" t="str">
        <f t="shared" si="134"/>
        <v>F0-M45-AMS-7</v>
      </c>
      <c r="IM46" t="str">
        <f t="shared" si="135"/>
        <v>F0-M45-AMS-18</v>
      </c>
      <c r="IN46" t="str">
        <f t="shared" si="136"/>
        <v>F0-M45-AMS-20</v>
      </c>
      <c r="IO46" t="str">
        <f t="shared" si="137"/>
        <v>F0-M45-AMS-17</v>
      </c>
      <c r="IP46" t="str">
        <f t="shared" si="138"/>
        <v>F0-+24-M45</v>
      </c>
      <c r="IQ46" t="str">
        <f t="shared" si="139"/>
        <v>F0-M45-XM01</v>
      </c>
      <c r="IR46" t="str">
        <f t="shared" ref="IR46:JY46" si="141">IR45</f>
        <v>A1</v>
      </c>
      <c r="IS46" t="str">
        <f t="shared" si="141"/>
        <v>A2</v>
      </c>
      <c r="IT46">
        <f t="shared" si="141"/>
        <v>11</v>
      </c>
      <c r="IU46">
        <f t="shared" si="141"/>
        <v>14</v>
      </c>
      <c r="IV46" t="str">
        <f t="shared" si="141"/>
        <v>24v6</v>
      </c>
      <c r="IW46" t="str">
        <f t="shared" si="141"/>
        <v>0v6</v>
      </c>
      <c r="IX46">
        <f t="shared" si="141"/>
        <v>1</v>
      </c>
      <c r="IY46">
        <f t="shared" si="141"/>
        <v>2</v>
      </c>
      <c r="IZ46">
        <f t="shared" si="141"/>
        <v>3</v>
      </c>
      <c r="JA46">
        <f t="shared" si="141"/>
        <v>4</v>
      </c>
      <c r="JB46">
        <f t="shared" si="141"/>
        <v>5</v>
      </c>
      <c r="JC46">
        <f t="shared" si="141"/>
        <v>6</v>
      </c>
      <c r="JD46">
        <f t="shared" si="141"/>
        <v>7</v>
      </c>
      <c r="JE46">
        <f t="shared" si="141"/>
        <v>8</v>
      </c>
      <c r="JF46">
        <f t="shared" si="141"/>
        <v>9</v>
      </c>
      <c r="JG46">
        <f t="shared" si="141"/>
        <v>10</v>
      </c>
      <c r="JH46">
        <f t="shared" si="141"/>
        <v>11</v>
      </c>
      <c r="JI46">
        <f t="shared" si="141"/>
        <v>12</v>
      </c>
      <c r="JJ46">
        <f t="shared" si="141"/>
        <v>13</v>
      </c>
      <c r="JK46">
        <f t="shared" si="141"/>
        <v>14</v>
      </c>
      <c r="JL46">
        <f t="shared" si="141"/>
        <v>17</v>
      </c>
      <c r="JM46">
        <f t="shared" si="141"/>
        <v>15</v>
      </c>
      <c r="JN46">
        <f t="shared" si="141"/>
        <v>18</v>
      </c>
      <c r="JO46">
        <f t="shared" si="141"/>
        <v>11</v>
      </c>
      <c r="JP46">
        <f t="shared" si="141"/>
        <v>9</v>
      </c>
      <c r="JQ46">
        <f t="shared" si="141"/>
        <v>6</v>
      </c>
      <c r="JR46">
        <f t="shared" si="141"/>
        <v>20</v>
      </c>
      <c r="JS46">
        <f t="shared" si="141"/>
        <v>7</v>
      </c>
      <c r="JT46">
        <f t="shared" si="141"/>
        <v>10</v>
      </c>
      <c r="JU46">
        <f t="shared" si="141"/>
        <v>22</v>
      </c>
      <c r="JV46">
        <f t="shared" si="141"/>
        <v>23</v>
      </c>
      <c r="JW46">
        <f t="shared" si="141"/>
        <v>26</v>
      </c>
      <c r="JX46">
        <f t="shared" si="141"/>
        <v>27</v>
      </c>
      <c r="JY46" s="16">
        <f t="shared" si="141"/>
        <v>30</v>
      </c>
    </row>
    <row r="47" spans="1:285" ht="30" x14ac:dyDescent="0.25">
      <c r="A47" s="29" t="s">
        <v>2258</v>
      </c>
      <c r="B47" t="s">
        <v>462</v>
      </c>
      <c r="P47" t="s">
        <v>391</v>
      </c>
      <c r="T47" s="14" t="s">
        <v>554</v>
      </c>
      <c r="U47" s="15">
        <f t="shared" si="9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SUM(IF(ISNUMBER(FIND("TmAi",$BE$1:$AAQ$1)),IF(IFERROR(ISODD(SUBSTITUTE($BE47:$AAQ47,"A","")),FALSE),IF(ISODD(SUBSTITUTE($BE47:$AAQ47,"A","")),1,0),0)))</f>
        <v>0</v>
      </c>
      <c r="AA47" t="str">
        <f t="shared" si="91"/>
        <v>9A</v>
      </c>
      <c r="AB47" t="str">
        <f t="shared" si="92"/>
        <v>9B</v>
      </c>
      <c r="AC47" s="15" t="s">
        <v>278</v>
      </c>
      <c r="AD47" s="70">
        <f t="array" ref="AD47">IF(COUNTIFS(AC$2:AC47,AC47)=1,"1",VALUE(SUBSTITUTE(INDEX(AD:AD,_xlfn.XMATCH(AC47,AC$1:AC46,0,-1)),"A",""))+INDEX(AE:AE,_xlfn.XMATCH(AC47,AC$1:AC46,0,-1))+1)</f>
        <v>25</v>
      </c>
      <c r="AE47" s="70">
        <f t="array" ref="AE47">SUM(IF(ISNUMBER(FIND("TmDi",$BE$1:$AAQ$1)),IF(IFERROR(ISNUMBER(VALUE(SUBSTITUTE($BE47:$AAQ47,"B",""))),FALSE),IF(ISNUMBER(VALUE(SUBSTITUTE($BE47:$AAQ47,"B",""))),1,0),0)))</f>
        <v>5</v>
      </c>
      <c r="AF47" t="s">
        <v>240</v>
      </c>
      <c r="AG47" t="s">
        <v>242</v>
      </c>
      <c r="AH47" s="15" t="s">
        <v>388</v>
      </c>
      <c r="AI47" s="65">
        <f t="array" ref="AI47">IF(COUNTIFS(AH$2:AH47,AH47)=1,"1",VALUE(SUBSTITUTE(INDEX(AI:AI,_xlfn.XMATCH(AH47,AH$1:AH46,0,-1)),"A",""))+INDEX(AJ:AJ,_xlfn.XMATCH(AH47,AH$1:AH46,0,-1))+1)</f>
        <v>9</v>
      </c>
      <c r="AJ47" s="65">
        <f t="array" ref="AJ47">SUM(IF(ISNUMBER(FIND("TmDo",$BE$1:$AAQ$1)),IF(IFERROR(ISNUMBER(VALUE(SUBSTITUTE($BE47:$AAQ47,"B",""))),FALSE),IF(ISNUMBER(VALUE(SUBSTITUTE($BE47:$AAQ47,"B",""))),1,0),0)))</f>
        <v>1</v>
      </c>
      <c r="AK47" s="15" t="str">
        <f t="shared" si="0"/>
        <v>9A</v>
      </c>
      <c r="AL47" s="15" t="str">
        <f t="shared" si="1"/>
        <v>9B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84"/>
        <v>XT46</v>
      </c>
      <c r="GU47" t="str">
        <f t="shared" si="85"/>
        <v>C26</v>
      </c>
      <c r="GV47" t="str">
        <f t="shared" si="96"/>
        <v>B26</v>
      </c>
      <c r="GW47" t="str">
        <f t="shared" si="97"/>
        <v>C27</v>
      </c>
      <c r="GX47" t="str">
        <f t="shared" si="98"/>
        <v>B27</v>
      </c>
      <c r="GY47" t="str">
        <f t="shared" si="99"/>
        <v>C28</v>
      </c>
      <c r="GZ47" t="str">
        <f t="shared" si="100"/>
        <v>B28</v>
      </c>
      <c r="HA47" t="str">
        <f t="shared" si="101"/>
        <v>C29</v>
      </c>
      <c r="HB47" t="str">
        <f t="shared" si="102"/>
        <v>B29</v>
      </c>
      <c r="HC47" t="str">
        <f t="shared" si="103"/>
        <v>C30</v>
      </c>
      <c r="HD47" t="str">
        <f t="shared" si="104"/>
        <v>B30</v>
      </c>
      <c r="HE47" t="str">
        <f t="shared" si="86"/>
        <v>10A</v>
      </c>
      <c r="HF47" t="str">
        <f t="shared" si="87"/>
        <v>10B</v>
      </c>
      <c r="HG47" t="str">
        <f t="shared" si="88"/>
        <v>AI1-9A</v>
      </c>
      <c r="HH47" t="str">
        <f t="shared" si="89"/>
        <v>AI1-9B</v>
      </c>
      <c r="HI47" t="str">
        <f t="shared" si="105"/>
        <v>DI9-C25</v>
      </c>
      <c r="HJ47" t="str">
        <f t="shared" si="106"/>
        <v>DI9-B25</v>
      </c>
      <c r="HK47" t="str">
        <f t="shared" si="107"/>
        <v>DI9-C26</v>
      </c>
      <c r="HL47" t="str">
        <f t="shared" si="108"/>
        <v>DI9-B26</v>
      </c>
      <c r="HM47" t="str">
        <f t="shared" si="109"/>
        <v>DI9-C27</v>
      </c>
      <c r="HN47" t="str">
        <f t="shared" si="110"/>
        <v>DI9-B27</v>
      </c>
      <c r="HO47" t="str">
        <f t="shared" si="111"/>
        <v>DI9-C28</v>
      </c>
      <c r="HP47" t="str">
        <f t="shared" si="112"/>
        <v>DI9-B28</v>
      </c>
      <c r="HQ47" t="str">
        <f t="shared" si="113"/>
        <v>DI9-C29</v>
      </c>
      <c r="HR47" t="str">
        <f t="shared" si="114"/>
        <v>DI9-B29</v>
      </c>
      <c r="HS47" t="str">
        <f t="shared" si="115"/>
        <v>DI9-C30</v>
      </c>
      <c r="HT47" t="str">
        <f t="shared" si="116"/>
        <v>DI9-B30</v>
      </c>
      <c r="HU47" t="str">
        <f t="shared" si="117"/>
        <v>DO6-9A</v>
      </c>
      <c r="HV47" t="str">
        <f t="shared" si="118"/>
        <v>DO6-9B</v>
      </c>
      <c r="HW47" t="str">
        <f t="shared" si="119"/>
        <v>DO6-10A</v>
      </c>
      <c r="HX47" t="str">
        <f t="shared" si="120"/>
        <v>DO6-10B</v>
      </c>
      <c r="HY47" t="str">
        <f t="shared" si="121"/>
        <v>K46-01</v>
      </c>
      <c r="HZ47" t="str">
        <f t="shared" si="122"/>
        <v>K46-02</v>
      </c>
      <c r="IA47" t="str">
        <f t="shared" si="123"/>
        <v>K46-03</v>
      </c>
      <c r="IB47" t="str">
        <f t="shared" si="124"/>
        <v>K46-04</v>
      </c>
      <c r="IC47" t="str">
        <f t="shared" si="125"/>
        <v>K46-05</v>
      </c>
      <c r="ID47" t="str">
        <f t="shared" si="126"/>
        <v>K46-06</v>
      </c>
      <c r="IE47" t="str">
        <f t="shared" si="127"/>
        <v>K46-07</v>
      </c>
      <c r="IF47" t="str">
        <f t="shared" si="128"/>
        <v>K46-08</v>
      </c>
      <c r="IG47" t="str">
        <f t="shared" si="129"/>
        <v>F0-M46-AMS-12</v>
      </c>
      <c r="IH47" t="str">
        <f t="shared" si="130"/>
        <v>F0-M46-AMS-10</v>
      </c>
      <c r="II47" t="str">
        <f t="shared" si="131"/>
        <v>F0-M46-AMS-11</v>
      </c>
      <c r="IJ47" t="str">
        <f t="shared" si="132"/>
        <v>F0-M46-AMS-13</v>
      </c>
      <c r="IK47" t="str">
        <f t="shared" si="133"/>
        <v>F0-M46-AMS-9</v>
      </c>
      <c r="IL47" t="str">
        <f t="shared" si="134"/>
        <v>F0-M46-AMS-7</v>
      </c>
      <c r="IM47" t="str">
        <f t="shared" si="135"/>
        <v>F0-M46-AMS-18</v>
      </c>
      <c r="IN47" t="str">
        <f t="shared" si="136"/>
        <v>F0-M46-AMS-20</v>
      </c>
      <c r="IO47" t="str">
        <f t="shared" si="137"/>
        <v>F0-M46-AMS-17</v>
      </c>
      <c r="IP47" t="str">
        <f t="shared" si="138"/>
        <v>F0-+24-M46</v>
      </c>
      <c r="IQ47" t="str">
        <f t="shared" si="139"/>
        <v>F0-M46-XM01</v>
      </c>
      <c r="IR47" t="str">
        <f t="shared" ref="IR47:JY47" si="142">IR46</f>
        <v>A1</v>
      </c>
      <c r="IS47" t="str">
        <f t="shared" si="142"/>
        <v>A2</v>
      </c>
      <c r="IT47">
        <f t="shared" si="142"/>
        <v>11</v>
      </c>
      <c r="IU47">
        <f t="shared" si="142"/>
        <v>14</v>
      </c>
      <c r="IV47" t="str">
        <f t="shared" si="142"/>
        <v>24v6</v>
      </c>
      <c r="IW47" t="str">
        <f t="shared" si="142"/>
        <v>0v6</v>
      </c>
      <c r="IX47">
        <f t="shared" si="142"/>
        <v>1</v>
      </c>
      <c r="IY47">
        <f t="shared" si="142"/>
        <v>2</v>
      </c>
      <c r="IZ47">
        <f t="shared" si="142"/>
        <v>3</v>
      </c>
      <c r="JA47">
        <f t="shared" si="142"/>
        <v>4</v>
      </c>
      <c r="JB47">
        <f t="shared" si="142"/>
        <v>5</v>
      </c>
      <c r="JC47">
        <f t="shared" si="142"/>
        <v>6</v>
      </c>
      <c r="JD47">
        <f t="shared" si="142"/>
        <v>7</v>
      </c>
      <c r="JE47">
        <f t="shared" si="142"/>
        <v>8</v>
      </c>
      <c r="JF47">
        <f t="shared" si="142"/>
        <v>9</v>
      </c>
      <c r="JG47">
        <f t="shared" si="142"/>
        <v>10</v>
      </c>
      <c r="JH47">
        <f t="shared" si="142"/>
        <v>11</v>
      </c>
      <c r="JI47">
        <f t="shared" si="142"/>
        <v>12</v>
      </c>
      <c r="JJ47">
        <f t="shared" si="142"/>
        <v>13</v>
      </c>
      <c r="JK47">
        <f t="shared" si="142"/>
        <v>14</v>
      </c>
      <c r="JL47">
        <f t="shared" si="142"/>
        <v>17</v>
      </c>
      <c r="JM47">
        <f t="shared" si="142"/>
        <v>15</v>
      </c>
      <c r="JN47">
        <f t="shared" si="142"/>
        <v>18</v>
      </c>
      <c r="JO47">
        <f t="shared" si="142"/>
        <v>11</v>
      </c>
      <c r="JP47">
        <f t="shared" si="142"/>
        <v>9</v>
      </c>
      <c r="JQ47">
        <f t="shared" si="142"/>
        <v>6</v>
      </c>
      <c r="JR47">
        <f t="shared" si="142"/>
        <v>20</v>
      </c>
      <c r="JS47">
        <f t="shared" si="142"/>
        <v>7</v>
      </c>
      <c r="JT47">
        <f t="shared" si="142"/>
        <v>10</v>
      </c>
      <c r="JU47">
        <f t="shared" si="142"/>
        <v>22</v>
      </c>
      <c r="JV47">
        <f t="shared" si="142"/>
        <v>23</v>
      </c>
      <c r="JW47">
        <f t="shared" si="142"/>
        <v>26</v>
      </c>
      <c r="JX47">
        <f t="shared" si="142"/>
        <v>27</v>
      </c>
      <c r="JY47" s="16">
        <f t="shared" si="142"/>
        <v>30</v>
      </c>
    </row>
    <row r="48" spans="1:285" ht="30" x14ac:dyDescent="0.25">
      <c r="A48" s="29" t="s">
        <v>2259</v>
      </c>
      <c r="B48" t="s">
        <v>464</v>
      </c>
      <c r="P48" t="s">
        <v>391</v>
      </c>
      <c r="T48" s="14" t="s">
        <v>554</v>
      </c>
      <c r="U48" s="15">
        <f t="shared" si="9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SUM(IF(ISNUMBER(FIND("TmAi",$BE$1:$AAQ$1)),IF(IFERROR(ISODD(SUBSTITUTE($BE48:$AAQ48,"A","")),FALSE),IF(ISODD(SUBSTITUTE($BE48:$AAQ48,"A","")),1,0),0)))</f>
        <v>0</v>
      </c>
      <c r="AA48" t="str">
        <f t="shared" si="91"/>
        <v>11A</v>
      </c>
      <c r="AB48" t="str">
        <f t="shared" si="92"/>
        <v>11B</v>
      </c>
      <c r="AC48" s="15" t="s">
        <v>441</v>
      </c>
      <c r="AD48" s="70" t="str">
        <f t="array" ref="AD48">IF(COUNTIFS(AC$2:AC48,AC48)=1,"1",VALUE(SUBSTITUTE(INDEX(AD:AD,_xlfn.XMATCH(AC48,AC$1:AC47,0,-1)),"A",""))+INDEX(AE:AE,_xlfn.XMATCH(AC48,AC$1:AC47,0,-1))+1)</f>
        <v>1</v>
      </c>
      <c r="AE48" s="70">
        <f t="array" ref="AE48">SUM(IF(ISNUMBER(FIND("TmDi",$BE$1:$AAQ$1)),IF(IFERROR(ISNUMBER(VALUE(SUBSTITUTE($BE48:$AAQ48,"B",""))),FALSE),IF(ISNUMBER(VALUE(SUBSTITUTE($BE48:$AAQ48,"B",""))),1,0),0)))</f>
        <v>5</v>
      </c>
      <c r="AF48" t="s">
        <v>133</v>
      </c>
      <c r="AG48" t="s">
        <v>134</v>
      </c>
      <c r="AH48" s="15" t="s">
        <v>388</v>
      </c>
      <c r="AI48" s="65">
        <f t="array" ref="AI48">IF(COUNTIFS(AH$2:AH48,AH48)=1,"1",VALUE(SUBSTITUTE(INDEX(AI:AI,_xlfn.XMATCH(AH48,AH$1:AH47,0,-1)),"A",""))+INDEX(AJ:AJ,_xlfn.XMATCH(AH48,AH$1:AH47,0,-1))+1)</f>
        <v>11</v>
      </c>
      <c r="AJ48" s="65">
        <f t="array" ref="AJ48">SUM(IF(ISNUMBER(FIND("TmDo",$BE$1:$AAQ$1)),IF(IFERROR(ISNUMBER(VALUE(SUBSTITUTE($BE48:$AAQ48,"B",""))),FALSE),IF(ISNUMBER(VALUE(SUBSTITUTE($BE48:$AAQ48,"B",""))),1,0),0)))</f>
        <v>1</v>
      </c>
      <c r="AK48" t="str">
        <f t="shared" si="0"/>
        <v>11A</v>
      </c>
      <c r="AL48" t="str">
        <f t="shared" si="1"/>
        <v>11B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84"/>
        <v>XT47</v>
      </c>
      <c r="GU48" t="str">
        <f t="shared" si="85"/>
        <v>C2</v>
      </c>
      <c r="GV48" t="str">
        <f t="shared" si="96"/>
        <v>B2</v>
      </c>
      <c r="GW48" t="str">
        <f t="shared" si="97"/>
        <v>C3</v>
      </c>
      <c r="GX48" t="str">
        <f t="shared" si="98"/>
        <v>B3</v>
      </c>
      <c r="GY48" t="str">
        <f t="shared" si="99"/>
        <v>C4</v>
      </c>
      <c r="GZ48" t="str">
        <f t="shared" si="100"/>
        <v>B4</v>
      </c>
      <c r="HA48" t="str">
        <f t="shared" si="101"/>
        <v>C5</v>
      </c>
      <c r="HB48" t="str">
        <f t="shared" si="102"/>
        <v>B5</v>
      </c>
      <c r="HC48" t="str">
        <f t="shared" si="103"/>
        <v>C6</v>
      </c>
      <c r="HD48" t="str">
        <f t="shared" si="104"/>
        <v>B6</v>
      </c>
      <c r="HE48" t="str">
        <f t="shared" si="86"/>
        <v>12A</v>
      </c>
      <c r="HF48" t="str">
        <f t="shared" si="87"/>
        <v>12B</v>
      </c>
      <c r="HG48" t="str">
        <f t="shared" si="88"/>
        <v>AI1-11A</v>
      </c>
      <c r="HH48" t="str">
        <f t="shared" si="89"/>
        <v>AI1-11B</v>
      </c>
      <c r="HI48" t="str">
        <f t="shared" si="105"/>
        <v>DI10-C1</v>
      </c>
      <c r="HJ48" t="str">
        <f t="shared" si="106"/>
        <v>DI10-B1</v>
      </c>
      <c r="HK48" t="str">
        <f t="shared" si="107"/>
        <v>DI10-C2</v>
      </c>
      <c r="HL48" t="str">
        <f t="shared" si="108"/>
        <v>DI10-B2</v>
      </c>
      <c r="HM48" t="str">
        <f t="shared" si="109"/>
        <v>DI10-C3</v>
      </c>
      <c r="HN48" t="str">
        <f t="shared" si="110"/>
        <v>DI10-B3</v>
      </c>
      <c r="HO48" t="str">
        <f t="shared" si="111"/>
        <v>DI10-C4</v>
      </c>
      <c r="HP48" t="str">
        <f t="shared" si="112"/>
        <v>DI10-B4</v>
      </c>
      <c r="HQ48" t="str">
        <f t="shared" si="113"/>
        <v>DI10-C5</v>
      </c>
      <c r="HR48" t="str">
        <f t="shared" si="114"/>
        <v>DI10-B5</v>
      </c>
      <c r="HS48" t="str">
        <f t="shared" si="115"/>
        <v>DI10-C6</v>
      </c>
      <c r="HT48" t="str">
        <f t="shared" si="116"/>
        <v>DI10-B6</v>
      </c>
      <c r="HU48" t="str">
        <f t="shared" si="117"/>
        <v>DO6-11A</v>
      </c>
      <c r="HV48" t="str">
        <f t="shared" si="118"/>
        <v>DO6-11B</v>
      </c>
      <c r="HW48" t="str">
        <f t="shared" si="119"/>
        <v>DO6-12A</v>
      </c>
      <c r="HX48" t="str">
        <f t="shared" si="120"/>
        <v>DO6-12B</v>
      </c>
      <c r="HY48" t="str">
        <f t="shared" si="121"/>
        <v>K47-01</v>
      </c>
      <c r="HZ48" t="str">
        <f t="shared" si="122"/>
        <v>K47-02</v>
      </c>
      <c r="IA48" t="str">
        <f t="shared" si="123"/>
        <v>K47-03</v>
      </c>
      <c r="IB48" t="str">
        <f t="shared" si="124"/>
        <v>K47-04</v>
      </c>
      <c r="IC48" t="str">
        <f t="shared" si="125"/>
        <v>K47-05</v>
      </c>
      <c r="ID48" t="str">
        <f t="shared" si="126"/>
        <v>K47-06</v>
      </c>
      <c r="IE48" t="str">
        <f t="shared" si="127"/>
        <v>K47-07</v>
      </c>
      <c r="IF48" t="str">
        <f t="shared" si="128"/>
        <v>K47-08</v>
      </c>
      <c r="IG48" t="str">
        <f t="shared" si="129"/>
        <v>F0-M47-AMS-12</v>
      </c>
      <c r="IH48" t="str">
        <f t="shared" si="130"/>
        <v>F0-M47-AMS-10</v>
      </c>
      <c r="II48" t="str">
        <f t="shared" si="131"/>
        <v>F0-M47-AMS-11</v>
      </c>
      <c r="IJ48" t="str">
        <f t="shared" si="132"/>
        <v>F0-M47-AMS-13</v>
      </c>
      <c r="IK48" t="str">
        <f t="shared" si="133"/>
        <v>F0-M47-AMS-9</v>
      </c>
      <c r="IL48" t="str">
        <f t="shared" si="134"/>
        <v>F0-M47-AMS-7</v>
      </c>
      <c r="IM48" t="str">
        <f t="shared" si="135"/>
        <v>F0-M47-AMS-18</v>
      </c>
      <c r="IN48" t="str">
        <f t="shared" si="136"/>
        <v>F0-M47-AMS-20</v>
      </c>
      <c r="IO48" t="str">
        <f t="shared" si="137"/>
        <v>F0-M47-AMS-17</v>
      </c>
      <c r="IP48" t="str">
        <f t="shared" si="138"/>
        <v>F0-+24-M47</v>
      </c>
      <c r="IQ48" t="str">
        <f t="shared" si="139"/>
        <v>F0-M47-XM01</v>
      </c>
      <c r="IR48" t="str">
        <f t="shared" ref="IR48:JY48" si="143">IR47</f>
        <v>A1</v>
      </c>
      <c r="IS48" t="str">
        <f t="shared" si="143"/>
        <v>A2</v>
      </c>
      <c r="IT48">
        <f t="shared" si="143"/>
        <v>11</v>
      </c>
      <c r="IU48">
        <f t="shared" si="143"/>
        <v>14</v>
      </c>
      <c r="IV48" t="str">
        <f t="shared" si="143"/>
        <v>24v6</v>
      </c>
      <c r="IW48" t="str">
        <f t="shared" si="143"/>
        <v>0v6</v>
      </c>
      <c r="IX48">
        <f t="shared" si="143"/>
        <v>1</v>
      </c>
      <c r="IY48">
        <f t="shared" si="143"/>
        <v>2</v>
      </c>
      <c r="IZ48">
        <f t="shared" si="143"/>
        <v>3</v>
      </c>
      <c r="JA48">
        <f t="shared" si="143"/>
        <v>4</v>
      </c>
      <c r="JB48">
        <f t="shared" si="143"/>
        <v>5</v>
      </c>
      <c r="JC48">
        <f t="shared" si="143"/>
        <v>6</v>
      </c>
      <c r="JD48">
        <f t="shared" si="143"/>
        <v>7</v>
      </c>
      <c r="JE48">
        <f t="shared" si="143"/>
        <v>8</v>
      </c>
      <c r="JF48">
        <f t="shared" si="143"/>
        <v>9</v>
      </c>
      <c r="JG48">
        <f t="shared" si="143"/>
        <v>10</v>
      </c>
      <c r="JH48">
        <f t="shared" si="143"/>
        <v>11</v>
      </c>
      <c r="JI48">
        <f t="shared" si="143"/>
        <v>12</v>
      </c>
      <c r="JJ48">
        <f t="shared" si="143"/>
        <v>13</v>
      </c>
      <c r="JK48">
        <f t="shared" si="143"/>
        <v>14</v>
      </c>
      <c r="JL48">
        <f t="shared" si="143"/>
        <v>17</v>
      </c>
      <c r="JM48">
        <f t="shared" si="143"/>
        <v>15</v>
      </c>
      <c r="JN48">
        <f t="shared" si="143"/>
        <v>18</v>
      </c>
      <c r="JO48">
        <f t="shared" si="143"/>
        <v>11</v>
      </c>
      <c r="JP48">
        <f t="shared" si="143"/>
        <v>9</v>
      </c>
      <c r="JQ48">
        <f t="shared" si="143"/>
        <v>6</v>
      </c>
      <c r="JR48">
        <f t="shared" si="143"/>
        <v>20</v>
      </c>
      <c r="JS48">
        <f t="shared" si="143"/>
        <v>7</v>
      </c>
      <c r="JT48">
        <f t="shared" si="143"/>
        <v>10</v>
      </c>
      <c r="JU48">
        <f t="shared" si="143"/>
        <v>22</v>
      </c>
      <c r="JV48">
        <f t="shared" si="143"/>
        <v>23</v>
      </c>
      <c r="JW48">
        <f t="shared" si="143"/>
        <v>26</v>
      </c>
      <c r="JX48">
        <f t="shared" si="143"/>
        <v>27</v>
      </c>
      <c r="JY48" s="16">
        <f t="shared" si="143"/>
        <v>30</v>
      </c>
    </row>
    <row r="49" spans="1:305" ht="30" x14ac:dyDescent="0.25">
      <c r="A49" s="29" t="s">
        <v>2260</v>
      </c>
      <c r="B49" t="s">
        <v>466</v>
      </c>
      <c r="P49" t="s">
        <v>391</v>
      </c>
      <c r="T49" s="14" t="s">
        <v>554</v>
      </c>
      <c r="U49" s="15">
        <f t="shared" si="9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SUM(IF(ISNUMBER(FIND("TmAi",$BE$1:$AAQ$1)),IF(IFERROR(ISODD(SUBSTITUTE($BE49:$AAQ49,"A","")),FALSE),IF(ISODD(SUBSTITUTE($BE49:$AAQ49,"A","")),1,0),0)))</f>
        <v>0</v>
      </c>
      <c r="AA49" t="str">
        <f t="shared" si="91"/>
        <v>13A</v>
      </c>
      <c r="AB49" t="str">
        <f t="shared" si="92"/>
        <v>13B</v>
      </c>
      <c r="AC49" s="15" t="s">
        <v>441</v>
      </c>
      <c r="AD49" s="70">
        <f t="array" ref="AD49">IF(COUNTIFS(AC$2:AC49,AC49)=1,"1",VALUE(SUBSTITUTE(INDEX(AD:AD,_xlfn.XMATCH(AC49,AC$1:AC48,0,-1)),"A",""))+INDEX(AE:AE,_xlfn.XMATCH(AC49,AC$1:AC48,0,-1))+1)</f>
        <v>7</v>
      </c>
      <c r="AE49" s="70">
        <f t="array" ref="AE49">SUM(IF(ISNUMBER(FIND("TmDi",$BE$1:$AAQ$1)),IF(IFERROR(ISNUMBER(VALUE(SUBSTITUTE($BE49:$AAQ49,"B",""))),FALSE),IF(ISNUMBER(VALUE(SUBSTITUTE($BE49:$AAQ49,"B",""))),1,0),0)))</f>
        <v>5</v>
      </c>
      <c r="AF49" t="s">
        <v>148</v>
      </c>
      <c r="AG49" t="s">
        <v>149</v>
      </c>
      <c r="AH49" s="15" t="s">
        <v>388</v>
      </c>
      <c r="AI49" s="65">
        <f t="array" ref="AI49">IF(COUNTIFS(AH$2:AH49,AH49)=1,"1",VALUE(SUBSTITUTE(INDEX(AI:AI,_xlfn.XMATCH(AH49,AH$1:AH48,0,-1)),"A",""))+INDEX(AJ:AJ,_xlfn.XMATCH(AH49,AH$1:AH48,0,-1))+1)</f>
        <v>13</v>
      </c>
      <c r="AJ49" s="65">
        <f t="array" ref="AJ49">SUM(IF(ISNUMBER(FIND("TmDo",$BE$1:$AAQ$1)),IF(IFERROR(ISNUMBER(VALUE(SUBSTITUTE($BE49:$AAQ49,"B",""))),FALSE),IF(ISNUMBER(VALUE(SUBSTITUTE($BE49:$AAQ49,"B",""))),1,0),0)))</f>
        <v>1</v>
      </c>
      <c r="AK49" s="15" t="str">
        <f t="shared" si="0"/>
        <v>13A</v>
      </c>
      <c r="AL49" s="15" t="str">
        <f t="shared" si="1"/>
        <v>13B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84"/>
        <v>XT48</v>
      </c>
      <c r="GU49" t="str">
        <f t="shared" si="85"/>
        <v>C8</v>
      </c>
      <c r="GV49" t="str">
        <f t="shared" si="96"/>
        <v>B8</v>
      </c>
      <c r="GW49" t="str">
        <f t="shared" si="97"/>
        <v>C9</v>
      </c>
      <c r="GX49" t="str">
        <f t="shared" si="98"/>
        <v>B9</v>
      </c>
      <c r="GY49" t="str">
        <f t="shared" si="99"/>
        <v>C10</v>
      </c>
      <c r="GZ49" t="str">
        <f t="shared" si="100"/>
        <v>B10</v>
      </c>
      <c r="HA49" t="str">
        <f t="shared" si="101"/>
        <v>C11</v>
      </c>
      <c r="HB49" t="str">
        <f t="shared" si="102"/>
        <v>B11</v>
      </c>
      <c r="HC49" t="str">
        <f t="shared" si="103"/>
        <v>C12</v>
      </c>
      <c r="HD49" t="str">
        <f t="shared" si="104"/>
        <v>B12</v>
      </c>
      <c r="HE49" t="str">
        <f t="shared" si="86"/>
        <v>14A</v>
      </c>
      <c r="HF49" t="str">
        <f t="shared" si="87"/>
        <v>14B</v>
      </c>
      <c r="HG49" t="str">
        <f t="shared" si="88"/>
        <v>AI1-13A</v>
      </c>
      <c r="HH49" t="str">
        <f t="shared" si="89"/>
        <v>AI1-13B</v>
      </c>
      <c r="HI49" t="str">
        <f t="shared" si="105"/>
        <v>DI10-C7</v>
      </c>
      <c r="HJ49" t="str">
        <f t="shared" si="106"/>
        <v>DI10-B7</v>
      </c>
      <c r="HK49" t="str">
        <f t="shared" si="107"/>
        <v>DI10-C8</v>
      </c>
      <c r="HL49" t="str">
        <f t="shared" si="108"/>
        <v>DI10-B8</v>
      </c>
      <c r="HM49" t="str">
        <f t="shared" si="109"/>
        <v>DI10-C9</v>
      </c>
      <c r="HN49" t="str">
        <f t="shared" si="110"/>
        <v>DI10-B9</v>
      </c>
      <c r="HO49" t="str">
        <f t="shared" si="111"/>
        <v>DI10-C10</v>
      </c>
      <c r="HP49" t="str">
        <f t="shared" si="112"/>
        <v>DI10-B10</v>
      </c>
      <c r="HQ49" t="str">
        <f t="shared" si="113"/>
        <v>DI10-C11</v>
      </c>
      <c r="HR49" t="str">
        <f t="shared" si="114"/>
        <v>DI10-B11</v>
      </c>
      <c r="HS49" t="str">
        <f t="shared" si="115"/>
        <v>DI10-C12</v>
      </c>
      <c r="HT49" t="str">
        <f t="shared" si="116"/>
        <v>DI10-B12</v>
      </c>
      <c r="HU49" t="str">
        <f t="shared" si="117"/>
        <v>DO6-13A</v>
      </c>
      <c r="HV49" t="str">
        <f t="shared" si="118"/>
        <v>DO6-13B</v>
      </c>
      <c r="HW49" t="str">
        <f t="shared" si="119"/>
        <v>DO6-14A</v>
      </c>
      <c r="HX49" t="str">
        <f t="shared" si="120"/>
        <v>DO6-14B</v>
      </c>
      <c r="HY49" t="str">
        <f t="shared" si="121"/>
        <v>K48-01</v>
      </c>
      <c r="HZ49" t="str">
        <f t="shared" si="122"/>
        <v>K48-02</v>
      </c>
      <c r="IA49" t="str">
        <f t="shared" si="123"/>
        <v>K48-03</v>
      </c>
      <c r="IB49" t="str">
        <f t="shared" si="124"/>
        <v>K48-04</v>
      </c>
      <c r="IC49" t="str">
        <f t="shared" si="125"/>
        <v>K48-05</v>
      </c>
      <c r="ID49" t="str">
        <f t="shared" si="126"/>
        <v>K48-06</v>
      </c>
      <c r="IE49" t="str">
        <f t="shared" si="127"/>
        <v>K48-07</v>
      </c>
      <c r="IF49" t="str">
        <f t="shared" si="128"/>
        <v>K48-08</v>
      </c>
      <c r="IG49" t="str">
        <f t="shared" si="129"/>
        <v>F0-M48-AMS-12</v>
      </c>
      <c r="IH49" t="str">
        <f t="shared" si="130"/>
        <v>F0-M48-AMS-10</v>
      </c>
      <c r="II49" t="str">
        <f t="shared" si="131"/>
        <v>F0-M48-AMS-11</v>
      </c>
      <c r="IJ49" t="str">
        <f t="shared" si="132"/>
        <v>F0-M48-AMS-13</v>
      </c>
      <c r="IK49" t="str">
        <f t="shared" si="133"/>
        <v>F0-M48-AMS-9</v>
      </c>
      <c r="IL49" t="str">
        <f t="shared" si="134"/>
        <v>F0-M48-AMS-7</v>
      </c>
      <c r="IM49" t="str">
        <f t="shared" si="135"/>
        <v>F0-M48-AMS-18</v>
      </c>
      <c r="IN49" t="str">
        <f t="shared" si="136"/>
        <v>F0-M48-AMS-20</v>
      </c>
      <c r="IO49" t="str">
        <f t="shared" si="137"/>
        <v>F0-M48-AMS-17</v>
      </c>
      <c r="IP49" t="str">
        <f t="shared" si="138"/>
        <v>F0-+24-M48</v>
      </c>
      <c r="IQ49" t="str">
        <f t="shared" si="139"/>
        <v>F0-M48-XM01</v>
      </c>
      <c r="IR49" t="str">
        <f t="shared" ref="IR49:JY49" si="144">IR48</f>
        <v>A1</v>
      </c>
      <c r="IS49" t="str">
        <f t="shared" si="144"/>
        <v>A2</v>
      </c>
      <c r="IT49">
        <f t="shared" si="144"/>
        <v>11</v>
      </c>
      <c r="IU49">
        <f t="shared" si="144"/>
        <v>14</v>
      </c>
      <c r="IV49" t="str">
        <f t="shared" si="144"/>
        <v>24v6</v>
      </c>
      <c r="IW49" t="str">
        <f t="shared" si="144"/>
        <v>0v6</v>
      </c>
      <c r="IX49">
        <f t="shared" si="144"/>
        <v>1</v>
      </c>
      <c r="IY49">
        <f t="shared" si="144"/>
        <v>2</v>
      </c>
      <c r="IZ49">
        <f t="shared" si="144"/>
        <v>3</v>
      </c>
      <c r="JA49">
        <f t="shared" si="144"/>
        <v>4</v>
      </c>
      <c r="JB49">
        <f t="shared" si="144"/>
        <v>5</v>
      </c>
      <c r="JC49">
        <f t="shared" si="144"/>
        <v>6</v>
      </c>
      <c r="JD49">
        <f t="shared" si="144"/>
        <v>7</v>
      </c>
      <c r="JE49">
        <f t="shared" si="144"/>
        <v>8</v>
      </c>
      <c r="JF49">
        <f t="shared" si="144"/>
        <v>9</v>
      </c>
      <c r="JG49">
        <f t="shared" si="144"/>
        <v>10</v>
      </c>
      <c r="JH49">
        <f t="shared" si="144"/>
        <v>11</v>
      </c>
      <c r="JI49">
        <f t="shared" si="144"/>
        <v>12</v>
      </c>
      <c r="JJ49">
        <f t="shared" si="144"/>
        <v>13</v>
      </c>
      <c r="JK49">
        <f t="shared" si="144"/>
        <v>14</v>
      </c>
      <c r="JL49">
        <f t="shared" si="144"/>
        <v>17</v>
      </c>
      <c r="JM49">
        <f t="shared" si="144"/>
        <v>15</v>
      </c>
      <c r="JN49">
        <f t="shared" si="144"/>
        <v>18</v>
      </c>
      <c r="JO49">
        <f t="shared" si="144"/>
        <v>11</v>
      </c>
      <c r="JP49">
        <f t="shared" si="144"/>
        <v>9</v>
      </c>
      <c r="JQ49">
        <f t="shared" si="144"/>
        <v>6</v>
      </c>
      <c r="JR49">
        <f t="shared" si="144"/>
        <v>20</v>
      </c>
      <c r="JS49">
        <f t="shared" si="144"/>
        <v>7</v>
      </c>
      <c r="JT49">
        <f t="shared" si="144"/>
        <v>10</v>
      </c>
      <c r="JU49">
        <f t="shared" si="144"/>
        <v>22</v>
      </c>
      <c r="JV49">
        <f t="shared" si="144"/>
        <v>23</v>
      </c>
      <c r="JW49">
        <f t="shared" si="144"/>
        <v>26</v>
      </c>
      <c r="JX49">
        <f t="shared" si="144"/>
        <v>27</v>
      </c>
      <c r="JY49" s="16">
        <f t="shared" si="144"/>
        <v>30</v>
      </c>
    </row>
    <row r="50" spans="1:305" ht="30" x14ac:dyDescent="0.25">
      <c r="A50" s="29" t="s">
        <v>2261</v>
      </c>
      <c r="B50" t="s">
        <v>468</v>
      </c>
      <c r="P50" t="s">
        <v>391</v>
      </c>
      <c r="T50" s="14" t="s">
        <v>554</v>
      </c>
      <c r="U50" s="15">
        <f t="shared" si="9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SUM(IF(ISNUMBER(FIND("TmAi",$BE$1:$AAQ$1)),IF(IFERROR(ISODD(SUBSTITUTE($BE50:$AAQ50,"A","")),FALSE),IF(ISODD(SUBSTITUTE($BE50:$AAQ50,"A","")),1,0),0)))</f>
        <v>0</v>
      </c>
      <c r="AA50" t="str">
        <f t="shared" si="91"/>
        <v>15A</v>
      </c>
      <c r="AB50" t="str">
        <f t="shared" si="92"/>
        <v>15B</v>
      </c>
      <c r="AC50" s="15" t="s">
        <v>441</v>
      </c>
      <c r="AD50" s="70">
        <f t="array" ref="AD50">IF(COUNTIFS(AC$2:AC50,AC50)=1,"1",VALUE(SUBSTITUTE(INDEX(AD:AD,_xlfn.XMATCH(AC50,AC$1:AC49,0,-1)),"A",""))+INDEX(AE:AE,_xlfn.XMATCH(AC50,AC$1:AC49,0,-1))+1)</f>
        <v>13</v>
      </c>
      <c r="AE50" s="70">
        <f t="array" ref="AE50">SUM(IF(ISNUMBER(FIND("TmDi",$BE$1:$AAQ$1)),IF(IFERROR(ISNUMBER(VALUE(SUBSTITUTE($BE50:$AAQ50,"B",""))),FALSE),IF(ISNUMBER(VALUE(SUBSTITUTE($BE50:$AAQ50,"B",""))),1,0),0)))</f>
        <v>5</v>
      </c>
      <c r="AF50" t="s">
        <v>153</v>
      </c>
      <c r="AG50" t="s">
        <v>154</v>
      </c>
      <c r="AH50" s="15" t="s">
        <v>388</v>
      </c>
      <c r="AI50" s="65">
        <f t="array" ref="AI50">IF(COUNTIFS(AH$2:AH50,AH50)=1,"1",VALUE(SUBSTITUTE(INDEX(AI:AI,_xlfn.XMATCH(AH50,AH$1:AH49,0,-1)),"A",""))+INDEX(AJ:AJ,_xlfn.XMATCH(AH50,AH$1:AH49,0,-1))+1)</f>
        <v>15</v>
      </c>
      <c r="AJ50" s="65">
        <f t="array" ref="AJ50">SUM(IF(ISNUMBER(FIND("TmDo",$BE$1:$AAQ$1)),IF(IFERROR(ISNUMBER(VALUE(SUBSTITUTE($BE50:$AAQ50,"B",""))),FALSE),IF(ISNUMBER(VALUE(SUBSTITUTE($BE50:$AAQ50,"B",""))),1,0),0)))</f>
        <v>1</v>
      </c>
      <c r="AK50" t="str">
        <f t="shared" si="0"/>
        <v>15A</v>
      </c>
      <c r="AL50" t="str">
        <f t="shared" si="1"/>
        <v>15B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84"/>
        <v>XT49</v>
      </c>
      <c r="GU50" t="str">
        <f t="shared" si="85"/>
        <v>C14</v>
      </c>
      <c r="GV50" t="str">
        <f t="shared" si="96"/>
        <v>B14</v>
      </c>
      <c r="GW50" t="str">
        <f t="shared" si="97"/>
        <v>C15</v>
      </c>
      <c r="GX50" t="str">
        <f t="shared" si="98"/>
        <v>B15</v>
      </c>
      <c r="GY50" t="str">
        <f t="shared" si="99"/>
        <v>C16</v>
      </c>
      <c r="GZ50" t="str">
        <f t="shared" si="100"/>
        <v>B16</v>
      </c>
      <c r="HA50" t="str">
        <f t="shared" si="101"/>
        <v>C17</v>
      </c>
      <c r="HB50" t="str">
        <f t="shared" si="102"/>
        <v>B17</v>
      </c>
      <c r="HC50" t="str">
        <f t="shared" si="103"/>
        <v>C18</v>
      </c>
      <c r="HD50" t="str">
        <f t="shared" si="104"/>
        <v>B18</v>
      </c>
      <c r="HE50" t="str">
        <f t="shared" si="86"/>
        <v>16A</v>
      </c>
      <c r="HF50" t="str">
        <f t="shared" si="87"/>
        <v>16B</v>
      </c>
      <c r="HG50" t="str">
        <f t="shared" si="88"/>
        <v>AI1-15A</v>
      </c>
      <c r="HH50" t="str">
        <f t="shared" si="89"/>
        <v>AI1-15B</v>
      </c>
      <c r="HI50" t="str">
        <f t="shared" si="105"/>
        <v>DI10-C13</v>
      </c>
      <c r="HJ50" t="str">
        <f t="shared" si="106"/>
        <v>DI10-B13</v>
      </c>
      <c r="HK50" t="str">
        <f t="shared" si="107"/>
        <v>DI10-C14</v>
      </c>
      <c r="HL50" t="str">
        <f t="shared" si="108"/>
        <v>DI10-B14</v>
      </c>
      <c r="HM50" t="str">
        <f t="shared" si="109"/>
        <v>DI10-C15</v>
      </c>
      <c r="HN50" t="str">
        <f t="shared" si="110"/>
        <v>DI10-B15</v>
      </c>
      <c r="HO50" t="str">
        <f t="shared" si="111"/>
        <v>DI10-C16</v>
      </c>
      <c r="HP50" t="str">
        <f t="shared" si="112"/>
        <v>DI10-B16</v>
      </c>
      <c r="HQ50" t="str">
        <f t="shared" si="113"/>
        <v>DI10-C17</v>
      </c>
      <c r="HR50" t="str">
        <f t="shared" si="114"/>
        <v>DI10-B17</v>
      </c>
      <c r="HS50" t="str">
        <f t="shared" si="115"/>
        <v>DI10-C18</v>
      </c>
      <c r="HT50" t="str">
        <f t="shared" si="116"/>
        <v>DI10-B18</v>
      </c>
      <c r="HU50" t="str">
        <f t="shared" si="117"/>
        <v>DO6-15A</v>
      </c>
      <c r="HV50" t="str">
        <f t="shared" si="118"/>
        <v>DO6-15B</v>
      </c>
      <c r="HW50" t="str">
        <f t="shared" si="119"/>
        <v>DO6-16A</v>
      </c>
      <c r="HX50" t="str">
        <f t="shared" si="120"/>
        <v>DO6-16B</v>
      </c>
      <c r="HY50" t="str">
        <f t="shared" si="121"/>
        <v>K49-01</v>
      </c>
      <c r="HZ50" t="str">
        <f t="shared" si="122"/>
        <v>K49-02</v>
      </c>
      <c r="IA50" t="str">
        <f t="shared" si="123"/>
        <v>K49-03</v>
      </c>
      <c r="IB50" t="str">
        <f t="shared" si="124"/>
        <v>K49-04</v>
      </c>
      <c r="IC50" t="str">
        <f t="shared" si="125"/>
        <v>K49-05</v>
      </c>
      <c r="ID50" t="str">
        <f t="shared" si="126"/>
        <v>K49-06</v>
      </c>
      <c r="IE50" t="str">
        <f t="shared" si="127"/>
        <v>K49-07</v>
      </c>
      <c r="IF50" t="str">
        <f t="shared" si="128"/>
        <v>K49-08</v>
      </c>
      <c r="IG50" t="str">
        <f t="shared" si="129"/>
        <v>F0-M49-AMS-12</v>
      </c>
      <c r="IH50" t="str">
        <f t="shared" si="130"/>
        <v>F0-M49-AMS-10</v>
      </c>
      <c r="II50" t="str">
        <f t="shared" si="131"/>
        <v>F0-M49-AMS-11</v>
      </c>
      <c r="IJ50" t="str">
        <f t="shared" si="132"/>
        <v>F0-M49-AMS-13</v>
      </c>
      <c r="IK50" t="str">
        <f t="shared" si="133"/>
        <v>F0-M49-AMS-9</v>
      </c>
      <c r="IL50" t="str">
        <f t="shared" si="134"/>
        <v>F0-M49-AMS-7</v>
      </c>
      <c r="IM50" t="str">
        <f t="shared" si="135"/>
        <v>F0-M49-AMS-18</v>
      </c>
      <c r="IN50" t="str">
        <f t="shared" si="136"/>
        <v>F0-M49-AMS-20</v>
      </c>
      <c r="IO50" t="str">
        <f t="shared" si="137"/>
        <v>F0-M49-AMS-17</v>
      </c>
      <c r="IP50" t="str">
        <f t="shared" si="138"/>
        <v>F0-+24-M49</v>
      </c>
      <c r="IQ50" t="str">
        <f t="shared" si="139"/>
        <v>F0-M49-XM01</v>
      </c>
      <c r="IR50" t="str">
        <f t="shared" ref="IR50:JY50" si="145">IR49</f>
        <v>A1</v>
      </c>
      <c r="IS50" t="str">
        <f t="shared" si="145"/>
        <v>A2</v>
      </c>
      <c r="IT50">
        <f t="shared" si="145"/>
        <v>11</v>
      </c>
      <c r="IU50">
        <f t="shared" si="145"/>
        <v>14</v>
      </c>
      <c r="IV50" t="str">
        <f t="shared" si="145"/>
        <v>24v6</v>
      </c>
      <c r="IW50" t="str">
        <f t="shared" si="145"/>
        <v>0v6</v>
      </c>
      <c r="IX50">
        <f t="shared" si="145"/>
        <v>1</v>
      </c>
      <c r="IY50">
        <f t="shared" si="145"/>
        <v>2</v>
      </c>
      <c r="IZ50">
        <f t="shared" si="145"/>
        <v>3</v>
      </c>
      <c r="JA50">
        <f t="shared" si="145"/>
        <v>4</v>
      </c>
      <c r="JB50">
        <f t="shared" si="145"/>
        <v>5</v>
      </c>
      <c r="JC50">
        <f t="shared" si="145"/>
        <v>6</v>
      </c>
      <c r="JD50">
        <f t="shared" si="145"/>
        <v>7</v>
      </c>
      <c r="JE50">
        <f t="shared" si="145"/>
        <v>8</v>
      </c>
      <c r="JF50">
        <f t="shared" si="145"/>
        <v>9</v>
      </c>
      <c r="JG50">
        <f t="shared" si="145"/>
        <v>10</v>
      </c>
      <c r="JH50">
        <f t="shared" si="145"/>
        <v>11</v>
      </c>
      <c r="JI50">
        <f t="shared" si="145"/>
        <v>12</v>
      </c>
      <c r="JJ50">
        <f t="shared" si="145"/>
        <v>13</v>
      </c>
      <c r="JK50">
        <f t="shared" si="145"/>
        <v>14</v>
      </c>
      <c r="JL50">
        <f t="shared" si="145"/>
        <v>17</v>
      </c>
      <c r="JM50">
        <f t="shared" si="145"/>
        <v>15</v>
      </c>
      <c r="JN50">
        <f t="shared" si="145"/>
        <v>18</v>
      </c>
      <c r="JO50">
        <f t="shared" si="145"/>
        <v>11</v>
      </c>
      <c r="JP50">
        <f t="shared" si="145"/>
        <v>9</v>
      </c>
      <c r="JQ50">
        <f t="shared" si="145"/>
        <v>6</v>
      </c>
      <c r="JR50">
        <f t="shared" si="145"/>
        <v>20</v>
      </c>
      <c r="JS50">
        <f t="shared" si="145"/>
        <v>7</v>
      </c>
      <c r="JT50">
        <f t="shared" si="145"/>
        <v>10</v>
      </c>
      <c r="JU50">
        <f t="shared" si="145"/>
        <v>22</v>
      </c>
      <c r="JV50">
        <f t="shared" si="145"/>
        <v>23</v>
      </c>
      <c r="JW50">
        <f t="shared" si="145"/>
        <v>26</v>
      </c>
      <c r="JX50">
        <f t="shared" si="145"/>
        <v>27</v>
      </c>
      <c r="JY50" s="16">
        <f t="shared" si="145"/>
        <v>30</v>
      </c>
    </row>
    <row r="51" spans="1:305" ht="30" x14ac:dyDescent="0.25">
      <c r="A51" s="29" t="s">
        <v>2262</v>
      </c>
      <c r="B51" s="29" t="s">
        <v>470</v>
      </c>
      <c r="P51" t="s">
        <v>391</v>
      </c>
      <c r="T51" s="14" t="s">
        <v>554</v>
      </c>
      <c r="U51" s="15">
        <f t="shared" si="9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SUM(IF(ISNUMBER(FIND("TmAi",$BE$1:$AAQ$1)),IF(IFERROR(ISODD(SUBSTITUTE($BE51:$AAQ51,"A","")),FALSE),IF(ISODD(SUBSTITUTE($BE51:$AAQ51,"A","")),1,0),0)))</f>
        <v>0</v>
      </c>
      <c r="AA51" t="str">
        <f t="shared" si="91"/>
        <v>1A</v>
      </c>
      <c r="AB51" t="str">
        <f t="shared" si="92"/>
        <v>1B</v>
      </c>
      <c r="AC51" s="15" t="s">
        <v>441</v>
      </c>
      <c r="AD51" s="70">
        <f t="array" ref="AD51">IF(COUNTIFS(AC$2:AC51,AC51)=1,"1",VALUE(SUBSTITUTE(INDEX(AD:AD,_xlfn.XMATCH(AC51,AC$1:AC50,0,-1)),"A",""))+INDEX(AE:AE,_xlfn.XMATCH(AC51,AC$1:AC50,0,-1))+1)</f>
        <v>19</v>
      </c>
      <c r="AE51" s="70">
        <f t="array" ref="AE51">SUM(IF(ISNUMBER(FIND("TmDi",$BE$1:$AAQ$1)),IF(IFERROR(ISNUMBER(VALUE(SUBSTITUTE($BE51:$AAQ51,"B",""))),FALSE),IF(ISNUMBER(VALUE(SUBSTITUTE($BE51:$AAQ51,"B",""))),1,0),0)))</f>
        <v>5</v>
      </c>
      <c r="AF51" t="s">
        <v>239</v>
      </c>
      <c r="AG51" t="s">
        <v>241</v>
      </c>
      <c r="AH51" s="15" t="s">
        <v>388</v>
      </c>
      <c r="AI51" s="65">
        <f t="array" ref="AI51">IF(COUNTIFS(AH$2:AH51,AH51)=1,"1",VALUE(SUBSTITUTE(INDEX(AI:AI,_xlfn.XMATCH(AH51,AH$1:AH50,0,-1)),"A",""))+INDEX(AJ:AJ,_xlfn.XMATCH(AH51,AH$1:AH50,0,-1))+1)</f>
        <v>17</v>
      </c>
      <c r="AJ51" s="65">
        <f t="array" ref="AJ51">SUM(IF(ISNUMBER(FIND("TmDo",$BE$1:$AAQ$1)),IF(IFERROR(ISNUMBER(VALUE(SUBSTITUTE($BE51:$AAQ51,"B",""))),FALSE),IF(ISNUMBER(VALUE(SUBSTITUTE($BE51:$AAQ51,"B",""))),1,0),0)))</f>
        <v>1</v>
      </c>
      <c r="AK51" s="15" t="str">
        <f t="shared" si="0"/>
        <v>17A</v>
      </c>
      <c r="AL51" s="15" t="str">
        <f t="shared" si="1"/>
        <v>17B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84"/>
        <v>XT50</v>
      </c>
      <c r="GU51" t="str">
        <f t="shared" si="85"/>
        <v>C20</v>
      </c>
      <c r="GV51" t="str">
        <f t="shared" si="96"/>
        <v>B20</v>
      </c>
      <c r="GW51" t="str">
        <f t="shared" si="97"/>
        <v>C21</v>
      </c>
      <c r="GX51" t="str">
        <f t="shared" si="98"/>
        <v>B21</v>
      </c>
      <c r="GY51" t="str">
        <f t="shared" si="99"/>
        <v>C22</v>
      </c>
      <c r="GZ51" t="str">
        <f t="shared" si="100"/>
        <v>B22</v>
      </c>
      <c r="HA51" t="str">
        <f t="shared" si="101"/>
        <v>C23</v>
      </c>
      <c r="HB51" t="str">
        <f t="shared" si="102"/>
        <v>B23</v>
      </c>
      <c r="HC51" t="str">
        <f t="shared" si="103"/>
        <v>C24</v>
      </c>
      <c r="HD51" t="str">
        <f t="shared" si="104"/>
        <v>B24</v>
      </c>
      <c r="HE51" t="str">
        <f t="shared" si="86"/>
        <v>18A</v>
      </c>
      <c r="HF51" t="str">
        <f t="shared" si="87"/>
        <v>18B</v>
      </c>
      <c r="HG51" t="str">
        <f t="shared" si="88"/>
        <v>AI2-1A</v>
      </c>
      <c r="HH51" t="str">
        <f t="shared" si="89"/>
        <v>AI2-1B</v>
      </c>
      <c r="HI51" t="str">
        <f t="shared" si="105"/>
        <v>DI10-C19</v>
      </c>
      <c r="HJ51" t="str">
        <f t="shared" si="106"/>
        <v>DI10-B19</v>
      </c>
      <c r="HK51" t="str">
        <f t="shared" si="107"/>
        <v>DI10-C20</v>
      </c>
      <c r="HL51" t="str">
        <f t="shared" si="108"/>
        <v>DI10-B20</v>
      </c>
      <c r="HM51" t="str">
        <f t="shared" si="109"/>
        <v>DI10-C21</v>
      </c>
      <c r="HN51" t="str">
        <f t="shared" si="110"/>
        <v>DI10-B21</v>
      </c>
      <c r="HO51" t="str">
        <f t="shared" si="111"/>
        <v>DI10-C22</v>
      </c>
      <c r="HP51" t="str">
        <f t="shared" si="112"/>
        <v>DI10-B22</v>
      </c>
      <c r="HQ51" t="str">
        <f t="shared" si="113"/>
        <v>DI10-C23</v>
      </c>
      <c r="HR51" t="str">
        <f t="shared" si="114"/>
        <v>DI10-B23</v>
      </c>
      <c r="HS51" t="str">
        <f t="shared" si="115"/>
        <v>DI10-C24</v>
      </c>
      <c r="HT51" t="str">
        <f t="shared" si="116"/>
        <v>DI10-B24</v>
      </c>
      <c r="HU51" t="str">
        <f t="shared" si="117"/>
        <v>DO6-17A</v>
      </c>
      <c r="HV51" t="str">
        <f t="shared" si="118"/>
        <v>DO6-17B</v>
      </c>
      <c r="HW51" t="str">
        <f t="shared" si="119"/>
        <v>DO6-18A</v>
      </c>
      <c r="HX51" t="str">
        <f t="shared" si="120"/>
        <v>DO6-18B</v>
      </c>
      <c r="HY51" t="str">
        <f t="shared" si="121"/>
        <v>K50-01</v>
      </c>
      <c r="HZ51" t="str">
        <f t="shared" si="122"/>
        <v>K50-02</v>
      </c>
      <c r="IA51" t="str">
        <f t="shared" si="123"/>
        <v>K50-03</v>
      </c>
      <c r="IB51" t="str">
        <f t="shared" si="124"/>
        <v>K50-04</v>
      </c>
      <c r="IC51" t="str">
        <f t="shared" si="125"/>
        <v>K50-05</v>
      </c>
      <c r="ID51" t="str">
        <f t="shared" si="126"/>
        <v>K50-06</v>
      </c>
      <c r="IE51" t="str">
        <f t="shared" si="127"/>
        <v>K50-07</v>
      </c>
      <c r="IF51" t="str">
        <f t="shared" si="128"/>
        <v>K50-08</v>
      </c>
      <c r="IG51" t="str">
        <f t="shared" si="129"/>
        <v>F0-M50-AMS-12</v>
      </c>
      <c r="IH51" t="str">
        <f t="shared" si="130"/>
        <v>F0-M50-AMS-10</v>
      </c>
      <c r="II51" t="str">
        <f t="shared" si="131"/>
        <v>F0-M50-AMS-11</v>
      </c>
      <c r="IJ51" t="str">
        <f t="shared" si="132"/>
        <v>F0-M50-AMS-13</v>
      </c>
      <c r="IK51" t="str">
        <f t="shared" si="133"/>
        <v>F0-M50-AMS-9</v>
      </c>
      <c r="IL51" t="str">
        <f t="shared" si="134"/>
        <v>F0-M50-AMS-7</v>
      </c>
      <c r="IM51" t="str">
        <f t="shared" si="135"/>
        <v>F0-M50-AMS-18</v>
      </c>
      <c r="IN51" t="str">
        <f t="shared" si="136"/>
        <v>F0-M50-AMS-20</v>
      </c>
      <c r="IO51" t="str">
        <f t="shared" si="137"/>
        <v>F0-M50-AMS-17</v>
      </c>
      <c r="IP51" t="str">
        <f t="shared" si="138"/>
        <v>F0-+24-M50</v>
      </c>
      <c r="IQ51" t="str">
        <f t="shared" si="139"/>
        <v>F0-M50-XM01</v>
      </c>
      <c r="IR51" t="str">
        <f t="shared" ref="IR51:JY51" si="146">IR50</f>
        <v>A1</v>
      </c>
      <c r="IS51" t="str">
        <f t="shared" si="146"/>
        <v>A2</v>
      </c>
      <c r="IT51">
        <f t="shared" si="146"/>
        <v>11</v>
      </c>
      <c r="IU51">
        <f t="shared" si="146"/>
        <v>14</v>
      </c>
      <c r="IV51" t="str">
        <f t="shared" si="146"/>
        <v>24v6</v>
      </c>
      <c r="IW51" t="str">
        <f t="shared" si="146"/>
        <v>0v6</v>
      </c>
      <c r="IX51">
        <f t="shared" si="146"/>
        <v>1</v>
      </c>
      <c r="IY51">
        <f t="shared" si="146"/>
        <v>2</v>
      </c>
      <c r="IZ51">
        <f t="shared" si="146"/>
        <v>3</v>
      </c>
      <c r="JA51">
        <f t="shared" si="146"/>
        <v>4</v>
      </c>
      <c r="JB51">
        <f t="shared" si="146"/>
        <v>5</v>
      </c>
      <c r="JC51">
        <f t="shared" si="146"/>
        <v>6</v>
      </c>
      <c r="JD51">
        <f t="shared" si="146"/>
        <v>7</v>
      </c>
      <c r="JE51">
        <f t="shared" si="146"/>
        <v>8</v>
      </c>
      <c r="JF51">
        <f t="shared" si="146"/>
        <v>9</v>
      </c>
      <c r="JG51">
        <f t="shared" si="146"/>
        <v>10</v>
      </c>
      <c r="JH51">
        <f t="shared" si="146"/>
        <v>11</v>
      </c>
      <c r="JI51">
        <f t="shared" si="146"/>
        <v>12</v>
      </c>
      <c r="JJ51">
        <f t="shared" si="146"/>
        <v>13</v>
      </c>
      <c r="JK51">
        <f t="shared" si="146"/>
        <v>14</v>
      </c>
      <c r="JL51">
        <f t="shared" si="146"/>
        <v>17</v>
      </c>
      <c r="JM51">
        <f t="shared" si="146"/>
        <v>15</v>
      </c>
      <c r="JN51">
        <f t="shared" si="146"/>
        <v>18</v>
      </c>
      <c r="JO51">
        <f t="shared" si="146"/>
        <v>11</v>
      </c>
      <c r="JP51">
        <f t="shared" si="146"/>
        <v>9</v>
      </c>
      <c r="JQ51">
        <f t="shared" si="146"/>
        <v>6</v>
      </c>
      <c r="JR51">
        <f t="shared" si="146"/>
        <v>20</v>
      </c>
      <c r="JS51">
        <f t="shared" si="146"/>
        <v>7</v>
      </c>
      <c r="JT51">
        <f t="shared" si="146"/>
        <v>10</v>
      </c>
      <c r="JU51">
        <f t="shared" si="146"/>
        <v>22</v>
      </c>
      <c r="JV51">
        <f t="shared" si="146"/>
        <v>23</v>
      </c>
      <c r="JW51">
        <f t="shared" si="146"/>
        <v>26</v>
      </c>
      <c r="JX51">
        <f t="shared" si="146"/>
        <v>27</v>
      </c>
      <c r="JY51" s="16">
        <f t="shared" si="146"/>
        <v>30</v>
      </c>
    </row>
    <row r="52" spans="1:305" ht="30" x14ac:dyDescent="0.25">
      <c r="A52" s="29" t="s">
        <v>2263</v>
      </c>
      <c r="B52" t="s">
        <v>472</v>
      </c>
      <c r="P52" t="s">
        <v>391</v>
      </c>
      <c r="T52" s="14" t="s">
        <v>554</v>
      </c>
      <c r="U52" s="15">
        <f t="shared" si="9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SUM(IF(ISNUMBER(FIND("TmAi",$BE$1:$AAQ$1)),IF(IFERROR(ISODD(SUBSTITUTE($BE52:$AAQ52,"A","")),FALSE),IF(ISODD(SUBSTITUTE($BE52:$AAQ52,"A","")),1,0),0)))</f>
        <v>0</v>
      </c>
      <c r="AA52" t="str">
        <f t="shared" si="91"/>
        <v>3A</v>
      </c>
      <c r="AB52" t="str">
        <f t="shared" si="92"/>
        <v>3B</v>
      </c>
      <c r="AC52" s="15" t="s">
        <v>441</v>
      </c>
      <c r="AD52" s="70">
        <f t="array" ref="AD52">IF(COUNTIFS(AC$2:AC52,AC52)=1,"1",VALUE(SUBSTITUTE(INDEX(AD:AD,_xlfn.XMATCH(AC52,AC$1:AC51,0,-1)),"A",""))+INDEX(AE:AE,_xlfn.XMATCH(AC52,AC$1:AC51,0,-1))+1)</f>
        <v>25</v>
      </c>
      <c r="AE52" s="70">
        <f t="array" ref="AE52">SUM(IF(ISNUMBER(FIND("TmDi",$BE$1:$AAQ$1)),IF(IFERROR(ISNUMBER(VALUE(SUBSTITUTE($BE52:$AAQ52,"B",""))),FALSE),IF(ISNUMBER(VALUE(SUBSTITUTE($BE52:$AAQ52,"B",""))),1,0),0)))</f>
        <v>5</v>
      </c>
      <c r="AF52" t="s">
        <v>240</v>
      </c>
      <c r="AG52" t="s">
        <v>242</v>
      </c>
      <c r="AH52" s="15" t="s">
        <v>388</v>
      </c>
      <c r="AI52" s="65">
        <f t="array" ref="AI52">IF(COUNTIFS(AH$2:AH52,AH52)=1,"1",VALUE(SUBSTITUTE(INDEX(AI:AI,_xlfn.XMATCH(AH52,AH$1:AH51,0,-1)),"A",""))+INDEX(AJ:AJ,_xlfn.XMATCH(AH52,AH$1:AH51,0,-1))+1)</f>
        <v>19</v>
      </c>
      <c r="AJ52" s="65">
        <f t="array" ref="AJ52">SUM(IF(ISNUMBER(FIND("TmDo",$BE$1:$AAQ$1)),IF(IFERROR(ISNUMBER(VALUE(SUBSTITUTE($BE52:$AAQ52,"B",""))),FALSE),IF(ISNUMBER(VALUE(SUBSTITUTE($BE52:$AAQ52,"B",""))),1,0),0)))</f>
        <v>1</v>
      </c>
      <c r="AK52" t="str">
        <f t="shared" si="0"/>
        <v>19A</v>
      </c>
      <c r="AL52" t="str">
        <f t="shared" si="1"/>
        <v>19B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84"/>
        <v>XT51</v>
      </c>
      <c r="GU52" t="str">
        <f t="shared" si="85"/>
        <v>C26</v>
      </c>
      <c r="GV52" t="str">
        <f t="shared" si="96"/>
        <v>B26</v>
      </c>
      <c r="GW52" t="str">
        <f t="shared" si="97"/>
        <v>C27</v>
      </c>
      <c r="GX52" t="str">
        <f t="shared" si="98"/>
        <v>B27</v>
      </c>
      <c r="GY52" t="str">
        <f t="shared" si="99"/>
        <v>C28</v>
      </c>
      <c r="GZ52" t="str">
        <f t="shared" si="100"/>
        <v>B28</v>
      </c>
      <c r="HA52" t="str">
        <f t="shared" si="101"/>
        <v>C29</v>
      </c>
      <c r="HB52" t="str">
        <f t="shared" si="102"/>
        <v>B29</v>
      </c>
      <c r="HC52" t="str">
        <f t="shared" si="103"/>
        <v>C30</v>
      </c>
      <c r="HD52" t="str">
        <f t="shared" si="104"/>
        <v>B30</v>
      </c>
      <c r="HE52" t="str">
        <f t="shared" si="86"/>
        <v>20A</v>
      </c>
      <c r="HF52" t="str">
        <f t="shared" si="87"/>
        <v>20B</v>
      </c>
      <c r="HG52" t="str">
        <f t="shared" si="88"/>
        <v>AI2-3A</v>
      </c>
      <c r="HH52" t="str">
        <f t="shared" si="89"/>
        <v>AI2-3B</v>
      </c>
      <c r="HI52" t="str">
        <f t="shared" si="105"/>
        <v>DI10-C25</v>
      </c>
      <c r="HJ52" t="str">
        <f t="shared" si="106"/>
        <v>DI10-B25</v>
      </c>
      <c r="HK52" t="str">
        <f t="shared" si="107"/>
        <v>DI10-C26</v>
      </c>
      <c r="HL52" t="str">
        <f t="shared" si="108"/>
        <v>DI10-B26</v>
      </c>
      <c r="HM52" t="str">
        <f t="shared" si="109"/>
        <v>DI10-C27</v>
      </c>
      <c r="HN52" t="str">
        <f t="shared" si="110"/>
        <v>DI10-B27</v>
      </c>
      <c r="HO52" t="str">
        <f t="shared" si="111"/>
        <v>DI10-C28</v>
      </c>
      <c r="HP52" t="str">
        <f t="shared" si="112"/>
        <v>DI10-B28</v>
      </c>
      <c r="HQ52" t="str">
        <f t="shared" si="113"/>
        <v>DI10-C29</v>
      </c>
      <c r="HR52" t="str">
        <f t="shared" si="114"/>
        <v>DI10-B29</v>
      </c>
      <c r="HS52" t="str">
        <f t="shared" si="115"/>
        <v>DI10-C30</v>
      </c>
      <c r="HT52" t="str">
        <f t="shared" si="116"/>
        <v>DI10-B30</v>
      </c>
      <c r="HU52" t="str">
        <f t="shared" si="117"/>
        <v>DO6-19A</v>
      </c>
      <c r="HV52" t="str">
        <f t="shared" si="118"/>
        <v>DO6-19B</v>
      </c>
      <c r="HW52" t="str">
        <f t="shared" si="119"/>
        <v>DO6-20A</v>
      </c>
      <c r="HX52" t="str">
        <f t="shared" si="120"/>
        <v>DO6-20B</v>
      </c>
      <c r="HY52" t="str">
        <f t="shared" si="121"/>
        <v>K51-01</v>
      </c>
      <c r="HZ52" t="str">
        <f t="shared" si="122"/>
        <v>K51-02</v>
      </c>
      <c r="IA52" t="str">
        <f t="shared" si="123"/>
        <v>K51-03</v>
      </c>
      <c r="IB52" t="str">
        <f t="shared" si="124"/>
        <v>K51-04</v>
      </c>
      <c r="IC52" t="str">
        <f t="shared" si="125"/>
        <v>K51-05</v>
      </c>
      <c r="ID52" t="str">
        <f t="shared" si="126"/>
        <v>K51-06</v>
      </c>
      <c r="IE52" t="str">
        <f t="shared" si="127"/>
        <v>K51-07</v>
      </c>
      <c r="IF52" t="str">
        <f t="shared" si="128"/>
        <v>K51-08</v>
      </c>
      <c r="IG52" t="str">
        <f t="shared" si="129"/>
        <v>F0-M51-AMS-12</v>
      </c>
      <c r="IH52" t="str">
        <f t="shared" si="130"/>
        <v>F0-M51-AMS-10</v>
      </c>
      <c r="II52" t="str">
        <f t="shared" si="131"/>
        <v>F0-M51-AMS-11</v>
      </c>
      <c r="IJ52" t="str">
        <f t="shared" si="132"/>
        <v>F0-M51-AMS-13</v>
      </c>
      <c r="IK52" t="str">
        <f t="shared" si="133"/>
        <v>F0-M51-AMS-9</v>
      </c>
      <c r="IL52" t="str">
        <f t="shared" si="134"/>
        <v>F0-M51-AMS-7</v>
      </c>
      <c r="IM52" t="str">
        <f t="shared" si="135"/>
        <v>F0-M51-AMS-18</v>
      </c>
      <c r="IN52" t="str">
        <f t="shared" si="136"/>
        <v>F0-M51-AMS-20</v>
      </c>
      <c r="IO52" t="str">
        <f t="shared" si="137"/>
        <v>F0-M51-AMS-17</v>
      </c>
      <c r="IP52" t="str">
        <f t="shared" si="138"/>
        <v>F0-+24-M51</v>
      </c>
      <c r="IQ52" t="str">
        <f t="shared" si="139"/>
        <v>F0-M51-XM01</v>
      </c>
      <c r="IR52" t="str">
        <f t="shared" ref="IR52:JY52" si="147">IR51</f>
        <v>A1</v>
      </c>
      <c r="IS52" t="str">
        <f t="shared" si="147"/>
        <v>A2</v>
      </c>
      <c r="IT52">
        <f t="shared" si="147"/>
        <v>11</v>
      </c>
      <c r="IU52">
        <f t="shared" si="147"/>
        <v>14</v>
      </c>
      <c r="IV52" t="str">
        <f t="shared" si="147"/>
        <v>24v6</v>
      </c>
      <c r="IW52" t="str">
        <f t="shared" si="147"/>
        <v>0v6</v>
      </c>
      <c r="IX52">
        <f t="shared" si="147"/>
        <v>1</v>
      </c>
      <c r="IY52">
        <f t="shared" si="147"/>
        <v>2</v>
      </c>
      <c r="IZ52">
        <f t="shared" si="147"/>
        <v>3</v>
      </c>
      <c r="JA52">
        <f t="shared" si="147"/>
        <v>4</v>
      </c>
      <c r="JB52">
        <f t="shared" si="147"/>
        <v>5</v>
      </c>
      <c r="JC52">
        <f t="shared" si="147"/>
        <v>6</v>
      </c>
      <c r="JD52">
        <f t="shared" si="147"/>
        <v>7</v>
      </c>
      <c r="JE52">
        <f t="shared" si="147"/>
        <v>8</v>
      </c>
      <c r="JF52">
        <f t="shared" si="147"/>
        <v>9</v>
      </c>
      <c r="JG52">
        <f t="shared" si="147"/>
        <v>10</v>
      </c>
      <c r="JH52">
        <f t="shared" si="147"/>
        <v>11</v>
      </c>
      <c r="JI52">
        <f t="shared" si="147"/>
        <v>12</v>
      </c>
      <c r="JJ52">
        <f t="shared" si="147"/>
        <v>13</v>
      </c>
      <c r="JK52">
        <f t="shared" si="147"/>
        <v>14</v>
      </c>
      <c r="JL52">
        <f t="shared" si="147"/>
        <v>17</v>
      </c>
      <c r="JM52">
        <f t="shared" si="147"/>
        <v>15</v>
      </c>
      <c r="JN52">
        <f t="shared" si="147"/>
        <v>18</v>
      </c>
      <c r="JO52">
        <f t="shared" si="147"/>
        <v>11</v>
      </c>
      <c r="JP52">
        <f t="shared" si="147"/>
        <v>9</v>
      </c>
      <c r="JQ52">
        <f t="shared" si="147"/>
        <v>6</v>
      </c>
      <c r="JR52">
        <f t="shared" si="147"/>
        <v>20</v>
      </c>
      <c r="JS52">
        <f t="shared" si="147"/>
        <v>7</v>
      </c>
      <c r="JT52">
        <f t="shared" si="147"/>
        <v>10</v>
      </c>
      <c r="JU52">
        <f t="shared" si="147"/>
        <v>22</v>
      </c>
      <c r="JV52">
        <f t="shared" si="147"/>
        <v>23</v>
      </c>
      <c r="JW52">
        <f t="shared" si="147"/>
        <v>26</v>
      </c>
      <c r="JX52">
        <f t="shared" si="147"/>
        <v>27</v>
      </c>
      <c r="JY52" s="16">
        <f t="shared" si="147"/>
        <v>30</v>
      </c>
    </row>
    <row r="53" spans="1:305" ht="30" x14ac:dyDescent="0.25">
      <c r="A53" s="29" t="s">
        <v>2264</v>
      </c>
      <c r="B53" t="s">
        <v>476</v>
      </c>
      <c r="P53" t="s">
        <v>391</v>
      </c>
      <c r="T53" s="14" t="s">
        <v>554</v>
      </c>
      <c r="U53" s="15">
        <f t="shared" si="9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SUM(IF(ISNUMBER(FIND("TmAi",$BE$1:$AAQ$1)),IF(IFERROR(ISODD(SUBSTITUTE($BE53:$AAQ53,"A","")),FALSE),IF(ISODD(SUBSTITUTE($BE53:$AAQ53,"A","")),1,0),0)))</f>
        <v>0</v>
      </c>
      <c r="AA53" t="str">
        <f t="shared" si="91"/>
        <v>5A</v>
      </c>
      <c r="AB53" t="str">
        <f t="shared" si="92"/>
        <v>5B</v>
      </c>
      <c r="AC53" s="15" t="s">
        <v>442</v>
      </c>
      <c r="AD53" s="70" t="str">
        <f t="array" ref="AD53">IF(COUNTIFS(AC$2:AC53,AC53)=1,"1",VALUE(SUBSTITUTE(INDEX(AD:AD,_xlfn.XMATCH(AC53,AC$1:AC52,0,-1)),"A",""))+INDEX(AE:AE,_xlfn.XMATCH(AC53,AC$1:AC52,0,-1))+1)</f>
        <v>1</v>
      </c>
      <c r="AE53" s="70">
        <f t="array" ref="AE53">SUM(IF(ISNUMBER(FIND("TmDi",$BE$1:$AAQ$1)),IF(IFERROR(ISNUMBER(VALUE(SUBSTITUTE($BE53:$AAQ53,"B",""))),FALSE),IF(ISNUMBER(VALUE(SUBSTITUTE($BE53:$AAQ53,"B",""))),1,0),0)))</f>
        <v>5</v>
      </c>
      <c r="AF53" t="s">
        <v>133</v>
      </c>
      <c r="AG53" t="s">
        <v>134</v>
      </c>
      <c r="AH53" s="15" t="s">
        <v>388</v>
      </c>
      <c r="AI53" s="65">
        <f t="array" ref="AI53">IF(COUNTIFS(AH$2:AH53,AH53)=1,"1",VALUE(SUBSTITUTE(INDEX(AI:AI,_xlfn.XMATCH(AH53,AH$1:AH52,0,-1)),"A",""))+INDEX(AJ:AJ,_xlfn.XMATCH(AH53,AH$1:AH52,0,-1))+1)</f>
        <v>21</v>
      </c>
      <c r="AJ53" s="65">
        <f t="array" ref="AJ53">SUM(IF(ISNUMBER(FIND("TmDo",$BE$1:$AAQ$1)),IF(IFERROR(ISNUMBER(VALUE(SUBSTITUTE($BE53:$AAQ53,"B",""))),FALSE),IF(ISNUMBER(VALUE(SUBSTITUTE($BE53:$AAQ53,"B",""))),1,0),0)))</f>
        <v>1</v>
      </c>
      <c r="AK53" s="15" t="str">
        <f t="shared" si="0"/>
        <v>21A</v>
      </c>
      <c r="AL53" s="15" t="str">
        <f t="shared" si="1"/>
        <v>21B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84"/>
        <v>XT52</v>
      </c>
      <c r="GU53" t="str">
        <f t="shared" si="85"/>
        <v>C2</v>
      </c>
      <c r="GV53" t="str">
        <f t="shared" si="96"/>
        <v>B2</v>
      </c>
      <c r="GW53" t="str">
        <f t="shared" si="97"/>
        <v>C3</v>
      </c>
      <c r="GX53" t="str">
        <f t="shared" si="98"/>
        <v>B3</v>
      </c>
      <c r="GY53" t="str">
        <f t="shared" si="99"/>
        <v>C4</v>
      </c>
      <c r="GZ53" t="str">
        <f t="shared" si="100"/>
        <v>B4</v>
      </c>
      <c r="HA53" t="str">
        <f t="shared" si="101"/>
        <v>C5</v>
      </c>
      <c r="HB53" t="str">
        <f t="shared" si="102"/>
        <v>B5</v>
      </c>
      <c r="HC53" t="str">
        <f t="shared" si="103"/>
        <v>C6</v>
      </c>
      <c r="HD53" t="str">
        <f t="shared" si="104"/>
        <v>B6</v>
      </c>
      <c r="HE53" t="str">
        <f t="shared" si="86"/>
        <v>22A</v>
      </c>
      <c r="HF53" t="str">
        <f t="shared" si="87"/>
        <v>22B</v>
      </c>
      <c r="HG53" t="str">
        <f t="shared" si="88"/>
        <v>AI2-5A</v>
      </c>
      <c r="HH53" t="str">
        <f t="shared" si="89"/>
        <v>AI2-5B</v>
      </c>
      <c r="HI53" t="str">
        <f t="shared" si="105"/>
        <v>DI11-C1</v>
      </c>
      <c r="HJ53" t="str">
        <f t="shared" si="106"/>
        <v>DI11-B1</v>
      </c>
      <c r="HK53" t="str">
        <f t="shared" si="107"/>
        <v>DI11-C2</v>
      </c>
      <c r="HL53" t="str">
        <f t="shared" si="108"/>
        <v>DI11-B2</v>
      </c>
      <c r="HM53" t="str">
        <f t="shared" si="109"/>
        <v>DI11-C3</v>
      </c>
      <c r="HN53" t="str">
        <f t="shared" si="110"/>
        <v>DI11-B3</v>
      </c>
      <c r="HO53" t="str">
        <f t="shared" si="111"/>
        <v>DI11-C4</v>
      </c>
      <c r="HP53" t="str">
        <f t="shared" si="112"/>
        <v>DI11-B4</v>
      </c>
      <c r="HQ53" t="str">
        <f t="shared" si="113"/>
        <v>DI11-C5</v>
      </c>
      <c r="HR53" t="str">
        <f t="shared" si="114"/>
        <v>DI11-B5</v>
      </c>
      <c r="HS53" t="str">
        <f t="shared" si="115"/>
        <v>DI11-C6</v>
      </c>
      <c r="HT53" t="str">
        <f t="shared" si="116"/>
        <v>DI11-B6</v>
      </c>
      <c r="HU53" t="str">
        <f t="shared" si="117"/>
        <v>DO6-21A</v>
      </c>
      <c r="HV53" t="str">
        <f t="shared" si="118"/>
        <v>DO6-21B</v>
      </c>
      <c r="HW53" t="str">
        <f t="shared" si="119"/>
        <v>DO6-22A</v>
      </c>
      <c r="HX53" t="str">
        <f t="shared" si="120"/>
        <v>DO6-22B</v>
      </c>
      <c r="HY53" t="str">
        <f t="shared" si="121"/>
        <v>K52-01</v>
      </c>
      <c r="HZ53" t="str">
        <f t="shared" si="122"/>
        <v>K52-02</v>
      </c>
      <c r="IA53" t="str">
        <f t="shared" si="123"/>
        <v>K52-03</v>
      </c>
      <c r="IB53" t="str">
        <f t="shared" si="124"/>
        <v>K52-04</v>
      </c>
      <c r="IC53" t="str">
        <f t="shared" si="125"/>
        <v>K52-05</v>
      </c>
      <c r="ID53" t="str">
        <f t="shared" si="126"/>
        <v>K52-06</v>
      </c>
      <c r="IE53" t="str">
        <f t="shared" si="127"/>
        <v>K52-07</v>
      </c>
      <c r="IF53" t="str">
        <f t="shared" si="128"/>
        <v>K52-08</v>
      </c>
      <c r="IG53" t="str">
        <f t="shared" si="129"/>
        <v>F0-M52-AMS-12</v>
      </c>
      <c r="IH53" t="str">
        <f t="shared" si="130"/>
        <v>F0-M52-AMS-10</v>
      </c>
      <c r="II53" t="str">
        <f t="shared" si="131"/>
        <v>F0-M52-AMS-11</v>
      </c>
      <c r="IJ53" t="str">
        <f t="shared" si="132"/>
        <v>F0-M52-AMS-13</v>
      </c>
      <c r="IK53" t="str">
        <f t="shared" si="133"/>
        <v>F0-M52-AMS-9</v>
      </c>
      <c r="IL53" t="str">
        <f t="shared" si="134"/>
        <v>F0-M52-AMS-7</v>
      </c>
      <c r="IM53" t="str">
        <f t="shared" si="135"/>
        <v>F0-M52-AMS-18</v>
      </c>
      <c r="IN53" t="str">
        <f t="shared" si="136"/>
        <v>F0-M52-AMS-20</v>
      </c>
      <c r="IO53" t="str">
        <f t="shared" si="137"/>
        <v>F0-M52-AMS-17</v>
      </c>
      <c r="IP53" t="str">
        <f t="shared" si="138"/>
        <v>F0-+24-M52</v>
      </c>
      <c r="IQ53" t="str">
        <f t="shared" si="139"/>
        <v>F0-M52-XM01</v>
      </c>
      <c r="IR53" t="str">
        <f t="shared" ref="IR53:JY53" si="148">IR52</f>
        <v>A1</v>
      </c>
      <c r="IS53" t="str">
        <f t="shared" si="148"/>
        <v>A2</v>
      </c>
      <c r="IT53">
        <f t="shared" si="148"/>
        <v>11</v>
      </c>
      <c r="IU53">
        <f t="shared" si="148"/>
        <v>14</v>
      </c>
      <c r="IV53" t="str">
        <f t="shared" si="148"/>
        <v>24v6</v>
      </c>
      <c r="IW53" t="str">
        <f t="shared" si="148"/>
        <v>0v6</v>
      </c>
      <c r="IX53">
        <f t="shared" si="148"/>
        <v>1</v>
      </c>
      <c r="IY53">
        <f t="shared" si="148"/>
        <v>2</v>
      </c>
      <c r="IZ53">
        <f t="shared" si="148"/>
        <v>3</v>
      </c>
      <c r="JA53">
        <f t="shared" si="148"/>
        <v>4</v>
      </c>
      <c r="JB53">
        <f t="shared" si="148"/>
        <v>5</v>
      </c>
      <c r="JC53">
        <f t="shared" si="148"/>
        <v>6</v>
      </c>
      <c r="JD53">
        <f t="shared" si="148"/>
        <v>7</v>
      </c>
      <c r="JE53">
        <f t="shared" si="148"/>
        <v>8</v>
      </c>
      <c r="JF53">
        <f t="shared" si="148"/>
        <v>9</v>
      </c>
      <c r="JG53">
        <f t="shared" si="148"/>
        <v>10</v>
      </c>
      <c r="JH53">
        <f t="shared" si="148"/>
        <v>11</v>
      </c>
      <c r="JI53">
        <f t="shared" si="148"/>
        <v>12</v>
      </c>
      <c r="JJ53">
        <f t="shared" si="148"/>
        <v>13</v>
      </c>
      <c r="JK53">
        <f t="shared" si="148"/>
        <v>14</v>
      </c>
      <c r="JL53">
        <f t="shared" si="148"/>
        <v>17</v>
      </c>
      <c r="JM53">
        <f t="shared" si="148"/>
        <v>15</v>
      </c>
      <c r="JN53">
        <f t="shared" si="148"/>
        <v>18</v>
      </c>
      <c r="JO53">
        <f t="shared" si="148"/>
        <v>11</v>
      </c>
      <c r="JP53">
        <f t="shared" si="148"/>
        <v>9</v>
      </c>
      <c r="JQ53">
        <f t="shared" si="148"/>
        <v>6</v>
      </c>
      <c r="JR53">
        <f t="shared" si="148"/>
        <v>20</v>
      </c>
      <c r="JS53">
        <f t="shared" si="148"/>
        <v>7</v>
      </c>
      <c r="JT53">
        <f t="shared" si="148"/>
        <v>10</v>
      </c>
      <c r="JU53">
        <f t="shared" si="148"/>
        <v>22</v>
      </c>
      <c r="JV53">
        <f t="shared" si="148"/>
        <v>23</v>
      </c>
      <c r="JW53">
        <f t="shared" si="148"/>
        <v>26</v>
      </c>
      <c r="JX53">
        <f t="shared" si="148"/>
        <v>27</v>
      </c>
      <c r="JY53" s="16">
        <f t="shared" si="148"/>
        <v>30</v>
      </c>
    </row>
    <row r="54" spans="1:305" ht="30" x14ac:dyDescent="0.25">
      <c r="A54" s="29" t="s">
        <v>2265</v>
      </c>
      <c r="B54" t="s">
        <v>478</v>
      </c>
      <c r="P54" t="s">
        <v>391</v>
      </c>
      <c r="T54" s="14" t="s">
        <v>554</v>
      </c>
      <c r="U54" s="15">
        <f t="shared" si="9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SUM(IF(ISNUMBER(FIND("TmAi",$BE$1:$AAQ$1)),IF(IFERROR(ISODD(SUBSTITUTE($BE54:$AAQ54,"A","")),FALSE),IF(ISODD(SUBSTITUTE($BE54:$AAQ54,"A","")),1,0),0)))</f>
        <v>0</v>
      </c>
      <c r="AA54" t="str">
        <f t="shared" si="91"/>
        <v>7A</v>
      </c>
      <c r="AB54" t="str">
        <f t="shared" si="92"/>
        <v>7B</v>
      </c>
      <c r="AC54" s="15" t="s">
        <v>442</v>
      </c>
      <c r="AD54" s="70">
        <f t="array" ref="AD54">IF(COUNTIFS(AC$2:AC54,AC54)=1,"1",VALUE(SUBSTITUTE(INDEX(AD:AD,_xlfn.XMATCH(AC54,AC$1:AC53,0,-1)),"A",""))+INDEX(AE:AE,_xlfn.XMATCH(AC54,AC$1:AC53,0,-1))+1)</f>
        <v>7</v>
      </c>
      <c r="AE54" s="70">
        <f t="array" ref="AE54">SUM(IF(ISNUMBER(FIND("TmDi",$BE$1:$AAQ$1)),IF(IFERROR(ISNUMBER(VALUE(SUBSTITUTE($BE54:$AAQ54,"B",""))),FALSE),IF(ISNUMBER(VALUE(SUBSTITUTE($BE54:$AAQ54,"B",""))),1,0),0)))</f>
        <v>5</v>
      </c>
      <c r="AF54" t="s">
        <v>148</v>
      </c>
      <c r="AG54" t="s">
        <v>149</v>
      </c>
      <c r="AH54" s="15" t="s">
        <v>388</v>
      </c>
      <c r="AI54" s="65">
        <f t="array" ref="AI54">IF(COUNTIFS(AH$2:AH54,AH54)=1,"1",VALUE(SUBSTITUTE(INDEX(AI:AI,_xlfn.XMATCH(AH54,AH$1:AH53,0,-1)),"A",""))+INDEX(AJ:AJ,_xlfn.XMATCH(AH54,AH$1:AH53,0,-1))+1)</f>
        <v>23</v>
      </c>
      <c r="AJ54" s="65">
        <f t="array" ref="AJ54">SUM(IF(ISNUMBER(FIND("TmDo",$BE$1:$AAQ$1)),IF(IFERROR(ISNUMBER(VALUE(SUBSTITUTE($BE54:$AAQ54,"B",""))),FALSE),IF(ISNUMBER(VALUE(SUBSTITUTE($BE54:$AAQ54,"B",""))),1,0),0)))</f>
        <v>1</v>
      </c>
      <c r="AK54" t="str">
        <f t="shared" si="0"/>
        <v>23A</v>
      </c>
      <c r="AL54" t="str">
        <f t="shared" si="1"/>
        <v>23B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84"/>
        <v>XT53</v>
      </c>
      <c r="GU54" t="str">
        <f t="shared" si="85"/>
        <v>C8</v>
      </c>
      <c r="GV54" t="str">
        <f t="shared" si="96"/>
        <v>B8</v>
      </c>
      <c r="GW54" t="str">
        <f t="shared" si="97"/>
        <v>C9</v>
      </c>
      <c r="GX54" t="str">
        <f t="shared" si="98"/>
        <v>B9</v>
      </c>
      <c r="GY54" t="str">
        <f t="shared" si="99"/>
        <v>C10</v>
      </c>
      <c r="GZ54" t="str">
        <f t="shared" si="100"/>
        <v>B10</v>
      </c>
      <c r="HA54" t="str">
        <f t="shared" si="101"/>
        <v>C11</v>
      </c>
      <c r="HB54" t="str">
        <f t="shared" si="102"/>
        <v>B11</v>
      </c>
      <c r="HC54" t="str">
        <f t="shared" si="103"/>
        <v>C12</v>
      </c>
      <c r="HD54" t="str">
        <f t="shared" si="104"/>
        <v>B12</v>
      </c>
      <c r="HE54" t="str">
        <f t="shared" si="86"/>
        <v>24A</v>
      </c>
      <c r="HF54" t="str">
        <f t="shared" si="87"/>
        <v>24B</v>
      </c>
      <c r="HG54" t="str">
        <f t="shared" si="88"/>
        <v>AI2-7A</v>
      </c>
      <c r="HH54" t="str">
        <f t="shared" si="89"/>
        <v>AI2-7B</v>
      </c>
      <c r="HI54" t="str">
        <f t="shared" si="105"/>
        <v>DI11-C7</v>
      </c>
      <c r="HJ54" t="str">
        <f t="shared" si="106"/>
        <v>DI11-B7</v>
      </c>
      <c r="HK54" t="str">
        <f t="shared" si="107"/>
        <v>DI11-C8</v>
      </c>
      <c r="HL54" t="str">
        <f t="shared" si="108"/>
        <v>DI11-B8</v>
      </c>
      <c r="HM54" t="str">
        <f t="shared" si="109"/>
        <v>DI11-C9</v>
      </c>
      <c r="HN54" t="str">
        <f t="shared" si="110"/>
        <v>DI11-B9</v>
      </c>
      <c r="HO54" t="str">
        <f t="shared" si="111"/>
        <v>DI11-C10</v>
      </c>
      <c r="HP54" t="str">
        <f t="shared" si="112"/>
        <v>DI11-B10</v>
      </c>
      <c r="HQ54" t="str">
        <f t="shared" si="113"/>
        <v>DI11-C11</v>
      </c>
      <c r="HR54" t="str">
        <f t="shared" si="114"/>
        <v>DI11-B11</v>
      </c>
      <c r="HS54" t="str">
        <f t="shared" si="115"/>
        <v>DI11-C12</v>
      </c>
      <c r="HT54" t="str">
        <f t="shared" si="116"/>
        <v>DI11-B12</v>
      </c>
      <c r="HU54" t="str">
        <f t="shared" si="117"/>
        <v>DO6-23A</v>
      </c>
      <c r="HV54" t="str">
        <f t="shared" si="118"/>
        <v>DO6-23B</v>
      </c>
      <c r="HW54" t="str">
        <f t="shared" si="119"/>
        <v>DO6-24A</v>
      </c>
      <c r="HX54" t="str">
        <f t="shared" si="120"/>
        <v>DO6-24B</v>
      </c>
      <c r="HY54" t="str">
        <f t="shared" si="121"/>
        <v>K53-01</v>
      </c>
      <c r="HZ54" t="str">
        <f t="shared" si="122"/>
        <v>K53-02</v>
      </c>
      <c r="IA54" t="str">
        <f t="shared" si="123"/>
        <v>K53-03</v>
      </c>
      <c r="IB54" t="str">
        <f t="shared" si="124"/>
        <v>K53-04</v>
      </c>
      <c r="IC54" t="str">
        <f t="shared" si="125"/>
        <v>K53-05</v>
      </c>
      <c r="ID54" t="str">
        <f t="shared" si="126"/>
        <v>K53-06</v>
      </c>
      <c r="IE54" t="str">
        <f t="shared" si="127"/>
        <v>K53-07</v>
      </c>
      <c r="IF54" t="str">
        <f t="shared" si="128"/>
        <v>K53-08</v>
      </c>
      <c r="IG54" t="str">
        <f t="shared" si="129"/>
        <v>F0-M53-AMS-12</v>
      </c>
      <c r="IH54" t="str">
        <f t="shared" si="130"/>
        <v>F0-M53-AMS-10</v>
      </c>
      <c r="II54" t="str">
        <f t="shared" si="131"/>
        <v>F0-M53-AMS-11</v>
      </c>
      <c r="IJ54" t="str">
        <f t="shared" si="132"/>
        <v>F0-M53-AMS-13</v>
      </c>
      <c r="IK54" t="str">
        <f t="shared" si="133"/>
        <v>F0-M53-AMS-9</v>
      </c>
      <c r="IL54" t="str">
        <f t="shared" si="134"/>
        <v>F0-M53-AMS-7</v>
      </c>
      <c r="IM54" t="str">
        <f t="shared" si="135"/>
        <v>F0-M53-AMS-18</v>
      </c>
      <c r="IN54" t="str">
        <f t="shared" si="136"/>
        <v>F0-M53-AMS-20</v>
      </c>
      <c r="IO54" t="str">
        <f t="shared" si="137"/>
        <v>F0-M53-AMS-17</v>
      </c>
      <c r="IP54" t="str">
        <f t="shared" si="138"/>
        <v>F0-+24-M53</v>
      </c>
      <c r="IQ54" t="str">
        <f t="shared" si="139"/>
        <v>F0-M53-XM01</v>
      </c>
      <c r="IR54" t="str">
        <f t="shared" ref="IR54:JY54" si="149">IR53</f>
        <v>A1</v>
      </c>
      <c r="IS54" t="str">
        <f t="shared" si="149"/>
        <v>A2</v>
      </c>
      <c r="IT54">
        <f t="shared" si="149"/>
        <v>11</v>
      </c>
      <c r="IU54">
        <f t="shared" si="149"/>
        <v>14</v>
      </c>
      <c r="IV54" t="str">
        <f t="shared" si="149"/>
        <v>24v6</v>
      </c>
      <c r="IW54" t="str">
        <f t="shared" si="149"/>
        <v>0v6</v>
      </c>
      <c r="IX54">
        <f t="shared" si="149"/>
        <v>1</v>
      </c>
      <c r="IY54">
        <f t="shared" si="149"/>
        <v>2</v>
      </c>
      <c r="IZ54">
        <f t="shared" si="149"/>
        <v>3</v>
      </c>
      <c r="JA54">
        <f t="shared" si="149"/>
        <v>4</v>
      </c>
      <c r="JB54">
        <f t="shared" si="149"/>
        <v>5</v>
      </c>
      <c r="JC54">
        <f t="shared" si="149"/>
        <v>6</v>
      </c>
      <c r="JD54">
        <f t="shared" si="149"/>
        <v>7</v>
      </c>
      <c r="JE54">
        <f t="shared" si="149"/>
        <v>8</v>
      </c>
      <c r="JF54">
        <f t="shared" si="149"/>
        <v>9</v>
      </c>
      <c r="JG54">
        <f t="shared" si="149"/>
        <v>10</v>
      </c>
      <c r="JH54">
        <f t="shared" si="149"/>
        <v>11</v>
      </c>
      <c r="JI54">
        <f t="shared" si="149"/>
        <v>12</v>
      </c>
      <c r="JJ54">
        <f t="shared" si="149"/>
        <v>13</v>
      </c>
      <c r="JK54">
        <f t="shared" si="149"/>
        <v>14</v>
      </c>
      <c r="JL54">
        <f t="shared" si="149"/>
        <v>17</v>
      </c>
      <c r="JM54">
        <f t="shared" si="149"/>
        <v>15</v>
      </c>
      <c r="JN54">
        <f t="shared" si="149"/>
        <v>18</v>
      </c>
      <c r="JO54">
        <f t="shared" si="149"/>
        <v>11</v>
      </c>
      <c r="JP54">
        <f t="shared" si="149"/>
        <v>9</v>
      </c>
      <c r="JQ54">
        <f t="shared" si="149"/>
        <v>6</v>
      </c>
      <c r="JR54">
        <f t="shared" si="149"/>
        <v>20</v>
      </c>
      <c r="JS54">
        <f t="shared" si="149"/>
        <v>7</v>
      </c>
      <c r="JT54">
        <f t="shared" si="149"/>
        <v>10</v>
      </c>
      <c r="JU54">
        <f t="shared" si="149"/>
        <v>22</v>
      </c>
      <c r="JV54">
        <f t="shared" si="149"/>
        <v>23</v>
      </c>
      <c r="JW54">
        <f t="shared" si="149"/>
        <v>26</v>
      </c>
      <c r="JX54">
        <f t="shared" si="149"/>
        <v>27</v>
      </c>
      <c r="JY54" s="16">
        <f t="shared" si="149"/>
        <v>30</v>
      </c>
    </row>
    <row r="55" spans="1:305" ht="30.75" thickBot="1" x14ac:dyDescent="0.3">
      <c r="A55" s="29" t="s">
        <v>2266</v>
      </c>
      <c r="B55" t="s">
        <v>480</v>
      </c>
      <c r="P55" t="s">
        <v>391</v>
      </c>
      <c r="T55" s="17" t="s">
        <v>554</v>
      </c>
      <c r="U55" s="18">
        <f t="shared" si="9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SUM(IF(ISNUMBER(FIND("TmAi",$BE$1:$AAQ$1)),IF(IFERROR(ISODD(SUBSTITUTE($BE55:$AAQ55,"A","")),FALSE),IF(ISODD(SUBSTITUTE($BE55:$AAQ55,"A","")),1,0),0)))</f>
        <v>0</v>
      </c>
      <c r="AA55" s="19" t="str">
        <f t="shared" si="91"/>
        <v>9A</v>
      </c>
      <c r="AB55" s="19" t="str">
        <f t="shared" si="92"/>
        <v>9B</v>
      </c>
      <c r="AC55" s="18" t="s">
        <v>442</v>
      </c>
      <c r="AD55" s="71">
        <f t="array" ref="AD55">IF(COUNTIFS(AC$2:AC55,AC55)=1,"1",VALUE(SUBSTITUTE(INDEX(AD:AD,_xlfn.XMATCH(AC55,AC$1:AC54,0,-1)),"A",""))+INDEX(AE:AE,_xlfn.XMATCH(AC55,AC$1:AC54,0,-1))+1)</f>
        <v>13</v>
      </c>
      <c r="AE55" s="71">
        <f t="array" ref="AE55">SUM(IF(ISNUMBER(FIND("TmDi",$BE$1:$AAQ$1)),IF(IFERROR(ISNUMBER(VALUE(SUBSTITUTE($BE55:$AAQ55,"B",""))),FALSE),IF(ISNUMBER(VALUE(SUBSTITUTE($BE55:$AAQ55,"B",""))),1,0),0)))</f>
        <v>5</v>
      </c>
      <c r="AF55" s="19" t="s">
        <v>153</v>
      </c>
      <c r="AG55" s="19" t="s">
        <v>154</v>
      </c>
      <c r="AH55" s="18" t="s">
        <v>388</v>
      </c>
      <c r="AI55" s="66">
        <f t="array" ref="AI55">IF(COUNTIFS(AH$2:AH55,AH55)=1,"1",VALUE(SUBSTITUTE(INDEX(AI:AI,_xlfn.XMATCH(AH55,AH$1:AH54,0,-1)),"A",""))+INDEX(AJ:AJ,_xlfn.XMATCH(AH55,AH$1:AH54,0,-1))+1)</f>
        <v>25</v>
      </c>
      <c r="AJ55" s="66">
        <f t="array" ref="AJ55">SUM(IF(ISNUMBER(FIND("TmDo",$BE$1:$AAQ$1)),IF(IFERROR(ISNUMBER(VALUE(SUBSTITUTE($BE55:$AAQ55,"B",""))),FALSE),IF(ISNUMBER(VALUE(SUBSTITUTE($BE55:$AAQ55,"B",""))),1,0),0)))</f>
        <v>1</v>
      </c>
      <c r="AK55" s="18" t="str">
        <f t="shared" si="0"/>
        <v>25A</v>
      </c>
      <c r="AL55" s="18" t="str">
        <f t="shared" si="1"/>
        <v>25B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84"/>
        <v>XT54</v>
      </c>
      <c r="GU55" s="19" t="str">
        <f t="shared" si="85"/>
        <v>C14</v>
      </c>
      <c r="GV55" s="19" t="str">
        <f t="shared" si="96"/>
        <v>B14</v>
      </c>
      <c r="GW55" s="19" t="str">
        <f t="shared" si="97"/>
        <v>C15</v>
      </c>
      <c r="GX55" s="19" t="str">
        <f t="shared" si="98"/>
        <v>B15</v>
      </c>
      <c r="GY55" s="19" t="str">
        <f t="shared" si="99"/>
        <v>C16</v>
      </c>
      <c r="GZ55" s="19" t="str">
        <f t="shared" si="100"/>
        <v>B16</v>
      </c>
      <c r="HA55" s="19" t="str">
        <f t="shared" si="101"/>
        <v>C17</v>
      </c>
      <c r="HB55" s="19" t="str">
        <f t="shared" si="102"/>
        <v>B17</v>
      </c>
      <c r="HC55" s="19" t="str">
        <f t="shared" si="103"/>
        <v>C18</v>
      </c>
      <c r="HD55" s="19" t="str">
        <f t="shared" si="104"/>
        <v>B18</v>
      </c>
      <c r="HE55" s="19" t="str">
        <f t="shared" si="86"/>
        <v>26A</v>
      </c>
      <c r="HF55" s="19" t="str">
        <f t="shared" si="87"/>
        <v>26B</v>
      </c>
      <c r="HG55" s="19" t="str">
        <f t="shared" si="88"/>
        <v>AI2-9A</v>
      </c>
      <c r="HH55" s="19" t="str">
        <f t="shared" si="89"/>
        <v>AI2-9B</v>
      </c>
      <c r="HI55" s="19" t="str">
        <f t="shared" si="105"/>
        <v>DI11-C13</v>
      </c>
      <c r="HJ55" s="19" t="str">
        <f t="shared" si="106"/>
        <v>DI11-B13</v>
      </c>
      <c r="HK55" s="19" t="str">
        <f t="shared" si="107"/>
        <v>DI11-C14</v>
      </c>
      <c r="HL55" s="19" t="str">
        <f t="shared" si="108"/>
        <v>DI11-B14</v>
      </c>
      <c r="HM55" s="19" t="str">
        <f t="shared" si="109"/>
        <v>DI11-C15</v>
      </c>
      <c r="HN55" s="19" t="str">
        <f t="shared" si="110"/>
        <v>DI11-B15</v>
      </c>
      <c r="HO55" s="19" t="str">
        <f t="shared" si="111"/>
        <v>DI11-C16</v>
      </c>
      <c r="HP55" s="19" t="str">
        <f t="shared" si="112"/>
        <v>DI11-B16</v>
      </c>
      <c r="HQ55" s="19" t="str">
        <f t="shared" si="113"/>
        <v>DI11-C17</v>
      </c>
      <c r="HR55" s="19" t="str">
        <f t="shared" si="114"/>
        <v>DI11-B17</v>
      </c>
      <c r="HS55" s="19" t="str">
        <f t="shared" si="115"/>
        <v>DI11-C18</v>
      </c>
      <c r="HT55" s="19" t="str">
        <f t="shared" si="116"/>
        <v>DI11-B18</v>
      </c>
      <c r="HU55" s="19" t="str">
        <f t="shared" si="117"/>
        <v>DO6-25A</v>
      </c>
      <c r="HV55" s="19" t="str">
        <f t="shared" si="118"/>
        <v>DO6-25B</v>
      </c>
      <c r="HW55" s="19" t="str">
        <f t="shared" si="119"/>
        <v>DO6-26A</v>
      </c>
      <c r="HX55" s="19" t="str">
        <f t="shared" si="120"/>
        <v>DO6-26B</v>
      </c>
      <c r="HY55" s="19" t="str">
        <f t="shared" si="121"/>
        <v>K54-01</v>
      </c>
      <c r="HZ55" s="19" t="str">
        <f t="shared" si="122"/>
        <v>K54-02</v>
      </c>
      <c r="IA55" s="19" t="str">
        <f t="shared" si="123"/>
        <v>K54-03</v>
      </c>
      <c r="IB55" s="19" t="str">
        <f t="shared" si="124"/>
        <v>K54-04</v>
      </c>
      <c r="IC55" s="19" t="str">
        <f t="shared" si="125"/>
        <v>K54-05</v>
      </c>
      <c r="ID55" s="19" t="str">
        <f t="shared" si="126"/>
        <v>K54-06</v>
      </c>
      <c r="IE55" s="19" t="str">
        <f t="shared" si="127"/>
        <v>K54-07</v>
      </c>
      <c r="IF55" s="19" t="str">
        <f t="shared" si="128"/>
        <v>K54-08</v>
      </c>
      <c r="IG55" s="19" t="str">
        <f t="shared" si="129"/>
        <v>F0-M54-AMS-12</v>
      </c>
      <c r="IH55" s="19" t="str">
        <f t="shared" si="130"/>
        <v>F0-M54-AMS-10</v>
      </c>
      <c r="II55" s="19" t="str">
        <f t="shared" si="131"/>
        <v>F0-M54-AMS-11</v>
      </c>
      <c r="IJ55" s="19" t="str">
        <f t="shared" si="132"/>
        <v>F0-M54-AMS-13</v>
      </c>
      <c r="IK55" s="19" t="str">
        <f t="shared" si="133"/>
        <v>F0-M54-AMS-9</v>
      </c>
      <c r="IL55" s="19" t="str">
        <f t="shared" si="134"/>
        <v>F0-M54-AMS-7</v>
      </c>
      <c r="IM55" s="19" t="str">
        <f t="shared" si="135"/>
        <v>F0-M54-AMS-18</v>
      </c>
      <c r="IN55" s="19" t="str">
        <f t="shared" si="136"/>
        <v>F0-M54-AMS-20</v>
      </c>
      <c r="IO55" s="19" t="str">
        <f t="shared" si="137"/>
        <v>F0-M54-AMS-17</v>
      </c>
      <c r="IP55" s="19" t="str">
        <f t="shared" si="138"/>
        <v>F0-+24-M54</v>
      </c>
      <c r="IQ55" s="19" t="str">
        <f t="shared" si="139"/>
        <v>F0-M54-XM01</v>
      </c>
      <c r="IR55" s="19" t="str">
        <f t="shared" ref="IR55:JY55" si="150">IR54</f>
        <v>A1</v>
      </c>
      <c r="IS55" s="19" t="str">
        <f t="shared" si="150"/>
        <v>A2</v>
      </c>
      <c r="IT55" s="19">
        <f t="shared" si="150"/>
        <v>11</v>
      </c>
      <c r="IU55" s="19">
        <f t="shared" si="150"/>
        <v>14</v>
      </c>
      <c r="IV55" s="19" t="str">
        <f t="shared" si="150"/>
        <v>24v6</v>
      </c>
      <c r="IW55" s="19" t="str">
        <f t="shared" si="150"/>
        <v>0v6</v>
      </c>
      <c r="IX55" s="19">
        <f t="shared" si="150"/>
        <v>1</v>
      </c>
      <c r="IY55" s="19">
        <f t="shared" si="150"/>
        <v>2</v>
      </c>
      <c r="IZ55" s="19">
        <f t="shared" si="150"/>
        <v>3</v>
      </c>
      <c r="JA55" s="19">
        <f t="shared" si="150"/>
        <v>4</v>
      </c>
      <c r="JB55" s="19">
        <f t="shared" si="150"/>
        <v>5</v>
      </c>
      <c r="JC55" s="19">
        <f t="shared" si="150"/>
        <v>6</v>
      </c>
      <c r="JD55" s="19">
        <f t="shared" si="150"/>
        <v>7</v>
      </c>
      <c r="JE55" s="19">
        <f t="shared" si="150"/>
        <v>8</v>
      </c>
      <c r="JF55" s="19">
        <f t="shared" si="150"/>
        <v>9</v>
      </c>
      <c r="JG55" s="19">
        <f t="shared" si="150"/>
        <v>10</v>
      </c>
      <c r="JH55" s="19">
        <f t="shared" si="150"/>
        <v>11</v>
      </c>
      <c r="JI55" s="19">
        <f t="shared" si="150"/>
        <v>12</v>
      </c>
      <c r="JJ55" s="19">
        <f t="shared" si="150"/>
        <v>13</v>
      </c>
      <c r="JK55" s="19">
        <f t="shared" si="150"/>
        <v>14</v>
      </c>
      <c r="JL55" s="19">
        <f t="shared" si="150"/>
        <v>17</v>
      </c>
      <c r="JM55" s="19">
        <f t="shared" si="150"/>
        <v>15</v>
      </c>
      <c r="JN55" s="19">
        <f t="shared" si="150"/>
        <v>18</v>
      </c>
      <c r="JO55" s="19">
        <f t="shared" si="150"/>
        <v>11</v>
      </c>
      <c r="JP55" s="19">
        <f t="shared" si="150"/>
        <v>9</v>
      </c>
      <c r="JQ55" s="19">
        <f t="shared" si="150"/>
        <v>6</v>
      </c>
      <c r="JR55" s="19">
        <f t="shared" si="150"/>
        <v>20</v>
      </c>
      <c r="JS55" s="19">
        <f t="shared" si="150"/>
        <v>7</v>
      </c>
      <c r="JT55" s="19">
        <f t="shared" si="150"/>
        <v>10</v>
      </c>
      <c r="JU55" s="19">
        <f t="shared" si="150"/>
        <v>22</v>
      </c>
      <c r="JV55" s="19">
        <f t="shared" si="150"/>
        <v>23</v>
      </c>
      <c r="JW55" s="19">
        <f t="shared" si="150"/>
        <v>26</v>
      </c>
      <c r="JX55" s="19">
        <f t="shared" si="150"/>
        <v>27</v>
      </c>
      <c r="JY55" s="20">
        <f t="shared" si="150"/>
        <v>30</v>
      </c>
    </row>
    <row r="56" spans="1:305" ht="30" x14ac:dyDescent="0.25">
      <c r="A56" s="29" t="s">
        <v>2267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SUM(IF(ISNUMBER(FIND("TmAi",$BE$1:$AAQ$1)),IF(IFERROR(ISODD(SUBSTITUTE($BE56:$AAQ56,"A","")),FALSE),IF(ISODD(SUBSTITUTE($BE56:$AAQ56,"A","")),1,0),0)))</f>
        <v>0</v>
      </c>
      <c r="AA56" t="str">
        <f>CONCATENATE($Y56*2-1,"B")</f>
        <v>1B</v>
      </c>
      <c r="AB56" t="str">
        <f>CONCATENATE($Y56*2,"B")</f>
        <v>2B</v>
      </c>
      <c r="AD56" s="46"/>
      <c r="AE56" s="46">
        <f t="array" ref="AE56">SUM(IF(ISNUMBER(FIND("TmDi",$BE$1:$AAQ$1)),IF(IFERROR(ISNUMBER(VALUE(SUBSTITUTE($BE56:$AAQ56,"B",""))),FALSE),IF(ISNUMBER(VALUE(SUBSTITUTE($BE56:$AAQ56,"B",""))),1,0),0)))</f>
        <v>0</v>
      </c>
      <c r="AP56" t="s">
        <v>137</v>
      </c>
      <c r="AS56" t="s">
        <v>396</v>
      </c>
      <c r="JZ56" s="25" t="str">
        <f t="shared" ref="JZ56:JZ87" si="151">CONCATENATE("XT",U56)</f>
        <v>XT55</v>
      </c>
      <c r="KA56" s="12"/>
      <c r="KB56" s="12"/>
      <c r="KC56" s="12" t="str">
        <f t="shared" ref="KC56:KC87" si="152">CONCATENATE(T56,"-AI",REPLACE($X56,1,3,""),"-",AA56)</f>
        <v>F0-AI3-1B</v>
      </c>
      <c r="KD56" s="12" t="str">
        <f t="shared" ref="KD56:KD87" si="153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 t="shared" ref="KJ56:KK75" si="154">KI56+1</f>
        <v>2</v>
      </c>
      <c r="KK56" s="12">
        <f t="shared" si="154"/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ht="30" x14ac:dyDescent="0.25">
      <c r="A57" s="29" t="s">
        <v>2268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SUM(IF(ISNUMBER(FIND("TmAi",$BE$1:$AAQ$1)),IF(IFERROR(ISODD(SUBSTITUTE($BE57:$AAQ57,"A","")),FALSE),IF(ISODD(SUBSTITUTE($BE57:$AAQ57,"A","")),1,0),0)))</f>
        <v>0</v>
      </c>
      <c r="AA57" t="str">
        <f t="shared" ref="AA57:AA67" si="155">CONCATENATE($Y57*2-1,"B")</f>
        <v>3B</v>
      </c>
      <c r="AB57" t="str">
        <f t="shared" ref="AB57:AB67" si="156">CONCATENATE($Y57*2,"B")</f>
        <v>4B</v>
      </c>
      <c r="AD57" s="46"/>
      <c r="AE57" s="46">
        <f t="array" ref="AE57">SUM(IF(ISNUMBER(FIND("TmDi",$BE$1:$AAQ$1)),IF(IFERROR(ISNUMBER(VALUE(SUBSTITUTE($BE57:$AAQ57,"B",""))),FALSE),IF(ISNUMBER(VALUE(SUBSTITUTE($BE57:$AAQ57,"B",""))),1,0),0)))</f>
        <v>0</v>
      </c>
      <c r="AP57" t="s">
        <v>137</v>
      </c>
      <c r="AS57" t="s">
        <v>396</v>
      </c>
      <c r="JZ57" s="27" t="str">
        <f t="shared" si="151"/>
        <v>XT55</v>
      </c>
      <c r="KC57" t="str">
        <f t="shared" si="152"/>
        <v>F0-AI3-3B</v>
      </c>
      <c r="KD57" t="str">
        <f t="shared" si="153"/>
        <v>F0-AI3-4B</v>
      </c>
      <c r="KI57">
        <f t="array" ref="KI57">IF(COUNTIFS($U$2:$U57,$U57)=1,1,INDEX(KI:KI,_xlfn.XMATCH(U57,U$1:U56,0,-1))+COUNT(KI56:KM56))</f>
        <v>4</v>
      </c>
      <c r="KJ57">
        <f t="shared" si="154"/>
        <v>5</v>
      </c>
      <c r="KK57">
        <f t="shared" si="154"/>
        <v>6</v>
      </c>
      <c r="KN57">
        <v>1</v>
      </c>
      <c r="KO57" s="16">
        <v>2</v>
      </c>
      <c r="KS57" s="16"/>
    </row>
    <row r="58" spans="1:305" ht="30" x14ac:dyDescent="0.25">
      <c r="A58" s="29" t="s">
        <v>2269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SUM(IF(ISNUMBER(FIND("TmAi",$BE$1:$AAQ$1)),IF(IFERROR(ISODD(SUBSTITUTE($BE58:$AAQ58,"A","")),FALSE),IF(ISODD(SUBSTITUTE($BE58:$AAQ58,"A","")),1,0),0)))</f>
        <v>0</v>
      </c>
      <c r="AA58" t="str">
        <f t="shared" si="155"/>
        <v>5B</v>
      </c>
      <c r="AB58" t="str">
        <f t="shared" si="156"/>
        <v>6B</v>
      </c>
      <c r="AD58" s="46"/>
      <c r="AE58" s="46">
        <f t="array" ref="AE58">SUM(IF(ISNUMBER(FIND("TmDi",$BE$1:$AAQ$1)),IF(IFERROR(ISNUMBER(VALUE(SUBSTITUTE($BE58:$AAQ58,"B",""))),FALSE),IF(ISNUMBER(VALUE(SUBSTITUTE($BE58:$AAQ58,"B",""))),1,0),0)))</f>
        <v>0</v>
      </c>
      <c r="AP58" t="s">
        <v>137</v>
      </c>
      <c r="AS58" t="s">
        <v>396</v>
      </c>
      <c r="JZ58" s="27" t="str">
        <f t="shared" si="151"/>
        <v>XT55</v>
      </c>
      <c r="KC58" t="str">
        <f t="shared" si="152"/>
        <v>F0-AI3-5B</v>
      </c>
      <c r="KD58" t="str">
        <f t="shared" si="153"/>
        <v>F0-AI3-6B</v>
      </c>
      <c r="KI58">
        <f t="array" ref="KI58">IF(COUNTIFS($U$2:$U58,$U58)=1,1,INDEX(KI:KI,_xlfn.XMATCH(U58,U$1:U57,0,-1))+COUNT(KI57:KM57))</f>
        <v>7</v>
      </c>
      <c r="KJ58">
        <f t="shared" si="154"/>
        <v>8</v>
      </c>
      <c r="KK58">
        <f t="shared" si="154"/>
        <v>9</v>
      </c>
      <c r="KN58">
        <v>1</v>
      </c>
      <c r="KO58" s="16">
        <v>2</v>
      </c>
      <c r="KS58" s="16"/>
    </row>
    <row r="59" spans="1:305" ht="30" x14ac:dyDescent="0.25">
      <c r="A59" s="29" t="s">
        <v>2270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SUM(IF(ISNUMBER(FIND("TmAi",$BE$1:$AAQ$1)),IF(IFERROR(ISODD(SUBSTITUTE($BE59:$AAQ59,"A","")),FALSE),IF(ISODD(SUBSTITUTE($BE59:$AAQ59,"A","")),1,0),0)))</f>
        <v>0</v>
      </c>
      <c r="AA59" t="str">
        <f t="shared" si="155"/>
        <v>7B</v>
      </c>
      <c r="AB59" t="str">
        <f t="shared" si="156"/>
        <v>8B</v>
      </c>
      <c r="AD59" s="46"/>
      <c r="AE59" s="46">
        <f t="array" ref="AE59">SUM(IF(ISNUMBER(FIND("TmDi",$BE$1:$AAQ$1)),IF(IFERROR(ISNUMBER(VALUE(SUBSTITUTE($BE59:$AAQ59,"B",""))),FALSE),IF(ISNUMBER(VALUE(SUBSTITUTE($BE59:$AAQ59,"B",""))),1,0),0)))</f>
        <v>0</v>
      </c>
      <c r="AP59" t="s">
        <v>137</v>
      </c>
      <c r="AS59" t="s">
        <v>396</v>
      </c>
      <c r="JZ59" s="27" t="str">
        <f t="shared" si="151"/>
        <v>XT55</v>
      </c>
      <c r="KC59" t="str">
        <f t="shared" si="152"/>
        <v>F0-AI3-7B</v>
      </c>
      <c r="KD59" t="str">
        <f t="shared" si="153"/>
        <v>F0-AI3-8B</v>
      </c>
      <c r="KI59">
        <f t="array" ref="KI59">IF(COUNTIFS($U$2:$U59,$U59)=1,1,INDEX(KI:KI,_xlfn.XMATCH(U59,U$1:U58,0,-1))+COUNT(KI58:KM58))</f>
        <v>10</v>
      </c>
      <c r="KJ59">
        <f t="shared" si="154"/>
        <v>11</v>
      </c>
      <c r="KK59">
        <f t="shared" si="154"/>
        <v>12</v>
      </c>
      <c r="KN59">
        <v>1</v>
      </c>
      <c r="KO59" s="16">
        <v>2</v>
      </c>
      <c r="KS59" s="16"/>
    </row>
    <row r="60" spans="1:305" ht="30" x14ac:dyDescent="0.25">
      <c r="A60" s="29" t="s">
        <v>2271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">
        <v>509</v>
      </c>
      <c r="Y60" s="43" t="str">
        <f t="array" ref="Y60">IF(COUNTIFS($X$2:$X60,$X60)=1,"1",VALUE(SUBSTITUTE(INDEX(Y:Y,_xlfn.XMATCH($X60,$X$1:$X59,0,-1)),"A",""))+INDEX(Z:Z,_xlfn.XMATCH($X60,$X$1:$X59,0,-1))+1)</f>
        <v>1</v>
      </c>
      <c r="Z60" s="43">
        <f t="array" ref="Z60">SUM(IF(ISNUMBER(FIND("TmAi",$BE$1:$AAQ$1)),IF(IFERROR(ISODD(SUBSTITUTE($BE60:$AAQ60,"A","")),FALSE),IF(ISODD(SUBSTITUTE($BE60:$AAQ60,"A","")),1,0),0)))</f>
        <v>0</v>
      </c>
      <c r="AA60" t="str">
        <f t="shared" si="155"/>
        <v>1B</v>
      </c>
      <c r="AB60" t="str">
        <f t="shared" si="156"/>
        <v>2B</v>
      </c>
      <c r="AD60" s="46"/>
      <c r="AE60" s="46">
        <f t="array" ref="AE60">SUM(IF(ISNUMBER(FIND("TmDi",$BE$1:$AAQ$1)),IF(IFERROR(ISNUMBER(VALUE(SUBSTITUTE($BE60:$AAQ60,"B",""))),FALSE),IF(ISNUMBER(VALUE(SUBSTITUTE($BE60:$AAQ60,"B",""))),1,0),0)))</f>
        <v>0</v>
      </c>
      <c r="AP60" t="s">
        <v>137</v>
      </c>
      <c r="AS60" t="s">
        <v>396</v>
      </c>
      <c r="JZ60" s="27" t="str">
        <f t="shared" si="151"/>
        <v>XT55</v>
      </c>
      <c r="KC60" t="str">
        <f t="shared" si="152"/>
        <v>F0-AI4-1B</v>
      </c>
      <c r="KD60" t="str">
        <f t="shared" si="153"/>
        <v>F0-AI4-2B</v>
      </c>
      <c r="KI60">
        <f t="array" ref="KI60">IF(COUNTIFS($U$2:$U60,$U60)=1,1,INDEX(KI:KI,_xlfn.XMATCH(U60,U$1:U59,0,-1))+COUNT(KI59:KM59))</f>
        <v>13</v>
      </c>
      <c r="KJ60">
        <f t="shared" si="154"/>
        <v>14</v>
      </c>
      <c r="KK60">
        <f t="shared" si="154"/>
        <v>15</v>
      </c>
      <c r="KN60">
        <v>1</v>
      </c>
      <c r="KO60" s="16">
        <v>2</v>
      </c>
      <c r="KS60" s="16"/>
    </row>
    <row r="61" spans="1:305" ht="30" x14ac:dyDescent="0.25">
      <c r="A61" s="29" t="s">
        <v>2272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A3.4</v>
      </c>
      <c r="Y61" s="43">
        <f t="array" ref="Y61">IF(COUNTIFS($X$2:$X61,$X61)=1,"1",VALUE(SUBSTITUTE(INDEX(Y:Y,_xlfn.XMATCH($X61,$X$1:$X60,0,-1)),"A",""))+INDEX(Z:Z,_xlfn.XMATCH($X61,$X$1:$X60,0,-1))+1)</f>
        <v>2</v>
      </c>
      <c r="Z61" s="43">
        <f t="array" ref="Z61">SUM(IF(ISNUMBER(FIND("TmAi",$BE$1:$AAQ$1)),IF(IFERROR(ISODD(SUBSTITUTE($BE61:$AAQ61,"A","")),FALSE),IF(ISODD(SUBSTITUTE($BE61:$AAQ61,"A","")),1,0),0)))</f>
        <v>0</v>
      </c>
      <c r="AA61" t="str">
        <f t="shared" si="155"/>
        <v>3B</v>
      </c>
      <c r="AB61" t="str">
        <f t="shared" si="156"/>
        <v>4B</v>
      </c>
      <c r="AD61" s="46"/>
      <c r="AE61" s="46">
        <f t="array" ref="AE61">SUM(IF(ISNUMBER(FIND("TmDi",$BE$1:$AAQ$1)),IF(IFERROR(ISNUMBER(VALUE(SUBSTITUTE($BE61:$AAQ61,"B",""))),FALSE),IF(ISNUMBER(VALUE(SUBSTITUTE($BE61:$AAQ61,"B",""))),1,0),0)))</f>
        <v>0</v>
      </c>
      <c r="AP61" t="s">
        <v>137</v>
      </c>
      <c r="AS61" t="s">
        <v>396</v>
      </c>
      <c r="JZ61" s="27" t="str">
        <f t="shared" si="151"/>
        <v>XT55</v>
      </c>
      <c r="KC61" t="str">
        <f t="shared" si="152"/>
        <v>F0-AI4-3B</v>
      </c>
      <c r="KD61" t="str">
        <f t="shared" si="153"/>
        <v>F0-AI4-4B</v>
      </c>
      <c r="KI61">
        <f t="array" ref="KI61">IF(COUNTIFS($U$2:$U61,$U61)=1,1,INDEX(KI:KI,_xlfn.XMATCH(U61,U$1:U60,0,-1))+COUNT(KI60:KM60))</f>
        <v>16</v>
      </c>
      <c r="KJ61">
        <f t="shared" si="154"/>
        <v>17</v>
      </c>
      <c r="KK61">
        <f t="shared" si="154"/>
        <v>18</v>
      </c>
      <c r="KN61">
        <v>1</v>
      </c>
      <c r="KO61" s="16">
        <v>2</v>
      </c>
      <c r="KS61" s="16"/>
    </row>
    <row r="62" spans="1:305" ht="30" x14ac:dyDescent="0.25">
      <c r="A62" s="29" t="s">
        <v>2273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A3.4</v>
      </c>
      <c r="Y62" s="43">
        <f t="array" ref="Y62">IF(COUNTIFS($X$2:$X62,$X62)=1,"1",VALUE(SUBSTITUTE(INDEX(Y:Y,_xlfn.XMATCH($X62,$X$1:$X61,0,-1)),"A",""))+INDEX(Z:Z,_xlfn.XMATCH($X62,$X$1:$X61,0,-1))+1)</f>
        <v>3</v>
      </c>
      <c r="Z62" s="43">
        <f t="array" ref="Z62">SUM(IF(ISNUMBER(FIND("TmAi",$BE$1:$AAQ$1)),IF(IFERROR(ISODD(SUBSTITUTE($BE62:$AAQ62,"A","")),FALSE),IF(ISODD(SUBSTITUTE($BE62:$AAQ62,"A","")),1,0),0)))</f>
        <v>0</v>
      </c>
      <c r="AA62" t="str">
        <f t="shared" si="155"/>
        <v>5B</v>
      </c>
      <c r="AB62" t="str">
        <f t="shared" si="156"/>
        <v>6B</v>
      </c>
      <c r="AD62" s="46"/>
      <c r="AE62" s="46">
        <f t="array" ref="AE62">SUM(IF(ISNUMBER(FIND("TmDi",$BE$1:$AAQ$1)),IF(IFERROR(ISNUMBER(VALUE(SUBSTITUTE($BE62:$AAQ62,"B",""))),FALSE),IF(ISNUMBER(VALUE(SUBSTITUTE($BE62:$AAQ62,"B",""))),1,0),0)))</f>
        <v>0</v>
      </c>
      <c r="AP62" t="s">
        <v>137</v>
      </c>
      <c r="AS62" t="s">
        <v>396</v>
      </c>
      <c r="JZ62" s="27" t="str">
        <f t="shared" si="151"/>
        <v>XT55</v>
      </c>
      <c r="KC62" t="str">
        <f t="shared" si="152"/>
        <v>F0-AI4-5B</v>
      </c>
      <c r="KD62" t="str">
        <f t="shared" si="153"/>
        <v>F0-AI4-6B</v>
      </c>
      <c r="KI62">
        <f t="array" ref="KI62">IF(COUNTIFS($U$2:$U62,$U62)=1,1,INDEX(KI:KI,_xlfn.XMATCH(U62,U$1:U61,0,-1))+COUNT(KI61:KM61))</f>
        <v>19</v>
      </c>
      <c r="KJ62">
        <f t="shared" si="154"/>
        <v>20</v>
      </c>
      <c r="KK62">
        <f t="shared" si="154"/>
        <v>21</v>
      </c>
      <c r="KN62">
        <v>1</v>
      </c>
      <c r="KO62" s="16">
        <v>2</v>
      </c>
      <c r="KS62" s="16"/>
    </row>
    <row r="63" spans="1:305" ht="30" x14ac:dyDescent="0.25">
      <c r="A63" s="29" t="s">
        <v>2274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A3.4</v>
      </c>
      <c r="Y63" s="45">
        <f t="array" ref="Y63">IF(COUNTIFS($X$2:$X63,$X63)=1,"1",VALUE(SUBSTITUTE(INDEX(Y:Y,_xlfn.XMATCH($X63,$X$1:$X62,0,-1)),"A",""))+INDEX(Z:Z,_xlfn.XMATCH($X63,$X$1:$X62,0,-1))+1)</f>
        <v>4</v>
      </c>
      <c r="Z63" s="43">
        <f t="array" ref="Z63">SUM(IF(ISNUMBER(FIND("TmAi",$BE$1:$AAQ$1)),IF(IFERROR(ISODD(SUBSTITUTE($BE63:$AAQ63,"A","")),FALSE),IF(ISODD(SUBSTITUTE($BE63:$AAQ63,"A","")),1,0),0)))</f>
        <v>0</v>
      </c>
      <c r="AA63" t="str">
        <f t="shared" si="155"/>
        <v>7B</v>
      </c>
      <c r="AB63" t="str">
        <f t="shared" si="156"/>
        <v>8B</v>
      </c>
      <c r="AD63" s="46"/>
      <c r="AE63" s="46">
        <f t="array" ref="AE63">SUM(IF(ISNUMBER(FIND("TmDi",$BE$1:$AAQ$1)),IF(IFERROR(ISNUMBER(VALUE(SUBSTITUTE($BE63:$AAQ63,"B",""))),FALSE),IF(ISNUMBER(VALUE(SUBSTITUTE($BE63:$AAQ63,"B",""))),1,0),0)))</f>
        <v>0</v>
      </c>
      <c r="AP63" t="s">
        <v>137</v>
      </c>
      <c r="AS63" t="s">
        <v>396</v>
      </c>
      <c r="JZ63" s="27" t="str">
        <f t="shared" si="151"/>
        <v>XT55</v>
      </c>
      <c r="KC63" t="str">
        <f t="shared" si="152"/>
        <v>F0-AI4-7B</v>
      </c>
      <c r="KD63" t="str">
        <f t="shared" si="153"/>
        <v>F0-AI4-8B</v>
      </c>
      <c r="KI63">
        <f t="array" ref="KI63">IF(COUNTIFS($U$2:$U63,$U63)=1,1,INDEX(KI:KI,_xlfn.XMATCH(U63,U$1:U62,0,-1))+COUNT(KI62:KM62))</f>
        <v>22</v>
      </c>
      <c r="KJ63">
        <f t="shared" si="154"/>
        <v>23</v>
      </c>
      <c r="KK63">
        <f t="shared" si="154"/>
        <v>24</v>
      </c>
      <c r="KN63">
        <v>1</v>
      </c>
      <c r="KO63" s="16">
        <v>2</v>
      </c>
      <c r="KS63" s="16"/>
    </row>
    <row r="64" spans="1:305" ht="30" x14ac:dyDescent="0.25">
      <c r="A64" s="29" t="s">
        <v>2275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>
        <f t="array" ref="Y64">IF(COUNTIFS($X$2:$X64,$X64)=1,"1",VALUE(SUBSTITUTE(INDEX(Y:Y,_xlfn.XMATCH($X64,$X$1:$X63,0,-1)),"A",""))+INDEX(Z:Z,_xlfn.XMATCH($X64,$X$1:$X63,0,-1))+1)</f>
        <v>5</v>
      </c>
      <c r="Z64" s="43">
        <f t="array" ref="Z64">SUM(IF(ISNUMBER(FIND("TmAi",$BE$1:$AAQ$1)),IF(IFERROR(ISODD(SUBSTITUTE($BE64:$AAQ64,"A","")),FALSE),IF(ISODD(SUBSTITUTE($BE64:$AAQ64,"A","")),1,0),0)))</f>
        <v>0</v>
      </c>
      <c r="AA64" t="str">
        <f t="shared" si="155"/>
        <v>9B</v>
      </c>
      <c r="AB64" t="str">
        <f t="shared" si="156"/>
        <v>10B</v>
      </c>
      <c r="AD64" s="46"/>
      <c r="AE64" s="46">
        <f t="array" ref="AE64">SUM(IF(ISNUMBER(FIND("TmDi",$BE$1:$AAQ$1)),IF(IFERROR(ISNUMBER(VALUE(SUBSTITUTE($BE64:$AAQ64,"B",""))),FALSE),IF(ISNUMBER(VALUE(SUBSTITUTE($BE64:$AAQ64,"B",""))),1,0),0)))</f>
        <v>0</v>
      </c>
      <c r="AP64" t="s">
        <v>137</v>
      </c>
      <c r="AS64" t="s">
        <v>396</v>
      </c>
      <c r="JZ64" s="27" t="str">
        <f t="shared" si="151"/>
        <v>XT55</v>
      </c>
      <c r="KC64" t="str">
        <f t="shared" si="152"/>
        <v>F0-AI4-9B</v>
      </c>
      <c r="KD64" t="str">
        <f t="shared" si="153"/>
        <v>F0-AI4-10B</v>
      </c>
      <c r="KI64">
        <f t="array" ref="KI64">IF(COUNTIFS($U$2:$U64,$U64)=1,1,INDEX(KI:KI,_xlfn.XMATCH(U64,U$1:U63,0,-1))+COUNT(KI63:KM63))</f>
        <v>25</v>
      </c>
      <c r="KJ64">
        <f t="shared" si="154"/>
        <v>26</v>
      </c>
      <c r="KK64">
        <f t="shared" si="154"/>
        <v>27</v>
      </c>
      <c r="KN64">
        <v>1</v>
      </c>
      <c r="KO64" s="16">
        <v>2</v>
      </c>
      <c r="KS64" s="16"/>
    </row>
    <row r="65" spans="1:305" ht="30" x14ac:dyDescent="0.25">
      <c r="A65" s="29" t="s">
        <v>2276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6</v>
      </c>
      <c r="Z65" s="43">
        <f t="array" ref="Z65">SUM(IF(ISNUMBER(FIND("TmAi",$BE$1:$AAQ$1)),IF(IFERROR(ISODD(SUBSTITUTE($BE65:$AAQ65,"A","")),FALSE),IF(ISODD(SUBSTITUTE($BE65:$AAQ65,"A","")),1,0),0)))</f>
        <v>0</v>
      </c>
      <c r="AA65" t="str">
        <f t="shared" si="155"/>
        <v>11B</v>
      </c>
      <c r="AB65" t="str">
        <f t="shared" si="156"/>
        <v>12B</v>
      </c>
      <c r="AD65" s="46"/>
      <c r="AE65" s="46">
        <f t="array" ref="AE65">SUM(IF(ISNUMBER(FIND("TmDi",$BE$1:$AAQ$1)),IF(IFERROR(ISNUMBER(VALUE(SUBSTITUTE($BE65:$AAQ65,"B",""))),FALSE),IF(ISNUMBER(VALUE(SUBSTITUTE($BE65:$AAQ65,"B",""))),1,0),0)))</f>
        <v>0</v>
      </c>
      <c r="AP65" t="s">
        <v>137</v>
      </c>
      <c r="AS65" t="s">
        <v>396</v>
      </c>
      <c r="JZ65" s="27" t="str">
        <f t="shared" si="151"/>
        <v>XT55</v>
      </c>
      <c r="KC65" t="str">
        <f t="shared" si="152"/>
        <v>F0-AI4-11B</v>
      </c>
      <c r="KD65" t="str">
        <f t="shared" si="153"/>
        <v>F0-AI4-12B</v>
      </c>
      <c r="KI65">
        <f t="array" ref="KI65">IF(COUNTIFS($U$2:$U65,$U65)=1,1,INDEX(KI:KI,_xlfn.XMATCH(U65,U$1:U64,0,-1))+COUNT(KI64:KM64))</f>
        <v>28</v>
      </c>
      <c r="KJ65">
        <f t="shared" si="154"/>
        <v>29</v>
      </c>
      <c r="KK65">
        <f t="shared" si="154"/>
        <v>30</v>
      </c>
      <c r="KN65">
        <v>1</v>
      </c>
      <c r="KO65" s="16">
        <v>2</v>
      </c>
      <c r="KS65" s="16"/>
    </row>
    <row r="66" spans="1:305" ht="30" x14ac:dyDescent="0.25">
      <c r="A66" s="29" t="s">
        <v>2277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">
        <v>2001</v>
      </c>
      <c r="Y66" s="43" t="str">
        <f t="array" ref="Y66">IF(COUNTIFS($X$2:$X66,$X66)=1,"1",VALUE(SUBSTITUTE(INDEX(Y:Y,_xlfn.XMATCH($X66,$X$1:$X65,0,-1)),"A",""))+INDEX(Z:Z,_xlfn.XMATCH($X66,$X$1:$X65,0,-1))+1)</f>
        <v>1</v>
      </c>
      <c r="Z66" s="43">
        <f t="array" ref="Z66">SUM(IF(ISNUMBER(FIND("TmAi",$BE$1:$AAQ$1)),IF(IFERROR(ISODD(SUBSTITUTE($BE66:$AAQ66,"A","")),FALSE),IF(ISODD(SUBSTITUTE($BE66:$AAQ66,"A","")),1,0),0)))</f>
        <v>0</v>
      </c>
      <c r="AA66" t="str">
        <f t="shared" si="155"/>
        <v>1B</v>
      </c>
      <c r="AB66" t="str">
        <f t="shared" si="156"/>
        <v>2B</v>
      </c>
      <c r="AD66" s="46"/>
      <c r="AE66" s="46">
        <f t="array" ref="AE66">SUM(IF(ISNUMBER(FIND("TmDi",$BE$1:$AAQ$1)),IF(IFERROR(ISNUMBER(VALUE(SUBSTITUTE($BE66:$AAQ66,"B",""))),FALSE),IF(ISNUMBER(VALUE(SUBSTITUTE($BE66:$AAQ66,"B",""))),1,0),0)))</f>
        <v>0</v>
      </c>
      <c r="AP66" t="s">
        <v>137</v>
      </c>
      <c r="AS66" t="s">
        <v>396</v>
      </c>
      <c r="JZ66" s="27" t="str">
        <f t="shared" si="151"/>
        <v>XT55</v>
      </c>
      <c r="KC66" t="str">
        <f t="shared" si="152"/>
        <v>F0-AI5-1B</v>
      </c>
      <c r="KD66" t="str">
        <f t="shared" si="153"/>
        <v>F0-AI5-2B</v>
      </c>
      <c r="KI66">
        <f t="array" ref="KI66">IF(COUNTIFS($U$2:$U66,$U66)=1,1,INDEX(KI:KI,_xlfn.XMATCH(U66,U$1:U65,0,-1))+COUNT(KI65:KM65))</f>
        <v>31</v>
      </c>
      <c r="KJ66">
        <f t="shared" si="154"/>
        <v>32</v>
      </c>
      <c r="KK66">
        <f t="shared" si="154"/>
        <v>33</v>
      </c>
      <c r="KN66">
        <v>1</v>
      </c>
      <c r="KO66" s="16">
        <v>2</v>
      </c>
      <c r="KS66" s="16"/>
    </row>
    <row r="67" spans="1:305" ht="30" x14ac:dyDescent="0.25">
      <c r="A67" s="29" t="s">
        <v>2278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A3.5</v>
      </c>
      <c r="Y67" s="43">
        <f t="array" ref="Y67">IF(COUNTIFS($X$2:$X67,$X67)=1,"1",VALUE(SUBSTITUTE(INDEX(Y:Y,_xlfn.XMATCH($X67,$X$1:$X66,0,-1)),"A",""))+INDEX(Z:Z,_xlfn.XMATCH($X67,$X$1:$X66,0,-1))+1)</f>
        <v>2</v>
      </c>
      <c r="Z67" s="43">
        <f t="array" ref="Z67">SUM(IF(ISNUMBER(FIND("TmAi",$BE$1:$AAQ$1)),IF(IFERROR(ISODD(SUBSTITUTE($BE67:$AAQ67,"A","")),FALSE),IF(ISODD(SUBSTITUTE($BE67:$AAQ67,"A","")),1,0),0)))</f>
        <v>0</v>
      </c>
      <c r="AA67" t="str">
        <f t="shared" si="155"/>
        <v>3B</v>
      </c>
      <c r="AB67" t="str">
        <f t="shared" si="156"/>
        <v>4B</v>
      </c>
      <c r="AD67" s="46"/>
      <c r="AE67" s="46">
        <f t="array" ref="AE67">SUM(IF(ISNUMBER(FIND("TmDi",$BE$1:$AAQ$1)),IF(IFERROR(ISNUMBER(VALUE(SUBSTITUTE($BE67:$AAQ67,"B",""))),FALSE),IF(ISNUMBER(VALUE(SUBSTITUTE($BE67:$AAQ67,"B",""))),1,0),0)))</f>
        <v>0</v>
      </c>
      <c r="AP67" t="s">
        <v>137</v>
      </c>
      <c r="AS67" t="s">
        <v>396</v>
      </c>
      <c r="JZ67" s="27" t="str">
        <f t="shared" si="151"/>
        <v>XT55</v>
      </c>
      <c r="KC67" t="str">
        <f t="shared" si="152"/>
        <v>F0-AI5-3B</v>
      </c>
      <c r="KD67" t="str">
        <f t="shared" si="153"/>
        <v>F0-AI5-4B</v>
      </c>
      <c r="KI67">
        <f t="array" ref="KI67">IF(COUNTIFS($U$2:$U67,$U67)=1,1,INDEX(KI:KI,_xlfn.XMATCH(U67,U$1:U66,0,-1))+COUNT(KI66:KM66))</f>
        <v>34</v>
      </c>
      <c r="KJ67">
        <f t="shared" si="154"/>
        <v>35</v>
      </c>
      <c r="KK67">
        <f t="shared" si="154"/>
        <v>36</v>
      </c>
      <c r="KN67">
        <v>1</v>
      </c>
      <c r="KO67" s="16">
        <v>2</v>
      </c>
      <c r="KS67" s="16"/>
    </row>
    <row r="68" spans="1:305" ht="30" x14ac:dyDescent="0.25">
      <c r="A68" s="29" t="s">
        <v>2279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A3.5</v>
      </c>
      <c r="Y68" s="45">
        <f t="array" ref="Y68">IF(COUNTIFS($X$2:$X68,$X68)=1,"1",VALUE(SUBSTITUTE(INDEX(Y:Y,_xlfn.XMATCH($X68,$X$1:$X67,0,-1)),"A",""))+INDEX(Z:Z,_xlfn.XMATCH($X68,$X$1:$X67,0,-1))+1)</f>
        <v>3</v>
      </c>
      <c r="Z68" s="43">
        <f t="array" ref="Z68">SUM(IF(ISNUMBER(FIND("TmAi",$BE$1:$AAQ$1)),IF(IFERROR(ISODD(SUBSTITUTE($BE68:$AAQ68,"A","")),FALSE),IF(ISODD(SUBSTITUTE($BE68:$AAQ68,"A","")),1,0),0)))</f>
        <v>0</v>
      </c>
      <c r="AA68" t="str">
        <f>CONCATENATE($Y68*2-1,"A")</f>
        <v>5A</v>
      </c>
      <c r="AB68" t="str">
        <f>CONCATENATE($Y68*2-1,"B")</f>
        <v>5B</v>
      </c>
      <c r="AD68" s="46"/>
      <c r="AE68" s="46">
        <f t="array" ref="AE68">SUM(IF(ISNUMBER(FIND("TmDi",$BE$1:$AAQ$1)),IF(IFERROR(ISNUMBER(VALUE(SUBSTITUTE($BE68:$AAQ68,"B",""))),FALSE),IF(ISNUMBER(VALUE(SUBSTITUTE($BE68:$AAQ68,"B",""))),1,0),0)))</f>
        <v>0</v>
      </c>
      <c r="AP68" t="s">
        <v>137</v>
      </c>
      <c r="AS68" t="s">
        <v>396</v>
      </c>
      <c r="JZ68" s="27" t="str">
        <f t="shared" si="151"/>
        <v>XT55</v>
      </c>
      <c r="KC68" t="str">
        <f t="shared" si="152"/>
        <v>F0-AI5-5A</v>
      </c>
      <c r="KD68" t="str">
        <f t="shared" si="153"/>
        <v>F0-AI5-5B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54"/>
        <v>38</v>
      </c>
      <c r="KK68">
        <f t="shared" si="154"/>
        <v>39</v>
      </c>
      <c r="KL68">
        <f>KK68+1</f>
        <v>40</v>
      </c>
      <c r="KM68">
        <f>KL68+1</f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ht="30" x14ac:dyDescent="0.25">
      <c r="A69" s="29" t="s">
        <v>2280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1362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SUM(IF(ISNUMBER(FIND("TmAi",$BE$1:$AAQ$1)),IF(IFERROR(ISODD(SUBSTITUTE($BE69:$AAQ69,"A","")),FALSE),IF(ISODD(SUBSTITUTE($BE69:$AAQ69,"A","")),1,0),0)))</f>
        <v>0</v>
      </c>
      <c r="AA69" t="str">
        <f>CONCATENATE($Y69*2-1,"A")</f>
        <v>1A</v>
      </c>
      <c r="AB69" t="str">
        <f>CONCATENATE($Y69*2-1,"B")</f>
        <v>1B</v>
      </c>
      <c r="AD69" s="46"/>
      <c r="AE69" s="46">
        <f t="array" ref="AE69">SUM(IF(ISNUMBER(FIND("TmDi",$BE$1:$AAQ$1)),IF(IFERROR(ISNUMBER(VALUE(SUBSTITUTE($BE69:$AAQ69,"B",""))),FALSE),IF(ISNUMBER(VALUE(SUBSTITUTE($BE69:$AAQ69,"B",""))),1,0),0)))</f>
        <v>0</v>
      </c>
      <c r="AP69" t="s">
        <v>137</v>
      </c>
      <c r="AS69" t="s">
        <v>396</v>
      </c>
      <c r="JZ69" s="27" t="str">
        <f t="shared" si="151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52"/>
        <v>F0-AI38-1A</v>
      </c>
      <c r="KD69" t="str">
        <f t="shared" si="153"/>
        <v>F0-AI38-1B</v>
      </c>
      <c r="KE69" t="str">
        <f>CONCATENATE($T69,"-AI",REPLACE($X69,1,3,""),"-",KA69)</f>
        <v>F0-AI38-2A</v>
      </c>
      <c r="KF69" t="str">
        <f>CONCATENATE($T69,"-AI",REPLACE($X69,1,3,""),"-",KB69)</f>
        <v>F0-AI38-2B</v>
      </c>
      <c r="KI69">
        <f t="array" ref="KI69">IF(COUNTIFS($U$2:$U69,$U69)=1,1,INDEX(KI:KI,_xlfn.XMATCH(U69,U$1:U68,0,-1))+COUNT(KI68:KM68))</f>
        <v>42</v>
      </c>
      <c r="KJ69">
        <f t="shared" si="154"/>
        <v>43</v>
      </c>
      <c r="KK69">
        <f t="shared" si="154"/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ht="30" x14ac:dyDescent="0.25">
      <c r="A70" s="29" t="s">
        <v>2281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IF(COUNTIF(X$1:X69,X69)&gt;7,REPLACE(X69,LEN(X69),1,VALUE(RIGHT(X69,1))+1),X69)</f>
        <v>A3.38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SUM(IF(ISNUMBER(FIND("TmAi",$BE$1:$AAQ$1)),IF(IFERROR(ISODD(SUBSTITUTE($BE70:$AAQ70,"A","")),FALSE),IF(ISODD(SUBSTITUTE($BE70:$AAQ70,"A","")),1,0),0)))</f>
        <v>0</v>
      </c>
      <c r="AA70" t="str">
        <f>CONCATENATE($Y70*2-1,"A")</f>
        <v>3A</v>
      </c>
      <c r="AB70" t="str">
        <f>CONCATENATE($Y70*2-1,"B")</f>
        <v>3B</v>
      </c>
      <c r="AD70" s="46"/>
      <c r="AE70" s="46">
        <f t="array" ref="AE70">SUM(IF(ISNUMBER(FIND("TmDi",$BE$1:$AAQ$1)),IF(IFERROR(ISNUMBER(VALUE(SUBSTITUTE($BE70:$AAQ70,"B",""))),FALSE),IF(ISNUMBER(VALUE(SUBSTITUTE($BE70:$AAQ70,"B",""))),1,0),0)))</f>
        <v>0</v>
      </c>
      <c r="AP70" t="s">
        <v>137</v>
      </c>
      <c r="AS70" t="s">
        <v>396</v>
      </c>
      <c r="JZ70" s="27" t="str">
        <f t="shared" si="151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52"/>
        <v>F0-AI38-3A</v>
      </c>
      <c r="KD70" t="str">
        <f t="shared" si="153"/>
        <v>F0-AI38-3B</v>
      </c>
      <c r="KE70" t="str">
        <f>CONCATENATE($T70,"-AI",REPLACE($X70,1,3,""),"-",KA70)</f>
        <v>F0-AI38-4A</v>
      </c>
      <c r="KF70" t="str">
        <f>CONCATENATE($T70,"-AI",REPLACE($X70,1,3,""),"-",KB70)</f>
        <v>F0-AI38-4B</v>
      </c>
      <c r="KI70">
        <f t="array" ref="KI70">IF(COUNTIFS($U$2:$U70,$U70)=1,1,INDEX(KI:KI,_xlfn.XMATCH(U70,U$1:U69,0,-1))+COUNT(KI69:KM69))</f>
        <v>46</v>
      </c>
      <c r="KJ70">
        <f t="shared" si="154"/>
        <v>47</v>
      </c>
      <c r="KK70">
        <f t="shared" si="154"/>
        <v>48</v>
      </c>
      <c r="KL70">
        <f>KK70+1</f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ht="30" x14ac:dyDescent="0.25">
      <c r="A71" s="29" t="s">
        <v>2282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2069</v>
      </c>
      <c r="Y71" s="43" t="str">
        <f t="array" ref="Y71">IF(COUNTIFS($X$2:$X71,$X71)=1,"1",VALUE(SUBSTITUTE(INDEX(Y:Y,_xlfn.XMATCH($X71,$X$1:$X70,0,-1)),"A",""))+INDEX(Z:Z,_xlfn.XMATCH($X71,$X$1:$X70,0,-1))+1)</f>
        <v>1</v>
      </c>
      <c r="Z71" s="43">
        <f t="array" ref="Z71">SUM(IF(ISNUMBER(FIND("TmAi",$BE$1:$AAQ$1)),IF(IFERROR(ISODD(SUBSTITUTE($BE71:$AAQ71,"A","")),FALSE),IF(ISODD(SUBSTITUTE($BE71:$AAQ71,"A","")),1,0),0)))</f>
        <v>0</v>
      </c>
      <c r="AA71" t="str">
        <f>CONCATENATE($Y71*2-1,"B")</f>
        <v>1B</v>
      </c>
      <c r="AB71" t="str">
        <f>CONCATENATE($Y71*2,"B")</f>
        <v>2B</v>
      </c>
      <c r="AD71" s="46"/>
      <c r="AE71" s="46">
        <f t="array" ref="AE71">SUM(IF(ISNUMBER(FIND("TmDi",$BE$1:$AAQ$1)),IF(IFERROR(ISNUMBER(VALUE(SUBSTITUTE($BE71:$AAQ71,"B",""))),FALSE),IF(ISNUMBER(VALUE(SUBSTITUTE($BE71:$AAQ71,"B",""))),1,0),0)))</f>
        <v>0</v>
      </c>
      <c r="AP71" t="s">
        <v>137</v>
      </c>
      <c r="AS71" t="s">
        <v>396</v>
      </c>
      <c r="JZ71" s="27" t="str">
        <f t="shared" si="151"/>
        <v>XT55</v>
      </c>
      <c r="KC71" t="str">
        <f t="shared" si="152"/>
        <v>F0-AI6-1B</v>
      </c>
      <c r="KD71" t="str">
        <f t="shared" si="153"/>
        <v>F0-AI6-2B</v>
      </c>
      <c r="KI71">
        <f t="array" ref="KI71">IF(COUNTIFS($U$2:$U71,$U71)=1,1,INDEX(KI:KI,_xlfn.XMATCH(U71,U$1:U70,0,-1))+COUNT(KI70:KM70))</f>
        <v>50</v>
      </c>
      <c r="KJ71">
        <f t="shared" si="154"/>
        <v>51</v>
      </c>
      <c r="KK71">
        <f t="shared" si="154"/>
        <v>52</v>
      </c>
      <c r="KN71">
        <v>1</v>
      </c>
      <c r="KO71" s="16">
        <v>2</v>
      </c>
      <c r="KS71" s="16"/>
    </row>
    <row r="72" spans="1:305" ht="30" x14ac:dyDescent="0.25">
      <c r="A72" s="29" t="s">
        <v>2283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A3.6</v>
      </c>
      <c r="Y72" s="43">
        <f t="array" ref="Y72">IF(COUNTIFS($X$2:$X72,$X72)=1,"1",VALUE(SUBSTITUTE(INDEX(Y:Y,_xlfn.XMATCH($X72,$X$1:$X71,0,-1)),"A",""))+INDEX(Z:Z,_xlfn.XMATCH($X72,$X$1:$X71,0,-1))+1)</f>
        <v>2</v>
      </c>
      <c r="Z72" s="43">
        <f t="array" ref="Z72">SUM(IF(ISNUMBER(FIND("TmAi",$BE$1:$AAQ$1)),IF(IFERROR(ISODD(SUBSTITUTE($BE72:$AAQ72,"A","")),FALSE),IF(ISODD(SUBSTITUTE($BE72:$AAQ72,"A","")),1,0),0)))</f>
        <v>0</v>
      </c>
      <c r="AA72" t="str">
        <f>CONCATENATE($Y72*2-1,"B")</f>
        <v>3B</v>
      </c>
      <c r="AB72" t="str">
        <f>CONCATENATE($Y72*2,"B")</f>
        <v>4B</v>
      </c>
      <c r="AD72" s="46"/>
      <c r="AE72" s="46">
        <f t="array" ref="AE72">SUM(IF(ISNUMBER(FIND("TmDi",$BE$1:$AAQ$1)),IF(IFERROR(ISNUMBER(VALUE(SUBSTITUTE($BE72:$AAQ72,"B",""))),FALSE),IF(ISNUMBER(VALUE(SUBSTITUTE($BE72:$AAQ72,"B",""))),1,0),0)))</f>
        <v>0</v>
      </c>
      <c r="AP72" t="s">
        <v>137</v>
      </c>
      <c r="AS72" t="s">
        <v>396</v>
      </c>
      <c r="JZ72" s="27" t="str">
        <f t="shared" si="151"/>
        <v>XT55</v>
      </c>
      <c r="KC72" t="str">
        <f t="shared" si="152"/>
        <v>F0-AI6-3B</v>
      </c>
      <c r="KD72" t="str">
        <f t="shared" si="153"/>
        <v>F0-AI6-4B</v>
      </c>
      <c r="KI72">
        <f t="array" ref="KI72">IF(COUNTIFS($U$2:$U72,$U72)=1,1,INDEX(KI:KI,_xlfn.XMATCH(U72,U$1:U71,0,-1))+COUNT(KI71:KM71))</f>
        <v>53</v>
      </c>
      <c r="KJ72">
        <f t="shared" si="154"/>
        <v>54</v>
      </c>
      <c r="KK72">
        <f t="shared" si="154"/>
        <v>55</v>
      </c>
      <c r="KN72">
        <v>1</v>
      </c>
      <c r="KO72" s="16">
        <v>2</v>
      </c>
      <c r="KS72" s="16"/>
    </row>
    <row r="73" spans="1:305" ht="30" x14ac:dyDescent="0.25">
      <c r="A73" s="29" t="s">
        <v>2284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A3.6</v>
      </c>
      <c r="Y73" s="45">
        <f t="array" ref="Y73">IF(COUNTIFS($X$2:$X73,$X73)=1,"1",VALUE(SUBSTITUTE(INDEX(Y:Y,_xlfn.XMATCH($X73,$X$1:$X72,0,-1)),"A",""))+INDEX(Z:Z,_xlfn.XMATCH($X73,$X$1:$X72,0,-1))+1)</f>
        <v>3</v>
      </c>
      <c r="Z73" s="43">
        <f t="array" ref="Z73">SUM(IF(ISNUMBER(FIND("TmAi",$BE$1:$AAQ$1)),IF(IFERROR(ISODD(SUBSTITUTE($BE73:$AAQ73,"A","")),FALSE),IF(ISODD(SUBSTITUTE($BE73:$AAQ73,"A","")),1,0),0)))</f>
        <v>0</v>
      </c>
      <c r="AA73" t="str">
        <f>CONCATENATE($Y73*2-1,"B")</f>
        <v>5B</v>
      </c>
      <c r="AB73" t="str">
        <f>CONCATENATE($Y73*2,"B")</f>
        <v>6B</v>
      </c>
      <c r="AD73" s="46"/>
      <c r="AE73" s="46">
        <f t="array" ref="AE73">SUM(IF(ISNUMBER(FIND("TmDi",$BE$1:$AAQ$1)),IF(IFERROR(ISNUMBER(VALUE(SUBSTITUTE($BE73:$AAQ73,"B",""))),FALSE),IF(ISNUMBER(VALUE(SUBSTITUTE($BE73:$AAQ73,"B",""))),1,0),0)))</f>
        <v>0</v>
      </c>
      <c r="AP73" t="s">
        <v>137</v>
      </c>
      <c r="AS73" t="s">
        <v>396</v>
      </c>
      <c r="JZ73" s="27" t="str">
        <f t="shared" si="151"/>
        <v>XT55</v>
      </c>
      <c r="KC73" t="str">
        <f t="shared" si="152"/>
        <v>F0-AI6-5B</v>
      </c>
      <c r="KD73" t="str">
        <f t="shared" si="153"/>
        <v>F0-AI6-6B</v>
      </c>
      <c r="KI73">
        <f t="array" ref="KI73">IF(COUNTIFS($U$2:$U73,$U73)=1,1,INDEX(KI:KI,_xlfn.XMATCH(U73,U$1:U72,0,-1))+COUNT(KI72:KM72))</f>
        <v>56</v>
      </c>
      <c r="KJ73">
        <f t="shared" si="154"/>
        <v>57</v>
      </c>
      <c r="KK73">
        <f t="shared" si="154"/>
        <v>58</v>
      </c>
      <c r="KN73">
        <v>1</v>
      </c>
      <c r="KO73" s="16">
        <v>2</v>
      </c>
      <c r="KS73" s="16"/>
    </row>
    <row r="74" spans="1:305" ht="30" x14ac:dyDescent="0.25">
      <c r="A74" s="29" t="s">
        <v>2285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A3.6</v>
      </c>
      <c r="Y74" s="43">
        <f t="array" ref="Y74">IF(COUNTIFS($X$2:$X74,$X74)=1,"1",VALUE(SUBSTITUTE(INDEX(Y:Y,_xlfn.XMATCH($X74,$X$1:$X73,0,-1)),"A",""))+INDEX(Z:Z,_xlfn.XMATCH($X74,$X$1:$X73,0,-1))+1)</f>
        <v>4</v>
      </c>
      <c r="Z74" s="43">
        <f t="array" ref="Z74">SUM(IF(ISNUMBER(FIND("TmAi",$BE$1:$AAQ$1)),IF(IFERROR(ISODD(SUBSTITUTE($BE74:$AAQ74,"A","")),FALSE),IF(ISODD(SUBSTITUTE($BE74:$AAQ74,"A","")),1,0),0)))</f>
        <v>0</v>
      </c>
      <c r="AA74" t="str">
        <f>CONCATENATE($Y74*2-1,"B")</f>
        <v>7B</v>
      </c>
      <c r="AB74" t="str">
        <f>CONCATENATE($Y74*2,"B")</f>
        <v>8B</v>
      </c>
      <c r="AD74" s="46"/>
      <c r="AE74" s="46">
        <f t="array" ref="AE74">SUM(IF(ISNUMBER(FIND("TmDi",$BE$1:$AAQ$1)),IF(IFERROR(ISNUMBER(VALUE(SUBSTITUTE($BE74:$AAQ74,"B",""))),FALSE),IF(ISNUMBER(VALUE(SUBSTITUTE($BE74:$AAQ74,"B",""))),1,0),0)))</f>
        <v>0</v>
      </c>
      <c r="AP74" t="s">
        <v>137</v>
      </c>
      <c r="AS74" t="s">
        <v>396</v>
      </c>
      <c r="JZ74" s="27" t="str">
        <f t="shared" si="151"/>
        <v>XT55</v>
      </c>
      <c r="KC74" t="str">
        <f t="shared" si="152"/>
        <v>F0-AI6-7B</v>
      </c>
      <c r="KD74" t="str">
        <f t="shared" si="153"/>
        <v>F0-AI6-8B</v>
      </c>
      <c r="KI74">
        <f t="array" ref="KI74">IF(COUNTIFS($U$2:$U74,$U74)=1,1,INDEX(KI:KI,_xlfn.XMATCH(U74,U$1:U73,0,-1))+COUNT(KI73:KM73))</f>
        <v>59</v>
      </c>
      <c r="KJ74">
        <f t="shared" si="154"/>
        <v>60</v>
      </c>
      <c r="KK74">
        <f t="shared" si="154"/>
        <v>61</v>
      </c>
      <c r="KN74">
        <v>1</v>
      </c>
      <c r="KO74" s="16">
        <v>2</v>
      </c>
      <c r="KS74" s="16"/>
    </row>
    <row r="75" spans="1:305" ht="30" x14ac:dyDescent="0.25">
      <c r="A75" s="29" t="s">
        <v>2286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A3.6</v>
      </c>
      <c r="Y75" s="43">
        <f t="array" ref="Y75">IF(COUNTIFS($X$2:$X75,$X75)=1,"1",VALUE(SUBSTITUTE(INDEX(Y:Y,_xlfn.XMATCH($X75,$X$1:$X74,0,-1)),"A",""))+INDEX(Z:Z,_xlfn.XMATCH($X75,$X$1:$X74,0,-1))+1)</f>
        <v>5</v>
      </c>
      <c r="Z75" s="43">
        <f t="array" ref="Z75">SUM(IF(ISNUMBER(FIND("TmAi",$BE$1:$AAQ$1)),IF(IFERROR(ISODD(SUBSTITUTE($BE75:$AAQ75,"A","")),FALSE),IF(ISODD(SUBSTITUTE($BE75:$AAQ75,"A","")),1,0),0)))</f>
        <v>0</v>
      </c>
      <c r="AA75" t="str">
        <f>CONCATENATE($Y75*2-1,"B")</f>
        <v>9B</v>
      </c>
      <c r="AB75" t="str">
        <f>CONCATENATE($Y75*2,"B")</f>
        <v>10B</v>
      </c>
      <c r="AD75" s="46"/>
      <c r="AE75" s="46">
        <f t="array" ref="AE75">SUM(IF(ISNUMBER(FIND("TmDi",$BE$1:$AAQ$1)),IF(IFERROR(ISNUMBER(VALUE(SUBSTITUTE($BE75:$AAQ75,"B",""))),FALSE),IF(ISNUMBER(VALUE(SUBSTITUTE($BE75:$AAQ75,"B",""))),1,0),0)))</f>
        <v>0</v>
      </c>
      <c r="AP75" t="s">
        <v>137</v>
      </c>
      <c r="AS75" t="s">
        <v>396</v>
      </c>
      <c r="JZ75" s="27" t="str">
        <f t="shared" si="151"/>
        <v>XT55</v>
      </c>
      <c r="KC75" t="str">
        <f t="shared" si="152"/>
        <v>F0-AI6-9B</v>
      </c>
      <c r="KD75" t="str">
        <f t="shared" si="153"/>
        <v>F0-AI6-10B</v>
      </c>
      <c r="KI75">
        <f t="array" ref="KI75">IF(COUNTIFS($U$2:$U75,$U75)=1,1,INDEX(KI:KI,_xlfn.XMATCH(U75,U$1:U74,0,-1))+COUNT(KI74:KM74))</f>
        <v>62</v>
      </c>
      <c r="KJ75">
        <f t="shared" si="154"/>
        <v>63</v>
      </c>
      <c r="KK75">
        <f t="shared" si="154"/>
        <v>64</v>
      </c>
      <c r="KN75">
        <v>1</v>
      </c>
      <c r="KO75" s="16">
        <v>2</v>
      </c>
      <c r="KS75" s="16"/>
    </row>
    <row r="76" spans="1:305" ht="30" x14ac:dyDescent="0.25">
      <c r="A76" s="29" t="s">
        <v>2287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A3.6</v>
      </c>
      <c r="Y76" s="43">
        <f t="array" ref="Y76">IF(COUNTIFS($X$2:$X76,$X76)=1,"1",VALUE(SUBSTITUTE(INDEX(Y:Y,_xlfn.XMATCH($X76,$X$1:$X75,0,-1)),"A",""))+INDEX(Z:Z,_xlfn.XMATCH($X76,$X$1:$X75,0,-1))+1)</f>
        <v>6</v>
      </c>
      <c r="Z76" s="43">
        <f t="array" ref="Z76">SUM(IF(ISNUMBER(FIND("TmAi",$BE$1:$AAQ$1)),IF(IFERROR(ISODD(SUBSTITUTE($BE76:$AAQ76,"A","")),FALSE),IF(ISODD(SUBSTITUTE($BE76:$AAQ76,"A","")),1,0),0)))</f>
        <v>0</v>
      </c>
      <c r="AA76" t="str">
        <f>CONCATENATE($Y76*2-1,"A")</f>
        <v>11A</v>
      </c>
      <c r="AB76" t="str">
        <f>CONCATENATE($Y76*2-1,"B")</f>
        <v>11B</v>
      </c>
      <c r="AD76" s="46"/>
      <c r="AE76" s="46">
        <f t="array" ref="AE76">SUM(IF(ISNUMBER(FIND("TmDi",$BE$1:$AAQ$1)),IF(IFERROR(ISNUMBER(VALUE(SUBSTITUTE($BE76:$AAQ76,"B",""))),FALSE),IF(ISNUMBER(VALUE(SUBSTITUTE($BE76:$AAQ76,"B",""))),1,0),0)))</f>
        <v>0</v>
      </c>
      <c r="AP76" t="s">
        <v>137</v>
      </c>
      <c r="AS76" t="s">
        <v>396</v>
      </c>
      <c r="JZ76" s="27" t="str">
        <f t="shared" si="151"/>
        <v>XT55</v>
      </c>
      <c r="KC76" t="str">
        <f t="shared" si="152"/>
        <v>F0-AI6-11A</v>
      </c>
      <c r="KD76" t="str">
        <f t="shared" si="153"/>
        <v>F0-AI6-11B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ref="KJ76:KK92" si="157">KI76+1</f>
        <v>66</v>
      </c>
      <c r="KK76">
        <f t="shared" si="157"/>
        <v>67</v>
      </c>
      <c r="KL76">
        <f>KK76+1</f>
        <v>68</v>
      </c>
      <c r="KM76">
        <f>KL76+1</f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ht="30" x14ac:dyDescent="0.25">
      <c r="A77" s="29" t="s">
        <v>2288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A3.6</v>
      </c>
      <c r="Y77" s="43">
        <f t="array" ref="Y77">IF(COUNTIFS($X$2:$X77,$X77)=1,"1",VALUE(SUBSTITUTE(INDEX(Y:Y,_xlfn.XMATCH($X77,$X$1:$X76,0,-1)),"A",""))+INDEX(Z:Z,_xlfn.XMATCH($X77,$X$1:$X76,0,-1))+1)</f>
        <v>7</v>
      </c>
      <c r="Z77" s="43">
        <f t="array" ref="Z77">SUM(IF(ISNUMBER(FIND("TmAi",$BE$1:$AAQ$1)),IF(IFERROR(ISODD(SUBSTITUTE($BE77:$AAQ77,"A","")),FALSE),IF(ISODD(SUBSTITUTE($BE77:$AAQ77,"A","")),1,0),0)))</f>
        <v>0</v>
      </c>
      <c r="AA77" t="str">
        <f t="shared" ref="AA77:AA88" si="158">CONCATENATE($Y77*2-1,"B")</f>
        <v>13B</v>
      </c>
      <c r="AB77" t="str">
        <f t="shared" ref="AB77:AB88" si="159">CONCATENATE($Y77*2,"B")</f>
        <v>14B</v>
      </c>
      <c r="AD77" s="46"/>
      <c r="AE77" s="46">
        <f t="array" ref="AE77">SUM(IF(ISNUMBER(FIND("TmDi",$BE$1:$AAQ$1)),IF(IFERROR(ISNUMBER(VALUE(SUBSTITUTE($BE77:$AAQ77,"B",""))),FALSE),IF(ISNUMBER(VALUE(SUBSTITUTE($BE77:$AAQ77,"B",""))),1,0),0)))</f>
        <v>0</v>
      </c>
      <c r="AP77" t="s">
        <v>137</v>
      </c>
      <c r="AS77" t="s">
        <v>396</v>
      </c>
      <c r="JZ77" s="27" t="str">
        <f t="shared" si="151"/>
        <v>XT55</v>
      </c>
      <c r="KC77" t="str">
        <f t="shared" si="152"/>
        <v>F0-AI6-13B</v>
      </c>
      <c r="KD77" t="str">
        <f t="shared" si="153"/>
        <v>F0-AI6-14B</v>
      </c>
      <c r="KI77">
        <f t="array" ref="KI77">IF(COUNTIFS($U$2:$U77,$U77)=1,1,INDEX(KI:KI,_xlfn.XMATCH(U77,U$1:U76,0,-1))+COUNT(KI76:KM76))</f>
        <v>70</v>
      </c>
      <c r="KJ77">
        <f t="shared" si="157"/>
        <v>71</v>
      </c>
      <c r="KK77">
        <f t="shared" si="157"/>
        <v>72</v>
      </c>
      <c r="KN77">
        <v>1</v>
      </c>
      <c r="KO77" s="16">
        <v>2</v>
      </c>
      <c r="KS77" s="16"/>
    </row>
    <row r="78" spans="1:305" ht="30" x14ac:dyDescent="0.25">
      <c r="A78" s="29" t="s">
        <v>2289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A3.6</v>
      </c>
      <c r="Y78" s="43">
        <f t="array" ref="Y78">IF(COUNTIFS($X$2:$X78,$X78)=1,"1",VALUE(SUBSTITUTE(INDEX(Y:Y,_xlfn.XMATCH($X78,$X$1:$X77,0,-1)),"A",""))+INDEX(Z:Z,_xlfn.XMATCH($X78,$X$1:$X77,0,-1))+1)</f>
        <v>8</v>
      </c>
      <c r="Z78" s="43">
        <f t="array" ref="Z78">SUM(IF(ISNUMBER(FIND("TmAi",$BE$1:$AAQ$1)),IF(IFERROR(ISODD(SUBSTITUTE($BE78:$AAQ78,"A","")),FALSE),IF(ISODD(SUBSTITUTE($BE78:$AAQ78,"A","")),1,0),0)))</f>
        <v>0</v>
      </c>
      <c r="AA78" t="str">
        <f t="shared" si="158"/>
        <v>15B</v>
      </c>
      <c r="AB78" t="str">
        <f t="shared" si="159"/>
        <v>16B</v>
      </c>
      <c r="AD78" s="46"/>
      <c r="AE78" s="46">
        <f t="array" ref="AE78">SUM(IF(ISNUMBER(FIND("TmDi",$BE$1:$AAQ$1)),IF(IFERROR(ISNUMBER(VALUE(SUBSTITUTE($BE78:$AAQ78,"B",""))),FALSE),IF(ISNUMBER(VALUE(SUBSTITUTE($BE78:$AAQ78,"B",""))),1,0),0)))</f>
        <v>0</v>
      </c>
      <c r="AP78" t="s">
        <v>137</v>
      </c>
      <c r="AS78" t="s">
        <v>396</v>
      </c>
      <c r="JZ78" s="27" t="str">
        <f t="shared" si="151"/>
        <v>XT55</v>
      </c>
      <c r="KC78" t="str">
        <f t="shared" si="152"/>
        <v>F0-AI6-15B</v>
      </c>
      <c r="KD78" t="str">
        <f t="shared" si="153"/>
        <v>F0-AI6-16B</v>
      </c>
      <c r="KI78">
        <f t="array" ref="KI78">IF(COUNTIFS($U$2:$U78,$U78)=1,1,INDEX(KI:KI,_xlfn.XMATCH(U78,U$1:U77,0,-1))+COUNT(KI77:KM77))</f>
        <v>73</v>
      </c>
      <c r="KJ78">
        <f t="shared" si="157"/>
        <v>74</v>
      </c>
      <c r="KK78">
        <f t="shared" si="157"/>
        <v>75</v>
      </c>
      <c r="KN78">
        <v>1</v>
      </c>
      <c r="KO78" s="16">
        <v>2</v>
      </c>
      <c r="KS78" s="16"/>
    </row>
    <row r="79" spans="1:305" ht="30" x14ac:dyDescent="0.25">
      <c r="A79" s="29" t="s">
        <v>2290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A3.7</v>
      </c>
      <c r="Y79" s="43" t="str">
        <f t="array" ref="Y79">IF(COUNTIFS($X$2:$X79,$X79)=1,"1",VALUE(SUBSTITUTE(INDEX(Y:Y,_xlfn.XMATCH($X79,$X$1:$X78,0,-1)),"A",""))+INDEX(Z:Z,_xlfn.XMATCH($X79,$X$1:$X78,0,-1))+1)</f>
        <v>1</v>
      </c>
      <c r="Z79" s="43">
        <f t="array" ref="Z79">SUM(IF(ISNUMBER(FIND("TmAi",$BE$1:$AAQ$1)),IF(IFERROR(ISODD(SUBSTITUTE($BE79:$AAQ79,"A","")),FALSE),IF(ISODD(SUBSTITUTE($BE79:$AAQ79,"A","")),1,0),0)))</f>
        <v>0</v>
      </c>
      <c r="AA79" t="str">
        <f t="shared" si="158"/>
        <v>1B</v>
      </c>
      <c r="AB79" t="str">
        <f t="shared" si="159"/>
        <v>2B</v>
      </c>
      <c r="AD79" s="46"/>
      <c r="AE79" s="46">
        <f t="array" ref="AE79">SUM(IF(ISNUMBER(FIND("TmDi",$BE$1:$AAQ$1)),IF(IFERROR(ISNUMBER(VALUE(SUBSTITUTE($BE79:$AAQ79,"B",""))),FALSE),IF(ISNUMBER(VALUE(SUBSTITUTE($BE79:$AAQ79,"B",""))),1,0),0)))</f>
        <v>0</v>
      </c>
      <c r="AP79" t="s">
        <v>137</v>
      </c>
      <c r="AS79" t="s">
        <v>396</v>
      </c>
      <c r="JZ79" s="27" t="str">
        <f t="shared" si="151"/>
        <v>XT55</v>
      </c>
      <c r="KC79" t="str">
        <f t="shared" si="152"/>
        <v>F0-AI7-1B</v>
      </c>
      <c r="KD79" t="str">
        <f t="shared" si="153"/>
        <v>F0-AI7-2B</v>
      </c>
      <c r="KI79">
        <f t="array" ref="KI79">IF(COUNTIFS($U$2:$U79,$U79)=1,1,INDEX(KI:KI,_xlfn.XMATCH(U79,U$1:U78,0,-1))+COUNT(KI78:KM78))</f>
        <v>76</v>
      </c>
      <c r="KJ79">
        <f t="shared" si="157"/>
        <v>77</v>
      </c>
      <c r="KK79">
        <f t="shared" si="157"/>
        <v>78</v>
      </c>
      <c r="KN79">
        <v>1</v>
      </c>
      <c r="KO79" s="16">
        <v>2</v>
      </c>
      <c r="KS79" s="16"/>
    </row>
    <row r="80" spans="1:305" ht="30" x14ac:dyDescent="0.25">
      <c r="A80" s="29" t="s">
        <v>2291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A3.7</v>
      </c>
      <c r="Y80" s="43">
        <f t="array" ref="Y80">IF(COUNTIFS($X$2:$X80,$X80)=1,"1",VALUE(SUBSTITUTE(INDEX(Y:Y,_xlfn.XMATCH($X80,$X$1:$X79,0,-1)),"A",""))+INDEX(Z:Z,_xlfn.XMATCH($X80,$X$1:$X79,0,-1))+1)</f>
        <v>2</v>
      </c>
      <c r="Z80" s="43">
        <f t="array" ref="Z80">SUM(IF(ISNUMBER(FIND("TmAi",$BE$1:$AAQ$1)),IF(IFERROR(ISODD(SUBSTITUTE($BE80:$AAQ80,"A","")),FALSE),IF(ISODD(SUBSTITUTE($BE80:$AAQ80,"A","")),1,0),0)))</f>
        <v>0</v>
      </c>
      <c r="AA80" t="str">
        <f t="shared" si="158"/>
        <v>3B</v>
      </c>
      <c r="AB80" t="str">
        <f t="shared" si="159"/>
        <v>4B</v>
      </c>
      <c r="AD80" s="46"/>
      <c r="AE80" s="46">
        <f t="array" ref="AE80">SUM(IF(ISNUMBER(FIND("TmDi",$BE$1:$AAQ$1)),IF(IFERROR(ISNUMBER(VALUE(SUBSTITUTE($BE80:$AAQ80,"B",""))),FALSE),IF(ISNUMBER(VALUE(SUBSTITUTE($BE80:$AAQ80,"B",""))),1,0),0)))</f>
        <v>0</v>
      </c>
      <c r="AP80" t="s">
        <v>137</v>
      </c>
      <c r="AS80" t="s">
        <v>396</v>
      </c>
      <c r="JZ80" s="27" t="str">
        <f t="shared" si="151"/>
        <v>XT55</v>
      </c>
      <c r="KC80" t="str">
        <f t="shared" si="152"/>
        <v>F0-AI7-3B</v>
      </c>
      <c r="KD80" t="str">
        <f t="shared" si="153"/>
        <v>F0-AI7-4B</v>
      </c>
      <c r="KI80">
        <f t="array" ref="KI80">IF(COUNTIFS($U$2:$U80,$U80)=1,1,INDEX(KI:KI,_xlfn.XMATCH(U80,U$1:U79,0,-1))+COUNT(KI79:KM79))</f>
        <v>79</v>
      </c>
      <c r="KJ80">
        <f t="shared" si="157"/>
        <v>80</v>
      </c>
      <c r="KK80">
        <f t="shared" si="157"/>
        <v>81</v>
      </c>
      <c r="KN80">
        <v>1</v>
      </c>
      <c r="KO80" s="16">
        <v>2</v>
      </c>
      <c r="KS80" s="16"/>
    </row>
    <row r="81" spans="1:305" ht="30" x14ac:dyDescent="0.25">
      <c r="A81" s="29" t="s">
        <v>2292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A3.7</v>
      </c>
      <c r="Y81" s="45">
        <f t="array" ref="Y81">IF(COUNTIFS($X$2:$X81,$X81)=1,"1",VALUE(SUBSTITUTE(INDEX(Y:Y,_xlfn.XMATCH($X81,$X$1:$X80,0,-1)),"A",""))+INDEX(Z:Z,_xlfn.XMATCH($X81,$X$1:$X80,0,-1))+1)</f>
        <v>3</v>
      </c>
      <c r="Z81" s="43">
        <f t="array" ref="Z81">SUM(IF(ISNUMBER(FIND("TmAi",$BE$1:$AAQ$1)),IF(IFERROR(ISODD(SUBSTITUTE($BE81:$AAQ81,"A","")),FALSE),IF(ISODD(SUBSTITUTE($BE81:$AAQ81,"A","")),1,0),0)))</f>
        <v>0</v>
      </c>
      <c r="AA81" t="str">
        <f t="shared" si="158"/>
        <v>5B</v>
      </c>
      <c r="AB81" t="str">
        <f t="shared" si="159"/>
        <v>6B</v>
      </c>
      <c r="AD81" s="46"/>
      <c r="AE81" s="46">
        <f t="array" ref="AE81">SUM(IF(ISNUMBER(FIND("TmDi",$BE$1:$AAQ$1)),IF(IFERROR(ISNUMBER(VALUE(SUBSTITUTE($BE81:$AAQ81,"B",""))),FALSE),IF(ISNUMBER(VALUE(SUBSTITUTE($BE81:$AAQ81,"B",""))),1,0),0)))</f>
        <v>0</v>
      </c>
      <c r="AP81" t="s">
        <v>137</v>
      </c>
      <c r="AS81" t="s">
        <v>396</v>
      </c>
      <c r="JZ81" s="27" t="str">
        <f t="shared" si="151"/>
        <v>XT55</v>
      </c>
      <c r="KC81" t="str">
        <f t="shared" si="152"/>
        <v>F0-AI7-5B</v>
      </c>
      <c r="KD81" t="str">
        <f t="shared" si="153"/>
        <v>F0-AI7-6B</v>
      </c>
      <c r="KI81">
        <f t="array" ref="KI81">IF(COUNTIFS($U$2:$U81,$U81)=1,1,INDEX(KI:KI,_xlfn.XMATCH(U81,U$1:U80,0,-1))+COUNT(KI80:KM80))</f>
        <v>82</v>
      </c>
      <c r="KJ81">
        <f t="shared" si="157"/>
        <v>83</v>
      </c>
      <c r="KK81">
        <f t="shared" si="157"/>
        <v>84</v>
      </c>
      <c r="KN81">
        <v>1</v>
      </c>
      <c r="KO81" s="16">
        <v>2</v>
      </c>
      <c r="KS81" s="16"/>
    </row>
    <row r="82" spans="1:305" ht="30" x14ac:dyDescent="0.25">
      <c r="A82" s="29" t="s">
        <v>2293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A3.7</v>
      </c>
      <c r="Y82" s="43">
        <f t="array" ref="Y82">IF(COUNTIFS($X$2:$X82,$X82)=1,"1",VALUE(SUBSTITUTE(INDEX(Y:Y,_xlfn.XMATCH($X82,$X$1:$X81,0,-1)),"A",""))+INDEX(Z:Z,_xlfn.XMATCH($X82,$X$1:$X81,0,-1))+1)</f>
        <v>4</v>
      </c>
      <c r="Z82" s="43">
        <f t="array" ref="Z82">SUM(IF(ISNUMBER(FIND("TmAi",$BE$1:$AAQ$1)),IF(IFERROR(ISODD(SUBSTITUTE($BE82:$AAQ82,"A","")),FALSE),IF(ISODD(SUBSTITUTE($BE82:$AAQ82,"A","")),1,0),0)))</f>
        <v>0</v>
      </c>
      <c r="AA82" t="str">
        <f t="shared" si="158"/>
        <v>7B</v>
      </c>
      <c r="AB82" t="str">
        <f t="shared" si="159"/>
        <v>8B</v>
      </c>
      <c r="AD82" s="46"/>
      <c r="AE82" s="46">
        <f t="array" ref="AE82">SUM(IF(ISNUMBER(FIND("TmDi",$BE$1:$AAQ$1)),IF(IFERROR(ISNUMBER(VALUE(SUBSTITUTE($BE82:$AAQ82,"B",""))),FALSE),IF(ISNUMBER(VALUE(SUBSTITUTE($BE82:$AAQ82,"B",""))),1,0),0)))</f>
        <v>0</v>
      </c>
      <c r="AP82" t="s">
        <v>137</v>
      </c>
      <c r="AS82" t="s">
        <v>396</v>
      </c>
      <c r="JZ82" s="27" t="str">
        <f t="shared" si="151"/>
        <v>XT55</v>
      </c>
      <c r="KC82" t="str">
        <f t="shared" si="152"/>
        <v>F0-AI7-7B</v>
      </c>
      <c r="KD82" t="str">
        <f t="shared" si="153"/>
        <v>F0-AI7-8B</v>
      </c>
      <c r="KI82">
        <f t="array" ref="KI82">IF(COUNTIFS($U$2:$U82,$U82)=1,1,INDEX(KI:KI,_xlfn.XMATCH(U82,U$1:U81,0,-1))+COUNT(KI81:KM81))</f>
        <v>85</v>
      </c>
      <c r="KJ82">
        <f t="shared" si="157"/>
        <v>86</v>
      </c>
      <c r="KK82">
        <f t="shared" si="157"/>
        <v>87</v>
      </c>
      <c r="KN82">
        <v>1</v>
      </c>
      <c r="KO82" s="16">
        <v>2</v>
      </c>
      <c r="KS82" s="16"/>
    </row>
    <row r="83" spans="1:305" ht="30" x14ac:dyDescent="0.25">
      <c r="A83" s="29" t="s">
        <v>2294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">
        <v>2002</v>
      </c>
      <c r="Y83" s="43" t="str">
        <f t="array" ref="Y83">IF(COUNTIFS($X$2:$X83,$X83)=1,"1",VALUE(SUBSTITUTE(INDEX(Y:Y,_xlfn.XMATCH($X83,$X$1:$X82,0,-1)),"A",""))+INDEX(Z:Z,_xlfn.XMATCH($X83,$X$1:$X82,0,-1))+1)</f>
        <v>1</v>
      </c>
      <c r="Z83" s="43">
        <f t="array" ref="Z83">SUM(IF(ISNUMBER(FIND("TmAi",$BE$1:$AAQ$1)),IF(IFERROR(ISODD(SUBSTITUTE($BE83:$AAQ83,"A","")),FALSE),IF(ISODD(SUBSTITUTE($BE83:$AAQ83,"A","")),1,0),0)))</f>
        <v>0</v>
      </c>
      <c r="AA83" t="str">
        <f t="shared" si="158"/>
        <v>1B</v>
      </c>
      <c r="AB83" t="str">
        <f t="shared" si="159"/>
        <v>2B</v>
      </c>
      <c r="AD83" s="46"/>
      <c r="AE83" s="46">
        <f t="array" ref="AE83">SUM(IF(ISNUMBER(FIND("TmDi",$BE$1:$AAQ$1)),IF(IFERROR(ISNUMBER(VALUE(SUBSTITUTE($BE83:$AAQ83,"B",""))),FALSE),IF(ISNUMBER(VALUE(SUBSTITUTE($BE83:$AAQ83,"B",""))),1,0),0)))</f>
        <v>0</v>
      </c>
      <c r="AP83" t="s">
        <v>137</v>
      </c>
      <c r="AS83" t="s">
        <v>396</v>
      </c>
      <c r="JZ83" s="27" t="str">
        <f t="shared" si="151"/>
        <v>XT55</v>
      </c>
      <c r="KC83" t="str">
        <f t="shared" si="152"/>
        <v>F0-AI8-1B</v>
      </c>
      <c r="KD83" t="str">
        <f t="shared" si="153"/>
        <v>F0-AI8-2B</v>
      </c>
      <c r="KI83">
        <f t="array" ref="KI83">IF(COUNTIFS($U$2:$U83,$U83)=1,1,INDEX(KI:KI,_xlfn.XMATCH(U83,U$1:U82,0,-1))+COUNT(KI82:KM82))</f>
        <v>88</v>
      </c>
      <c r="KJ83">
        <f t="shared" si="157"/>
        <v>89</v>
      </c>
      <c r="KK83">
        <f t="shared" si="157"/>
        <v>90</v>
      </c>
      <c r="KN83">
        <v>1</v>
      </c>
      <c r="KO83" s="16">
        <v>2</v>
      </c>
      <c r="KS83" s="16"/>
    </row>
    <row r="84" spans="1:305" ht="30" x14ac:dyDescent="0.25">
      <c r="A84" s="29" t="s">
        <v>2295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A3.8</v>
      </c>
      <c r="Y84" s="43">
        <f t="array" ref="Y84">IF(COUNTIFS($X$2:$X84,$X84)=1,"1",VALUE(SUBSTITUTE(INDEX(Y:Y,_xlfn.XMATCH($X84,$X$1:$X83,0,-1)),"A",""))+INDEX(Z:Z,_xlfn.XMATCH($X84,$X$1:$X83,0,-1))+1)</f>
        <v>2</v>
      </c>
      <c r="Z84" s="43">
        <f t="array" ref="Z84">SUM(IF(ISNUMBER(FIND("TmAi",$BE$1:$AAQ$1)),IF(IFERROR(ISODD(SUBSTITUTE($BE84:$AAQ84,"A","")),FALSE),IF(ISODD(SUBSTITUTE($BE84:$AAQ84,"A","")),1,0),0)))</f>
        <v>0</v>
      </c>
      <c r="AA84" t="str">
        <f t="shared" si="158"/>
        <v>3B</v>
      </c>
      <c r="AB84" t="str">
        <f t="shared" si="159"/>
        <v>4B</v>
      </c>
      <c r="AD84" s="46"/>
      <c r="AE84" s="46">
        <f t="array" ref="AE84">SUM(IF(ISNUMBER(FIND("TmDi",$BE$1:$AAQ$1)),IF(IFERROR(ISNUMBER(VALUE(SUBSTITUTE($BE84:$AAQ84,"B",""))),FALSE),IF(ISNUMBER(VALUE(SUBSTITUTE($BE84:$AAQ84,"B",""))),1,0),0)))</f>
        <v>0</v>
      </c>
      <c r="AP84" t="s">
        <v>137</v>
      </c>
      <c r="AS84" t="s">
        <v>396</v>
      </c>
      <c r="JZ84" s="27" t="str">
        <f t="shared" si="151"/>
        <v>XT55</v>
      </c>
      <c r="KC84" t="str">
        <f t="shared" si="152"/>
        <v>F0-AI8-3B</v>
      </c>
      <c r="KD84" t="str">
        <f t="shared" si="153"/>
        <v>F0-AI8-4B</v>
      </c>
      <c r="KI84">
        <f t="array" ref="KI84">IF(COUNTIFS($U$2:$U84,$U84)=1,1,INDEX(KI:KI,_xlfn.XMATCH(U84,U$1:U83,0,-1))+COUNT(KI83:KM83))</f>
        <v>91</v>
      </c>
      <c r="KJ84">
        <f t="shared" si="157"/>
        <v>92</v>
      </c>
      <c r="KK84">
        <f t="shared" si="157"/>
        <v>93</v>
      </c>
      <c r="KN84">
        <v>1</v>
      </c>
      <c r="KO84" s="16">
        <v>2</v>
      </c>
      <c r="KS84" s="16"/>
    </row>
    <row r="85" spans="1:305" ht="30" x14ac:dyDescent="0.25">
      <c r="A85" s="29" t="s">
        <v>2296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A3.8</v>
      </c>
      <c r="Y85" s="43">
        <f t="array" ref="Y85">IF(COUNTIFS($X$2:$X85,$X85)=1,"1",VALUE(SUBSTITUTE(INDEX(Y:Y,_xlfn.XMATCH($X85,$X$1:$X84,0,-1)),"A",""))+INDEX(Z:Z,_xlfn.XMATCH($X85,$X$1:$X84,0,-1))+1)</f>
        <v>3</v>
      </c>
      <c r="Z85" s="43">
        <f t="array" ref="Z85">SUM(IF(ISNUMBER(FIND("TmAi",$BE$1:$AAQ$1)),IF(IFERROR(ISODD(SUBSTITUTE($BE85:$AAQ85,"A","")),FALSE),IF(ISODD(SUBSTITUTE($BE85:$AAQ85,"A","")),1,0),0)))</f>
        <v>0</v>
      </c>
      <c r="AA85" t="str">
        <f t="shared" si="158"/>
        <v>5B</v>
      </c>
      <c r="AB85" t="str">
        <f t="shared" si="159"/>
        <v>6B</v>
      </c>
      <c r="AD85" s="46"/>
      <c r="AE85" s="46">
        <f t="array" ref="AE85">SUM(IF(ISNUMBER(FIND("TmDi",$BE$1:$AAQ$1)),IF(IFERROR(ISNUMBER(VALUE(SUBSTITUTE($BE85:$AAQ85,"B",""))),FALSE),IF(ISNUMBER(VALUE(SUBSTITUTE($BE85:$AAQ85,"B",""))),1,0),0)))</f>
        <v>0</v>
      </c>
      <c r="AP85" t="s">
        <v>137</v>
      </c>
      <c r="AS85" t="s">
        <v>396</v>
      </c>
      <c r="JZ85" s="27" t="str">
        <f t="shared" si="151"/>
        <v>XT55</v>
      </c>
      <c r="KC85" t="str">
        <f t="shared" si="152"/>
        <v>F0-AI8-5B</v>
      </c>
      <c r="KD85" t="str">
        <f t="shared" si="153"/>
        <v>F0-AI8-6B</v>
      </c>
      <c r="KI85">
        <f t="array" ref="KI85">IF(COUNTIFS($U$2:$U85,$U85)=1,1,INDEX(KI:KI,_xlfn.XMATCH(U85,U$1:U84,0,-1))+COUNT(KI84:KM84))</f>
        <v>94</v>
      </c>
      <c r="KJ85">
        <f t="shared" si="157"/>
        <v>95</v>
      </c>
      <c r="KK85">
        <f t="shared" si="157"/>
        <v>96</v>
      </c>
      <c r="KN85">
        <v>1</v>
      </c>
      <c r="KO85" s="16">
        <v>2</v>
      </c>
      <c r="KS85" s="16"/>
    </row>
    <row r="86" spans="1:305" ht="30" x14ac:dyDescent="0.25">
      <c r="A86" s="29" t="s">
        <v>2297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A3.8</v>
      </c>
      <c r="Y86" s="43">
        <f t="array" ref="Y86">IF(COUNTIFS($X$2:$X86,$X86)=1,"1",VALUE(SUBSTITUTE(INDEX(Y:Y,_xlfn.XMATCH($X86,$X$1:$X85,0,-1)),"A",""))+INDEX(Z:Z,_xlfn.XMATCH($X86,$X$1:$X85,0,-1))+1)</f>
        <v>4</v>
      </c>
      <c r="Z86" s="43">
        <f t="array" ref="Z86">SUM(IF(ISNUMBER(FIND("TmAi",$BE$1:$AAQ$1)),IF(IFERROR(ISODD(SUBSTITUTE($BE86:$AAQ86,"A","")),FALSE),IF(ISODD(SUBSTITUTE($BE86:$AAQ86,"A","")),1,0),0)))</f>
        <v>0</v>
      </c>
      <c r="AA86" t="str">
        <f t="shared" si="158"/>
        <v>7B</v>
      </c>
      <c r="AB86" t="str">
        <f t="shared" si="159"/>
        <v>8B</v>
      </c>
      <c r="AD86" s="46"/>
      <c r="AE86" s="46">
        <f t="array" ref="AE86">SUM(IF(ISNUMBER(FIND("TmDi",$BE$1:$AAQ$1)),IF(IFERROR(ISNUMBER(VALUE(SUBSTITUTE($BE86:$AAQ86,"B",""))),FALSE),IF(ISNUMBER(VALUE(SUBSTITUTE($BE86:$AAQ86,"B",""))),1,0),0)))</f>
        <v>0</v>
      </c>
      <c r="AP86" t="s">
        <v>137</v>
      </c>
      <c r="AS86" t="s">
        <v>396</v>
      </c>
      <c r="JZ86" s="27" t="str">
        <f t="shared" si="151"/>
        <v>XT55</v>
      </c>
      <c r="KC86" t="str">
        <f t="shared" si="152"/>
        <v>F0-AI8-7B</v>
      </c>
      <c r="KD86" t="str">
        <f t="shared" si="153"/>
        <v>F0-AI8-8B</v>
      </c>
      <c r="KI86">
        <f t="array" ref="KI86">IF(COUNTIFS($U$2:$U86,$U86)=1,1,INDEX(KI:KI,_xlfn.XMATCH(U86,U$1:U85,0,-1))+COUNT(KI85:KM85))</f>
        <v>97</v>
      </c>
      <c r="KJ86">
        <f t="shared" si="157"/>
        <v>98</v>
      </c>
      <c r="KK86">
        <f t="shared" si="157"/>
        <v>99</v>
      </c>
      <c r="KN86">
        <v>1</v>
      </c>
      <c r="KO86" s="16">
        <v>2</v>
      </c>
      <c r="KS86" s="16"/>
    </row>
    <row r="87" spans="1:305" ht="30" x14ac:dyDescent="0.25">
      <c r="A87" s="29" t="s">
        <v>2298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A3.8</v>
      </c>
      <c r="Y87" s="43">
        <f t="array" ref="Y87">IF(COUNTIFS($X$2:$X87,$X87)=1,"1",VALUE(SUBSTITUTE(INDEX(Y:Y,_xlfn.XMATCH($X87,$X$1:$X86,0,-1)),"A",""))+INDEX(Z:Z,_xlfn.XMATCH($X87,$X$1:$X86,0,-1))+1)</f>
        <v>5</v>
      </c>
      <c r="Z87" s="43">
        <f t="array" ref="Z87">SUM(IF(ISNUMBER(FIND("TmAi",$BE$1:$AAQ$1)),IF(IFERROR(ISODD(SUBSTITUTE($BE87:$AAQ87,"A","")),FALSE),IF(ISODD(SUBSTITUTE($BE87:$AAQ87,"A","")),1,0),0)))</f>
        <v>0</v>
      </c>
      <c r="AA87" t="str">
        <f t="shared" si="158"/>
        <v>9B</v>
      </c>
      <c r="AB87" t="str">
        <f t="shared" si="159"/>
        <v>10B</v>
      </c>
      <c r="AD87" s="46"/>
      <c r="AE87" s="46">
        <f t="array" ref="AE87">SUM(IF(ISNUMBER(FIND("TmDi",$BE$1:$AAQ$1)),IF(IFERROR(ISNUMBER(VALUE(SUBSTITUTE($BE87:$AAQ87,"B",""))),FALSE),IF(ISNUMBER(VALUE(SUBSTITUTE($BE87:$AAQ87,"B",""))),1,0),0)))</f>
        <v>0</v>
      </c>
      <c r="AP87" t="s">
        <v>137</v>
      </c>
      <c r="AS87" t="s">
        <v>396</v>
      </c>
      <c r="JZ87" s="27" t="str">
        <f t="shared" si="151"/>
        <v>XT55</v>
      </c>
      <c r="KC87" t="str">
        <f t="shared" si="152"/>
        <v>F0-AI8-9B</v>
      </c>
      <c r="KD87" t="str">
        <f t="shared" si="153"/>
        <v>F0-AI8-10B</v>
      </c>
      <c r="KI87">
        <f t="array" ref="KI87">IF(COUNTIFS($U$2:$U87,$U87)=1,1,INDEX(KI:KI,_xlfn.XMATCH(U87,U$1:U86,0,-1))+COUNT(KI86:KM86))</f>
        <v>100</v>
      </c>
      <c r="KJ87">
        <f t="shared" si="157"/>
        <v>101</v>
      </c>
      <c r="KK87">
        <f t="shared" si="157"/>
        <v>102</v>
      </c>
      <c r="KN87">
        <v>1</v>
      </c>
      <c r="KO87" s="16">
        <v>2</v>
      </c>
      <c r="KS87" s="16"/>
    </row>
    <row r="88" spans="1:305" ht="30" x14ac:dyDescent="0.25">
      <c r="A88" s="29" t="s">
        <v>2299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A3.8</v>
      </c>
      <c r="Y88" s="43">
        <f t="array" ref="Y88">IF(COUNTIFS($X$2:$X88,$X88)=1,"1",VALUE(SUBSTITUTE(INDEX(Y:Y,_xlfn.XMATCH($X88,$X$1:$X87,0,-1)),"A",""))+INDEX(Z:Z,_xlfn.XMATCH($X88,$X$1:$X87,0,-1))+1)</f>
        <v>6</v>
      </c>
      <c r="Z88" s="43">
        <f t="array" ref="Z88">SUM(IF(ISNUMBER(FIND("TmAi",$BE$1:$AAQ$1)),IF(IFERROR(ISODD(SUBSTITUTE($BE88:$AAQ88,"A","")),FALSE),IF(ISODD(SUBSTITUTE($BE88:$AAQ88,"A","")),1,0),0)))</f>
        <v>0</v>
      </c>
      <c r="AA88" t="str">
        <f t="shared" si="158"/>
        <v>11B</v>
      </c>
      <c r="AB88" t="str">
        <f t="shared" si="159"/>
        <v>12B</v>
      </c>
      <c r="AD88" s="46"/>
      <c r="AE88" s="46">
        <f t="array" ref="AE88">SUM(IF(ISNUMBER(FIND("TmDi",$BE$1:$AAQ$1)),IF(IFERROR(ISNUMBER(VALUE(SUBSTITUTE($BE88:$AAQ88,"B",""))),FALSE),IF(ISNUMBER(VALUE(SUBSTITUTE($BE88:$AAQ88,"B",""))),1,0),0)))</f>
        <v>0</v>
      </c>
      <c r="AP88" t="s">
        <v>137</v>
      </c>
      <c r="AS88" t="s">
        <v>396</v>
      </c>
      <c r="JZ88" s="27" t="str">
        <f t="shared" ref="JZ88:JZ119" si="160">CONCATENATE("XT",U88)</f>
        <v>XT55</v>
      </c>
      <c r="KC88" t="str">
        <f t="shared" ref="KC88:KC119" si="161">CONCATENATE(T88,"-AI",REPLACE($X88,1,3,""),"-",AA88)</f>
        <v>F0-AI8-11B</v>
      </c>
      <c r="KD88" t="str">
        <f t="shared" ref="KD88:KD119" si="162">CONCATENATE(T88,"-AI",REPLACE($X88,1,3,""),"-",AB88)</f>
        <v>F0-AI8-12B</v>
      </c>
      <c r="KI88">
        <f t="array" ref="KI88">IF(COUNTIFS($U$2:$U88,$U88)=1,1,INDEX(KI:KI,_xlfn.XMATCH(U88,U$1:U87,0,-1))+COUNT(KI87:KM87))</f>
        <v>103</v>
      </c>
      <c r="KJ88">
        <f t="shared" si="157"/>
        <v>104</v>
      </c>
      <c r="KK88">
        <f t="shared" si="157"/>
        <v>105</v>
      </c>
      <c r="KN88">
        <v>1</v>
      </c>
      <c r="KO88" s="16">
        <v>2</v>
      </c>
      <c r="KS88" s="16"/>
    </row>
    <row r="89" spans="1:305" ht="30" x14ac:dyDescent="0.25">
      <c r="A89" s="29" t="s">
        <v>2300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">
        <v>2003</v>
      </c>
      <c r="Y89" s="45" t="str">
        <f t="array" ref="Y89">IF(COUNTIFS($X$2:$X89,$X89)=1,"1",VALUE(SUBSTITUTE(INDEX(Y:Y,_xlfn.XMATCH($X89,$X$1:$X88,0,-1)),"A",""))+INDEX(Z:Z,_xlfn.XMATCH($X89,$X$1:$X88,0,-1))+1)</f>
        <v>1</v>
      </c>
      <c r="Z89" s="43">
        <f t="array" ref="Z89">SUM(IF(ISNUMBER(FIND("TmAi",$BE$1:$AAQ$1)),IF(IFERROR(ISODD(SUBSTITUTE($BE89:$AAQ89,"A","")),FALSE),IF(ISODD(SUBSTITUTE($BE89:$AAQ89,"A","")),1,0),0)))</f>
        <v>0</v>
      </c>
      <c r="AA89" t="str">
        <f>CONCATENATE($Y89*2-1,"A")</f>
        <v>1A</v>
      </c>
      <c r="AB89" t="str">
        <f>CONCATENATE($Y89*2-1,"B")</f>
        <v>1B</v>
      </c>
      <c r="AD89" s="46"/>
      <c r="AE89" s="46">
        <f t="array" ref="AE89">SUM(IF(ISNUMBER(FIND("TmDi",$BE$1:$AAQ$1)),IF(IFERROR(ISNUMBER(VALUE(SUBSTITUTE($BE89:$AAQ89,"B",""))),FALSE),IF(ISNUMBER(VALUE(SUBSTITUTE($BE89:$AAQ89,"B",""))),1,0),0)))</f>
        <v>0</v>
      </c>
      <c r="AP89" t="s">
        <v>137</v>
      </c>
      <c r="AS89" t="s">
        <v>396</v>
      </c>
      <c r="JZ89" s="27" t="str">
        <f t="shared" si="160"/>
        <v>XT55</v>
      </c>
      <c r="KC89" t="str">
        <f t="shared" si="161"/>
        <v>F0-AI9-1A</v>
      </c>
      <c r="KD89" t="str">
        <f t="shared" si="162"/>
        <v>F0-AI9-1B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57"/>
        <v>107</v>
      </c>
      <c r="KK89">
        <f t="shared" si="157"/>
        <v>108</v>
      </c>
      <c r="KL89">
        <f>KK89+1</f>
        <v>109</v>
      </c>
      <c r="KM89">
        <f>KL89+1</f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ht="30" x14ac:dyDescent="0.25">
      <c r="A90" s="29" t="s">
        <v>2301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A3.9</v>
      </c>
      <c r="Y90" s="43">
        <f t="array" ref="Y90">IF(COUNTIFS($X$2:$X90,$X90)=1,"1",VALUE(SUBSTITUTE(INDEX(Y:Y,_xlfn.XMATCH($X90,$X$1:$X89,0,-1)),"A",""))+INDEX(Z:Z,_xlfn.XMATCH($X90,$X$1:$X89,0,-1))+1)</f>
        <v>2</v>
      </c>
      <c r="Z90" s="43">
        <f t="array" ref="Z90">SUM(IF(ISNUMBER(FIND("TmAi",$BE$1:$AAQ$1)),IF(IFERROR(ISODD(SUBSTITUTE($BE90:$AAQ90,"A","")),FALSE),IF(ISODD(SUBSTITUTE($BE90:$AAQ90,"A","")),1,0),0)))</f>
        <v>0</v>
      </c>
      <c r="AA90" t="str">
        <f t="shared" ref="AA90:AA153" si="163">CONCATENATE($Y90*2-1,"B")</f>
        <v>3B</v>
      </c>
      <c r="AB90" t="str">
        <f t="shared" ref="AB90:AB153" si="164">CONCATENATE($Y90*2,"B")</f>
        <v>4B</v>
      </c>
      <c r="AD90" s="46"/>
      <c r="AE90" s="46">
        <f t="array" ref="AE90">SUM(IF(ISNUMBER(FIND("TmDi",$BE$1:$AAQ$1)),IF(IFERROR(ISNUMBER(VALUE(SUBSTITUTE($BE90:$AAQ90,"B",""))),FALSE),IF(ISNUMBER(VALUE(SUBSTITUTE($BE90:$AAQ90,"B",""))),1,0),0)))</f>
        <v>0</v>
      </c>
      <c r="AP90" t="s">
        <v>137</v>
      </c>
      <c r="AS90" t="s">
        <v>396</v>
      </c>
      <c r="JZ90" s="27" t="str">
        <f t="shared" si="160"/>
        <v>XT55</v>
      </c>
      <c r="KC90" t="str">
        <f t="shared" si="161"/>
        <v>F0-AI9-3B</v>
      </c>
      <c r="KD90" t="str">
        <f t="shared" si="162"/>
        <v>F0-AI9-4B</v>
      </c>
      <c r="KI90">
        <f t="array" ref="KI90">IF(COUNTIFS($U$2:$U90,$U90)=1,1,INDEX(KI:KI,_xlfn.XMATCH(U90,U$1:U89,0,-1))+COUNT(KI89:KM89))</f>
        <v>111</v>
      </c>
      <c r="KJ90">
        <f t="shared" si="157"/>
        <v>112</v>
      </c>
      <c r="KK90">
        <f t="shared" si="157"/>
        <v>113</v>
      </c>
      <c r="KN90">
        <v>1</v>
      </c>
      <c r="KO90" s="16">
        <v>2</v>
      </c>
      <c r="KS90" s="16"/>
    </row>
    <row r="91" spans="1:305" ht="30" x14ac:dyDescent="0.25">
      <c r="A91" s="29" t="s">
        <v>2302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A3.9</v>
      </c>
      <c r="Y91" s="43">
        <f t="array" ref="Y91">IF(COUNTIFS($X$2:$X91,$X91)=1,"1",VALUE(SUBSTITUTE(INDEX(Y:Y,_xlfn.XMATCH($X91,$X$1:$X90,0,-1)),"A",""))+INDEX(Z:Z,_xlfn.XMATCH($X91,$X$1:$X90,0,-1))+1)</f>
        <v>3</v>
      </c>
      <c r="Z91" s="43">
        <f t="array" ref="Z91">SUM(IF(ISNUMBER(FIND("TmAi",$BE$1:$AAQ$1)),IF(IFERROR(ISODD(SUBSTITUTE($BE91:$AAQ91,"A","")),FALSE),IF(ISODD(SUBSTITUTE($BE91:$AAQ91,"A","")),1,0),0)))</f>
        <v>0</v>
      </c>
      <c r="AA91" t="str">
        <f t="shared" si="163"/>
        <v>5B</v>
      </c>
      <c r="AB91" t="str">
        <f t="shared" si="164"/>
        <v>6B</v>
      </c>
      <c r="AD91" s="46"/>
      <c r="AE91" s="46">
        <f t="array" ref="AE91">SUM(IF(ISNUMBER(FIND("TmDi",$BE$1:$AAQ$1)),IF(IFERROR(ISNUMBER(VALUE(SUBSTITUTE($BE91:$AAQ91,"B",""))),FALSE),IF(ISNUMBER(VALUE(SUBSTITUTE($BE91:$AAQ91,"B",""))),1,0),0)))</f>
        <v>0</v>
      </c>
      <c r="AP91" t="s">
        <v>137</v>
      </c>
      <c r="AS91" t="s">
        <v>396</v>
      </c>
      <c r="JZ91" s="27" t="str">
        <f t="shared" si="160"/>
        <v>XT55</v>
      </c>
      <c r="KC91" t="str">
        <f t="shared" si="161"/>
        <v>F0-AI9-5B</v>
      </c>
      <c r="KD91" t="str">
        <f t="shared" si="162"/>
        <v>F0-AI9-6B</v>
      </c>
      <c r="KI91">
        <f t="array" ref="KI91">IF(COUNTIFS($U$2:$U91,$U91)=1,1,INDEX(KI:KI,_xlfn.XMATCH(U91,U$1:U90,0,-1))+COUNT(KI90:KM90))</f>
        <v>114</v>
      </c>
      <c r="KJ91">
        <f t="shared" si="157"/>
        <v>115</v>
      </c>
      <c r="KK91">
        <f t="shared" si="157"/>
        <v>116</v>
      </c>
      <c r="KN91">
        <v>1</v>
      </c>
      <c r="KO91" s="16">
        <v>2</v>
      </c>
      <c r="KS91" s="16"/>
    </row>
    <row r="92" spans="1:305" ht="30" x14ac:dyDescent="0.25">
      <c r="A92" s="29" t="s">
        <v>2303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">
        <v>2070</v>
      </c>
      <c r="Y92" s="43" t="str">
        <f t="array" ref="Y92">IF(COUNTIFS($X$2:$X92,$X92)=1,"1",VALUE(SUBSTITUTE(INDEX(Y:Y,_xlfn.XMATCH($X92,$X$1:$X91,0,-1)),"A",""))+INDEX(Z:Z,_xlfn.XMATCH($X92,$X$1:$X91,0,-1))+1)</f>
        <v>1</v>
      </c>
      <c r="Z92" s="43">
        <f t="array" ref="Z92">SUM(IF(ISNUMBER(FIND("TmAi",$BE$1:$AAQ$1)),IF(IFERROR(ISODD(SUBSTITUTE($BE92:$AAQ92,"A","")),FALSE),IF(ISODD(SUBSTITUTE($BE92:$AAQ92,"A","")),1,0),0)))</f>
        <v>0</v>
      </c>
      <c r="AA92" t="str">
        <f t="shared" si="163"/>
        <v>1B</v>
      </c>
      <c r="AB92" t="str">
        <f t="shared" si="164"/>
        <v>2B</v>
      </c>
      <c r="AD92" s="46"/>
      <c r="AE92" s="46">
        <f t="array" ref="AE92">SUM(IF(ISNUMBER(FIND("TmDi",$BE$1:$AAQ$1)),IF(IFERROR(ISNUMBER(VALUE(SUBSTITUTE($BE92:$AAQ92,"B",""))),FALSE),IF(ISNUMBER(VALUE(SUBSTITUTE($BE92:$AAQ92,"B",""))),1,0),0)))</f>
        <v>0</v>
      </c>
      <c r="AP92" t="s">
        <v>137</v>
      </c>
      <c r="AS92" t="s">
        <v>396</v>
      </c>
      <c r="JZ92" s="27" t="str">
        <f t="shared" si="160"/>
        <v>XT55</v>
      </c>
      <c r="KC92" t="str">
        <f t="shared" si="161"/>
        <v>F0-AI10-1B</v>
      </c>
      <c r="KD92" t="str">
        <f t="shared" si="162"/>
        <v>F0-AI10-2B</v>
      </c>
      <c r="KI92">
        <f t="array" ref="KI92">IF(COUNTIFS($U$2:$U92,$U92)=1,1,INDEX(KI:KI,_xlfn.XMATCH(U92,U$1:U91,0,-1))+COUNT(KI91:KM91))</f>
        <v>117</v>
      </c>
      <c r="KJ92">
        <f t="shared" si="157"/>
        <v>118</v>
      </c>
      <c r="KK92">
        <f t="shared" si="157"/>
        <v>119</v>
      </c>
      <c r="KN92">
        <v>1</v>
      </c>
      <c r="KO92" s="16">
        <v>2</v>
      </c>
      <c r="KS92" s="16"/>
    </row>
    <row r="93" spans="1:305" ht="30" x14ac:dyDescent="0.25">
      <c r="A93" s="29" t="s">
        <v>2304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A3.10</v>
      </c>
      <c r="Y93" s="43">
        <f t="array" ref="Y93">IF(COUNTIFS($X$2:$X93,$X93)=1,"1",VALUE(SUBSTITUTE(INDEX(Y:Y,_xlfn.XMATCH($X93,$X$1:$X92,0,-1)),"A",""))+INDEX(Z:Z,_xlfn.XMATCH($X93,$X$1:$X92,0,-1))+1)</f>
        <v>2</v>
      </c>
      <c r="Z93" s="43">
        <f t="array" ref="Z93">SUM(IF(ISNUMBER(FIND("TmAi",$BE$1:$AAQ$1)),IF(IFERROR(ISODD(SUBSTITUTE($BE93:$AAQ93,"A","")),FALSE),IF(ISODD(SUBSTITUTE($BE93:$AAQ93,"A","")),1,0),0)))</f>
        <v>0</v>
      </c>
      <c r="AA93" t="str">
        <f t="shared" si="163"/>
        <v>3B</v>
      </c>
      <c r="AB93" t="str">
        <f t="shared" si="164"/>
        <v>4B</v>
      </c>
      <c r="AD93" s="46"/>
      <c r="AE93" s="46">
        <f t="array" ref="AE93">SUM(IF(ISNUMBER(FIND("TmDi",$BE$1:$AAQ$1)),IF(IFERROR(ISNUMBER(VALUE(SUBSTITUTE($BE93:$AAQ93,"B",""))),FALSE),IF(ISNUMBER(VALUE(SUBSTITUTE($BE93:$AAQ93,"B",""))),1,0),0)))</f>
        <v>0</v>
      </c>
      <c r="AP93" t="s">
        <v>137</v>
      </c>
      <c r="AS93" t="s">
        <v>396</v>
      </c>
      <c r="JZ93" s="27" t="str">
        <f t="shared" si="160"/>
        <v>XT55</v>
      </c>
      <c r="KC93" t="str">
        <f t="shared" si="161"/>
        <v>F0-AI10-3B</v>
      </c>
      <c r="KD93" t="str">
        <f t="shared" si="162"/>
        <v>F0-AI10-4B</v>
      </c>
      <c r="KI93">
        <f t="array" ref="KI93">IF(COUNTIFS($U$2:$U93,$U93)=1,1,INDEX(KI:KI,_xlfn.XMATCH(U93,U$1:U92,0,-1))+COUNT(KI92:KM92))</f>
        <v>120</v>
      </c>
      <c r="KJ93">
        <f t="shared" ref="KJ93:KJ113" si="165">KI93+1</f>
        <v>121</v>
      </c>
      <c r="KK93">
        <f t="shared" ref="KK93:KK113" si="166">KJ93+1</f>
        <v>122</v>
      </c>
      <c r="KN93">
        <v>1</v>
      </c>
      <c r="KO93" s="16">
        <v>2</v>
      </c>
      <c r="KS93" s="16"/>
    </row>
    <row r="94" spans="1:305" ht="30" x14ac:dyDescent="0.25">
      <c r="A94" s="29" t="s">
        <v>2305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A3.10</v>
      </c>
      <c r="Y94" s="43">
        <f t="array" ref="Y94">IF(COUNTIFS($X$2:$X94,$X94)=1,"1",VALUE(SUBSTITUTE(INDEX(Y:Y,_xlfn.XMATCH($X94,$X$1:$X93,0,-1)),"A",""))+INDEX(Z:Z,_xlfn.XMATCH($X94,$X$1:$X93,0,-1))+1)</f>
        <v>3</v>
      </c>
      <c r="Z94" s="43">
        <f t="array" ref="Z94">SUM(IF(ISNUMBER(FIND("TmAi",$BE$1:$AAQ$1)),IF(IFERROR(ISODD(SUBSTITUTE($BE94:$AAQ94,"A","")),FALSE),IF(ISODD(SUBSTITUTE($BE94:$AAQ94,"A","")),1,0),0)))</f>
        <v>0</v>
      </c>
      <c r="AA94" t="str">
        <f t="shared" si="163"/>
        <v>5B</v>
      </c>
      <c r="AB94" t="str">
        <f t="shared" si="164"/>
        <v>6B</v>
      </c>
      <c r="AD94" s="46"/>
      <c r="AE94" s="46">
        <f t="array" ref="AE94">SUM(IF(ISNUMBER(FIND("TmDi",$BE$1:$AAQ$1)),IF(IFERROR(ISNUMBER(VALUE(SUBSTITUTE($BE94:$AAQ94,"B",""))),FALSE),IF(ISNUMBER(VALUE(SUBSTITUTE($BE94:$AAQ94,"B",""))),1,0),0)))</f>
        <v>0</v>
      </c>
      <c r="AP94" t="s">
        <v>137</v>
      </c>
      <c r="AS94" t="s">
        <v>396</v>
      </c>
      <c r="JZ94" s="27" t="str">
        <f t="shared" si="160"/>
        <v>XT55</v>
      </c>
      <c r="KC94" t="str">
        <f t="shared" si="161"/>
        <v>F0-AI10-5B</v>
      </c>
      <c r="KD94" t="str">
        <f t="shared" si="162"/>
        <v>F0-AI10-6B</v>
      </c>
      <c r="KI94">
        <f t="array" ref="KI94">IF(COUNTIFS($U$2:$U94,$U94)=1,1,INDEX(KI:KI,_xlfn.XMATCH(U94,U$1:U93,0,-1))+COUNT(KI93:KM93))</f>
        <v>123</v>
      </c>
      <c r="KJ94">
        <f t="shared" si="165"/>
        <v>124</v>
      </c>
      <c r="KK94">
        <f t="shared" si="166"/>
        <v>125</v>
      </c>
      <c r="KN94">
        <v>1</v>
      </c>
      <c r="KO94" s="16">
        <v>2</v>
      </c>
      <c r="KS94" s="16"/>
    </row>
    <row r="95" spans="1:305" ht="30" x14ac:dyDescent="0.25">
      <c r="A95" s="29" t="s">
        <v>2306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A3.10</v>
      </c>
      <c r="Y95" s="43">
        <f t="array" ref="Y95">IF(COUNTIFS($X$2:$X95,$X95)=1,"1",VALUE(SUBSTITUTE(INDEX(Y:Y,_xlfn.XMATCH($X95,$X$1:$X94,0,-1)),"A",""))+INDEX(Z:Z,_xlfn.XMATCH($X95,$X$1:$X94,0,-1))+1)</f>
        <v>4</v>
      </c>
      <c r="Z95" s="43">
        <f t="array" ref="Z95">SUM(IF(ISNUMBER(FIND("TmAi",$BE$1:$AAQ$1)),IF(IFERROR(ISODD(SUBSTITUTE($BE95:$AAQ95,"A","")),FALSE),IF(ISODD(SUBSTITUTE($BE95:$AAQ95,"A","")),1,0),0)))</f>
        <v>0</v>
      </c>
      <c r="AA95" t="str">
        <f t="shared" si="163"/>
        <v>7B</v>
      </c>
      <c r="AB95" t="str">
        <f t="shared" si="164"/>
        <v>8B</v>
      </c>
      <c r="AD95" s="46"/>
      <c r="AE95" s="46">
        <f t="array" ref="AE95">SUM(IF(ISNUMBER(FIND("TmDi",$BE$1:$AAQ$1)),IF(IFERROR(ISNUMBER(VALUE(SUBSTITUTE($BE95:$AAQ95,"B",""))),FALSE),IF(ISNUMBER(VALUE(SUBSTITUTE($BE95:$AAQ95,"B",""))),1,0),0)))</f>
        <v>0</v>
      </c>
      <c r="AP95" t="s">
        <v>137</v>
      </c>
      <c r="AS95" t="s">
        <v>396</v>
      </c>
      <c r="JZ95" s="27" t="str">
        <f t="shared" si="160"/>
        <v>XT55</v>
      </c>
      <c r="KC95" t="str">
        <f t="shared" si="161"/>
        <v>F0-AI10-7B</v>
      </c>
      <c r="KD95" t="str">
        <f t="shared" si="162"/>
        <v>F0-AI10-8B</v>
      </c>
      <c r="KI95">
        <f t="array" ref="KI95">IF(COUNTIFS($U$2:$U95,$U95)=1,1,INDEX(KI:KI,_xlfn.XMATCH(U95,U$1:U94,0,-1))+COUNT(KI94:KM94))</f>
        <v>126</v>
      </c>
      <c r="KJ95">
        <f t="shared" si="165"/>
        <v>127</v>
      </c>
      <c r="KK95">
        <f t="shared" si="166"/>
        <v>128</v>
      </c>
      <c r="KN95">
        <v>1</v>
      </c>
      <c r="KO95" s="16">
        <v>2</v>
      </c>
      <c r="KS95" s="16"/>
    </row>
    <row r="96" spans="1:305" ht="30" x14ac:dyDescent="0.25">
      <c r="A96" s="29" t="s">
        <v>2307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A3.10</v>
      </c>
      <c r="Y96" s="43">
        <f t="array" ref="Y96">IF(COUNTIFS($X$2:$X96,$X96)=1,"1",VALUE(SUBSTITUTE(INDEX(Y:Y,_xlfn.XMATCH($X96,$X$1:$X95,0,-1)),"A",""))+INDEX(Z:Z,_xlfn.XMATCH($X96,$X$1:$X95,0,-1))+1)</f>
        <v>5</v>
      </c>
      <c r="Z96" s="43">
        <f t="array" ref="Z96">SUM(IF(ISNUMBER(FIND("TmAi",$BE$1:$AAQ$1)),IF(IFERROR(ISODD(SUBSTITUTE($BE96:$AAQ96,"A","")),FALSE),IF(ISODD(SUBSTITUTE($BE96:$AAQ96,"A","")),1,0),0)))</f>
        <v>0</v>
      </c>
      <c r="AA96" t="str">
        <f t="shared" si="163"/>
        <v>9B</v>
      </c>
      <c r="AB96" t="str">
        <f t="shared" si="164"/>
        <v>10B</v>
      </c>
      <c r="AD96" s="46"/>
      <c r="AE96" s="46">
        <f t="array" ref="AE96">SUM(IF(ISNUMBER(FIND("TmDi",$BE$1:$AAQ$1)),IF(IFERROR(ISNUMBER(VALUE(SUBSTITUTE($BE96:$AAQ96,"B",""))),FALSE),IF(ISNUMBER(VALUE(SUBSTITUTE($BE96:$AAQ96,"B",""))),1,0),0)))</f>
        <v>0</v>
      </c>
      <c r="AP96" t="s">
        <v>137</v>
      </c>
      <c r="AS96" t="s">
        <v>396</v>
      </c>
      <c r="JZ96" s="27" t="str">
        <f t="shared" si="160"/>
        <v>XT55</v>
      </c>
      <c r="KC96" t="str">
        <f t="shared" si="161"/>
        <v>F0-AI10-9B</v>
      </c>
      <c r="KD96" t="str">
        <f t="shared" si="162"/>
        <v>F0-AI10-10B</v>
      </c>
      <c r="KI96">
        <f t="array" ref="KI96">IF(COUNTIFS($U$2:$U96,$U96)=1,1,INDEX(KI:KI,_xlfn.XMATCH(U96,U$1:U95,0,-1))+COUNT(KI95:KM95))</f>
        <v>129</v>
      </c>
      <c r="KJ96">
        <f t="shared" si="165"/>
        <v>130</v>
      </c>
      <c r="KK96">
        <f t="shared" si="166"/>
        <v>131</v>
      </c>
      <c r="KN96">
        <v>1</v>
      </c>
      <c r="KO96" s="16">
        <v>2</v>
      </c>
      <c r="KS96" s="16"/>
    </row>
    <row r="97" spans="1:305" ht="30" x14ac:dyDescent="0.25">
      <c r="A97" s="29" t="s">
        <v>2308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A3.10</v>
      </c>
      <c r="Y97" s="45">
        <f t="array" ref="Y97">IF(COUNTIFS($X$2:$X97,$X97)=1,"1",VALUE(SUBSTITUTE(INDEX(Y:Y,_xlfn.XMATCH($X97,$X$1:$X96,0,-1)),"A",""))+INDEX(Z:Z,_xlfn.XMATCH($X97,$X$1:$X96,0,-1))+1)</f>
        <v>6</v>
      </c>
      <c r="Z97" s="43">
        <f t="array" ref="Z97">SUM(IF(ISNUMBER(FIND("TmAi",$BE$1:$AAQ$1)),IF(IFERROR(ISODD(SUBSTITUTE($BE97:$AAQ97,"A","")),FALSE),IF(ISODD(SUBSTITUTE($BE97:$AAQ97,"A","")),1,0),0)))</f>
        <v>0</v>
      </c>
      <c r="AA97" t="str">
        <f t="shared" si="163"/>
        <v>11B</v>
      </c>
      <c r="AB97" t="str">
        <f t="shared" si="164"/>
        <v>12B</v>
      </c>
      <c r="AD97" s="46"/>
      <c r="AE97" s="46">
        <f t="array" ref="AE97">SUM(IF(ISNUMBER(FIND("TmDi",$BE$1:$AAQ$1)),IF(IFERROR(ISNUMBER(VALUE(SUBSTITUTE($BE97:$AAQ97,"B",""))),FALSE),IF(ISNUMBER(VALUE(SUBSTITUTE($BE97:$AAQ97,"B",""))),1,0),0)))</f>
        <v>0</v>
      </c>
      <c r="AP97" t="s">
        <v>137</v>
      </c>
      <c r="AS97" t="s">
        <v>396</v>
      </c>
      <c r="JZ97" s="27" t="str">
        <f t="shared" si="160"/>
        <v>XT55</v>
      </c>
      <c r="KC97" t="str">
        <f t="shared" si="161"/>
        <v>F0-AI10-11B</v>
      </c>
      <c r="KD97" t="str">
        <f t="shared" si="162"/>
        <v>F0-AI10-12B</v>
      </c>
      <c r="KI97">
        <f t="array" ref="KI97">IF(COUNTIFS($U$2:$U97,$U97)=1,1,INDEX(KI:KI,_xlfn.XMATCH(U97,U$1:U96,0,-1))+COUNT(KI96:KM96))</f>
        <v>132</v>
      </c>
      <c r="KJ97">
        <f t="shared" si="165"/>
        <v>133</v>
      </c>
      <c r="KK97">
        <f t="shared" si="166"/>
        <v>134</v>
      </c>
      <c r="KN97">
        <v>1</v>
      </c>
      <c r="KO97" s="16">
        <v>2</v>
      </c>
      <c r="KS97" s="16"/>
    </row>
    <row r="98" spans="1:305" ht="30" x14ac:dyDescent="0.25">
      <c r="A98" s="29" t="s">
        <v>2309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A3.10</v>
      </c>
      <c r="Y98" s="43">
        <f t="array" ref="Y98">IF(COUNTIFS($X$2:$X98,$X98)=1,"1",VALUE(SUBSTITUTE(INDEX(Y:Y,_xlfn.XMATCH($X98,$X$1:$X97,0,-1)),"A",""))+INDEX(Z:Z,_xlfn.XMATCH($X98,$X$1:$X97,0,-1))+1)</f>
        <v>7</v>
      </c>
      <c r="Z98" s="43">
        <f t="array" ref="Z98">SUM(IF(ISNUMBER(FIND("TmAi",$BE$1:$AAQ$1)),IF(IFERROR(ISODD(SUBSTITUTE($BE98:$AAQ98,"A","")),FALSE),IF(ISODD(SUBSTITUTE($BE98:$AAQ98,"A","")),1,0),0)))</f>
        <v>0</v>
      </c>
      <c r="AA98" t="str">
        <f t="shared" si="163"/>
        <v>13B</v>
      </c>
      <c r="AB98" t="str">
        <f t="shared" si="164"/>
        <v>14B</v>
      </c>
      <c r="AD98" s="46"/>
      <c r="AE98" s="46">
        <f t="array" ref="AE98">SUM(IF(ISNUMBER(FIND("TmDi",$BE$1:$AAQ$1)),IF(IFERROR(ISNUMBER(VALUE(SUBSTITUTE($BE98:$AAQ98,"B",""))),FALSE),IF(ISNUMBER(VALUE(SUBSTITUTE($BE98:$AAQ98,"B",""))),1,0),0)))</f>
        <v>0</v>
      </c>
      <c r="AP98" t="s">
        <v>137</v>
      </c>
      <c r="AS98" t="s">
        <v>396</v>
      </c>
      <c r="JZ98" s="27" t="str">
        <f t="shared" si="160"/>
        <v>XT55</v>
      </c>
      <c r="KC98" t="str">
        <f t="shared" si="161"/>
        <v>F0-AI10-13B</v>
      </c>
      <c r="KD98" t="str">
        <f t="shared" si="162"/>
        <v>F0-AI10-14B</v>
      </c>
      <c r="KI98">
        <f t="array" ref="KI98">IF(COUNTIFS($U$2:$U98,$U98)=1,1,INDEX(KI:KI,_xlfn.XMATCH(U98,U$1:U97,0,-1))+COUNT(KI97:KM97))</f>
        <v>135</v>
      </c>
      <c r="KJ98">
        <f t="shared" si="165"/>
        <v>136</v>
      </c>
      <c r="KK98">
        <f t="shared" si="166"/>
        <v>137</v>
      </c>
      <c r="KN98">
        <v>1</v>
      </c>
      <c r="KO98" s="16">
        <v>2</v>
      </c>
      <c r="KS98" s="16"/>
    </row>
    <row r="99" spans="1:305" ht="30" x14ac:dyDescent="0.25">
      <c r="A99" s="29" t="s">
        <v>2310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A3.10</v>
      </c>
      <c r="Y99" s="43">
        <f t="array" ref="Y99">IF(COUNTIFS($X$2:$X99,$X99)=1,"1",VALUE(SUBSTITUTE(INDEX(Y:Y,_xlfn.XMATCH($X99,$X$1:$X98,0,-1)),"A",""))+INDEX(Z:Z,_xlfn.XMATCH($X99,$X$1:$X98,0,-1))+1)</f>
        <v>8</v>
      </c>
      <c r="Z99" s="43">
        <f t="array" ref="Z99">SUM(IF(ISNUMBER(FIND("TmAi",$BE$1:$AAQ$1)),IF(IFERROR(ISODD(SUBSTITUTE($BE99:$AAQ99,"A","")),FALSE),IF(ISODD(SUBSTITUTE($BE99:$AAQ99,"A","")),1,0),0)))</f>
        <v>0</v>
      </c>
      <c r="AA99" t="str">
        <f t="shared" si="163"/>
        <v>15B</v>
      </c>
      <c r="AB99" t="str">
        <f t="shared" si="164"/>
        <v>16B</v>
      </c>
      <c r="AD99" s="46"/>
      <c r="AE99" s="46">
        <f t="array" ref="AE99">SUM(IF(ISNUMBER(FIND("TmDi",$BE$1:$AAQ$1)),IF(IFERROR(ISNUMBER(VALUE(SUBSTITUTE($BE99:$AAQ99,"B",""))),FALSE),IF(ISNUMBER(VALUE(SUBSTITUTE($BE99:$AAQ99,"B",""))),1,0),0)))</f>
        <v>0</v>
      </c>
      <c r="AP99" t="s">
        <v>137</v>
      </c>
      <c r="AS99" t="s">
        <v>396</v>
      </c>
      <c r="JZ99" s="27" t="str">
        <f t="shared" si="160"/>
        <v>XT55</v>
      </c>
      <c r="KC99" t="str">
        <f t="shared" si="161"/>
        <v>F0-AI10-15B</v>
      </c>
      <c r="KD99" t="str">
        <f t="shared" si="162"/>
        <v>F0-AI10-16B</v>
      </c>
      <c r="KI99">
        <f t="array" ref="KI99">IF(COUNTIFS($U$2:$U99,$U99)=1,1,INDEX(KI:KI,_xlfn.XMATCH(U99,U$1:U98,0,-1))+COUNT(KI98:KM98))</f>
        <v>138</v>
      </c>
      <c r="KJ99">
        <f t="shared" si="165"/>
        <v>139</v>
      </c>
      <c r="KK99">
        <f t="shared" si="166"/>
        <v>140</v>
      </c>
      <c r="KN99">
        <v>1</v>
      </c>
      <c r="KO99" s="16">
        <v>2</v>
      </c>
      <c r="KS99" s="16"/>
    </row>
    <row r="100" spans="1:305" ht="30" x14ac:dyDescent="0.25">
      <c r="A100" s="29" t="s">
        <v>2311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A3.11</v>
      </c>
      <c r="Y100" s="43" t="str">
        <f t="array" ref="Y100">IF(COUNTIFS($X$2:$X100,$X100)=1,"1",VALUE(SUBSTITUTE(INDEX(Y:Y,_xlfn.XMATCH($X100,$X$1:$X99,0,-1)),"A",""))+INDEX(Z:Z,_xlfn.XMATCH($X100,$X$1:$X99,0,-1))+1)</f>
        <v>1</v>
      </c>
      <c r="Z100" s="43">
        <f t="array" ref="Z100">SUM(IF(ISNUMBER(FIND("TmAi",$BE$1:$AAQ$1)),IF(IFERROR(ISODD(SUBSTITUTE($BE100:$AAQ100,"A","")),FALSE),IF(ISODD(SUBSTITUTE($BE100:$AAQ100,"A","")),1,0),0)))</f>
        <v>0</v>
      </c>
      <c r="AA100" t="str">
        <f t="shared" si="163"/>
        <v>1B</v>
      </c>
      <c r="AB100" t="str">
        <f t="shared" si="164"/>
        <v>2B</v>
      </c>
      <c r="AD100" s="46"/>
      <c r="AE100" s="46">
        <f t="array" ref="AE100">SUM(IF(ISNUMBER(FIND("TmDi",$BE$1:$AAQ$1)),IF(IFERROR(ISNUMBER(VALUE(SUBSTITUTE($BE100:$AAQ100,"B",""))),FALSE),IF(ISNUMBER(VALUE(SUBSTITUTE($BE100:$AAQ100,"B",""))),1,0),0)))</f>
        <v>0</v>
      </c>
      <c r="AP100" t="s">
        <v>137</v>
      </c>
      <c r="AS100" t="s">
        <v>396</v>
      </c>
      <c r="JZ100" s="27" t="str">
        <f t="shared" si="160"/>
        <v>XT55</v>
      </c>
      <c r="KC100" t="str">
        <f t="shared" si="161"/>
        <v>F0-AI11-1B</v>
      </c>
      <c r="KD100" t="str">
        <f t="shared" si="162"/>
        <v>F0-AI11-2B</v>
      </c>
      <c r="KI100">
        <f t="array" ref="KI100">IF(COUNTIFS($U$2:$U100,$U100)=1,1,INDEX(KI:KI,_xlfn.XMATCH(U100,U$1:U99,0,-1))+COUNT(KI99:KM99))</f>
        <v>141</v>
      </c>
      <c r="KJ100">
        <f t="shared" si="165"/>
        <v>142</v>
      </c>
      <c r="KK100">
        <f t="shared" si="166"/>
        <v>143</v>
      </c>
      <c r="KN100">
        <v>1</v>
      </c>
      <c r="KO100" s="16">
        <v>2</v>
      </c>
      <c r="KS100" s="16"/>
    </row>
    <row r="101" spans="1:305" ht="30" x14ac:dyDescent="0.25">
      <c r="A101" s="29" t="s">
        <v>2312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A3.11</v>
      </c>
      <c r="Y101" s="43">
        <f t="array" ref="Y101">IF(COUNTIFS($X$2:$X101,$X101)=1,"1",VALUE(SUBSTITUTE(INDEX(Y:Y,_xlfn.XMATCH($X101,$X$1:$X100,0,-1)),"A",""))+INDEX(Z:Z,_xlfn.XMATCH($X101,$X$1:$X100,0,-1))+1)</f>
        <v>2</v>
      </c>
      <c r="Z101" s="43">
        <f t="array" ref="Z101">SUM(IF(ISNUMBER(FIND("TmAi",$BE$1:$AAQ$1)),IF(IFERROR(ISODD(SUBSTITUTE($BE101:$AAQ101,"A","")),FALSE),IF(ISODD(SUBSTITUTE($BE101:$AAQ101,"A","")),1,0),0)))</f>
        <v>0</v>
      </c>
      <c r="AA101" t="str">
        <f t="shared" si="163"/>
        <v>3B</v>
      </c>
      <c r="AB101" t="str">
        <f t="shared" si="164"/>
        <v>4B</v>
      </c>
      <c r="AD101" s="46"/>
      <c r="AE101" s="46">
        <f t="array" ref="AE101">SUM(IF(ISNUMBER(FIND("TmDi",$BE$1:$AAQ$1)),IF(IFERROR(ISNUMBER(VALUE(SUBSTITUTE($BE101:$AAQ101,"B",""))),FALSE),IF(ISNUMBER(VALUE(SUBSTITUTE($BE101:$AAQ101,"B",""))),1,0),0)))</f>
        <v>0</v>
      </c>
      <c r="AP101" t="s">
        <v>137</v>
      </c>
      <c r="AS101" t="s">
        <v>396</v>
      </c>
      <c r="JZ101" s="27" t="str">
        <f t="shared" si="160"/>
        <v>XT55</v>
      </c>
      <c r="KC101" t="str">
        <f t="shared" si="161"/>
        <v>F0-AI11-3B</v>
      </c>
      <c r="KD101" t="str">
        <f t="shared" si="162"/>
        <v>F0-AI11-4B</v>
      </c>
      <c r="KI101">
        <f t="array" ref="KI101">IF(COUNTIFS($U$2:$U101,$U101)=1,1,INDEX(KI:KI,_xlfn.XMATCH(U101,U$1:U100,0,-1))+COUNT(KI100:KM100))</f>
        <v>144</v>
      </c>
      <c r="KJ101">
        <f t="shared" si="165"/>
        <v>145</v>
      </c>
      <c r="KK101">
        <f t="shared" si="166"/>
        <v>146</v>
      </c>
      <c r="KN101">
        <v>1</v>
      </c>
      <c r="KO101" s="16">
        <v>2</v>
      </c>
      <c r="KS101" s="16"/>
    </row>
    <row r="102" spans="1:305" ht="30" x14ac:dyDescent="0.25">
      <c r="A102" s="29" t="s">
        <v>2313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A3.11</v>
      </c>
      <c r="Y102" s="43">
        <f t="array" ref="Y102">IF(COUNTIFS($X$2:$X102,$X102)=1,"1",VALUE(SUBSTITUTE(INDEX(Y:Y,_xlfn.XMATCH($X102,$X$1:$X101,0,-1)),"A",""))+INDEX(Z:Z,_xlfn.XMATCH($X102,$X$1:$X101,0,-1))+1)</f>
        <v>3</v>
      </c>
      <c r="Z102" s="43">
        <f t="array" ref="Z102">SUM(IF(ISNUMBER(FIND("TmAi",$BE$1:$AAQ$1)),IF(IFERROR(ISODD(SUBSTITUTE($BE102:$AAQ102,"A","")),FALSE),IF(ISODD(SUBSTITUTE($BE102:$AAQ102,"A","")),1,0),0)))</f>
        <v>0</v>
      </c>
      <c r="AA102" t="str">
        <f t="shared" si="163"/>
        <v>5B</v>
      </c>
      <c r="AB102" t="str">
        <f t="shared" si="164"/>
        <v>6B</v>
      </c>
      <c r="AD102" s="46"/>
      <c r="AE102" s="46">
        <f t="array" ref="AE102">SUM(IF(ISNUMBER(FIND("TmDi",$BE$1:$AAQ$1)),IF(IFERROR(ISNUMBER(VALUE(SUBSTITUTE($BE102:$AAQ102,"B",""))),FALSE),IF(ISNUMBER(VALUE(SUBSTITUTE($BE102:$AAQ102,"B",""))),1,0),0)))</f>
        <v>0</v>
      </c>
      <c r="AP102" t="s">
        <v>137</v>
      </c>
      <c r="AS102" t="s">
        <v>396</v>
      </c>
      <c r="JZ102" s="27" t="str">
        <f t="shared" si="160"/>
        <v>XT55</v>
      </c>
      <c r="KC102" t="str">
        <f t="shared" si="161"/>
        <v>F0-AI11-5B</v>
      </c>
      <c r="KD102" t="str">
        <f t="shared" si="162"/>
        <v>F0-AI11-6B</v>
      </c>
      <c r="KI102">
        <f t="array" ref="KI102">IF(COUNTIFS($U$2:$U102,$U102)=1,1,INDEX(KI:KI,_xlfn.XMATCH(U102,U$1:U101,0,-1))+COUNT(KI101:KM101))</f>
        <v>147</v>
      </c>
      <c r="KJ102">
        <f t="shared" si="165"/>
        <v>148</v>
      </c>
      <c r="KK102">
        <f t="shared" si="166"/>
        <v>149</v>
      </c>
      <c r="KN102">
        <v>1</v>
      </c>
      <c r="KO102" s="16">
        <v>2</v>
      </c>
      <c r="KS102" s="16"/>
    </row>
    <row r="103" spans="1:305" ht="30" x14ac:dyDescent="0.25">
      <c r="A103" s="29" t="s">
        <v>2314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A3.11</v>
      </c>
      <c r="Y103" s="43">
        <f t="array" ref="Y103">IF(COUNTIFS($X$2:$X103,$X103)=1,"1",VALUE(SUBSTITUTE(INDEX(Y:Y,_xlfn.XMATCH($X103,$X$1:$X102,0,-1)),"A",""))+INDEX(Z:Z,_xlfn.XMATCH($X103,$X$1:$X102,0,-1))+1)</f>
        <v>4</v>
      </c>
      <c r="Z103" s="43">
        <f t="array" ref="Z103">SUM(IF(ISNUMBER(FIND("TmAi",$BE$1:$AAQ$1)),IF(IFERROR(ISODD(SUBSTITUTE($BE103:$AAQ103,"A","")),FALSE),IF(ISODD(SUBSTITUTE($BE103:$AAQ103,"A","")),1,0),0)))</f>
        <v>0</v>
      </c>
      <c r="AA103" t="str">
        <f t="shared" si="163"/>
        <v>7B</v>
      </c>
      <c r="AB103" t="str">
        <f t="shared" si="164"/>
        <v>8B</v>
      </c>
      <c r="AD103" s="46"/>
      <c r="AE103" s="46">
        <f t="array" ref="AE103">SUM(IF(ISNUMBER(FIND("TmDi",$BE$1:$AAQ$1)),IF(IFERROR(ISNUMBER(VALUE(SUBSTITUTE($BE103:$AAQ103,"B",""))),FALSE),IF(ISNUMBER(VALUE(SUBSTITUTE($BE103:$AAQ103,"B",""))),1,0),0)))</f>
        <v>0</v>
      </c>
      <c r="AP103" t="s">
        <v>137</v>
      </c>
      <c r="AS103" t="s">
        <v>396</v>
      </c>
      <c r="JZ103" s="27" t="str">
        <f t="shared" si="160"/>
        <v>XT55</v>
      </c>
      <c r="KC103" t="str">
        <f t="shared" si="161"/>
        <v>F0-AI11-7B</v>
      </c>
      <c r="KD103" t="str">
        <f t="shared" si="162"/>
        <v>F0-AI11-8B</v>
      </c>
      <c r="KI103">
        <f t="array" ref="KI103">IF(COUNTIFS($U$2:$U103,$U103)=1,1,INDEX(KI:KI,_xlfn.XMATCH(U103,U$1:U102,0,-1))+COUNT(KI102:KM102))</f>
        <v>150</v>
      </c>
      <c r="KJ103">
        <f t="shared" si="165"/>
        <v>151</v>
      </c>
      <c r="KK103">
        <f t="shared" si="166"/>
        <v>152</v>
      </c>
      <c r="KN103">
        <v>1</v>
      </c>
      <c r="KO103" s="16">
        <v>2</v>
      </c>
      <c r="KS103" s="16"/>
    </row>
    <row r="104" spans="1:305" ht="30" x14ac:dyDescent="0.25">
      <c r="A104" s="29" t="s">
        <v>2315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A3.11</v>
      </c>
      <c r="Y104" s="43">
        <f t="array" ref="Y104">IF(COUNTIFS($X$2:$X104,$X104)=1,"1",VALUE(SUBSTITUTE(INDEX(Y:Y,_xlfn.XMATCH($X104,$X$1:$X103,0,-1)),"A",""))+INDEX(Z:Z,_xlfn.XMATCH($X104,$X$1:$X103,0,-1))+1)</f>
        <v>5</v>
      </c>
      <c r="Z104" s="43">
        <f t="array" ref="Z104">SUM(IF(ISNUMBER(FIND("TmAi",$BE$1:$AAQ$1)),IF(IFERROR(ISODD(SUBSTITUTE($BE104:$AAQ104,"A","")),FALSE),IF(ISODD(SUBSTITUTE($BE104:$AAQ104,"A","")),1,0),0)))</f>
        <v>0</v>
      </c>
      <c r="AA104" t="str">
        <f t="shared" si="163"/>
        <v>9B</v>
      </c>
      <c r="AB104" t="str">
        <f t="shared" si="164"/>
        <v>10B</v>
      </c>
      <c r="AD104" s="46"/>
      <c r="AE104" s="46">
        <f t="array" ref="AE104">SUM(IF(ISNUMBER(FIND("TmDi",$BE$1:$AAQ$1)),IF(IFERROR(ISNUMBER(VALUE(SUBSTITUTE($BE104:$AAQ104,"B",""))),FALSE),IF(ISNUMBER(VALUE(SUBSTITUTE($BE104:$AAQ104,"B",""))),1,0),0)))</f>
        <v>0</v>
      </c>
      <c r="AP104" t="s">
        <v>137</v>
      </c>
      <c r="AS104" t="s">
        <v>396</v>
      </c>
      <c r="JZ104" s="27" t="str">
        <f t="shared" si="160"/>
        <v>XT55</v>
      </c>
      <c r="KC104" t="str">
        <f t="shared" si="161"/>
        <v>F0-AI11-9B</v>
      </c>
      <c r="KD104" t="str">
        <f t="shared" si="162"/>
        <v>F0-AI11-10B</v>
      </c>
      <c r="KI104">
        <f t="array" ref="KI104">IF(COUNTIFS($U$2:$U104,$U104)=1,1,INDEX(KI:KI,_xlfn.XMATCH(U104,U$1:U103,0,-1))+COUNT(KI103:KM103))</f>
        <v>153</v>
      </c>
      <c r="KJ104">
        <f t="shared" si="165"/>
        <v>154</v>
      </c>
      <c r="KK104">
        <f t="shared" si="166"/>
        <v>155</v>
      </c>
      <c r="KN104">
        <v>1</v>
      </c>
      <c r="KO104" s="16">
        <v>2</v>
      </c>
      <c r="KS104" s="16"/>
    </row>
    <row r="105" spans="1:305" ht="30" x14ac:dyDescent="0.25">
      <c r="A105" s="29" t="s">
        <v>2316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A3.11</v>
      </c>
      <c r="Y105" s="45">
        <f t="array" ref="Y105">IF(COUNTIFS($X$2:$X105,$X105)=1,"1",VALUE(SUBSTITUTE(INDEX(Y:Y,_xlfn.XMATCH($X105,$X$1:$X104,0,-1)),"A",""))+INDEX(Z:Z,_xlfn.XMATCH($X105,$X$1:$X104,0,-1))+1)</f>
        <v>6</v>
      </c>
      <c r="Z105" s="43">
        <f t="array" ref="Z105">SUM(IF(ISNUMBER(FIND("TmAi",$BE$1:$AAQ$1)),IF(IFERROR(ISODD(SUBSTITUTE($BE105:$AAQ105,"A","")),FALSE),IF(ISODD(SUBSTITUTE($BE105:$AAQ105,"A","")),1,0),0)))</f>
        <v>0</v>
      </c>
      <c r="AA105" t="str">
        <f t="shared" si="163"/>
        <v>11B</v>
      </c>
      <c r="AB105" t="str">
        <f t="shared" si="164"/>
        <v>12B</v>
      </c>
      <c r="AD105" s="46"/>
      <c r="AE105" s="46">
        <f t="array" ref="AE105">SUM(IF(ISNUMBER(FIND("TmDi",$BE$1:$AAQ$1)),IF(IFERROR(ISNUMBER(VALUE(SUBSTITUTE($BE105:$AAQ105,"B",""))),FALSE),IF(ISNUMBER(VALUE(SUBSTITUTE($BE105:$AAQ105,"B",""))),1,0),0)))</f>
        <v>0</v>
      </c>
      <c r="AP105" t="s">
        <v>137</v>
      </c>
      <c r="AS105" t="s">
        <v>396</v>
      </c>
      <c r="JZ105" s="27" t="str">
        <f t="shared" si="160"/>
        <v>XT55</v>
      </c>
      <c r="KC105" t="str">
        <f t="shared" si="161"/>
        <v>F0-AI11-11B</v>
      </c>
      <c r="KD105" t="str">
        <f t="shared" si="162"/>
        <v>F0-AI11-12B</v>
      </c>
      <c r="KI105">
        <f t="array" ref="KI105">IF(COUNTIFS($U$2:$U105,$U105)=1,1,INDEX(KI:KI,_xlfn.XMATCH(U105,U$1:U104,0,-1))+COUNT(KI104:KM104))</f>
        <v>156</v>
      </c>
      <c r="KJ105">
        <f t="shared" si="165"/>
        <v>157</v>
      </c>
      <c r="KK105">
        <f t="shared" si="166"/>
        <v>158</v>
      </c>
      <c r="KN105">
        <v>1</v>
      </c>
      <c r="KO105" s="16">
        <v>2</v>
      </c>
      <c r="KS105" s="16"/>
    </row>
    <row r="106" spans="1:305" ht="30" x14ac:dyDescent="0.25">
      <c r="A106" s="29" t="s">
        <v>2317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A3.11</v>
      </c>
      <c r="Y106" s="43">
        <f t="array" ref="Y106">IF(COUNTIFS($X$2:$X106,$X106)=1,"1",VALUE(SUBSTITUTE(INDEX(Y:Y,_xlfn.XMATCH($X106,$X$1:$X105,0,-1)),"A",""))+INDEX(Z:Z,_xlfn.XMATCH($X106,$X$1:$X105,0,-1))+1)</f>
        <v>7</v>
      </c>
      <c r="Z106" s="43">
        <f t="array" ref="Z106">SUM(IF(ISNUMBER(FIND("TmAi",$BE$1:$AAQ$1)),IF(IFERROR(ISODD(SUBSTITUTE($BE106:$AAQ106,"A","")),FALSE),IF(ISODD(SUBSTITUTE($BE106:$AAQ106,"A","")),1,0),0)))</f>
        <v>0</v>
      </c>
      <c r="AA106" t="str">
        <f t="shared" si="163"/>
        <v>13B</v>
      </c>
      <c r="AB106" t="str">
        <f t="shared" si="164"/>
        <v>14B</v>
      </c>
      <c r="AD106" s="46"/>
      <c r="AE106" s="46">
        <f t="array" ref="AE106">SUM(IF(ISNUMBER(FIND("TmDi",$BE$1:$AAQ$1)),IF(IFERROR(ISNUMBER(VALUE(SUBSTITUTE($BE106:$AAQ106,"B",""))),FALSE),IF(ISNUMBER(VALUE(SUBSTITUTE($BE106:$AAQ106,"B",""))),1,0),0)))</f>
        <v>0</v>
      </c>
      <c r="AP106" t="s">
        <v>137</v>
      </c>
      <c r="AS106" t="s">
        <v>396</v>
      </c>
      <c r="JZ106" s="27" t="str">
        <f t="shared" si="160"/>
        <v>XT55</v>
      </c>
      <c r="KC106" t="str">
        <f t="shared" si="161"/>
        <v>F0-AI11-13B</v>
      </c>
      <c r="KD106" t="str">
        <f t="shared" si="162"/>
        <v>F0-AI11-14B</v>
      </c>
      <c r="KI106">
        <f t="array" ref="KI106">IF(COUNTIFS($U$2:$U106,$U106)=1,1,INDEX(KI:KI,_xlfn.XMATCH(U106,U$1:U105,0,-1))+COUNT(KI105:KM105))</f>
        <v>159</v>
      </c>
      <c r="KJ106">
        <f t="shared" si="165"/>
        <v>160</v>
      </c>
      <c r="KK106">
        <f t="shared" si="166"/>
        <v>161</v>
      </c>
      <c r="KN106">
        <v>1</v>
      </c>
      <c r="KO106" s="16">
        <v>2</v>
      </c>
      <c r="KS106" s="16"/>
    </row>
    <row r="107" spans="1:305" ht="30" x14ac:dyDescent="0.25">
      <c r="A107" s="29" t="s">
        <v>2318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A3.11</v>
      </c>
      <c r="Y107" s="43">
        <f t="array" ref="Y107">IF(COUNTIFS($X$2:$X107,$X107)=1,"1",VALUE(SUBSTITUTE(INDEX(Y:Y,_xlfn.XMATCH($X107,$X$1:$X106,0,-1)),"A",""))+INDEX(Z:Z,_xlfn.XMATCH($X107,$X$1:$X106,0,-1))+1)</f>
        <v>8</v>
      </c>
      <c r="Z107" s="43">
        <f t="array" ref="Z107">SUM(IF(ISNUMBER(FIND("TmAi",$BE$1:$AAQ$1)),IF(IFERROR(ISODD(SUBSTITUTE($BE107:$AAQ107,"A","")),FALSE),IF(ISODD(SUBSTITUTE($BE107:$AAQ107,"A","")),1,0),0)))</f>
        <v>0</v>
      </c>
      <c r="AA107" t="str">
        <f t="shared" si="163"/>
        <v>15B</v>
      </c>
      <c r="AB107" t="str">
        <f t="shared" si="164"/>
        <v>16B</v>
      </c>
      <c r="AD107" s="46"/>
      <c r="AE107" s="46">
        <f t="array" ref="AE107">SUM(IF(ISNUMBER(FIND("TmDi",$BE$1:$AAQ$1)),IF(IFERROR(ISNUMBER(VALUE(SUBSTITUTE($BE107:$AAQ107,"B",""))),FALSE),IF(ISNUMBER(VALUE(SUBSTITUTE($BE107:$AAQ107,"B",""))),1,0),0)))</f>
        <v>0</v>
      </c>
      <c r="AP107" t="s">
        <v>137</v>
      </c>
      <c r="AS107" t="s">
        <v>396</v>
      </c>
      <c r="JZ107" s="27" t="str">
        <f t="shared" si="160"/>
        <v>XT55</v>
      </c>
      <c r="KC107" t="str">
        <f t="shared" si="161"/>
        <v>F0-AI11-15B</v>
      </c>
      <c r="KD107" t="str">
        <f t="shared" si="162"/>
        <v>F0-AI11-16B</v>
      </c>
      <c r="KI107">
        <f t="array" ref="KI107">IF(COUNTIFS($U$2:$U107,$U107)=1,1,INDEX(KI:KI,_xlfn.XMATCH(U107,U$1:U106,0,-1))+COUNT(KI106:KM106))</f>
        <v>162</v>
      </c>
      <c r="KJ107">
        <f t="shared" si="165"/>
        <v>163</v>
      </c>
      <c r="KK107">
        <f t="shared" si="166"/>
        <v>164</v>
      </c>
      <c r="KN107">
        <v>1</v>
      </c>
      <c r="KO107" s="16">
        <v>2</v>
      </c>
      <c r="KS107" s="16"/>
    </row>
    <row r="108" spans="1:305" ht="30" x14ac:dyDescent="0.25">
      <c r="A108" s="29" t="s">
        <v>2319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">
        <v>2003</v>
      </c>
      <c r="Y108" s="43">
        <f t="array" ref="Y108">IF(COUNTIFS($X$2:$X108,$X108)=1,"1",VALUE(SUBSTITUTE(INDEX(Y:Y,_xlfn.XMATCH($X108,$X$1:$X107,0,-1)),"A",""))+INDEX(Z:Z,_xlfn.XMATCH($X108,$X$1:$X107,0,-1))+1)</f>
        <v>4</v>
      </c>
      <c r="Z108" s="43">
        <f t="array" ref="Z108">SUM(IF(ISNUMBER(FIND("TmAi",$BE$1:$AAQ$1)),IF(IFERROR(ISODD(SUBSTITUTE($BE108:$AAQ108,"A","")),FALSE),IF(ISODD(SUBSTITUTE($BE108:$AAQ108,"A","")),1,0),0)))</f>
        <v>0</v>
      </c>
      <c r="AA108" t="str">
        <f t="shared" si="163"/>
        <v>7B</v>
      </c>
      <c r="AB108" t="str">
        <f t="shared" si="164"/>
        <v>8B</v>
      </c>
      <c r="AD108" s="46"/>
      <c r="AE108" s="46">
        <f t="array" ref="AE108">SUM(IF(ISNUMBER(FIND("TmDi",$BE$1:$AAQ$1)),IF(IFERROR(ISNUMBER(VALUE(SUBSTITUTE($BE108:$AAQ108,"B",""))),FALSE),IF(ISNUMBER(VALUE(SUBSTITUTE($BE108:$AAQ108,"B",""))),1,0),0)))</f>
        <v>0</v>
      </c>
      <c r="AP108" t="s">
        <v>137</v>
      </c>
      <c r="AS108" t="s">
        <v>396</v>
      </c>
      <c r="JZ108" s="27" t="str">
        <f t="shared" si="160"/>
        <v>XT55</v>
      </c>
      <c r="KC108" t="str">
        <f t="shared" si="161"/>
        <v>F0-AI9-7B</v>
      </c>
      <c r="KD108" t="str">
        <f t="shared" si="162"/>
        <v>F0-AI9-8B</v>
      </c>
      <c r="KI108">
        <f t="array" ref="KI108">IF(COUNTIFS($U$2:$U108,$U108)=1,1,INDEX(KI:KI,_xlfn.XMATCH(U108,U$1:U107,0,-1))+COUNT(KI107:KM107))</f>
        <v>165</v>
      </c>
      <c r="KJ108">
        <f t="shared" si="165"/>
        <v>166</v>
      </c>
      <c r="KK108">
        <f t="shared" si="166"/>
        <v>167</v>
      </c>
      <c r="KN108">
        <v>1</v>
      </c>
      <c r="KO108" s="16">
        <v>2</v>
      </c>
      <c r="KS108" s="16"/>
    </row>
    <row r="109" spans="1:305" ht="30" x14ac:dyDescent="0.25">
      <c r="A109" s="29" t="s">
        <v>2320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5</v>
      </c>
      <c r="Z109" s="43">
        <f t="array" ref="Z109">SUM(IF(ISNUMBER(FIND("TmAi",$BE$1:$AAQ$1)),IF(IFERROR(ISODD(SUBSTITUTE($BE109:$AAQ109,"A","")),FALSE),IF(ISODD(SUBSTITUTE($BE109:$AAQ109,"A","")),1,0),0)))</f>
        <v>0</v>
      </c>
      <c r="AA109" t="str">
        <f t="shared" si="163"/>
        <v>9B</v>
      </c>
      <c r="AB109" t="str">
        <f t="shared" si="164"/>
        <v>10B</v>
      </c>
      <c r="AD109" s="46"/>
      <c r="AE109" s="46">
        <f t="array" ref="AE109">SUM(IF(ISNUMBER(FIND("TmDi",$BE$1:$AAQ$1)),IF(IFERROR(ISNUMBER(VALUE(SUBSTITUTE($BE109:$AAQ109,"B",""))),FALSE),IF(ISNUMBER(VALUE(SUBSTITUTE($BE109:$AAQ109,"B",""))),1,0),0)))</f>
        <v>0</v>
      </c>
      <c r="AP109" t="s">
        <v>137</v>
      </c>
      <c r="AS109" t="s">
        <v>396</v>
      </c>
      <c r="JZ109" s="27" t="str">
        <f t="shared" si="160"/>
        <v>XT55</v>
      </c>
      <c r="KC109" t="str">
        <f t="shared" si="161"/>
        <v>F0-AI9-9B</v>
      </c>
      <c r="KD109" t="str">
        <f t="shared" si="162"/>
        <v>F0-AI9-10B</v>
      </c>
      <c r="KI109">
        <f t="array" ref="KI109">IF(COUNTIFS($U$2:$U109,$U109)=1,1,INDEX(KI:KI,_xlfn.XMATCH(U109,U$1:U108,0,-1))+COUNT(KI108:KM108))</f>
        <v>168</v>
      </c>
      <c r="KJ109">
        <f t="shared" si="165"/>
        <v>169</v>
      </c>
      <c r="KK109">
        <f t="shared" si="166"/>
        <v>170</v>
      </c>
      <c r="KN109">
        <v>1</v>
      </c>
      <c r="KO109" s="16">
        <v>2</v>
      </c>
      <c r="KS109" s="16"/>
    </row>
    <row r="110" spans="1:305" ht="30" x14ac:dyDescent="0.25">
      <c r="A110" s="29" t="s">
        <v>2321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6</v>
      </c>
      <c r="Z110" s="43">
        <f t="array" ref="Z110">SUM(IF(ISNUMBER(FIND("TmAi",$BE$1:$AAQ$1)),IF(IFERROR(ISODD(SUBSTITUTE($BE110:$AAQ110,"A","")),FALSE),IF(ISODD(SUBSTITUTE($BE110:$AAQ110,"A","")),1,0),0)))</f>
        <v>0</v>
      </c>
      <c r="AA110" t="str">
        <f t="shared" si="163"/>
        <v>11B</v>
      </c>
      <c r="AB110" t="str">
        <f t="shared" si="164"/>
        <v>12B</v>
      </c>
      <c r="AD110" s="46"/>
      <c r="AE110" s="46">
        <f t="array" ref="AE110">SUM(IF(ISNUMBER(FIND("TmDi",$BE$1:$AAQ$1)),IF(IFERROR(ISNUMBER(VALUE(SUBSTITUTE($BE110:$AAQ110,"B",""))),FALSE),IF(ISNUMBER(VALUE(SUBSTITUTE($BE110:$AAQ110,"B",""))),1,0),0)))</f>
        <v>0</v>
      </c>
      <c r="AP110" t="s">
        <v>137</v>
      </c>
      <c r="AS110" t="s">
        <v>396</v>
      </c>
      <c r="JZ110" s="27" t="str">
        <f t="shared" si="160"/>
        <v>XT55</v>
      </c>
      <c r="KC110" t="str">
        <f t="shared" si="161"/>
        <v>F0-AI9-11B</v>
      </c>
      <c r="KD110" t="str">
        <f t="shared" si="162"/>
        <v>F0-AI9-12B</v>
      </c>
      <c r="KI110">
        <f t="array" ref="KI110">IF(COUNTIFS($U$2:$U110,$U110)=1,1,INDEX(KI:KI,_xlfn.XMATCH(U110,U$1:U109,0,-1))+COUNT(KI109:KM109))</f>
        <v>171</v>
      </c>
      <c r="KJ110">
        <f t="shared" si="165"/>
        <v>172</v>
      </c>
      <c r="KK110">
        <f t="shared" si="166"/>
        <v>173</v>
      </c>
      <c r="KN110">
        <v>1</v>
      </c>
      <c r="KO110" s="16">
        <v>2</v>
      </c>
      <c r="KS110" s="16"/>
    </row>
    <row r="111" spans="1:305" ht="30" x14ac:dyDescent="0.25">
      <c r="A111" s="29" t="s">
        <v>2322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7</v>
      </c>
      <c r="Z111" s="43">
        <f t="array" ref="Z111">SUM(IF(ISNUMBER(FIND("TmAi",$BE$1:$AAQ$1)),IF(IFERROR(ISODD(SUBSTITUTE($BE111:$AAQ111,"A","")),FALSE),IF(ISODD(SUBSTITUTE($BE111:$AAQ111,"A","")),1,0),0)))</f>
        <v>0</v>
      </c>
      <c r="AA111" t="str">
        <f t="shared" si="163"/>
        <v>13B</v>
      </c>
      <c r="AB111" t="str">
        <f t="shared" si="164"/>
        <v>14B</v>
      </c>
      <c r="AD111" s="46"/>
      <c r="AE111" s="46">
        <f t="array" ref="AE111">SUM(IF(ISNUMBER(FIND("TmDi",$BE$1:$AAQ$1)),IF(IFERROR(ISNUMBER(VALUE(SUBSTITUTE($BE111:$AAQ111,"B",""))),FALSE),IF(ISNUMBER(VALUE(SUBSTITUTE($BE111:$AAQ111,"B",""))),1,0),0)))</f>
        <v>0</v>
      </c>
      <c r="AP111" t="s">
        <v>137</v>
      </c>
      <c r="AS111" t="s">
        <v>396</v>
      </c>
      <c r="JZ111" s="27" t="str">
        <f t="shared" si="160"/>
        <v>XT55</v>
      </c>
      <c r="KC111" t="str">
        <f t="shared" si="161"/>
        <v>F0-AI9-13B</v>
      </c>
      <c r="KD111" t="str">
        <f t="shared" si="162"/>
        <v>F0-AI9-14B</v>
      </c>
      <c r="KI111">
        <f t="array" ref="KI111">IF(COUNTIFS($U$2:$U111,$U111)=1,1,INDEX(KI:KI,_xlfn.XMATCH(U111,U$1:U110,0,-1))+COUNT(KI110:KM110))</f>
        <v>174</v>
      </c>
      <c r="KJ111">
        <f t="shared" si="165"/>
        <v>175</v>
      </c>
      <c r="KK111">
        <f t="shared" si="166"/>
        <v>176</v>
      </c>
      <c r="KN111">
        <v>1</v>
      </c>
      <c r="KO111" s="16">
        <v>2</v>
      </c>
      <c r="KS111" s="16"/>
    </row>
    <row r="112" spans="1:305" ht="30" x14ac:dyDescent="0.25">
      <c r="A112" s="29" t="s">
        <v>2323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">
        <v>2071</v>
      </c>
      <c r="Y112" s="43" t="str">
        <f t="array" ref="Y112">IF(COUNTIFS($X$2:$X112,$X112)=1,"1",VALUE(SUBSTITUTE(INDEX(Y:Y,_xlfn.XMATCH($X112,$X$1:$X111,0,-1)),"A",""))+INDEX(Z:Z,_xlfn.XMATCH($X112,$X$1:$X111,0,-1))+1)</f>
        <v>1</v>
      </c>
      <c r="Z112" s="43">
        <f t="array" ref="Z112">SUM(IF(ISNUMBER(FIND("TmAi",$BE$1:$AAQ$1)),IF(IFERROR(ISODD(SUBSTITUTE($BE112:$AAQ112,"A","")),FALSE),IF(ISODD(SUBSTITUTE($BE112:$AAQ112,"A","")),1,0),0)))</f>
        <v>0</v>
      </c>
      <c r="AA112" t="str">
        <f t="shared" si="163"/>
        <v>1B</v>
      </c>
      <c r="AB112" t="str">
        <f t="shared" si="164"/>
        <v>2B</v>
      </c>
      <c r="AD112" s="46"/>
      <c r="AE112" s="46">
        <f t="array" ref="AE112">SUM(IF(ISNUMBER(FIND("TmDi",$BE$1:$AAQ$1)),IF(IFERROR(ISNUMBER(VALUE(SUBSTITUTE($BE112:$AAQ112,"B",""))),FALSE),IF(ISNUMBER(VALUE(SUBSTITUTE($BE112:$AAQ112,"B",""))),1,0),0)))</f>
        <v>0</v>
      </c>
      <c r="AP112" t="s">
        <v>137</v>
      </c>
      <c r="AS112" t="s">
        <v>396</v>
      </c>
      <c r="JZ112" s="27" t="str">
        <f t="shared" si="160"/>
        <v>XT55</v>
      </c>
      <c r="KC112" t="str">
        <f t="shared" si="161"/>
        <v>F0-AI12-1B</v>
      </c>
      <c r="KD112" t="str">
        <f t="shared" si="162"/>
        <v>F0-AI12-2B</v>
      </c>
      <c r="KI112">
        <f t="array" ref="KI112">IF(COUNTIFS($U$2:$U112,$U112)=1,1,INDEX(KI:KI,_xlfn.XMATCH(U112,U$1:U111,0,-1))+COUNT(KI111:KM111))</f>
        <v>177</v>
      </c>
      <c r="KJ112">
        <f t="shared" si="165"/>
        <v>178</v>
      </c>
      <c r="KK112">
        <f t="shared" si="166"/>
        <v>179</v>
      </c>
      <c r="KN112">
        <v>1</v>
      </c>
      <c r="KO112" s="16">
        <v>2</v>
      </c>
      <c r="KS112" s="16"/>
    </row>
    <row r="113" spans="1:305" ht="30" x14ac:dyDescent="0.25">
      <c r="A113" s="29" t="s">
        <v>2324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A3.12</v>
      </c>
      <c r="Y113" s="45">
        <f t="array" ref="Y113">IF(COUNTIFS($X$2:$X113,$X113)=1,"1",VALUE(SUBSTITUTE(INDEX(Y:Y,_xlfn.XMATCH($X113,$X$1:$X112,0,-1)),"A",""))+INDEX(Z:Z,_xlfn.XMATCH($X113,$X$1:$X112,0,-1))+1)</f>
        <v>2</v>
      </c>
      <c r="Z113" s="43">
        <f t="array" ref="Z113">SUM(IF(ISNUMBER(FIND("TmAi",$BE$1:$AAQ$1)),IF(IFERROR(ISODD(SUBSTITUTE($BE113:$AAQ113,"A","")),FALSE),IF(ISODD(SUBSTITUTE($BE113:$AAQ113,"A","")),1,0),0)))</f>
        <v>0</v>
      </c>
      <c r="AA113" t="str">
        <f t="shared" si="163"/>
        <v>3B</v>
      </c>
      <c r="AB113" t="str">
        <f t="shared" si="164"/>
        <v>4B</v>
      </c>
      <c r="AD113" s="46"/>
      <c r="AE113" s="46">
        <f t="array" ref="AE113">SUM(IF(ISNUMBER(FIND("TmDi",$BE$1:$AAQ$1)),IF(IFERROR(ISNUMBER(VALUE(SUBSTITUTE($BE113:$AAQ113,"B",""))),FALSE),IF(ISNUMBER(VALUE(SUBSTITUTE($BE113:$AAQ113,"B",""))),1,0),0)))</f>
        <v>0</v>
      </c>
      <c r="AP113" t="s">
        <v>137</v>
      </c>
      <c r="AS113" t="s">
        <v>396</v>
      </c>
      <c r="JZ113" s="27" t="str">
        <f t="shared" si="160"/>
        <v>XT55</v>
      </c>
      <c r="KC113" t="str">
        <f t="shared" si="161"/>
        <v>F0-AI12-3B</v>
      </c>
      <c r="KD113" t="str">
        <f t="shared" si="162"/>
        <v>F0-AI12-4B</v>
      </c>
      <c r="KI113">
        <f t="array" ref="KI113">IF(COUNTIFS($U$2:$U113,$U113)=1,1,INDEX(KI:KI,_xlfn.XMATCH(U113,U$1:U112,0,-1))+COUNT(KI112:KM112))</f>
        <v>180</v>
      </c>
      <c r="KJ113">
        <f t="shared" si="165"/>
        <v>181</v>
      </c>
      <c r="KK113">
        <f t="shared" si="166"/>
        <v>182</v>
      </c>
      <c r="KN113">
        <v>1</v>
      </c>
      <c r="KO113" s="16">
        <v>2</v>
      </c>
      <c r="KS113" s="16"/>
    </row>
    <row r="114" spans="1:305" ht="30" x14ac:dyDescent="0.25">
      <c r="A114" s="29" t="s">
        <v>2325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A3.12</v>
      </c>
      <c r="Y114" s="43">
        <f t="array" ref="Y114">IF(COUNTIFS($X$2:$X114,$X114)=1,"1",VALUE(SUBSTITUTE(INDEX(Y:Y,_xlfn.XMATCH($X114,$X$1:$X113,0,-1)),"A",""))+INDEX(Z:Z,_xlfn.XMATCH($X114,$X$1:$X113,0,-1))+1)</f>
        <v>3</v>
      </c>
      <c r="Z114" s="43">
        <f t="array" ref="Z114">SUM(IF(ISNUMBER(FIND("TmAi",$BE$1:$AAQ$1)),IF(IFERROR(ISODD(SUBSTITUTE($BE114:$AAQ114,"A","")),FALSE),IF(ISODD(SUBSTITUTE($BE114:$AAQ114,"A","")),1,0),0)))</f>
        <v>0</v>
      </c>
      <c r="AA114" t="str">
        <f t="shared" si="163"/>
        <v>5B</v>
      </c>
      <c r="AB114" t="str">
        <f t="shared" si="164"/>
        <v>6B</v>
      </c>
      <c r="AD114" s="46"/>
      <c r="AE114" s="46">
        <f t="array" ref="AE114">SUM(IF(ISNUMBER(FIND("TmDi",$BE$1:$AAQ$1)),IF(IFERROR(ISNUMBER(VALUE(SUBSTITUTE($BE114:$AAQ114,"B",""))),FALSE),IF(ISNUMBER(VALUE(SUBSTITUTE($BE114:$AAQ114,"B",""))),1,0),0)))</f>
        <v>0</v>
      </c>
      <c r="AP114" t="s">
        <v>137</v>
      </c>
      <c r="AS114" t="s">
        <v>396</v>
      </c>
      <c r="JZ114" s="27" t="str">
        <f t="shared" si="160"/>
        <v>XT55</v>
      </c>
      <c r="KC114" t="str">
        <f t="shared" si="161"/>
        <v>F0-AI12-5B</v>
      </c>
      <c r="KD114" t="str">
        <f t="shared" si="162"/>
        <v>F0-AI12-6B</v>
      </c>
      <c r="KI114">
        <f t="array" ref="KI114">IF(COUNTIFS($U$2:$U114,$U114)=1,1,INDEX(KI:KI,_xlfn.XMATCH(U114,U$1:U113,0,-1))+COUNT(KI113:KM113))</f>
        <v>183</v>
      </c>
      <c r="KJ114">
        <f t="shared" ref="KJ114:KJ152" si="167">KI114+1</f>
        <v>184</v>
      </c>
      <c r="KK114">
        <f t="shared" ref="KK114:KK152" si="168">KJ114+1</f>
        <v>185</v>
      </c>
      <c r="KN114">
        <v>1</v>
      </c>
      <c r="KO114" s="16">
        <v>2</v>
      </c>
      <c r="KS114" s="16"/>
    </row>
    <row r="115" spans="1:305" ht="30" x14ac:dyDescent="0.25">
      <c r="A115" s="29" t="s">
        <v>2326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A3.12</v>
      </c>
      <c r="Y115" s="43">
        <f t="array" ref="Y115">IF(COUNTIFS($X$2:$X115,$X115)=1,"1",VALUE(SUBSTITUTE(INDEX(Y:Y,_xlfn.XMATCH($X115,$X$1:$X114,0,-1)),"A",""))+INDEX(Z:Z,_xlfn.XMATCH($X115,$X$1:$X114,0,-1))+1)</f>
        <v>4</v>
      </c>
      <c r="Z115" s="43">
        <f t="array" ref="Z115">SUM(IF(ISNUMBER(FIND("TmAi",$BE$1:$AAQ$1)),IF(IFERROR(ISODD(SUBSTITUTE($BE115:$AAQ115,"A","")),FALSE),IF(ISODD(SUBSTITUTE($BE115:$AAQ115,"A","")),1,0),0)))</f>
        <v>0</v>
      </c>
      <c r="AA115" t="str">
        <f t="shared" si="163"/>
        <v>7B</v>
      </c>
      <c r="AB115" t="str">
        <f t="shared" si="164"/>
        <v>8B</v>
      </c>
      <c r="AD115" s="46"/>
      <c r="AE115" s="46">
        <f t="array" ref="AE115">SUM(IF(ISNUMBER(FIND("TmDi",$BE$1:$AAQ$1)),IF(IFERROR(ISNUMBER(VALUE(SUBSTITUTE($BE115:$AAQ115,"B",""))),FALSE),IF(ISNUMBER(VALUE(SUBSTITUTE($BE115:$AAQ115,"B",""))),1,0),0)))</f>
        <v>0</v>
      </c>
      <c r="AP115" t="s">
        <v>137</v>
      </c>
      <c r="AS115" t="s">
        <v>396</v>
      </c>
      <c r="JZ115" s="27" t="str">
        <f t="shared" si="160"/>
        <v>XT55</v>
      </c>
      <c r="KC115" t="str">
        <f t="shared" si="161"/>
        <v>F0-AI12-7B</v>
      </c>
      <c r="KD115" t="str">
        <f t="shared" si="162"/>
        <v>F0-AI12-8B</v>
      </c>
      <c r="KI115">
        <f t="array" ref="KI115">IF(COUNTIFS($U$2:$U115,$U115)=1,1,INDEX(KI:KI,_xlfn.XMATCH(U115,U$1:U114,0,-1))+COUNT(KI114:KM114))</f>
        <v>186</v>
      </c>
      <c r="KJ115">
        <f t="shared" si="167"/>
        <v>187</v>
      </c>
      <c r="KK115">
        <f t="shared" si="168"/>
        <v>188</v>
      </c>
      <c r="KN115">
        <v>1</v>
      </c>
      <c r="KO115" s="16">
        <v>2</v>
      </c>
      <c r="KS115" s="16"/>
    </row>
    <row r="116" spans="1:305" ht="30" x14ac:dyDescent="0.25">
      <c r="A116" s="29" t="s">
        <v>2327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A3.12</v>
      </c>
      <c r="Y116" s="43">
        <f t="array" ref="Y116">IF(COUNTIFS($X$2:$X116,$X116)=1,"1",VALUE(SUBSTITUTE(INDEX(Y:Y,_xlfn.XMATCH($X116,$X$1:$X115,0,-1)),"A",""))+INDEX(Z:Z,_xlfn.XMATCH($X116,$X$1:$X115,0,-1))+1)</f>
        <v>5</v>
      </c>
      <c r="Z116" s="43">
        <f t="array" ref="Z116">SUM(IF(ISNUMBER(FIND("TmAi",$BE$1:$AAQ$1)),IF(IFERROR(ISODD(SUBSTITUTE($BE116:$AAQ116,"A","")),FALSE),IF(ISODD(SUBSTITUTE($BE116:$AAQ116,"A","")),1,0),0)))</f>
        <v>0</v>
      </c>
      <c r="AA116" t="str">
        <f t="shared" si="163"/>
        <v>9B</v>
      </c>
      <c r="AB116" t="str">
        <f t="shared" si="164"/>
        <v>10B</v>
      </c>
      <c r="AD116" s="46"/>
      <c r="AE116" s="46">
        <f t="array" ref="AE116">SUM(IF(ISNUMBER(FIND("TmDi",$BE$1:$AAQ$1)),IF(IFERROR(ISNUMBER(VALUE(SUBSTITUTE($BE116:$AAQ116,"B",""))),FALSE),IF(ISNUMBER(VALUE(SUBSTITUTE($BE116:$AAQ116,"B",""))),1,0),0)))</f>
        <v>0</v>
      </c>
      <c r="AP116" t="s">
        <v>137</v>
      </c>
      <c r="AS116" t="s">
        <v>396</v>
      </c>
      <c r="JZ116" s="27" t="str">
        <f t="shared" si="160"/>
        <v>XT55</v>
      </c>
      <c r="KC116" t="str">
        <f t="shared" si="161"/>
        <v>F0-AI12-9B</v>
      </c>
      <c r="KD116" t="str">
        <f t="shared" si="162"/>
        <v>F0-AI12-10B</v>
      </c>
      <c r="KI116">
        <f t="array" ref="KI116">IF(COUNTIFS($U$2:$U116,$U116)=1,1,INDEX(KI:KI,_xlfn.XMATCH(U116,U$1:U115,0,-1))+COUNT(KI115:KM115))</f>
        <v>189</v>
      </c>
      <c r="KJ116">
        <f t="shared" si="167"/>
        <v>190</v>
      </c>
      <c r="KK116">
        <f t="shared" si="168"/>
        <v>191</v>
      </c>
      <c r="KN116">
        <v>1</v>
      </c>
      <c r="KO116" s="16">
        <v>2</v>
      </c>
      <c r="KS116" s="16"/>
    </row>
    <row r="117" spans="1:305" ht="30" x14ac:dyDescent="0.25">
      <c r="A117" s="29" t="s">
        <v>2328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">
        <v>2005</v>
      </c>
      <c r="Y117" s="43" t="str">
        <f t="array" ref="Y117">IF(COUNTIFS($X$2:$X117,$X117)=1,"1",VALUE(SUBSTITUTE(INDEX(Y:Y,_xlfn.XMATCH($X117,$X$1:$X116,0,-1)),"A",""))+INDEX(Z:Z,_xlfn.XMATCH($X117,$X$1:$X116,0,-1))+1)</f>
        <v>1</v>
      </c>
      <c r="Z117" s="43">
        <f t="array" ref="Z117">SUM(IF(ISNUMBER(FIND("TmAi",$BE$1:$AAQ$1)),IF(IFERROR(ISODD(SUBSTITUTE($BE117:$AAQ117,"A","")),FALSE),IF(ISODD(SUBSTITUTE($BE117:$AAQ117,"A","")),1,0),0)))</f>
        <v>0</v>
      </c>
      <c r="AA117" t="str">
        <f t="shared" si="163"/>
        <v>1B</v>
      </c>
      <c r="AB117" t="str">
        <f t="shared" si="164"/>
        <v>2B</v>
      </c>
      <c r="AD117" s="46"/>
      <c r="AE117" s="46">
        <f t="array" ref="AE117">SUM(IF(ISNUMBER(FIND("TmDi",$BE$1:$AAQ$1)),IF(IFERROR(ISNUMBER(VALUE(SUBSTITUTE($BE117:$AAQ117,"B",""))),FALSE),IF(ISNUMBER(VALUE(SUBSTITUTE($BE117:$AAQ117,"B",""))),1,0),0)))</f>
        <v>0</v>
      </c>
      <c r="AP117" t="s">
        <v>137</v>
      </c>
      <c r="AS117" t="s">
        <v>396</v>
      </c>
      <c r="JZ117" s="27" t="str">
        <f t="shared" si="160"/>
        <v>XT55</v>
      </c>
      <c r="KC117" t="str">
        <f t="shared" si="161"/>
        <v>F0-AI13-1B</v>
      </c>
      <c r="KD117" t="str">
        <f t="shared" si="162"/>
        <v>F0-AI13-2B</v>
      </c>
      <c r="KI117">
        <f t="array" ref="KI117">IF(COUNTIFS($U$2:$U117,$U117)=1,1,INDEX(KI:KI,_xlfn.XMATCH(U117,U$1:U116,0,-1))+COUNT(KI116:KM116))</f>
        <v>192</v>
      </c>
      <c r="KJ117">
        <f t="shared" si="167"/>
        <v>193</v>
      </c>
      <c r="KK117">
        <f t="shared" si="168"/>
        <v>194</v>
      </c>
      <c r="KN117">
        <v>1</v>
      </c>
      <c r="KO117" s="16">
        <v>2</v>
      </c>
      <c r="KS117" s="16"/>
    </row>
    <row r="118" spans="1:305" ht="30" x14ac:dyDescent="0.25">
      <c r="A118" s="29" t="s">
        <v>2329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A3.13</v>
      </c>
      <c r="Y118" s="43">
        <f t="array" ref="Y118">IF(COUNTIFS($X$2:$X118,$X118)=1,"1",VALUE(SUBSTITUTE(INDEX(Y:Y,_xlfn.XMATCH($X118,$X$1:$X117,0,-1)),"A",""))+INDEX(Z:Z,_xlfn.XMATCH($X118,$X$1:$X117,0,-1))+1)</f>
        <v>2</v>
      </c>
      <c r="Z118" s="43">
        <f t="array" ref="Z118">SUM(IF(ISNUMBER(FIND("TmAi",$BE$1:$AAQ$1)),IF(IFERROR(ISODD(SUBSTITUTE($BE118:$AAQ118,"A","")),FALSE),IF(ISODD(SUBSTITUTE($BE118:$AAQ118,"A","")),1,0),0)))</f>
        <v>0</v>
      </c>
      <c r="AA118" t="str">
        <f t="shared" si="163"/>
        <v>3B</v>
      </c>
      <c r="AB118" t="str">
        <f t="shared" si="164"/>
        <v>4B</v>
      </c>
      <c r="AD118" s="46"/>
      <c r="AE118" s="46">
        <f t="array" ref="AE118">SUM(IF(ISNUMBER(FIND("TmDi",$BE$1:$AAQ$1)),IF(IFERROR(ISNUMBER(VALUE(SUBSTITUTE($BE118:$AAQ118,"B",""))),FALSE),IF(ISNUMBER(VALUE(SUBSTITUTE($BE118:$AAQ118,"B",""))),1,0),0)))</f>
        <v>0</v>
      </c>
      <c r="AP118" t="s">
        <v>137</v>
      </c>
      <c r="AS118" t="s">
        <v>396</v>
      </c>
      <c r="JZ118" s="27" t="str">
        <f t="shared" si="160"/>
        <v>XT55</v>
      </c>
      <c r="KC118" t="str">
        <f t="shared" si="161"/>
        <v>F0-AI13-3B</v>
      </c>
      <c r="KD118" t="str">
        <f t="shared" si="162"/>
        <v>F0-AI13-4B</v>
      </c>
      <c r="KI118">
        <f t="array" ref="KI118">IF(COUNTIFS($U$2:$U118,$U118)=1,1,INDEX(KI:KI,_xlfn.XMATCH(U118,U$1:U117,0,-1))+COUNT(KI117:KM117))</f>
        <v>195</v>
      </c>
      <c r="KJ118">
        <f t="shared" si="167"/>
        <v>196</v>
      </c>
      <c r="KK118">
        <f t="shared" si="168"/>
        <v>197</v>
      </c>
      <c r="KN118">
        <v>1</v>
      </c>
      <c r="KO118" s="16">
        <v>2</v>
      </c>
      <c r="KS118" s="16"/>
    </row>
    <row r="119" spans="1:305" ht="30" x14ac:dyDescent="0.25">
      <c r="A119" s="29" t="s">
        <v>2330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A3.13</v>
      </c>
      <c r="Y119" s="43">
        <f t="array" ref="Y119">IF(COUNTIFS($X$2:$X119,$X119)=1,"1",VALUE(SUBSTITUTE(INDEX(Y:Y,_xlfn.XMATCH($X119,$X$1:$X118,0,-1)),"A",""))+INDEX(Z:Z,_xlfn.XMATCH($X119,$X$1:$X118,0,-1))+1)</f>
        <v>3</v>
      </c>
      <c r="Z119" s="43">
        <f t="array" ref="Z119">SUM(IF(ISNUMBER(FIND("TmAi",$BE$1:$AAQ$1)),IF(IFERROR(ISODD(SUBSTITUTE($BE119:$AAQ119,"A","")),FALSE),IF(ISODD(SUBSTITUTE($BE119:$AAQ119,"A","")),1,0),0)))</f>
        <v>0</v>
      </c>
      <c r="AA119" t="str">
        <f t="shared" si="163"/>
        <v>5B</v>
      </c>
      <c r="AB119" t="str">
        <f t="shared" si="164"/>
        <v>6B</v>
      </c>
      <c r="AD119" s="46"/>
      <c r="AE119" s="46">
        <f t="array" ref="AE119">SUM(IF(ISNUMBER(FIND("TmDi",$BE$1:$AAQ$1)),IF(IFERROR(ISNUMBER(VALUE(SUBSTITUTE($BE119:$AAQ119,"B",""))),FALSE),IF(ISNUMBER(VALUE(SUBSTITUTE($BE119:$AAQ119,"B",""))),1,0),0)))</f>
        <v>0</v>
      </c>
      <c r="AP119" t="s">
        <v>137</v>
      </c>
      <c r="AS119" t="s">
        <v>396</v>
      </c>
      <c r="JZ119" s="27" t="str">
        <f t="shared" si="160"/>
        <v>XT55</v>
      </c>
      <c r="KC119" t="str">
        <f t="shared" si="161"/>
        <v>F0-AI13-5B</v>
      </c>
      <c r="KD119" t="str">
        <f t="shared" si="162"/>
        <v>F0-AI13-6B</v>
      </c>
      <c r="KI119">
        <f t="array" ref="KI119">IF(COUNTIFS($U$2:$U119,$U119)=1,1,INDEX(KI:KI,_xlfn.XMATCH(U119,U$1:U118,0,-1))+COUNT(KI118:KM118))</f>
        <v>198</v>
      </c>
      <c r="KJ119">
        <f t="shared" si="167"/>
        <v>199</v>
      </c>
      <c r="KK119">
        <f t="shared" si="168"/>
        <v>200</v>
      </c>
      <c r="KN119">
        <v>1</v>
      </c>
      <c r="KO119" s="16">
        <v>2</v>
      </c>
      <c r="KS119" s="16"/>
    </row>
    <row r="120" spans="1:305" ht="30" x14ac:dyDescent="0.25">
      <c r="A120" s="29" t="s">
        <v>2331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A3.13</v>
      </c>
      <c r="Y120" s="43">
        <f t="array" ref="Y120">IF(COUNTIFS($X$2:$X120,$X120)=1,"1",VALUE(SUBSTITUTE(INDEX(Y:Y,_xlfn.XMATCH($X120,$X$1:$X119,0,-1)),"A",""))+INDEX(Z:Z,_xlfn.XMATCH($X120,$X$1:$X119,0,-1))+1)</f>
        <v>4</v>
      </c>
      <c r="Z120" s="43">
        <f t="array" ref="Z120">SUM(IF(ISNUMBER(FIND("TmAi",$BE$1:$AAQ$1)),IF(IFERROR(ISODD(SUBSTITUTE($BE120:$AAQ120,"A","")),FALSE),IF(ISODD(SUBSTITUTE($BE120:$AAQ120,"A","")),1,0),0)))</f>
        <v>0</v>
      </c>
      <c r="AA120" t="str">
        <f t="shared" si="163"/>
        <v>7B</v>
      </c>
      <c r="AB120" t="str">
        <f t="shared" si="164"/>
        <v>8B</v>
      </c>
      <c r="AD120" s="46"/>
      <c r="AE120" s="46">
        <f t="array" ref="AE120">SUM(IF(ISNUMBER(FIND("TmDi",$BE$1:$AAQ$1)),IF(IFERROR(ISNUMBER(VALUE(SUBSTITUTE($BE120:$AAQ120,"B",""))),FALSE),IF(ISNUMBER(VALUE(SUBSTITUTE($BE120:$AAQ120,"B",""))),1,0),0)))</f>
        <v>0</v>
      </c>
      <c r="AP120" t="s">
        <v>137</v>
      </c>
      <c r="AS120" t="s">
        <v>396</v>
      </c>
      <c r="JZ120" s="27" t="str">
        <f t="shared" ref="JZ120:JZ151" si="169">CONCATENATE("XT",U120)</f>
        <v>XT55</v>
      </c>
      <c r="KC120" t="str">
        <f t="shared" ref="KC120:KC151" si="170">CONCATENATE(T120,"-AI",REPLACE($X120,1,3,""),"-",AA120)</f>
        <v>F0-AI13-7B</v>
      </c>
      <c r="KD120" t="str">
        <f t="shared" ref="KD120:KD151" si="171">CONCATENATE(T120,"-AI",REPLACE($X120,1,3,""),"-",AB120)</f>
        <v>F0-AI13-8B</v>
      </c>
      <c r="KI120">
        <f t="array" ref="KI120">IF(COUNTIFS($U$2:$U120,$U120)=1,1,INDEX(KI:KI,_xlfn.XMATCH(U120,U$1:U119,0,-1))+COUNT(KI119:KM119))</f>
        <v>201</v>
      </c>
      <c r="KJ120">
        <f t="shared" si="167"/>
        <v>202</v>
      </c>
      <c r="KK120">
        <f t="shared" si="168"/>
        <v>203</v>
      </c>
      <c r="KN120">
        <v>1</v>
      </c>
      <c r="KO120" s="16">
        <v>2</v>
      </c>
      <c r="KS120" s="16"/>
    </row>
    <row r="121" spans="1:305" ht="30" x14ac:dyDescent="0.25">
      <c r="A121" s="29" t="s">
        <v>2332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A3.13</v>
      </c>
      <c r="Y121" s="45">
        <f t="array" ref="Y121">IF(COUNTIFS($X$2:$X121,$X121)=1,"1",VALUE(SUBSTITUTE(INDEX(Y:Y,_xlfn.XMATCH($X121,$X$1:$X120,0,-1)),"A",""))+INDEX(Z:Z,_xlfn.XMATCH($X121,$X$1:$X120,0,-1))+1)</f>
        <v>5</v>
      </c>
      <c r="Z121" s="43">
        <f t="array" ref="Z121">SUM(IF(ISNUMBER(FIND("TmAi",$BE$1:$AAQ$1)),IF(IFERROR(ISODD(SUBSTITUTE($BE121:$AAQ121,"A","")),FALSE),IF(ISODD(SUBSTITUTE($BE121:$AAQ121,"A","")),1,0),0)))</f>
        <v>0</v>
      </c>
      <c r="AA121" t="str">
        <f t="shared" si="163"/>
        <v>9B</v>
      </c>
      <c r="AB121" t="str">
        <f t="shared" si="164"/>
        <v>10B</v>
      </c>
      <c r="AD121" s="46"/>
      <c r="AE121" s="46">
        <f t="array" ref="AE121">SUM(IF(ISNUMBER(FIND("TmDi",$BE$1:$AAQ$1)),IF(IFERROR(ISNUMBER(VALUE(SUBSTITUTE($BE121:$AAQ121,"B",""))),FALSE),IF(ISNUMBER(VALUE(SUBSTITUTE($BE121:$AAQ121,"B",""))),1,0),0)))</f>
        <v>0</v>
      </c>
      <c r="AP121" t="s">
        <v>137</v>
      </c>
      <c r="AS121" t="s">
        <v>396</v>
      </c>
      <c r="JZ121" s="27" t="str">
        <f t="shared" si="169"/>
        <v>XT55</v>
      </c>
      <c r="KC121" t="str">
        <f t="shared" si="170"/>
        <v>F0-AI13-9B</v>
      </c>
      <c r="KD121" t="str">
        <f t="shared" si="171"/>
        <v>F0-AI13-10B</v>
      </c>
      <c r="KI121">
        <f t="array" ref="KI121">IF(COUNTIFS($U$2:$U121,$U121)=1,1,INDEX(KI:KI,_xlfn.XMATCH(U121,U$1:U120,0,-1))+COUNT(KI120:KM120))</f>
        <v>204</v>
      </c>
      <c r="KJ121">
        <f t="shared" si="167"/>
        <v>205</v>
      </c>
      <c r="KK121">
        <f t="shared" si="168"/>
        <v>206</v>
      </c>
      <c r="KN121">
        <v>1</v>
      </c>
      <c r="KO121" s="16">
        <v>2</v>
      </c>
      <c r="KS121" s="16"/>
    </row>
    <row r="122" spans="1:305" ht="30" x14ac:dyDescent="0.25">
      <c r="A122" s="29" t="s">
        <v>2333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A3.13</v>
      </c>
      <c r="Y122" s="43">
        <f t="array" ref="Y122">IF(COUNTIFS($X$2:$X122,$X122)=1,"1",VALUE(SUBSTITUTE(INDEX(Y:Y,_xlfn.XMATCH($X122,$X$1:$X121,0,-1)),"A",""))+INDEX(Z:Z,_xlfn.XMATCH($X122,$X$1:$X121,0,-1))+1)</f>
        <v>6</v>
      </c>
      <c r="Z122" s="43">
        <f t="array" ref="Z122">SUM(IF(ISNUMBER(FIND("TmAi",$BE$1:$AAQ$1)),IF(IFERROR(ISODD(SUBSTITUTE($BE122:$AAQ122,"A","")),FALSE),IF(ISODD(SUBSTITUTE($BE122:$AAQ122,"A","")),1,0),0)))</f>
        <v>0</v>
      </c>
      <c r="AA122" t="str">
        <f t="shared" si="163"/>
        <v>11B</v>
      </c>
      <c r="AB122" t="str">
        <f t="shared" si="164"/>
        <v>12B</v>
      </c>
      <c r="AD122" s="46"/>
      <c r="AE122" s="46">
        <f t="array" ref="AE122">SUM(IF(ISNUMBER(FIND("TmDi",$BE$1:$AAQ$1)),IF(IFERROR(ISNUMBER(VALUE(SUBSTITUTE($BE122:$AAQ122,"B",""))),FALSE),IF(ISNUMBER(VALUE(SUBSTITUTE($BE122:$AAQ122,"B",""))),1,0),0)))</f>
        <v>0</v>
      </c>
      <c r="AP122" t="s">
        <v>137</v>
      </c>
      <c r="AS122" t="s">
        <v>396</v>
      </c>
      <c r="JZ122" s="27" t="str">
        <f t="shared" si="169"/>
        <v>XT55</v>
      </c>
      <c r="KC122" t="str">
        <f t="shared" si="170"/>
        <v>F0-AI13-11B</v>
      </c>
      <c r="KD122" t="str">
        <f t="shared" si="171"/>
        <v>F0-AI13-12B</v>
      </c>
      <c r="KI122">
        <f t="array" ref="KI122">IF(COUNTIFS($U$2:$U122,$U122)=1,1,INDEX(KI:KI,_xlfn.XMATCH(U122,U$1:U121,0,-1))+COUNT(KI121:KM121))</f>
        <v>207</v>
      </c>
      <c r="KJ122">
        <f t="shared" si="167"/>
        <v>208</v>
      </c>
      <c r="KK122">
        <f t="shared" si="168"/>
        <v>209</v>
      </c>
      <c r="KN122">
        <v>1</v>
      </c>
      <c r="KO122" s="16">
        <v>2</v>
      </c>
      <c r="KS122" s="16"/>
    </row>
    <row r="123" spans="1:305" ht="30" x14ac:dyDescent="0.25">
      <c r="A123" s="29" t="s">
        <v>2334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">
        <v>2072</v>
      </c>
      <c r="Y123" s="43" t="str">
        <f t="array" ref="Y123">IF(COUNTIFS($X$2:$X123,$X123)=1,"1",VALUE(SUBSTITUTE(INDEX(Y:Y,_xlfn.XMATCH($X123,$X$1:$X122,0,-1)),"A",""))+INDEX(Z:Z,_xlfn.XMATCH($X123,$X$1:$X122,0,-1))+1)</f>
        <v>1</v>
      </c>
      <c r="Z123" s="43">
        <f t="array" ref="Z123">SUM(IF(ISNUMBER(FIND("TmAi",$BE$1:$AAQ$1)),IF(IFERROR(ISODD(SUBSTITUTE($BE123:$AAQ123,"A","")),FALSE),IF(ISODD(SUBSTITUTE($BE123:$AAQ123,"A","")),1,0),0)))</f>
        <v>0</v>
      </c>
      <c r="AA123" t="str">
        <f t="shared" si="163"/>
        <v>1B</v>
      </c>
      <c r="AB123" t="str">
        <f t="shared" si="164"/>
        <v>2B</v>
      </c>
      <c r="AD123" s="46"/>
      <c r="AE123" s="46">
        <f t="array" ref="AE123">SUM(IF(ISNUMBER(FIND("TmDi",$BE$1:$AAQ$1)),IF(IFERROR(ISNUMBER(VALUE(SUBSTITUTE($BE123:$AAQ123,"B",""))),FALSE),IF(ISNUMBER(VALUE(SUBSTITUTE($BE123:$AAQ123,"B",""))),1,0),0)))</f>
        <v>0</v>
      </c>
      <c r="AP123" t="s">
        <v>137</v>
      </c>
      <c r="AS123" t="s">
        <v>396</v>
      </c>
      <c r="JZ123" s="27" t="str">
        <f t="shared" si="169"/>
        <v>XT55</v>
      </c>
      <c r="KC123" t="str">
        <f t="shared" si="170"/>
        <v>F0-AI14-1B</v>
      </c>
      <c r="KD123" t="str">
        <f t="shared" si="171"/>
        <v>F0-AI14-2B</v>
      </c>
      <c r="KI123">
        <f t="array" ref="KI123">IF(COUNTIFS($U$2:$U123,$U123)=1,1,INDEX(KI:KI,_xlfn.XMATCH(U123,U$1:U122,0,-1))+COUNT(KI122:KM122))</f>
        <v>210</v>
      </c>
      <c r="KJ123">
        <f t="shared" si="167"/>
        <v>211</v>
      </c>
      <c r="KK123">
        <f t="shared" si="168"/>
        <v>212</v>
      </c>
      <c r="KN123">
        <v>1</v>
      </c>
      <c r="KO123" s="16">
        <v>2</v>
      </c>
      <c r="KS123" s="16"/>
    </row>
    <row r="124" spans="1:305" ht="30" x14ac:dyDescent="0.25">
      <c r="A124" s="29" t="s">
        <v>2335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A3.14</v>
      </c>
      <c r="Y124" s="43">
        <f t="array" ref="Y124">IF(COUNTIFS($X$2:$X124,$X124)=1,"1",VALUE(SUBSTITUTE(INDEX(Y:Y,_xlfn.XMATCH($X124,$X$1:$X123,0,-1)),"A",""))+INDEX(Z:Z,_xlfn.XMATCH($X124,$X$1:$X123,0,-1))+1)</f>
        <v>2</v>
      </c>
      <c r="Z124" s="43">
        <f t="array" ref="Z124">SUM(IF(ISNUMBER(FIND("TmAi",$BE$1:$AAQ$1)),IF(IFERROR(ISODD(SUBSTITUTE($BE124:$AAQ124,"A","")),FALSE),IF(ISODD(SUBSTITUTE($BE124:$AAQ124,"A","")),1,0),0)))</f>
        <v>0</v>
      </c>
      <c r="AA124" t="str">
        <f t="shared" si="163"/>
        <v>3B</v>
      </c>
      <c r="AB124" t="str">
        <f t="shared" si="164"/>
        <v>4B</v>
      </c>
      <c r="AD124" s="46"/>
      <c r="AE124" s="46">
        <f t="array" ref="AE124">SUM(IF(ISNUMBER(FIND("TmDi",$BE$1:$AAQ$1)),IF(IFERROR(ISNUMBER(VALUE(SUBSTITUTE($BE124:$AAQ124,"B",""))),FALSE),IF(ISNUMBER(VALUE(SUBSTITUTE($BE124:$AAQ124,"B",""))),1,0),0)))</f>
        <v>0</v>
      </c>
      <c r="AP124" t="s">
        <v>137</v>
      </c>
      <c r="AS124" t="s">
        <v>396</v>
      </c>
      <c r="JZ124" s="27" t="str">
        <f t="shared" si="169"/>
        <v>XT55</v>
      </c>
      <c r="KC124" t="str">
        <f t="shared" si="170"/>
        <v>F0-AI14-3B</v>
      </c>
      <c r="KD124" t="str">
        <f t="shared" si="171"/>
        <v>F0-AI14-4B</v>
      </c>
      <c r="KI124">
        <f t="array" ref="KI124">IF(COUNTIFS($U$2:$U124,$U124)=1,1,INDEX(KI:KI,_xlfn.XMATCH(U124,U$1:U123,0,-1))+COUNT(KI123:KM123))</f>
        <v>213</v>
      </c>
      <c r="KJ124">
        <f t="shared" si="167"/>
        <v>214</v>
      </c>
      <c r="KK124">
        <f t="shared" si="168"/>
        <v>215</v>
      </c>
      <c r="KN124">
        <v>1</v>
      </c>
      <c r="KO124" s="16">
        <v>2</v>
      </c>
      <c r="KS124" s="16"/>
    </row>
    <row r="125" spans="1:305" ht="30" x14ac:dyDescent="0.25">
      <c r="A125" s="29" t="s">
        <v>2336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A3.14</v>
      </c>
      <c r="Y125" s="43">
        <f t="array" ref="Y125">IF(COUNTIFS($X$2:$X125,$X125)=1,"1",VALUE(SUBSTITUTE(INDEX(Y:Y,_xlfn.XMATCH($X125,$X$1:$X124,0,-1)),"A",""))+INDEX(Z:Z,_xlfn.XMATCH($X125,$X$1:$X124,0,-1))+1)</f>
        <v>3</v>
      </c>
      <c r="Z125" s="43">
        <f t="array" ref="Z125">SUM(IF(ISNUMBER(FIND("TmAi",$BE$1:$AAQ$1)),IF(IFERROR(ISODD(SUBSTITUTE($BE125:$AAQ125,"A","")),FALSE),IF(ISODD(SUBSTITUTE($BE125:$AAQ125,"A","")),1,0),0)))</f>
        <v>0</v>
      </c>
      <c r="AA125" t="str">
        <f t="shared" si="163"/>
        <v>5B</v>
      </c>
      <c r="AB125" t="str">
        <f t="shared" si="164"/>
        <v>6B</v>
      </c>
      <c r="AD125" s="46"/>
      <c r="AE125" s="46">
        <f t="array" ref="AE125">SUM(IF(ISNUMBER(FIND("TmDi",$BE$1:$AAQ$1)),IF(IFERROR(ISNUMBER(VALUE(SUBSTITUTE($BE125:$AAQ125,"B",""))),FALSE),IF(ISNUMBER(VALUE(SUBSTITUTE($BE125:$AAQ125,"B",""))),1,0),0)))</f>
        <v>0</v>
      </c>
      <c r="AP125" t="s">
        <v>137</v>
      </c>
      <c r="AS125" t="s">
        <v>396</v>
      </c>
      <c r="JZ125" s="27" t="str">
        <f t="shared" si="169"/>
        <v>XT55</v>
      </c>
      <c r="KC125" t="str">
        <f t="shared" si="170"/>
        <v>F0-AI14-5B</v>
      </c>
      <c r="KD125" t="str">
        <f t="shared" si="171"/>
        <v>F0-AI14-6B</v>
      </c>
      <c r="KI125">
        <f t="array" ref="KI125">IF(COUNTIFS($U$2:$U125,$U125)=1,1,INDEX(KI:KI,_xlfn.XMATCH(U125,U$1:U124,0,-1))+COUNT(KI124:KM124))</f>
        <v>216</v>
      </c>
      <c r="KJ125">
        <f t="shared" si="167"/>
        <v>217</v>
      </c>
      <c r="KK125">
        <f t="shared" si="168"/>
        <v>218</v>
      </c>
      <c r="KN125">
        <v>1</v>
      </c>
      <c r="KO125" s="16">
        <v>2</v>
      </c>
      <c r="KS125" s="16"/>
    </row>
    <row r="126" spans="1:305" ht="30" x14ac:dyDescent="0.25">
      <c r="A126" s="29" t="s">
        <v>2337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A3.14</v>
      </c>
      <c r="Y126" s="43">
        <f t="array" ref="Y126">IF(COUNTIFS($X$2:$X126,$X126)=1,"1",VALUE(SUBSTITUTE(INDEX(Y:Y,_xlfn.XMATCH($X126,$X$1:$X125,0,-1)),"A",""))+INDEX(Z:Z,_xlfn.XMATCH($X126,$X$1:$X125,0,-1))+1)</f>
        <v>4</v>
      </c>
      <c r="Z126" s="43">
        <f t="array" ref="Z126">SUM(IF(ISNUMBER(FIND("TmAi",$BE$1:$AAQ$1)),IF(IFERROR(ISODD(SUBSTITUTE($BE126:$AAQ126,"A","")),FALSE),IF(ISODD(SUBSTITUTE($BE126:$AAQ126,"A","")),1,0),0)))</f>
        <v>0</v>
      </c>
      <c r="AA126" t="str">
        <f t="shared" si="163"/>
        <v>7B</v>
      </c>
      <c r="AB126" t="str">
        <f t="shared" si="164"/>
        <v>8B</v>
      </c>
      <c r="AD126" s="46"/>
      <c r="AE126" s="46">
        <f t="array" ref="AE126">SUM(IF(ISNUMBER(FIND("TmDi",$BE$1:$AAQ$1)),IF(IFERROR(ISNUMBER(VALUE(SUBSTITUTE($BE126:$AAQ126,"B",""))),FALSE),IF(ISNUMBER(VALUE(SUBSTITUTE($BE126:$AAQ126,"B",""))),1,0),0)))</f>
        <v>0</v>
      </c>
      <c r="AP126" t="s">
        <v>137</v>
      </c>
      <c r="AS126" t="s">
        <v>396</v>
      </c>
      <c r="JZ126" s="27" t="str">
        <f t="shared" si="169"/>
        <v>XT55</v>
      </c>
      <c r="KC126" t="str">
        <f t="shared" si="170"/>
        <v>F0-AI14-7B</v>
      </c>
      <c r="KD126" t="str">
        <f t="shared" si="171"/>
        <v>F0-AI14-8B</v>
      </c>
      <c r="KI126">
        <f t="array" ref="KI126">IF(COUNTIFS($U$2:$U126,$U126)=1,1,INDEX(KI:KI,_xlfn.XMATCH(U126,U$1:U125,0,-1))+COUNT(KI125:KM125))</f>
        <v>219</v>
      </c>
      <c r="KJ126">
        <f t="shared" si="167"/>
        <v>220</v>
      </c>
      <c r="KK126">
        <f t="shared" si="168"/>
        <v>221</v>
      </c>
      <c r="KN126">
        <v>1</v>
      </c>
      <c r="KO126" s="16">
        <v>2</v>
      </c>
      <c r="KS126" s="16"/>
    </row>
    <row r="127" spans="1:305" ht="30" x14ac:dyDescent="0.25">
      <c r="A127" s="29" t="s">
        <v>2338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A3.14</v>
      </c>
      <c r="Y127" s="43">
        <f t="array" ref="Y127">IF(COUNTIFS($X$2:$X127,$X127)=1,"1",VALUE(SUBSTITUTE(INDEX(Y:Y,_xlfn.XMATCH($X127,$X$1:$X126,0,-1)),"A",""))+INDEX(Z:Z,_xlfn.XMATCH($X127,$X$1:$X126,0,-1))+1)</f>
        <v>5</v>
      </c>
      <c r="Z127" s="43">
        <f t="array" ref="Z127">SUM(IF(ISNUMBER(FIND("TmAi",$BE$1:$AAQ$1)),IF(IFERROR(ISODD(SUBSTITUTE($BE127:$AAQ127,"A","")),FALSE),IF(ISODD(SUBSTITUTE($BE127:$AAQ127,"A","")),1,0),0)))</f>
        <v>0</v>
      </c>
      <c r="AA127" t="str">
        <f t="shared" si="163"/>
        <v>9B</v>
      </c>
      <c r="AB127" t="str">
        <f t="shared" si="164"/>
        <v>10B</v>
      </c>
      <c r="AD127" s="46"/>
      <c r="AE127" s="46">
        <f t="array" ref="AE127">SUM(IF(ISNUMBER(FIND("TmDi",$BE$1:$AAQ$1)),IF(IFERROR(ISNUMBER(VALUE(SUBSTITUTE($BE127:$AAQ127,"B",""))),FALSE),IF(ISNUMBER(VALUE(SUBSTITUTE($BE127:$AAQ127,"B",""))),1,0),0)))</f>
        <v>0</v>
      </c>
      <c r="AP127" t="s">
        <v>137</v>
      </c>
      <c r="AS127" t="s">
        <v>396</v>
      </c>
      <c r="JZ127" s="27" t="str">
        <f t="shared" si="169"/>
        <v>XT55</v>
      </c>
      <c r="KC127" t="str">
        <f t="shared" si="170"/>
        <v>F0-AI14-9B</v>
      </c>
      <c r="KD127" t="str">
        <f t="shared" si="171"/>
        <v>F0-AI14-10B</v>
      </c>
      <c r="KI127">
        <f t="array" ref="KI127">IF(COUNTIFS($U$2:$U127,$U127)=1,1,INDEX(KI:KI,_xlfn.XMATCH(U127,U$1:U126,0,-1))+COUNT(KI126:KM126))</f>
        <v>222</v>
      </c>
      <c r="KJ127">
        <f t="shared" si="167"/>
        <v>223</v>
      </c>
      <c r="KK127">
        <f t="shared" si="168"/>
        <v>224</v>
      </c>
      <c r="KN127">
        <v>1</v>
      </c>
      <c r="KO127" s="16">
        <v>2</v>
      </c>
      <c r="KS127" s="16"/>
    </row>
    <row r="128" spans="1:305" ht="30" x14ac:dyDescent="0.25">
      <c r="A128" s="29" t="s">
        <v>2339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A3.14</v>
      </c>
      <c r="Y128" s="43">
        <f t="array" ref="Y128">IF(COUNTIFS($X$2:$X128,$X128)=1,"1",VALUE(SUBSTITUTE(INDEX(Y:Y,_xlfn.XMATCH($X128,$X$1:$X127,0,-1)),"A",""))+INDEX(Z:Z,_xlfn.XMATCH($X128,$X$1:$X127,0,-1))+1)</f>
        <v>6</v>
      </c>
      <c r="Z128" s="43">
        <f t="array" ref="Z128">SUM(IF(ISNUMBER(FIND("TmAi",$BE$1:$AAQ$1)),IF(IFERROR(ISODD(SUBSTITUTE($BE128:$AAQ128,"A","")),FALSE),IF(ISODD(SUBSTITUTE($BE128:$AAQ128,"A","")),1,0),0)))</f>
        <v>0</v>
      </c>
      <c r="AA128" t="str">
        <f t="shared" si="163"/>
        <v>11B</v>
      </c>
      <c r="AB128" t="str">
        <f t="shared" si="164"/>
        <v>12B</v>
      </c>
      <c r="AD128" s="46"/>
      <c r="AE128" s="46">
        <f t="array" ref="AE128">SUM(IF(ISNUMBER(FIND("TmDi",$BE$1:$AAQ$1)),IF(IFERROR(ISNUMBER(VALUE(SUBSTITUTE($BE128:$AAQ128,"B",""))),FALSE),IF(ISNUMBER(VALUE(SUBSTITUTE($BE128:$AAQ128,"B",""))),1,0),0)))</f>
        <v>0</v>
      </c>
      <c r="AP128" t="s">
        <v>137</v>
      </c>
      <c r="AS128" t="s">
        <v>396</v>
      </c>
      <c r="JZ128" s="27" t="str">
        <f t="shared" si="169"/>
        <v>XT55</v>
      </c>
      <c r="KC128" t="str">
        <f t="shared" si="170"/>
        <v>F0-AI14-11B</v>
      </c>
      <c r="KD128" t="str">
        <f t="shared" si="171"/>
        <v>F0-AI14-12B</v>
      </c>
      <c r="KI128">
        <f t="array" ref="KI128">IF(COUNTIFS($U$2:$U128,$U128)=1,1,INDEX(KI:KI,_xlfn.XMATCH(U128,U$1:U127,0,-1))+COUNT(KI127:KM127))</f>
        <v>225</v>
      </c>
      <c r="KJ128">
        <f t="shared" si="167"/>
        <v>226</v>
      </c>
      <c r="KK128">
        <f t="shared" si="168"/>
        <v>227</v>
      </c>
      <c r="KN128">
        <v>1</v>
      </c>
      <c r="KO128" s="16">
        <v>2</v>
      </c>
      <c r="KS128" s="16"/>
    </row>
    <row r="129" spans="1:305" ht="30" x14ac:dyDescent="0.25">
      <c r="A129" s="29" t="s">
        <v>2340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">
        <v>2006</v>
      </c>
      <c r="Y129" s="45" t="str">
        <f t="array" ref="Y129">IF(COUNTIFS($X$2:$X129,$X129)=1,"1",VALUE(SUBSTITUTE(INDEX(Y:Y,_xlfn.XMATCH($X129,$X$1:$X128,0,-1)),"A",""))+INDEX(Z:Z,_xlfn.XMATCH($X129,$X$1:$X128,0,-1))+1)</f>
        <v>1</v>
      </c>
      <c r="Z129" s="43">
        <f t="array" ref="Z129">SUM(IF(ISNUMBER(FIND("TmAi",$BE$1:$AAQ$1)),IF(IFERROR(ISODD(SUBSTITUTE($BE129:$AAQ129,"A","")),FALSE),IF(ISODD(SUBSTITUTE($BE129:$AAQ129,"A","")),1,0),0)))</f>
        <v>0</v>
      </c>
      <c r="AA129" t="str">
        <f t="shared" si="163"/>
        <v>1B</v>
      </c>
      <c r="AB129" t="str">
        <f t="shared" si="164"/>
        <v>2B</v>
      </c>
      <c r="AD129" s="46"/>
      <c r="AE129" s="46">
        <f t="array" ref="AE129">SUM(IF(ISNUMBER(FIND("TmDi",$BE$1:$AAQ$1)),IF(IFERROR(ISNUMBER(VALUE(SUBSTITUTE($BE129:$AAQ129,"B",""))),FALSE),IF(ISNUMBER(VALUE(SUBSTITUTE($BE129:$AAQ129,"B",""))),1,0),0)))</f>
        <v>0</v>
      </c>
      <c r="AP129" t="s">
        <v>137</v>
      </c>
      <c r="AS129" t="s">
        <v>396</v>
      </c>
      <c r="JZ129" s="27" t="str">
        <f t="shared" si="169"/>
        <v>XT55</v>
      </c>
      <c r="KC129" t="str">
        <f t="shared" si="170"/>
        <v>F0-AI15-1B</v>
      </c>
      <c r="KD129" t="str">
        <f t="shared" si="171"/>
        <v>F0-AI15-2B</v>
      </c>
      <c r="KI129">
        <f t="array" ref="KI129">IF(COUNTIFS($U$2:$U129,$U129)=1,1,INDEX(KI:KI,_xlfn.XMATCH(U129,U$1:U128,0,-1))+COUNT(KI128:KM128))</f>
        <v>228</v>
      </c>
      <c r="KJ129">
        <f t="shared" si="167"/>
        <v>229</v>
      </c>
      <c r="KK129">
        <f t="shared" si="168"/>
        <v>230</v>
      </c>
      <c r="KN129">
        <v>1</v>
      </c>
      <c r="KO129" s="16">
        <v>2</v>
      </c>
      <c r="KS129" s="16"/>
    </row>
    <row r="130" spans="1:305" ht="30" x14ac:dyDescent="0.25">
      <c r="A130" s="29" t="s">
        <v>2341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A3.15</v>
      </c>
      <c r="Y130" s="43">
        <f t="array" ref="Y130">IF(COUNTIFS($X$2:$X130,$X130)=1,"1",VALUE(SUBSTITUTE(INDEX(Y:Y,_xlfn.XMATCH($X130,$X$1:$X129,0,-1)),"A",""))+INDEX(Z:Z,_xlfn.XMATCH($X130,$X$1:$X129,0,-1))+1)</f>
        <v>2</v>
      </c>
      <c r="Z130" s="43">
        <f t="array" ref="Z130">SUM(IF(ISNUMBER(FIND("TmAi",$BE$1:$AAQ$1)),IF(IFERROR(ISODD(SUBSTITUTE($BE130:$AAQ130,"A","")),FALSE),IF(ISODD(SUBSTITUTE($BE130:$AAQ130,"A","")),1,0),0)))</f>
        <v>0</v>
      </c>
      <c r="AA130" t="str">
        <f t="shared" si="163"/>
        <v>3B</v>
      </c>
      <c r="AB130" t="str">
        <f t="shared" si="164"/>
        <v>4B</v>
      </c>
      <c r="AD130" s="46"/>
      <c r="AE130" s="46">
        <f t="array" ref="AE130">SUM(IF(ISNUMBER(FIND("TmDi",$BE$1:$AAQ$1)),IF(IFERROR(ISNUMBER(VALUE(SUBSTITUTE($BE130:$AAQ130,"B",""))),FALSE),IF(ISNUMBER(VALUE(SUBSTITUTE($BE130:$AAQ130,"B",""))),1,0),0)))</f>
        <v>0</v>
      </c>
      <c r="AP130" t="s">
        <v>137</v>
      </c>
      <c r="AS130" t="s">
        <v>396</v>
      </c>
      <c r="JZ130" s="27" t="str">
        <f t="shared" si="169"/>
        <v>XT55</v>
      </c>
      <c r="KC130" t="str">
        <f t="shared" si="170"/>
        <v>F0-AI15-3B</v>
      </c>
      <c r="KD130" t="str">
        <f t="shared" si="171"/>
        <v>F0-AI15-4B</v>
      </c>
      <c r="KI130">
        <f t="array" ref="KI130">IF(COUNTIFS($U$2:$U130,$U130)=1,1,INDEX(KI:KI,_xlfn.XMATCH(U130,U$1:U129,0,-1))+COUNT(KI129:KM129))</f>
        <v>231</v>
      </c>
      <c r="KJ130">
        <f t="shared" si="167"/>
        <v>232</v>
      </c>
      <c r="KK130">
        <f t="shared" si="168"/>
        <v>233</v>
      </c>
      <c r="KN130">
        <v>1</v>
      </c>
      <c r="KO130" s="16">
        <v>2</v>
      </c>
      <c r="KS130" s="16"/>
    </row>
    <row r="131" spans="1:305" ht="30" x14ac:dyDescent="0.25">
      <c r="A131" s="29" t="s">
        <v>2342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A3.15</v>
      </c>
      <c r="Y131" s="43">
        <f t="array" ref="Y131">IF(COUNTIFS($X$2:$X131,$X131)=1,"1",VALUE(SUBSTITUTE(INDEX(Y:Y,_xlfn.XMATCH($X131,$X$1:$X130,0,-1)),"A",""))+INDEX(Z:Z,_xlfn.XMATCH($X131,$X$1:$X130,0,-1))+1)</f>
        <v>3</v>
      </c>
      <c r="Z131" s="43">
        <f t="array" ref="Z131">SUM(IF(ISNUMBER(FIND("TmAi",$BE$1:$AAQ$1)),IF(IFERROR(ISODD(SUBSTITUTE($BE131:$AAQ131,"A","")),FALSE),IF(ISODD(SUBSTITUTE($BE131:$AAQ131,"A","")),1,0),0)))</f>
        <v>0</v>
      </c>
      <c r="AA131" t="str">
        <f t="shared" si="163"/>
        <v>5B</v>
      </c>
      <c r="AB131" t="str">
        <f t="shared" si="164"/>
        <v>6B</v>
      </c>
      <c r="AD131" s="46"/>
      <c r="AE131" s="46">
        <f t="array" ref="AE131">SUM(IF(ISNUMBER(FIND("TmDi",$BE$1:$AAQ$1)),IF(IFERROR(ISNUMBER(VALUE(SUBSTITUTE($BE131:$AAQ131,"B",""))),FALSE),IF(ISNUMBER(VALUE(SUBSTITUTE($BE131:$AAQ131,"B",""))),1,0),0)))</f>
        <v>0</v>
      </c>
      <c r="AP131" t="s">
        <v>137</v>
      </c>
      <c r="AS131" t="s">
        <v>396</v>
      </c>
      <c r="JZ131" s="27" t="str">
        <f t="shared" si="169"/>
        <v>XT55</v>
      </c>
      <c r="KC131" t="str">
        <f t="shared" si="170"/>
        <v>F0-AI15-5B</v>
      </c>
      <c r="KD131" t="str">
        <f t="shared" si="171"/>
        <v>F0-AI15-6B</v>
      </c>
      <c r="KI131">
        <f t="array" ref="KI131">IF(COUNTIFS($U$2:$U131,$U131)=1,1,INDEX(KI:KI,_xlfn.XMATCH(U131,U$1:U130,0,-1))+COUNT(KI130:KM130))</f>
        <v>234</v>
      </c>
      <c r="KJ131">
        <f t="shared" si="167"/>
        <v>235</v>
      </c>
      <c r="KK131">
        <f t="shared" si="168"/>
        <v>236</v>
      </c>
      <c r="KN131">
        <v>1</v>
      </c>
      <c r="KO131" s="16">
        <v>2</v>
      </c>
      <c r="KS131" s="16"/>
    </row>
    <row r="132" spans="1:305" ht="30" x14ac:dyDescent="0.25">
      <c r="A132" s="29" t="s">
        <v>2343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A3.15</v>
      </c>
      <c r="Y132" s="43">
        <f t="array" ref="Y132">IF(COUNTIFS($X$2:$X132,$X132)=1,"1",VALUE(SUBSTITUTE(INDEX(Y:Y,_xlfn.XMATCH($X132,$X$1:$X131,0,-1)),"A",""))+INDEX(Z:Z,_xlfn.XMATCH($X132,$X$1:$X131,0,-1))+1)</f>
        <v>4</v>
      </c>
      <c r="Z132" s="43">
        <f t="array" ref="Z132">SUM(IF(ISNUMBER(FIND("TmAi",$BE$1:$AAQ$1)),IF(IFERROR(ISODD(SUBSTITUTE($BE132:$AAQ132,"A","")),FALSE),IF(ISODD(SUBSTITUTE($BE132:$AAQ132,"A","")),1,0),0)))</f>
        <v>0</v>
      </c>
      <c r="AA132" t="str">
        <f t="shared" si="163"/>
        <v>7B</v>
      </c>
      <c r="AB132" t="str">
        <f t="shared" si="164"/>
        <v>8B</v>
      </c>
      <c r="AD132" s="46"/>
      <c r="AE132" s="46">
        <f t="array" ref="AE132">SUM(IF(ISNUMBER(FIND("TmDi",$BE$1:$AAQ$1)),IF(IFERROR(ISNUMBER(VALUE(SUBSTITUTE($BE132:$AAQ132,"B",""))),FALSE),IF(ISNUMBER(VALUE(SUBSTITUTE($BE132:$AAQ132,"B",""))),1,0),0)))</f>
        <v>0</v>
      </c>
      <c r="AP132" t="s">
        <v>137</v>
      </c>
      <c r="AS132" t="s">
        <v>396</v>
      </c>
      <c r="JZ132" s="27" t="str">
        <f t="shared" si="169"/>
        <v>XT55</v>
      </c>
      <c r="KC132" t="str">
        <f t="shared" si="170"/>
        <v>F0-AI15-7B</v>
      </c>
      <c r="KD132" t="str">
        <f t="shared" si="171"/>
        <v>F0-AI15-8B</v>
      </c>
      <c r="KI132">
        <f t="array" ref="KI132">IF(COUNTIFS($U$2:$U132,$U132)=1,1,INDEX(KI:KI,_xlfn.XMATCH(U132,U$1:U131,0,-1))+COUNT(KI131:KM131))</f>
        <v>237</v>
      </c>
      <c r="KJ132">
        <f t="shared" si="167"/>
        <v>238</v>
      </c>
      <c r="KK132">
        <f t="shared" si="168"/>
        <v>239</v>
      </c>
      <c r="KN132">
        <v>1</v>
      </c>
      <c r="KO132" s="16">
        <v>2</v>
      </c>
      <c r="KS132" s="16"/>
    </row>
    <row r="133" spans="1:305" ht="30" x14ac:dyDescent="0.25">
      <c r="A133" s="29" t="s">
        <v>2344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A3.15</v>
      </c>
      <c r="Y133" s="43">
        <f t="array" ref="Y133">IF(COUNTIFS($X$2:$X133,$X133)=1,"1",VALUE(SUBSTITUTE(INDEX(Y:Y,_xlfn.XMATCH($X133,$X$1:$X132,0,-1)),"A",""))+INDEX(Z:Z,_xlfn.XMATCH($X133,$X$1:$X132,0,-1))+1)</f>
        <v>5</v>
      </c>
      <c r="Z133" s="43">
        <f t="array" ref="Z133">SUM(IF(ISNUMBER(FIND("TmAi",$BE$1:$AAQ$1)),IF(IFERROR(ISODD(SUBSTITUTE($BE133:$AAQ133,"A","")),FALSE),IF(ISODD(SUBSTITUTE($BE133:$AAQ133,"A","")),1,0),0)))</f>
        <v>0</v>
      </c>
      <c r="AA133" t="str">
        <f t="shared" si="163"/>
        <v>9B</v>
      </c>
      <c r="AB133" t="str">
        <f t="shared" si="164"/>
        <v>10B</v>
      </c>
      <c r="AD133" s="46"/>
      <c r="AE133" s="46">
        <f t="array" ref="AE133">SUM(IF(ISNUMBER(FIND("TmDi",$BE$1:$AAQ$1)),IF(IFERROR(ISNUMBER(VALUE(SUBSTITUTE($BE133:$AAQ133,"B",""))),FALSE),IF(ISNUMBER(VALUE(SUBSTITUTE($BE133:$AAQ133,"B",""))),1,0),0)))</f>
        <v>0</v>
      </c>
      <c r="AP133" t="s">
        <v>137</v>
      </c>
      <c r="AS133" t="s">
        <v>396</v>
      </c>
      <c r="JZ133" s="27" t="str">
        <f t="shared" si="169"/>
        <v>XT55</v>
      </c>
      <c r="KC133" t="str">
        <f t="shared" si="170"/>
        <v>F0-AI15-9B</v>
      </c>
      <c r="KD133" t="str">
        <f t="shared" si="171"/>
        <v>F0-AI15-10B</v>
      </c>
      <c r="KI133">
        <f t="array" ref="KI133">IF(COUNTIFS($U$2:$U133,$U133)=1,1,INDEX(KI:KI,_xlfn.XMATCH(U133,U$1:U132,0,-1))+COUNT(KI132:KM132))</f>
        <v>240</v>
      </c>
      <c r="KJ133">
        <f t="shared" si="167"/>
        <v>241</v>
      </c>
      <c r="KK133">
        <f t="shared" si="168"/>
        <v>242</v>
      </c>
      <c r="KN133">
        <v>1</v>
      </c>
      <c r="KO133" s="16">
        <v>2</v>
      </c>
      <c r="KS133" s="16"/>
    </row>
    <row r="134" spans="1:305" ht="30" x14ac:dyDescent="0.25">
      <c r="A134" s="29" t="s">
        <v>2345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A3.15</v>
      </c>
      <c r="Y134" s="43">
        <f t="array" ref="Y134">IF(COUNTIFS($X$2:$X134,$X134)=1,"1",VALUE(SUBSTITUTE(INDEX(Y:Y,_xlfn.XMATCH($X134,$X$1:$X133,0,-1)),"A",""))+INDEX(Z:Z,_xlfn.XMATCH($X134,$X$1:$X133,0,-1))+1)</f>
        <v>6</v>
      </c>
      <c r="Z134" s="43">
        <f t="array" ref="Z134">SUM(IF(ISNUMBER(FIND("TmAi",$BE$1:$AAQ$1)),IF(IFERROR(ISODD(SUBSTITUTE($BE134:$AAQ134,"A","")),FALSE),IF(ISODD(SUBSTITUTE($BE134:$AAQ134,"A","")),1,0),0)))</f>
        <v>0</v>
      </c>
      <c r="AA134" t="str">
        <f t="shared" si="163"/>
        <v>11B</v>
      </c>
      <c r="AB134" t="str">
        <f t="shared" si="164"/>
        <v>12B</v>
      </c>
      <c r="AD134" s="46"/>
      <c r="AE134" s="46">
        <f t="array" ref="AE134">SUM(IF(ISNUMBER(FIND("TmDi",$BE$1:$AAQ$1)),IF(IFERROR(ISNUMBER(VALUE(SUBSTITUTE($BE134:$AAQ134,"B",""))),FALSE),IF(ISNUMBER(VALUE(SUBSTITUTE($BE134:$AAQ134,"B",""))),1,0),0)))</f>
        <v>0</v>
      </c>
      <c r="AP134" t="s">
        <v>137</v>
      </c>
      <c r="AS134" t="s">
        <v>396</v>
      </c>
      <c r="JZ134" s="27" t="str">
        <f t="shared" si="169"/>
        <v>XT55</v>
      </c>
      <c r="KC134" t="str">
        <f t="shared" si="170"/>
        <v>F0-AI15-11B</v>
      </c>
      <c r="KD134" t="str">
        <f t="shared" si="171"/>
        <v>F0-AI15-12B</v>
      </c>
      <c r="KI134">
        <f t="array" ref="KI134">IF(COUNTIFS($U$2:$U134,$U134)=1,1,INDEX(KI:KI,_xlfn.XMATCH(U134,U$1:U133,0,-1))+COUNT(KI133:KM133))</f>
        <v>243</v>
      </c>
      <c r="KJ134">
        <f t="shared" si="167"/>
        <v>244</v>
      </c>
      <c r="KK134">
        <f t="shared" si="168"/>
        <v>245</v>
      </c>
      <c r="KN134">
        <v>1</v>
      </c>
      <c r="KO134" s="16">
        <v>2</v>
      </c>
      <c r="KS134" s="16"/>
    </row>
    <row r="135" spans="1:305" ht="30" x14ac:dyDescent="0.25">
      <c r="A135" s="29" t="s">
        <v>2346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">
        <v>833</v>
      </c>
      <c r="Y135" s="43" t="str">
        <f t="array" ref="Y135">IF(COUNTIFS($X$2:$X135,$X135)=1,"1",VALUE(SUBSTITUTE(INDEX(Y:Y,_xlfn.XMATCH($X135,$X$1:$X134,0,-1)),"A",""))+INDEX(Z:Z,_xlfn.XMATCH($X135,$X$1:$X134,0,-1))+1)</f>
        <v>1</v>
      </c>
      <c r="Z135" s="43">
        <f t="array" ref="Z135">SUM(IF(ISNUMBER(FIND("TmAi",$BE$1:$AAQ$1)),IF(IFERROR(ISODD(SUBSTITUTE($BE135:$AAQ135,"A","")),FALSE),IF(ISODD(SUBSTITUTE($BE135:$AAQ135,"A","")),1,0),0)))</f>
        <v>0</v>
      </c>
      <c r="AA135" t="str">
        <f t="shared" si="163"/>
        <v>1B</v>
      </c>
      <c r="AB135" t="str">
        <f t="shared" si="164"/>
        <v>2B</v>
      </c>
      <c r="AD135" s="46"/>
      <c r="AE135" s="46">
        <f t="array" ref="AE135">SUM(IF(ISNUMBER(FIND("TmDi",$BE$1:$AAQ$1)),IF(IFERROR(ISNUMBER(VALUE(SUBSTITUTE($BE135:$AAQ135,"B",""))),FALSE),IF(ISNUMBER(VALUE(SUBSTITUTE($BE135:$AAQ135,"B",""))),1,0),0)))</f>
        <v>0</v>
      </c>
      <c r="AP135" t="s">
        <v>137</v>
      </c>
      <c r="AS135" t="s">
        <v>396</v>
      </c>
      <c r="JZ135" s="27" t="str">
        <f t="shared" si="169"/>
        <v>XT55</v>
      </c>
      <c r="KC135" t="str">
        <f t="shared" si="170"/>
        <v>F0-AI16-1B</v>
      </c>
      <c r="KD135" t="str">
        <f t="shared" si="171"/>
        <v>F0-AI16-2B</v>
      </c>
      <c r="KI135">
        <f t="array" ref="KI135">IF(COUNTIFS($U$2:$U135,$U135)=1,1,INDEX(KI:KI,_xlfn.XMATCH(U135,U$1:U134,0,-1))+COUNT(KI134:KM134))</f>
        <v>246</v>
      </c>
      <c r="KJ135">
        <f t="shared" si="167"/>
        <v>247</v>
      </c>
      <c r="KK135">
        <f t="shared" si="168"/>
        <v>248</v>
      </c>
      <c r="KN135">
        <v>1</v>
      </c>
      <c r="KO135" s="16">
        <v>2</v>
      </c>
      <c r="KS135" s="16"/>
    </row>
    <row r="136" spans="1:305" ht="30" x14ac:dyDescent="0.25">
      <c r="A136" s="29" t="s">
        <v>2347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A3.16</v>
      </c>
      <c r="Y136" s="43">
        <f t="array" ref="Y136">IF(COUNTIFS($X$2:$X136,$X136)=1,"1",VALUE(SUBSTITUTE(INDEX(Y:Y,_xlfn.XMATCH($X136,$X$1:$X135,0,-1)),"A",""))+INDEX(Z:Z,_xlfn.XMATCH($X136,$X$1:$X135,0,-1))+1)</f>
        <v>2</v>
      </c>
      <c r="Z136" s="43">
        <f t="array" ref="Z136">SUM(IF(ISNUMBER(FIND("TmAi",$BE$1:$AAQ$1)),IF(IFERROR(ISODD(SUBSTITUTE($BE136:$AAQ136,"A","")),FALSE),IF(ISODD(SUBSTITUTE($BE136:$AAQ136,"A","")),1,0),0)))</f>
        <v>0</v>
      </c>
      <c r="AA136" t="str">
        <f t="shared" si="163"/>
        <v>3B</v>
      </c>
      <c r="AB136" t="str">
        <f t="shared" si="164"/>
        <v>4B</v>
      </c>
      <c r="AD136" s="46"/>
      <c r="AE136" s="46">
        <f t="array" ref="AE136">SUM(IF(ISNUMBER(FIND("TmDi",$BE$1:$AAQ$1)),IF(IFERROR(ISNUMBER(VALUE(SUBSTITUTE($BE136:$AAQ136,"B",""))),FALSE),IF(ISNUMBER(VALUE(SUBSTITUTE($BE136:$AAQ136,"B",""))),1,0),0)))</f>
        <v>0</v>
      </c>
      <c r="AP136" t="s">
        <v>137</v>
      </c>
      <c r="AS136" t="s">
        <v>396</v>
      </c>
      <c r="JZ136" s="27" t="str">
        <f t="shared" si="169"/>
        <v>XT55</v>
      </c>
      <c r="KC136" t="str">
        <f t="shared" si="170"/>
        <v>F0-AI16-3B</v>
      </c>
      <c r="KD136" t="str">
        <f t="shared" si="171"/>
        <v>F0-AI16-4B</v>
      </c>
      <c r="KI136">
        <f t="array" ref="KI136">IF(COUNTIFS($U$2:$U136,$U136)=1,1,INDEX(KI:KI,_xlfn.XMATCH(U136,U$1:U135,0,-1))+COUNT(KI135:KM135))</f>
        <v>249</v>
      </c>
      <c r="KJ136">
        <f t="shared" si="167"/>
        <v>250</v>
      </c>
      <c r="KK136">
        <f t="shared" si="168"/>
        <v>251</v>
      </c>
      <c r="KN136">
        <v>1</v>
      </c>
      <c r="KO136" s="16">
        <v>2</v>
      </c>
      <c r="KS136" s="16"/>
    </row>
    <row r="137" spans="1:305" ht="30" x14ac:dyDescent="0.25">
      <c r="A137" s="29" t="s">
        <v>2348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A3.16</v>
      </c>
      <c r="Y137" s="45">
        <f t="array" ref="Y137">IF(COUNTIFS($X$2:$X137,$X137)=1,"1",VALUE(SUBSTITUTE(INDEX(Y:Y,_xlfn.XMATCH($X137,$X$1:$X136,0,-1)),"A",""))+INDEX(Z:Z,_xlfn.XMATCH($X137,$X$1:$X136,0,-1))+1)</f>
        <v>3</v>
      </c>
      <c r="Z137" s="43">
        <f t="array" ref="Z137">SUM(IF(ISNUMBER(FIND("TmAi",$BE$1:$AAQ$1)),IF(IFERROR(ISODD(SUBSTITUTE($BE137:$AAQ137,"A","")),FALSE),IF(ISODD(SUBSTITUTE($BE137:$AAQ137,"A","")),1,0),0)))</f>
        <v>0</v>
      </c>
      <c r="AA137" t="str">
        <f t="shared" si="163"/>
        <v>5B</v>
      </c>
      <c r="AB137" t="str">
        <f t="shared" si="164"/>
        <v>6B</v>
      </c>
      <c r="AD137" s="46"/>
      <c r="AE137" s="46">
        <f t="array" ref="AE137">SUM(IF(ISNUMBER(FIND("TmDi",$BE$1:$AAQ$1)),IF(IFERROR(ISNUMBER(VALUE(SUBSTITUTE($BE137:$AAQ137,"B",""))),FALSE),IF(ISNUMBER(VALUE(SUBSTITUTE($BE137:$AAQ137,"B",""))),1,0),0)))</f>
        <v>0</v>
      </c>
      <c r="AP137" t="s">
        <v>137</v>
      </c>
      <c r="AS137" t="s">
        <v>396</v>
      </c>
      <c r="JZ137" s="27" t="str">
        <f t="shared" si="169"/>
        <v>XT55</v>
      </c>
      <c r="KC137" t="str">
        <f t="shared" si="170"/>
        <v>F0-AI16-5B</v>
      </c>
      <c r="KD137" t="str">
        <f t="shared" si="171"/>
        <v>F0-AI16-6B</v>
      </c>
      <c r="KI137">
        <f t="array" ref="KI137">IF(COUNTIFS($U$2:$U137,$U137)=1,1,INDEX(KI:KI,_xlfn.XMATCH(U137,U$1:U136,0,-1))+COUNT(KI136:KM136))</f>
        <v>252</v>
      </c>
      <c r="KJ137">
        <f t="shared" si="167"/>
        <v>253</v>
      </c>
      <c r="KK137">
        <f t="shared" si="168"/>
        <v>254</v>
      </c>
      <c r="KN137">
        <v>1</v>
      </c>
      <c r="KO137" s="16">
        <v>2</v>
      </c>
      <c r="KS137" s="16"/>
    </row>
    <row r="138" spans="1:305" ht="30" x14ac:dyDescent="0.25">
      <c r="A138" s="29" t="s">
        <v>2349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A3.16</v>
      </c>
      <c r="Y138" s="43">
        <f t="array" ref="Y138">IF(COUNTIFS($X$2:$X138,$X138)=1,"1",VALUE(SUBSTITUTE(INDEX(Y:Y,_xlfn.XMATCH($X138,$X$1:$X137,0,-1)),"A",""))+INDEX(Z:Z,_xlfn.XMATCH($X138,$X$1:$X137,0,-1))+1)</f>
        <v>4</v>
      </c>
      <c r="Z138" s="43">
        <f t="array" ref="Z138">SUM(IF(ISNUMBER(FIND("TmAi",$BE$1:$AAQ$1)),IF(IFERROR(ISODD(SUBSTITUTE($BE138:$AAQ138,"A","")),FALSE),IF(ISODD(SUBSTITUTE($BE138:$AAQ138,"A","")),1,0),0)))</f>
        <v>0</v>
      </c>
      <c r="AA138" t="str">
        <f t="shared" si="163"/>
        <v>7B</v>
      </c>
      <c r="AB138" t="str">
        <f t="shared" si="164"/>
        <v>8B</v>
      </c>
      <c r="AD138" s="46"/>
      <c r="AE138" s="46">
        <f t="array" ref="AE138">SUM(IF(ISNUMBER(FIND("TmDi",$BE$1:$AAQ$1)),IF(IFERROR(ISNUMBER(VALUE(SUBSTITUTE($BE138:$AAQ138,"B",""))),FALSE),IF(ISNUMBER(VALUE(SUBSTITUTE($BE138:$AAQ138,"B",""))),1,0),0)))</f>
        <v>0</v>
      </c>
      <c r="AP138" t="s">
        <v>137</v>
      </c>
      <c r="AS138" t="s">
        <v>396</v>
      </c>
      <c r="JZ138" s="27" t="str">
        <f t="shared" si="169"/>
        <v>XT55</v>
      </c>
      <c r="KC138" t="str">
        <f t="shared" si="170"/>
        <v>F0-AI16-7B</v>
      </c>
      <c r="KD138" t="str">
        <f t="shared" si="171"/>
        <v>F0-AI16-8B</v>
      </c>
      <c r="KI138">
        <f t="array" ref="KI138">IF(COUNTIFS($U$2:$U138,$U138)=1,1,INDEX(KI:KI,_xlfn.XMATCH(U138,U$1:U137,0,-1))+COUNT(KI137:KM137))</f>
        <v>255</v>
      </c>
      <c r="KJ138">
        <f t="shared" si="167"/>
        <v>256</v>
      </c>
      <c r="KK138">
        <f t="shared" si="168"/>
        <v>257</v>
      </c>
      <c r="KN138">
        <v>1</v>
      </c>
      <c r="KO138" s="16">
        <v>2</v>
      </c>
      <c r="KS138" s="16"/>
    </row>
    <row r="139" spans="1:305" ht="30" x14ac:dyDescent="0.25">
      <c r="A139" s="29" t="s">
        <v>2350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A3.16</v>
      </c>
      <c r="Y139" s="43">
        <f t="array" ref="Y139">IF(COUNTIFS($X$2:$X139,$X139)=1,"1",VALUE(SUBSTITUTE(INDEX(Y:Y,_xlfn.XMATCH($X139,$X$1:$X138,0,-1)),"A",""))+INDEX(Z:Z,_xlfn.XMATCH($X139,$X$1:$X138,0,-1))+1)</f>
        <v>5</v>
      </c>
      <c r="Z139" s="43">
        <f t="array" ref="Z139">SUM(IF(ISNUMBER(FIND("TmAi",$BE$1:$AAQ$1)),IF(IFERROR(ISODD(SUBSTITUTE($BE139:$AAQ139,"A","")),FALSE),IF(ISODD(SUBSTITUTE($BE139:$AAQ139,"A","")),1,0),0)))</f>
        <v>0</v>
      </c>
      <c r="AA139" t="str">
        <f t="shared" si="163"/>
        <v>9B</v>
      </c>
      <c r="AB139" t="str">
        <f t="shared" si="164"/>
        <v>10B</v>
      </c>
      <c r="AD139" s="46"/>
      <c r="AE139" s="46">
        <f t="array" ref="AE139">SUM(IF(ISNUMBER(FIND("TmDi",$BE$1:$AAQ$1)),IF(IFERROR(ISNUMBER(VALUE(SUBSTITUTE($BE139:$AAQ139,"B",""))),FALSE),IF(ISNUMBER(VALUE(SUBSTITUTE($BE139:$AAQ139,"B",""))),1,0),0)))</f>
        <v>0</v>
      </c>
      <c r="AP139" t="s">
        <v>137</v>
      </c>
      <c r="AS139" t="s">
        <v>396</v>
      </c>
      <c r="JZ139" s="27" t="str">
        <f t="shared" si="169"/>
        <v>XT55</v>
      </c>
      <c r="KC139" t="str">
        <f t="shared" si="170"/>
        <v>F0-AI16-9B</v>
      </c>
      <c r="KD139" t="str">
        <f t="shared" si="171"/>
        <v>F0-AI16-10B</v>
      </c>
      <c r="KI139">
        <f t="array" ref="KI139">IF(COUNTIFS($U$2:$U139,$U139)=1,1,INDEX(KI:KI,_xlfn.XMATCH(U139,U$1:U138,0,-1))+COUNT(KI138:KM138))</f>
        <v>258</v>
      </c>
      <c r="KJ139">
        <f t="shared" si="167"/>
        <v>259</v>
      </c>
      <c r="KK139">
        <f t="shared" si="168"/>
        <v>260</v>
      </c>
      <c r="KN139">
        <v>1</v>
      </c>
      <c r="KO139" s="16">
        <v>2</v>
      </c>
      <c r="KS139" s="16"/>
    </row>
    <row r="140" spans="1:305" ht="30" x14ac:dyDescent="0.25">
      <c r="A140" s="29" t="s">
        <v>2351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A3.16</v>
      </c>
      <c r="Y140" s="43">
        <f t="array" ref="Y140">IF(COUNTIFS($X$2:$X140,$X140)=1,"1",VALUE(SUBSTITUTE(INDEX(Y:Y,_xlfn.XMATCH($X140,$X$1:$X139,0,-1)),"A",""))+INDEX(Z:Z,_xlfn.XMATCH($X140,$X$1:$X139,0,-1))+1)</f>
        <v>6</v>
      </c>
      <c r="Z140" s="43">
        <f t="array" ref="Z140">SUM(IF(ISNUMBER(FIND("TmAi",$BE$1:$AAQ$1)),IF(IFERROR(ISODD(SUBSTITUTE($BE140:$AAQ140,"A","")),FALSE),IF(ISODD(SUBSTITUTE($BE140:$AAQ140,"A","")),1,0),0)))</f>
        <v>0</v>
      </c>
      <c r="AA140" t="str">
        <f t="shared" si="163"/>
        <v>11B</v>
      </c>
      <c r="AB140" t="str">
        <f t="shared" si="164"/>
        <v>12B</v>
      </c>
      <c r="AD140" s="46"/>
      <c r="AE140" s="46">
        <f t="array" ref="AE140">SUM(IF(ISNUMBER(FIND("TmDi",$BE$1:$AAQ$1)),IF(IFERROR(ISNUMBER(VALUE(SUBSTITUTE($BE140:$AAQ140,"B",""))),FALSE),IF(ISNUMBER(VALUE(SUBSTITUTE($BE140:$AAQ140,"B",""))),1,0),0)))</f>
        <v>0</v>
      </c>
      <c r="AP140" t="s">
        <v>137</v>
      </c>
      <c r="AS140" t="s">
        <v>396</v>
      </c>
      <c r="JZ140" s="27" t="str">
        <f t="shared" si="169"/>
        <v>XT55</v>
      </c>
      <c r="KC140" t="str">
        <f t="shared" si="170"/>
        <v>F0-AI16-11B</v>
      </c>
      <c r="KD140" t="str">
        <f t="shared" si="171"/>
        <v>F0-AI16-12B</v>
      </c>
      <c r="KI140">
        <f t="array" ref="KI140">IF(COUNTIFS($U$2:$U140,$U140)=1,1,INDEX(KI:KI,_xlfn.XMATCH(U140,U$1:U139,0,-1))+COUNT(KI139:KM139))</f>
        <v>261</v>
      </c>
      <c r="KJ140">
        <f t="shared" si="167"/>
        <v>262</v>
      </c>
      <c r="KK140">
        <f t="shared" si="168"/>
        <v>263</v>
      </c>
      <c r="KN140">
        <v>1</v>
      </c>
      <c r="KO140" s="16">
        <v>2</v>
      </c>
      <c r="KS140" s="16"/>
    </row>
    <row r="141" spans="1:305" ht="30" x14ac:dyDescent="0.25">
      <c r="A141" s="29" t="s">
        <v>2352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">
        <v>917</v>
      </c>
      <c r="Y141" s="43" t="str">
        <f t="array" ref="Y141">IF(COUNTIFS($X$2:$X141,$X141)=1,"1",VALUE(SUBSTITUTE(INDEX(Y:Y,_xlfn.XMATCH($X141,$X$1:$X140,0,-1)),"A",""))+INDEX(Z:Z,_xlfn.XMATCH($X141,$X$1:$X140,0,-1))+1)</f>
        <v>1</v>
      </c>
      <c r="Z141" s="43">
        <f t="array" ref="Z141">SUM(IF(ISNUMBER(FIND("TmAi",$BE$1:$AAQ$1)),IF(IFERROR(ISODD(SUBSTITUTE($BE141:$AAQ141,"A","")),FALSE),IF(ISODD(SUBSTITUTE($BE141:$AAQ141,"A","")),1,0),0)))</f>
        <v>0</v>
      </c>
      <c r="AA141" t="str">
        <f t="shared" si="163"/>
        <v>1B</v>
      </c>
      <c r="AB141" t="str">
        <f t="shared" si="164"/>
        <v>2B</v>
      </c>
      <c r="AD141" s="46"/>
      <c r="AE141" s="46">
        <f t="array" ref="AE141">SUM(IF(ISNUMBER(FIND("TmDi",$BE$1:$AAQ$1)),IF(IFERROR(ISNUMBER(VALUE(SUBSTITUTE($BE141:$AAQ141,"B",""))),FALSE),IF(ISNUMBER(VALUE(SUBSTITUTE($BE141:$AAQ141,"B",""))),1,0),0)))</f>
        <v>0</v>
      </c>
      <c r="AP141" t="s">
        <v>137</v>
      </c>
      <c r="AS141" t="s">
        <v>396</v>
      </c>
      <c r="JZ141" s="27" t="str">
        <f t="shared" si="169"/>
        <v>XT55</v>
      </c>
      <c r="KC141" t="str">
        <f t="shared" si="170"/>
        <v>F0-AI17-1B</v>
      </c>
      <c r="KD141" t="str">
        <f t="shared" si="171"/>
        <v>F0-AI17-2B</v>
      </c>
      <c r="KI141">
        <f t="array" ref="KI141">IF(COUNTIFS($U$2:$U141,$U141)=1,1,INDEX(KI:KI,_xlfn.XMATCH(U141,U$1:U140,0,-1))+COUNT(KI140:KM140))</f>
        <v>264</v>
      </c>
      <c r="KJ141">
        <f t="shared" si="167"/>
        <v>265</v>
      </c>
      <c r="KK141">
        <f t="shared" si="168"/>
        <v>266</v>
      </c>
      <c r="KN141">
        <v>1</v>
      </c>
      <c r="KO141" s="16">
        <v>2</v>
      </c>
      <c r="KS141" s="16"/>
    </row>
    <row r="142" spans="1:305" ht="30" x14ac:dyDescent="0.25">
      <c r="A142" s="29" t="s">
        <v>2353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A3.17</v>
      </c>
      <c r="Y142" s="43">
        <f t="array" ref="Y142">IF(COUNTIFS($X$2:$X142,$X142)=1,"1",VALUE(SUBSTITUTE(INDEX(Y:Y,_xlfn.XMATCH($X142,$X$1:$X141,0,-1)),"A",""))+INDEX(Z:Z,_xlfn.XMATCH($X142,$X$1:$X141,0,-1))+1)</f>
        <v>2</v>
      </c>
      <c r="Z142" s="43">
        <f t="array" ref="Z142">SUM(IF(ISNUMBER(FIND("TmAi",$BE$1:$AAQ$1)),IF(IFERROR(ISODD(SUBSTITUTE($BE142:$AAQ142,"A","")),FALSE),IF(ISODD(SUBSTITUTE($BE142:$AAQ142,"A","")),1,0),0)))</f>
        <v>0</v>
      </c>
      <c r="AA142" t="str">
        <f t="shared" si="163"/>
        <v>3B</v>
      </c>
      <c r="AB142" t="str">
        <f t="shared" si="164"/>
        <v>4B</v>
      </c>
      <c r="AD142" s="46"/>
      <c r="AE142" s="46">
        <f t="array" ref="AE142">SUM(IF(ISNUMBER(FIND("TmDi",$BE$1:$AAQ$1)),IF(IFERROR(ISNUMBER(VALUE(SUBSTITUTE($BE142:$AAQ142,"B",""))),FALSE),IF(ISNUMBER(VALUE(SUBSTITUTE($BE142:$AAQ142,"B",""))),1,0),0)))</f>
        <v>0</v>
      </c>
      <c r="AP142" t="s">
        <v>137</v>
      </c>
      <c r="AS142" t="s">
        <v>396</v>
      </c>
      <c r="JZ142" s="27" t="str">
        <f t="shared" si="169"/>
        <v>XT55</v>
      </c>
      <c r="KC142" t="str">
        <f t="shared" si="170"/>
        <v>F0-AI17-3B</v>
      </c>
      <c r="KD142" t="str">
        <f t="shared" si="171"/>
        <v>F0-AI17-4B</v>
      </c>
      <c r="KI142">
        <f t="array" ref="KI142">IF(COUNTIFS($U$2:$U142,$U142)=1,1,INDEX(KI:KI,_xlfn.XMATCH(U142,U$1:U141,0,-1))+COUNT(KI141:KM141))</f>
        <v>267</v>
      </c>
      <c r="KJ142">
        <f t="shared" si="167"/>
        <v>268</v>
      </c>
      <c r="KK142">
        <f t="shared" si="168"/>
        <v>269</v>
      </c>
      <c r="KN142">
        <v>1</v>
      </c>
      <c r="KO142" s="16">
        <v>2</v>
      </c>
      <c r="KS142" s="16"/>
    </row>
    <row r="143" spans="1:305" ht="30" x14ac:dyDescent="0.25">
      <c r="A143" s="29" t="s">
        <v>2354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">
        <v>1055</v>
      </c>
      <c r="Y143" s="43" t="str">
        <f t="array" ref="Y143">IF(COUNTIFS($X$2:$X143,$X143)=1,"1",VALUE(SUBSTITUTE(INDEX(Y:Y,_xlfn.XMATCH($X143,$X$1:$X142,0,-1)),"A",""))+INDEX(Z:Z,_xlfn.XMATCH($X143,$X$1:$X142,0,-1))+1)</f>
        <v>1</v>
      </c>
      <c r="Z143" s="43">
        <f t="array" ref="Z143">SUM(IF(ISNUMBER(FIND("TmAi",$BE$1:$AAQ$1)),IF(IFERROR(ISODD(SUBSTITUTE($BE143:$AAQ143,"A","")),FALSE),IF(ISODD(SUBSTITUTE($BE143:$AAQ143,"A","")),1,0),0)))</f>
        <v>0</v>
      </c>
      <c r="AA143" t="str">
        <f t="shared" si="163"/>
        <v>1B</v>
      </c>
      <c r="AB143" t="str">
        <f t="shared" si="164"/>
        <v>2B</v>
      </c>
      <c r="AD143" s="46"/>
      <c r="AE143" s="46">
        <f t="array" ref="AE143">SUM(IF(ISNUMBER(FIND("TmDi",$BE$1:$AAQ$1)),IF(IFERROR(ISNUMBER(VALUE(SUBSTITUTE($BE143:$AAQ143,"B",""))),FALSE),IF(ISNUMBER(VALUE(SUBSTITUTE($BE143:$AAQ143,"B",""))),1,0),0)))</f>
        <v>0</v>
      </c>
      <c r="AP143" t="s">
        <v>137</v>
      </c>
      <c r="AS143" t="s">
        <v>396</v>
      </c>
      <c r="JZ143" s="27" t="str">
        <f t="shared" si="169"/>
        <v>XT55</v>
      </c>
      <c r="KC143" t="str">
        <f t="shared" si="170"/>
        <v>F0-AI18-1B</v>
      </c>
      <c r="KD143" t="str">
        <f t="shared" si="171"/>
        <v>F0-AI18-2B</v>
      </c>
      <c r="KI143">
        <f t="array" ref="KI143">IF(COUNTIFS($U$2:$U143,$U143)=1,1,INDEX(KI:KI,_xlfn.XMATCH(U143,U$1:U142,0,-1))+COUNT(KI142:KM142))</f>
        <v>270</v>
      </c>
      <c r="KJ143">
        <f t="shared" si="167"/>
        <v>271</v>
      </c>
      <c r="KK143">
        <f t="shared" si="168"/>
        <v>272</v>
      </c>
      <c r="KN143">
        <v>1</v>
      </c>
      <c r="KO143" s="16">
        <v>2</v>
      </c>
      <c r="KS143" s="16"/>
    </row>
    <row r="144" spans="1:305" ht="30" x14ac:dyDescent="0.25">
      <c r="A144" s="29" t="s">
        <v>2355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A3.18</v>
      </c>
      <c r="Y144" s="43">
        <f t="array" ref="Y144">IF(COUNTIFS($X$2:$X144,$X144)=1,"1",VALUE(SUBSTITUTE(INDEX(Y:Y,_xlfn.XMATCH($X144,$X$1:$X143,0,-1)),"A",""))+INDEX(Z:Z,_xlfn.XMATCH($X144,$X$1:$X143,0,-1))+1)</f>
        <v>2</v>
      </c>
      <c r="Z144" s="43">
        <f t="array" ref="Z144">SUM(IF(ISNUMBER(FIND("TmAi",$BE$1:$AAQ$1)),IF(IFERROR(ISODD(SUBSTITUTE($BE144:$AAQ144,"A","")),FALSE),IF(ISODD(SUBSTITUTE($BE144:$AAQ144,"A","")),1,0),0)))</f>
        <v>0</v>
      </c>
      <c r="AA144" t="str">
        <f t="shared" si="163"/>
        <v>3B</v>
      </c>
      <c r="AB144" t="str">
        <f t="shared" si="164"/>
        <v>4B</v>
      </c>
      <c r="AD144" s="46"/>
      <c r="AE144" s="46">
        <f t="array" ref="AE144">SUM(IF(ISNUMBER(FIND("TmDi",$BE$1:$AAQ$1)),IF(IFERROR(ISNUMBER(VALUE(SUBSTITUTE($BE144:$AAQ144,"B",""))),FALSE),IF(ISNUMBER(VALUE(SUBSTITUTE($BE144:$AAQ144,"B",""))),1,0),0)))</f>
        <v>0</v>
      </c>
      <c r="AP144" t="s">
        <v>137</v>
      </c>
      <c r="AS144" t="s">
        <v>396</v>
      </c>
      <c r="JZ144" s="27" t="str">
        <f t="shared" si="169"/>
        <v>XT55</v>
      </c>
      <c r="KC144" t="str">
        <f t="shared" si="170"/>
        <v>F0-AI18-3B</v>
      </c>
      <c r="KD144" t="str">
        <f t="shared" si="171"/>
        <v>F0-AI18-4B</v>
      </c>
      <c r="KI144">
        <f t="array" ref="KI144">IF(COUNTIFS($U$2:$U144,$U144)=1,1,INDEX(KI:KI,_xlfn.XMATCH(U144,U$1:U143,0,-1))+COUNT(KI143:KM143))</f>
        <v>273</v>
      </c>
      <c r="KJ144">
        <f t="shared" si="167"/>
        <v>274</v>
      </c>
      <c r="KK144">
        <f t="shared" si="168"/>
        <v>275</v>
      </c>
      <c r="KN144">
        <v>1</v>
      </c>
      <c r="KO144" s="16">
        <v>2</v>
      </c>
      <c r="KS144" s="16"/>
    </row>
    <row r="145" spans="1:305" ht="30" x14ac:dyDescent="0.25">
      <c r="A145" s="29" t="s">
        <v>2356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A3.18</v>
      </c>
      <c r="Y145" s="45">
        <f t="array" ref="Y145">IF(COUNTIFS($X$2:$X145,$X145)=1,"1",VALUE(SUBSTITUTE(INDEX(Y:Y,_xlfn.XMATCH($X145,$X$1:$X144,0,-1)),"A",""))+INDEX(Z:Z,_xlfn.XMATCH($X145,$X$1:$X144,0,-1))+1)</f>
        <v>3</v>
      </c>
      <c r="Z145" s="43">
        <f t="array" ref="Z145">SUM(IF(ISNUMBER(FIND("TmAi",$BE$1:$AAQ$1)),IF(IFERROR(ISODD(SUBSTITUTE($BE145:$AAQ145,"A","")),FALSE),IF(ISODD(SUBSTITUTE($BE145:$AAQ145,"A","")),1,0),0)))</f>
        <v>0</v>
      </c>
      <c r="AA145" t="str">
        <f t="shared" si="163"/>
        <v>5B</v>
      </c>
      <c r="AB145" t="str">
        <f t="shared" si="164"/>
        <v>6B</v>
      </c>
      <c r="AD145" s="46"/>
      <c r="AE145" s="46">
        <f t="array" ref="AE145">SUM(IF(ISNUMBER(FIND("TmDi",$BE$1:$AAQ$1)),IF(IFERROR(ISNUMBER(VALUE(SUBSTITUTE($BE145:$AAQ145,"B",""))),FALSE),IF(ISNUMBER(VALUE(SUBSTITUTE($BE145:$AAQ145,"B",""))),1,0),0)))</f>
        <v>0</v>
      </c>
      <c r="AP145" t="s">
        <v>137</v>
      </c>
      <c r="AS145" t="s">
        <v>396</v>
      </c>
      <c r="JZ145" s="27" t="str">
        <f t="shared" si="169"/>
        <v>XT55</v>
      </c>
      <c r="KC145" t="str">
        <f t="shared" si="170"/>
        <v>F0-AI18-5B</v>
      </c>
      <c r="KD145" t="str">
        <f t="shared" si="171"/>
        <v>F0-AI18-6B</v>
      </c>
      <c r="KI145">
        <f t="array" ref="KI145">IF(COUNTIFS($U$2:$U145,$U145)=1,1,INDEX(KI:KI,_xlfn.XMATCH(U145,U$1:U144,0,-1))+COUNT(KI144:KM144))</f>
        <v>276</v>
      </c>
      <c r="KJ145">
        <f t="shared" si="167"/>
        <v>277</v>
      </c>
      <c r="KK145">
        <f t="shared" si="168"/>
        <v>278</v>
      </c>
      <c r="KN145">
        <v>1</v>
      </c>
      <c r="KO145" s="16">
        <v>2</v>
      </c>
      <c r="KS145" s="16"/>
    </row>
    <row r="146" spans="1:305" ht="30" x14ac:dyDescent="0.25">
      <c r="A146" s="29" t="s">
        <v>2357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A3.18</v>
      </c>
      <c r="Y146" s="43">
        <f t="array" ref="Y146">IF(COUNTIFS($X$2:$X146,$X146)=1,"1",VALUE(SUBSTITUTE(INDEX(Y:Y,_xlfn.XMATCH($X146,$X$1:$X145,0,-1)),"A",""))+INDEX(Z:Z,_xlfn.XMATCH($X146,$X$1:$X145,0,-1))+1)</f>
        <v>4</v>
      </c>
      <c r="Z146" s="43">
        <f t="array" ref="Z146">SUM(IF(ISNUMBER(FIND("TmAi",$BE$1:$AAQ$1)),IF(IFERROR(ISODD(SUBSTITUTE($BE146:$AAQ146,"A","")),FALSE),IF(ISODD(SUBSTITUTE($BE146:$AAQ146,"A","")),1,0),0)))</f>
        <v>0</v>
      </c>
      <c r="AA146" t="str">
        <f t="shared" si="163"/>
        <v>7B</v>
      </c>
      <c r="AB146" t="str">
        <f t="shared" si="164"/>
        <v>8B</v>
      </c>
      <c r="AD146" s="46"/>
      <c r="AE146" s="46">
        <f t="array" ref="AE146">SUM(IF(ISNUMBER(FIND("TmDi",$BE$1:$AAQ$1)),IF(IFERROR(ISNUMBER(VALUE(SUBSTITUTE($BE146:$AAQ146,"B",""))),FALSE),IF(ISNUMBER(VALUE(SUBSTITUTE($BE146:$AAQ146,"B",""))),1,0),0)))</f>
        <v>0</v>
      </c>
      <c r="AP146" t="s">
        <v>137</v>
      </c>
      <c r="AS146" t="s">
        <v>396</v>
      </c>
      <c r="JZ146" s="27" t="str">
        <f t="shared" si="169"/>
        <v>XT55</v>
      </c>
      <c r="KC146" t="str">
        <f t="shared" si="170"/>
        <v>F0-AI18-7B</v>
      </c>
      <c r="KD146" t="str">
        <f t="shared" si="171"/>
        <v>F0-AI18-8B</v>
      </c>
      <c r="KI146">
        <f t="array" ref="KI146">IF(COUNTIFS($U$2:$U146,$U146)=1,1,INDEX(KI:KI,_xlfn.XMATCH(U146,U$1:U145,0,-1))+COUNT(KI145:KM145))</f>
        <v>279</v>
      </c>
      <c r="KJ146">
        <f t="shared" si="167"/>
        <v>280</v>
      </c>
      <c r="KK146">
        <f t="shared" si="168"/>
        <v>281</v>
      </c>
      <c r="KN146">
        <v>1</v>
      </c>
      <c r="KO146" s="16">
        <v>2</v>
      </c>
      <c r="KS146" s="16"/>
    </row>
    <row r="147" spans="1:305" ht="30" x14ac:dyDescent="0.25">
      <c r="A147" s="29" t="s">
        <v>2358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A3.18</v>
      </c>
      <c r="Y147" s="43">
        <f t="array" ref="Y147">IF(COUNTIFS($X$2:$X147,$X147)=1,"1",VALUE(SUBSTITUTE(INDEX(Y:Y,_xlfn.XMATCH($X147,$X$1:$X146,0,-1)),"A",""))+INDEX(Z:Z,_xlfn.XMATCH($X147,$X$1:$X146,0,-1))+1)</f>
        <v>5</v>
      </c>
      <c r="Z147" s="43">
        <f t="array" ref="Z147">SUM(IF(ISNUMBER(FIND("TmAi",$BE$1:$AAQ$1)),IF(IFERROR(ISODD(SUBSTITUTE($BE147:$AAQ147,"A","")),FALSE),IF(ISODD(SUBSTITUTE($BE147:$AAQ147,"A","")),1,0),0)))</f>
        <v>0</v>
      </c>
      <c r="AA147" t="str">
        <f t="shared" si="163"/>
        <v>9B</v>
      </c>
      <c r="AB147" t="str">
        <f t="shared" si="164"/>
        <v>10B</v>
      </c>
      <c r="AD147" s="46"/>
      <c r="AE147" s="46">
        <f t="array" ref="AE147">SUM(IF(ISNUMBER(FIND("TmDi",$BE$1:$AAQ$1)),IF(IFERROR(ISNUMBER(VALUE(SUBSTITUTE($BE147:$AAQ147,"B",""))),FALSE),IF(ISNUMBER(VALUE(SUBSTITUTE($BE147:$AAQ147,"B",""))),1,0),0)))</f>
        <v>0</v>
      </c>
      <c r="AP147" t="s">
        <v>137</v>
      </c>
      <c r="AS147" t="s">
        <v>396</v>
      </c>
      <c r="JZ147" s="27" t="str">
        <f t="shared" si="169"/>
        <v>XT55</v>
      </c>
      <c r="KC147" t="str">
        <f t="shared" si="170"/>
        <v>F0-AI18-9B</v>
      </c>
      <c r="KD147" t="str">
        <f t="shared" si="171"/>
        <v>F0-AI18-10B</v>
      </c>
      <c r="KI147">
        <f t="array" ref="KI147">IF(COUNTIFS($U$2:$U147,$U147)=1,1,INDEX(KI:KI,_xlfn.XMATCH(U147,U$1:U146,0,-1))+COUNT(KI146:KM146))</f>
        <v>282</v>
      </c>
      <c r="KJ147">
        <f t="shared" si="167"/>
        <v>283</v>
      </c>
      <c r="KK147">
        <f t="shared" si="168"/>
        <v>284</v>
      </c>
      <c r="KN147">
        <v>1</v>
      </c>
      <c r="KO147" s="16">
        <v>2</v>
      </c>
      <c r="KS147" s="16"/>
    </row>
    <row r="148" spans="1:305" ht="30" x14ac:dyDescent="0.25">
      <c r="A148" s="29" t="s">
        <v>2359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A3.18</v>
      </c>
      <c r="Y148" s="43">
        <f t="array" ref="Y148">IF(COUNTIFS($X$2:$X148,$X148)=1,"1",VALUE(SUBSTITUTE(INDEX(Y:Y,_xlfn.XMATCH($X148,$X$1:$X147,0,-1)),"A",""))+INDEX(Z:Z,_xlfn.XMATCH($X148,$X$1:$X147,0,-1))+1)</f>
        <v>6</v>
      </c>
      <c r="Z148" s="43">
        <f t="array" ref="Z148">SUM(IF(ISNUMBER(FIND("TmAi",$BE$1:$AAQ$1)),IF(IFERROR(ISODD(SUBSTITUTE($BE148:$AAQ148,"A","")),FALSE),IF(ISODD(SUBSTITUTE($BE148:$AAQ148,"A","")),1,0),0)))</f>
        <v>0</v>
      </c>
      <c r="AA148" t="str">
        <f t="shared" si="163"/>
        <v>11B</v>
      </c>
      <c r="AB148" t="str">
        <f t="shared" si="164"/>
        <v>12B</v>
      </c>
      <c r="AD148" s="46"/>
      <c r="AE148" s="46">
        <f t="array" ref="AE148">SUM(IF(ISNUMBER(FIND("TmDi",$BE$1:$AAQ$1)),IF(IFERROR(ISNUMBER(VALUE(SUBSTITUTE($BE148:$AAQ148,"B",""))),FALSE),IF(ISNUMBER(VALUE(SUBSTITUTE($BE148:$AAQ148,"B",""))),1,0),0)))</f>
        <v>0</v>
      </c>
      <c r="AP148" t="s">
        <v>137</v>
      </c>
      <c r="AS148" t="s">
        <v>396</v>
      </c>
      <c r="JZ148" s="27" t="str">
        <f t="shared" si="169"/>
        <v>XT55</v>
      </c>
      <c r="KC148" t="str">
        <f t="shared" si="170"/>
        <v>F0-AI18-11B</v>
      </c>
      <c r="KD148" t="str">
        <f t="shared" si="171"/>
        <v>F0-AI18-12B</v>
      </c>
      <c r="KI148">
        <f t="array" ref="KI148">IF(COUNTIFS($U$2:$U148,$U148)=1,1,INDEX(KI:KI,_xlfn.XMATCH(U148,U$1:U147,0,-1))+COUNT(KI147:KM147))</f>
        <v>285</v>
      </c>
      <c r="KJ148">
        <f t="shared" si="167"/>
        <v>286</v>
      </c>
      <c r="KK148">
        <f t="shared" si="168"/>
        <v>287</v>
      </c>
      <c r="KN148">
        <v>1</v>
      </c>
      <c r="KO148" s="16">
        <v>2</v>
      </c>
      <c r="KS148" s="16"/>
    </row>
    <row r="149" spans="1:305" ht="30" x14ac:dyDescent="0.25">
      <c r="A149" s="29" t="s">
        <v>2360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A3.18</v>
      </c>
      <c r="Y149" s="43">
        <f t="array" ref="Y149">IF(COUNTIFS($X$2:$X149,$X149)=1,"1",VALUE(SUBSTITUTE(INDEX(Y:Y,_xlfn.XMATCH($X149,$X$1:$X148,0,-1)),"A",""))+INDEX(Z:Z,_xlfn.XMATCH($X149,$X$1:$X148,0,-1))+1)</f>
        <v>7</v>
      </c>
      <c r="Z149" s="43">
        <f t="array" ref="Z149">SUM(IF(ISNUMBER(FIND("TmAi",$BE$1:$AAQ$1)),IF(IFERROR(ISODD(SUBSTITUTE($BE149:$AAQ149,"A","")),FALSE),IF(ISODD(SUBSTITUTE($BE149:$AAQ149,"A","")),1,0),0)))</f>
        <v>0</v>
      </c>
      <c r="AA149" t="str">
        <f t="shared" si="163"/>
        <v>13B</v>
      </c>
      <c r="AB149" t="str">
        <f t="shared" si="164"/>
        <v>14B</v>
      </c>
      <c r="AD149" s="46"/>
      <c r="AE149" s="46">
        <f t="array" ref="AE149">SUM(IF(ISNUMBER(FIND("TmDi",$BE$1:$AAQ$1)),IF(IFERROR(ISNUMBER(VALUE(SUBSTITUTE($BE149:$AAQ149,"B",""))),FALSE),IF(ISNUMBER(VALUE(SUBSTITUTE($BE149:$AAQ149,"B",""))),1,0),0)))</f>
        <v>0</v>
      </c>
      <c r="AP149" t="s">
        <v>137</v>
      </c>
      <c r="AS149" t="s">
        <v>396</v>
      </c>
      <c r="JZ149" s="27" t="str">
        <f t="shared" si="169"/>
        <v>XT55</v>
      </c>
      <c r="KC149" t="str">
        <f t="shared" si="170"/>
        <v>F0-AI18-13B</v>
      </c>
      <c r="KD149" t="str">
        <f t="shared" si="171"/>
        <v>F0-AI18-14B</v>
      </c>
      <c r="KI149">
        <f t="array" ref="KI149">IF(COUNTIFS($U$2:$U149,$U149)=1,1,INDEX(KI:KI,_xlfn.XMATCH(U149,U$1:U148,0,-1))+COUNT(KI148:KM148))</f>
        <v>288</v>
      </c>
      <c r="KJ149">
        <f t="shared" si="167"/>
        <v>289</v>
      </c>
      <c r="KK149">
        <f t="shared" si="168"/>
        <v>290</v>
      </c>
      <c r="KN149">
        <v>1</v>
      </c>
      <c r="KO149" s="16">
        <v>2</v>
      </c>
      <c r="KS149" s="16"/>
    </row>
    <row r="150" spans="1:305" ht="30" x14ac:dyDescent="0.25">
      <c r="A150" s="29" t="s">
        <v>2361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A3.18</v>
      </c>
      <c r="Y150" s="43">
        <f t="array" ref="Y150">IF(COUNTIFS($X$2:$X150,$X150)=1,"1",VALUE(SUBSTITUTE(INDEX(Y:Y,_xlfn.XMATCH($X150,$X$1:$X149,0,-1)),"A",""))+INDEX(Z:Z,_xlfn.XMATCH($X150,$X$1:$X149,0,-1))+1)</f>
        <v>8</v>
      </c>
      <c r="Z150" s="43">
        <f t="array" ref="Z150">SUM(IF(ISNUMBER(FIND("TmAi",$BE$1:$AAQ$1)),IF(IFERROR(ISODD(SUBSTITUTE($BE150:$AAQ150,"A","")),FALSE),IF(ISODD(SUBSTITUTE($BE150:$AAQ150,"A","")),1,0),0)))</f>
        <v>0</v>
      </c>
      <c r="AA150" t="str">
        <f t="shared" si="163"/>
        <v>15B</v>
      </c>
      <c r="AB150" t="str">
        <f t="shared" si="164"/>
        <v>16B</v>
      </c>
      <c r="AD150" s="46"/>
      <c r="AE150" s="46">
        <f t="array" ref="AE150">SUM(IF(ISNUMBER(FIND("TmDi",$BE$1:$AAQ$1)),IF(IFERROR(ISNUMBER(VALUE(SUBSTITUTE($BE150:$AAQ150,"B",""))),FALSE),IF(ISNUMBER(VALUE(SUBSTITUTE($BE150:$AAQ150,"B",""))),1,0),0)))</f>
        <v>0</v>
      </c>
      <c r="AP150" t="s">
        <v>137</v>
      </c>
      <c r="AS150" t="s">
        <v>396</v>
      </c>
      <c r="JZ150" s="27" t="str">
        <f t="shared" si="169"/>
        <v>XT55</v>
      </c>
      <c r="KC150" t="str">
        <f t="shared" si="170"/>
        <v>F0-AI18-15B</v>
      </c>
      <c r="KD150" t="str">
        <f t="shared" si="171"/>
        <v>F0-AI18-16B</v>
      </c>
      <c r="KI150">
        <f t="array" ref="KI150">IF(COUNTIFS($U$2:$U150,$U150)=1,1,INDEX(KI:KI,_xlfn.XMATCH(U150,U$1:U149,0,-1))+COUNT(KI149:KM149))</f>
        <v>291</v>
      </c>
      <c r="KJ150">
        <f t="shared" si="167"/>
        <v>292</v>
      </c>
      <c r="KK150">
        <f t="shared" si="168"/>
        <v>293</v>
      </c>
      <c r="KN150">
        <v>1</v>
      </c>
      <c r="KO150" s="16">
        <v>2</v>
      </c>
      <c r="KS150" s="16"/>
    </row>
    <row r="151" spans="1:305" ht="30" x14ac:dyDescent="0.25">
      <c r="A151" s="29" t="s">
        <v>2362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A3.19</v>
      </c>
      <c r="Y151" s="43" t="str">
        <f t="array" ref="Y151">IF(COUNTIFS($X$2:$X151,$X151)=1,"1",VALUE(SUBSTITUTE(INDEX(Y:Y,_xlfn.XMATCH($X151,$X$1:$X150,0,-1)),"A",""))+INDEX(Z:Z,_xlfn.XMATCH($X151,$X$1:$X150,0,-1))+1)</f>
        <v>1</v>
      </c>
      <c r="Z151" s="43">
        <f t="array" ref="Z151">SUM(IF(ISNUMBER(FIND("TmAi",$BE$1:$AAQ$1)),IF(IFERROR(ISODD(SUBSTITUTE($BE151:$AAQ151,"A","")),FALSE),IF(ISODD(SUBSTITUTE($BE151:$AAQ151,"A","")),1,0),0)))</f>
        <v>0</v>
      </c>
      <c r="AA151" t="str">
        <f t="shared" si="163"/>
        <v>1B</v>
      </c>
      <c r="AB151" t="str">
        <f t="shared" si="164"/>
        <v>2B</v>
      </c>
      <c r="AD151" s="46"/>
      <c r="AE151" s="46">
        <f t="array" ref="AE151">SUM(IF(ISNUMBER(FIND("TmDi",$BE$1:$AAQ$1)),IF(IFERROR(ISNUMBER(VALUE(SUBSTITUTE($BE151:$AAQ151,"B",""))),FALSE),IF(ISNUMBER(VALUE(SUBSTITUTE($BE151:$AAQ151,"B",""))),1,0),0)))</f>
        <v>0</v>
      </c>
      <c r="AP151" t="s">
        <v>137</v>
      </c>
      <c r="AS151" t="s">
        <v>396</v>
      </c>
      <c r="JZ151" s="27" t="str">
        <f t="shared" si="169"/>
        <v>XT55</v>
      </c>
      <c r="KC151" t="str">
        <f t="shared" si="170"/>
        <v>F0-AI19-1B</v>
      </c>
      <c r="KD151" t="str">
        <f t="shared" si="171"/>
        <v>F0-AI19-2B</v>
      </c>
      <c r="KI151">
        <f t="array" ref="KI151">IF(COUNTIFS($U$2:$U151,$U151)=1,1,INDEX(KI:KI,_xlfn.XMATCH(U151,U$1:U150,0,-1))+COUNT(KI150:KM150))</f>
        <v>294</v>
      </c>
      <c r="KJ151">
        <f t="shared" si="167"/>
        <v>295</v>
      </c>
      <c r="KK151">
        <f t="shared" si="168"/>
        <v>296</v>
      </c>
      <c r="KN151">
        <v>1</v>
      </c>
      <c r="KO151" s="16">
        <v>2</v>
      </c>
      <c r="KS151" s="16"/>
    </row>
    <row r="152" spans="1:305" ht="30" x14ac:dyDescent="0.25">
      <c r="A152" s="29" t="s">
        <v>2363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A3.19</v>
      </c>
      <c r="Y152" s="43">
        <f t="array" ref="Y152">IF(COUNTIFS($X$2:$X152,$X152)=1,"1",VALUE(SUBSTITUTE(INDEX(Y:Y,_xlfn.XMATCH($X152,$X$1:$X151,0,-1)),"A",""))+INDEX(Z:Z,_xlfn.XMATCH($X152,$X$1:$X151,0,-1))+1)</f>
        <v>2</v>
      </c>
      <c r="Z152" s="43">
        <f t="array" ref="Z152">SUM(IF(ISNUMBER(FIND("TmAi",$BE$1:$AAQ$1)),IF(IFERROR(ISODD(SUBSTITUTE($BE152:$AAQ152,"A","")),FALSE),IF(ISODD(SUBSTITUTE($BE152:$AAQ152,"A","")),1,0),0)))</f>
        <v>0</v>
      </c>
      <c r="AA152" t="str">
        <f t="shared" si="163"/>
        <v>3B</v>
      </c>
      <c r="AB152" t="str">
        <f t="shared" si="164"/>
        <v>4B</v>
      </c>
      <c r="AD152" s="46"/>
      <c r="AE152" s="46">
        <f t="array" ref="AE152">SUM(IF(ISNUMBER(FIND("TmDi",$BE$1:$AAQ$1)),IF(IFERROR(ISNUMBER(VALUE(SUBSTITUTE($BE152:$AAQ152,"B",""))),FALSE),IF(ISNUMBER(VALUE(SUBSTITUTE($BE152:$AAQ152,"B",""))),1,0),0)))</f>
        <v>0</v>
      </c>
      <c r="AP152" t="s">
        <v>137</v>
      </c>
      <c r="AS152" t="s">
        <v>396</v>
      </c>
      <c r="JZ152" s="27" t="str">
        <f t="shared" ref="JZ152:JZ168" si="172">CONCATENATE("XT",U152)</f>
        <v>XT55</v>
      </c>
      <c r="KC152" t="str">
        <f t="shared" ref="KC152:KC168" si="173">CONCATENATE(T152,"-AI",REPLACE($X152,1,3,""),"-",AA152)</f>
        <v>F0-AI19-3B</v>
      </c>
      <c r="KD152" t="str">
        <f t="shared" ref="KD152:KD168" si="174">CONCATENATE(T152,"-AI",REPLACE($X152,1,3,""),"-",AB152)</f>
        <v>F0-AI19-4B</v>
      </c>
      <c r="KI152">
        <f t="array" ref="KI152">IF(COUNTIFS($U$2:$U152,$U152)=1,1,INDEX(KI:KI,_xlfn.XMATCH(U152,U$1:U151,0,-1))+COUNT(KI151:KM151))</f>
        <v>297</v>
      </c>
      <c r="KJ152">
        <f t="shared" si="167"/>
        <v>298</v>
      </c>
      <c r="KK152">
        <f t="shared" si="168"/>
        <v>299</v>
      </c>
      <c r="KN152">
        <v>1</v>
      </c>
      <c r="KO152" s="16">
        <v>2</v>
      </c>
      <c r="KS152" s="16"/>
    </row>
    <row r="153" spans="1:305" ht="30" x14ac:dyDescent="0.25">
      <c r="A153" s="29" t="s">
        <v>2364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A3.19</v>
      </c>
      <c r="Y153" s="45">
        <f t="array" ref="Y153">IF(COUNTIFS($X$2:$X153,$X153)=1,"1",VALUE(SUBSTITUTE(INDEX(Y:Y,_xlfn.XMATCH($X153,$X$1:$X152,0,-1)),"A",""))+INDEX(Z:Z,_xlfn.XMATCH($X153,$X$1:$X152,0,-1))+1)</f>
        <v>3</v>
      </c>
      <c r="Z153" s="43">
        <f t="array" ref="Z153">SUM(IF(ISNUMBER(FIND("TmAi",$BE$1:$AAQ$1)),IF(IFERROR(ISODD(SUBSTITUTE($BE153:$AAQ153,"A","")),FALSE),IF(ISODD(SUBSTITUTE($BE153:$AAQ153,"A","")),1,0),0)))</f>
        <v>0</v>
      </c>
      <c r="AA153" t="str">
        <f t="shared" si="163"/>
        <v>5B</v>
      </c>
      <c r="AB153" t="str">
        <f t="shared" si="164"/>
        <v>6B</v>
      </c>
      <c r="AD153" s="46"/>
      <c r="AE153" s="46">
        <f t="array" ref="AE153">SUM(IF(ISNUMBER(FIND("TmDi",$BE$1:$AAQ$1)),IF(IFERROR(ISNUMBER(VALUE(SUBSTITUTE($BE153:$AAQ153,"B",""))),FALSE),IF(ISNUMBER(VALUE(SUBSTITUTE($BE153:$AAQ153,"B",""))),1,0),0)))</f>
        <v>0</v>
      </c>
      <c r="AP153" t="s">
        <v>137</v>
      </c>
      <c r="AS153" t="s">
        <v>396</v>
      </c>
      <c r="JZ153" s="27" t="str">
        <f t="shared" si="172"/>
        <v>XT55</v>
      </c>
      <c r="KC153" t="str">
        <f t="shared" si="173"/>
        <v>F0-AI19-5B</v>
      </c>
      <c r="KD153" t="str">
        <f t="shared" si="174"/>
        <v>F0-AI19-6B</v>
      </c>
      <c r="KI153">
        <f t="array" ref="KI153">IF(COUNTIFS($U$2:$U153,$U153)=1,1,INDEX(KI:KI,_xlfn.XMATCH(U153,U$1:U152,0,-1))+COUNT(KI152:KM152))</f>
        <v>300</v>
      </c>
      <c r="KJ153">
        <f t="shared" ref="KJ153:KJ168" si="175">KI153+1</f>
        <v>301</v>
      </c>
      <c r="KK153">
        <f t="shared" ref="KK153:KK168" si="176">KJ153+1</f>
        <v>302</v>
      </c>
      <c r="KN153">
        <v>1</v>
      </c>
      <c r="KO153" s="16">
        <v>2</v>
      </c>
      <c r="KS153" s="16"/>
    </row>
    <row r="154" spans="1:305" ht="30" x14ac:dyDescent="0.25">
      <c r="A154" s="29" t="s">
        <v>2365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A3.19</v>
      </c>
      <c r="Y154" s="43">
        <f t="array" ref="Y154">IF(COUNTIFS($X$2:$X154,$X154)=1,"1",VALUE(SUBSTITUTE(INDEX(Y:Y,_xlfn.XMATCH($X154,$X$1:$X153,0,-1)),"A",""))+INDEX(Z:Z,_xlfn.XMATCH($X154,$X$1:$X153,0,-1))+1)</f>
        <v>4</v>
      </c>
      <c r="Z154" s="43">
        <f t="array" ref="Z154">SUM(IF(ISNUMBER(FIND("TmAi",$BE$1:$AAQ$1)),IF(IFERROR(ISODD(SUBSTITUTE($BE154:$AAQ154,"A","")),FALSE),IF(ISODD(SUBSTITUTE($BE154:$AAQ154,"A","")),1,0),0)))</f>
        <v>0</v>
      </c>
      <c r="AA154" t="str">
        <f t="shared" ref="AA154:AA165" si="177">CONCATENATE($Y154*2-1,"B")</f>
        <v>7B</v>
      </c>
      <c r="AB154" t="str">
        <f t="shared" ref="AB154:AB165" si="178">CONCATENATE($Y154*2,"B")</f>
        <v>8B</v>
      </c>
      <c r="AD154" s="46"/>
      <c r="AE154" s="46">
        <f t="array" ref="AE154">SUM(IF(ISNUMBER(FIND("TmDi",$BE$1:$AAQ$1)),IF(IFERROR(ISNUMBER(VALUE(SUBSTITUTE($BE154:$AAQ154,"B",""))),FALSE),IF(ISNUMBER(VALUE(SUBSTITUTE($BE154:$AAQ154,"B",""))),1,0),0)))</f>
        <v>0</v>
      </c>
      <c r="AP154" t="s">
        <v>137</v>
      </c>
      <c r="AS154" t="s">
        <v>396</v>
      </c>
      <c r="JZ154" s="27" t="str">
        <f t="shared" si="172"/>
        <v>XT55</v>
      </c>
      <c r="KC154" t="str">
        <f t="shared" si="173"/>
        <v>F0-AI19-7B</v>
      </c>
      <c r="KD154" t="str">
        <f t="shared" si="174"/>
        <v>F0-AI19-8B</v>
      </c>
      <c r="KI154">
        <f t="array" ref="KI154">IF(COUNTIFS($U$2:$U154,$U154)=1,1,INDEX(KI:KI,_xlfn.XMATCH(U154,U$1:U153,0,-1))+COUNT(KI153:KM153))</f>
        <v>303</v>
      </c>
      <c r="KJ154">
        <f t="shared" si="175"/>
        <v>304</v>
      </c>
      <c r="KK154">
        <f t="shared" si="176"/>
        <v>305</v>
      </c>
      <c r="KN154">
        <v>1</v>
      </c>
      <c r="KO154" s="16">
        <v>2</v>
      </c>
      <c r="KS154" s="16"/>
    </row>
    <row r="155" spans="1:305" ht="30" x14ac:dyDescent="0.25">
      <c r="A155" s="29" t="s">
        <v>2366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A3.19</v>
      </c>
      <c r="Y155" s="43">
        <f t="array" ref="Y155">IF(COUNTIFS($X$2:$X155,$X155)=1,"1",VALUE(SUBSTITUTE(INDEX(Y:Y,_xlfn.XMATCH($X155,$X$1:$X154,0,-1)),"A",""))+INDEX(Z:Z,_xlfn.XMATCH($X155,$X$1:$X154,0,-1))+1)</f>
        <v>5</v>
      </c>
      <c r="Z155" s="43">
        <f t="array" ref="Z155">SUM(IF(ISNUMBER(FIND("TmAi",$BE$1:$AAQ$1)),IF(IFERROR(ISODD(SUBSTITUTE($BE155:$AAQ155,"A","")),FALSE),IF(ISODD(SUBSTITUTE($BE155:$AAQ155,"A","")),1,0),0)))</f>
        <v>0</v>
      </c>
      <c r="AA155" t="str">
        <f t="shared" si="177"/>
        <v>9B</v>
      </c>
      <c r="AB155" t="str">
        <f t="shared" si="178"/>
        <v>10B</v>
      </c>
      <c r="AD155" s="46"/>
      <c r="AE155" s="46">
        <f t="array" ref="AE155">SUM(IF(ISNUMBER(FIND("TmDi",$BE$1:$AAQ$1)),IF(IFERROR(ISNUMBER(VALUE(SUBSTITUTE($BE155:$AAQ155,"B",""))),FALSE),IF(ISNUMBER(VALUE(SUBSTITUTE($BE155:$AAQ155,"B",""))),1,0),0)))</f>
        <v>0</v>
      </c>
      <c r="AP155" t="s">
        <v>137</v>
      </c>
      <c r="AS155" t="s">
        <v>396</v>
      </c>
      <c r="JZ155" s="27" t="str">
        <f t="shared" si="172"/>
        <v>XT55</v>
      </c>
      <c r="KC155" t="str">
        <f t="shared" si="173"/>
        <v>F0-AI19-9B</v>
      </c>
      <c r="KD155" t="str">
        <f t="shared" si="174"/>
        <v>F0-AI19-10B</v>
      </c>
      <c r="KI155">
        <f t="array" ref="KI155">IF(COUNTIFS($U$2:$U155,$U155)=1,1,INDEX(KI:KI,_xlfn.XMATCH(U155,U$1:U154,0,-1))+COUNT(KI154:KM154))</f>
        <v>306</v>
      </c>
      <c r="KJ155">
        <f t="shared" si="175"/>
        <v>307</v>
      </c>
      <c r="KK155">
        <f t="shared" si="176"/>
        <v>308</v>
      </c>
      <c r="KN155">
        <v>1</v>
      </c>
      <c r="KO155" s="16">
        <v>2</v>
      </c>
      <c r="KS155" s="16"/>
    </row>
    <row r="156" spans="1:305" ht="30" x14ac:dyDescent="0.25">
      <c r="A156" s="29" t="s">
        <v>2367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A3.19</v>
      </c>
      <c r="Y156" s="43">
        <f t="array" ref="Y156">IF(COUNTIFS($X$2:$X156,$X156)=1,"1",VALUE(SUBSTITUTE(INDEX(Y:Y,_xlfn.XMATCH($X156,$X$1:$X155,0,-1)),"A",""))+INDEX(Z:Z,_xlfn.XMATCH($X156,$X$1:$X155,0,-1))+1)</f>
        <v>6</v>
      </c>
      <c r="Z156" s="43">
        <f t="array" ref="Z156">SUM(IF(ISNUMBER(FIND("TmAi",$BE$1:$AAQ$1)),IF(IFERROR(ISODD(SUBSTITUTE($BE156:$AAQ156,"A","")),FALSE),IF(ISODD(SUBSTITUTE($BE156:$AAQ156,"A","")),1,0),0)))</f>
        <v>0</v>
      </c>
      <c r="AA156" t="str">
        <f t="shared" si="177"/>
        <v>11B</v>
      </c>
      <c r="AB156" t="str">
        <f t="shared" si="178"/>
        <v>12B</v>
      </c>
      <c r="AD156" s="46"/>
      <c r="AE156" s="46">
        <f t="array" ref="AE156">SUM(IF(ISNUMBER(FIND("TmDi",$BE$1:$AAQ$1)),IF(IFERROR(ISNUMBER(VALUE(SUBSTITUTE($BE156:$AAQ156,"B",""))),FALSE),IF(ISNUMBER(VALUE(SUBSTITUTE($BE156:$AAQ156,"B",""))),1,0),0)))</f>
        <v>0</v>
      </c>
      <c r="AP156" t="s">
        <v>137</v>
      </c>
      <c r="AS156" t="s">
        <v>396</v>
      </c>
      <c r="JZ156" s="27" t="str">
        <f t="shared" si="172"/>
        <v>XT55</v>
      </c>
      <c r="KC156" t="str">
        <f t="shared" si="173"/>
        <v>F0-AI19-11B</v>
      </c>
      <c r="KD156" t="str">
        <f t="shared" si="174"/>
        <v>F0-AI19-12B</v>
      </c>
      <c r="KI156">
        <f t="array" ref="KI156">IF(COUNTIFS($U$2:$U156,$U156)=1,1,INDEX(KI:KI,_xlfn.XMATCH(U156,U$1:U155,0,-1))+COUNT(KI155:KM155))</f>
        <v>309</v>
      </c>
      <c r="KJ156">
        <f t="shared" si="175"/>
        <v>310</v>
      </c>
      <c r="KK156">
        <f t="shared" si="176"/>
        <v>311</v>
      </c>
      <c r="KN156">
        <v>1</v>
      </c>
      <c r="KO156" s="16">
        <v>2</v>
      </c>
      <c r="KS156" s="16"/>
    </row>
    <row r="157" spans="1:305" ht="30" x14ac:dyDescent="0.25">
      <c r="A157" s="29" t="s">
        <v>2368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A3.19</v>
      </c>
      <c r="Y157" s="43">
        <f t="array" ref="Y157">IF(COUNTIFS($X$2:$X157,$X157)=1,"1",VALUE(SUBSTITUTE(INDEX(Y:Y,_xlfn.XMATCH($X157,$X$1:$X156,0,-1)),"A",""))+INDEX(Z:Z,_xlfn.XMATCH($X157,$X$1:$X156,0,-1))+1)</f>
        <v>7</v>
      </c>
      <c r="Z157" s="43">
        <f t="array" ref="Z157">SUM(IF(ISNUMBER(FIND("TmAi",$BE$1:$AAQ$1)),IF(IFERROR(ISODD(SUBSTITUTE($BE157:$AAQ157,"A","")),FALSE),IF(ISODD(SUBSTITUTE($BE157:$AAQ157,"A","")),1,0),0)))</f>
        <v>0</v>
      </c>
      <c r="AA157" t="str">
        <f t="shared" si="177"/>
        <v>13B</v>
      </c>
      <c r="AB157" t="str">
        <f t="shared" si="178"/>
        <v>14B</v>
      </c>
      <c r="AD157" s="46"/>
      <c r="AE157" s="46">
        <f t="array" ref="AE157">SUM(IF(ISNUMBER(FIND("TmDi",$BE$1:$AAQ$1)),IF(IFERROR(ISNUMBER(VALUE(SUBSTITUTE($BE157:$AAQ157,"B",""))),FALSE),IF(ISNUMBER(VALUE(SUBSTITUTE($BE157:$AAQ157,"B",""))),1,0),0)))</f>
        <v>0</v>
      </c>
      <c r="AP157" t="s">
        <v>137</v>
      </c>
      <c r="AS157" t="s">
        <v>396</v>
      </c>
      <c r="JZ157" s="27" t="str">
        <f t="shared" si="172"/>
        <v>XT55</v>
      </c>
      <c r="KC157" t="str">
        <f t="shared" si="173"/>
        <v>F0-AI19-13B</v>
      </c>
      <c r="KD157" t="str">
        <f t="shared" si="174"/>
        <v>F0-AI19-14B</v>
      </c>
      <c r="KI157">
        <f t="array" ref="KI157">IF(COUNTIFS($U$2:$U157,$U157)=1,1,INDEX(KI:KI,_xlfn.XMATCH(U157,U$1:U156,0,-1))+COUNT(KI156:KM156))</f>
        <v>312</v>
      </c>
      <c r="KJ157">
        <f t="shared" si="175"/>
        <v>313</v>
      </c>
      <c r="KK157">
        <f t="shared" si="176"/>
        <v>314</v>
      </c>
      <c r="KN157">
        <v>1</v>
      </c>
      <c r="KO157" s="16">
        <v>2</v>
      </c>
      <c r="KS157" s="16"/>
    </row>
    <row r="158" spans="1:305" ht="30" x14ac:dyDescent="0.25">
      <c r="A158" s="29" t="s">
        <v>2369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A3.19</v>
      </c>
      <c r="Y158" s="43">
        <f t="array" ref="Y158">IF(COUNTIFS($X$2:$X158,$X158)=1,"1",VALUE(SUBSTITUTE(INDEX(Y:Y,_xlfn.XMATCH($X158,$X$1:$X157,0,-1)),"A",""))+INDEX(Z:Z,_xlfn.XMATCH($X158,$X$1:$X157,0,-1))+1)</f>
        <v>8</v>
      </c>
      <c r="Z158" s="43">
        <f t="array" ref="Z158">SUM(IF(ISNUMBER(FIND("TmAi",$BE$1:$AAQ$1)),IF(IFERROR(ISODD(SUBSTITUTE($BE158:$AAQ158,"A","")),FALSE),IF(ISODD(SUBSTITUTE($BE158:$AAQ158,"A","")),1,0),0)))</f>
        <v>0</v>
      </c>
      <c r="AA158" t="str">
        <f t="shared" si="177"/>
        <v>15B</v>
      </c>
      <c r="AB158" t="str">
        <f t="shared" si="178"/>
        <v>16B</v>
      </c>
      <c r="AD158" s="46"/>
      <c r="AE158" s="46">
        <f t="array" ref="AE158">SUM(IF(ISNUMBER(FIND("TmDi",$BE$1:$AAQ$1)),IF(IFERROR(ISNUMBER(VALUE(SUBSTITUTE($BE158:$AAQ158,"B",""))),FALSE),IF(ISNUMBER(VALUE(SUBSTITUTE($BE158:$AAQ158,"B",""))),1,0),0)))</f>
        <v>0</v>
      </c>
      <c r="AP158" t="s">
        <v>137</v>
      </c>
      <c r="AS158" t="s">
        <v>396</v>
      </c>
      <c r="JZ158" s="27" t="str">
        <f t="shared" si="172"/>
        <v>XT55</v>
      </c>
      <c r="KC158" t="str">
        <f t="shared" si="173"/>
        <v>F0-AI19-15B</v>
      </c>
      <c r="KD158" t="str">
        <f t="shared" si="174"/>
        <v>F0-AI19-16B</v>
      </c>
      <c r="KI158">
        <f t="array" ref="KI158">IF(COUNTIFS($U$2:$U158,$U158)=1,1,INDEX(KI:KI,_xlfn.XMATCH(U158,U$1:U157,0,-1))+COUNT(KI157:KM157))</f>
        <v>315</v>
      </c>
      <c r="KJ158">
        <f t="shared" si="175"/>
        <v>316</v>
      </c>
      <c r="KK158">
        <f t="shared" si="176"/>
        <v>317</v>
      </c>
      <c r="KN158">
        <v>1</v>
      </c>
      <c r="KO158" s="16">
        <v>2</v>
      </c>
      <c r="KS158" s="16"/>
    </row>
    <row r="159" spans="1:305" ht="30" x14ac:dyDescent="0.25">
      <c r="A159" s="29" t="s">
        <v>2370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">
        <v>917</v>
      </c>
      <c r="Y159" s="43">
        <f t="array" ref="Y159">IF(COUNTIFS($X$2:$X159,$X159)=1,"1",VALUE(SUBSTITUTE(INDEX(Y:Y,_xlfn.XMATCH($X159,$X$1:$X158,0,-1)),"A",""))+INDEX(Z:Z,_xlfn.XMATCH($X159,$X$1:$X158,0,-1))+1)</f>
        <v>3</v>
      </c>
      <c r="Z159" s="43">
        <f t="array" ref="Z159">SUM(IF(ISNUMBER(FIND("TmAi",$BE$1:$AAQ$1)),IF(IFERROR(ISODD(SUBSTITUTE($BE159:$AAQ159,"A","")),FALSE),IF(ISODD(SUBSTITUTE($BE159:$AAQ159,"A","")),1,0),0)))</f>
        <v>0</v>
      </c>
      <c r="AA159" t="str">
        <f t="shared" si="177"/>
        <v>5B</v>
      </c>
      <c r="AB159" t="str">
        <f t="shared" si="178"/>
        <v>6B</v>
      </c>
      <c r="AD159" s="46"/>
      <c r="AE159" s="46">
        <f t="array" ref="AE159">SUM(IF(ISNUMBER(FIND("TmDi",$BE$1:$AAQ$1)),IF(IFERROR(ISNUMBER(VALUE(SUBSTITUTE($BE159:$AAQ159,"B",""))),FALSE),IF(ISNUMBER(VALUE(SUBSTITUTE($BE159:$AAQ159,"B",""))),1,0),0)))</f>
        <v>0</v>
      </c>
      <c r="AP159" t="s">
        <v>137</v>
      </c>
      <c r="AS159" t="s">
        <v>396</v>
      </c>
      <c r="JZ159" s="27" t="str">
        <f t="shared" si="172"/>
        <v>XT55</v>
      </c>
      <c r="KC159" t="str">
        <f t="shared" si="173"/>
        <v>F0-AI17-5B</v>
      </c>
      <c r="KD159" t="str">
        <f t="shared" si="174"/>
        <v>F0-AI17-6B</v>
      </c>
      <c r="KI159">
        <f t="array" ref="KI159">IF(COUNTIFS($U$2:$U159,$U159)=1,1,INDEX(KI:KI,_xlfn.XMATCH(U159,U$1:U158,0,-1))+COUNT(KI158:KM158))</f>
        <v>318</v>
      </c>
      <c r="KJ159">
        <f t="shared" si="175"/>
        <v>319</v>
      </c>
      <c r="KK159">
        <f t="shared" si="176"/>
        <v>320</v>
      </c>
      <c r="KN159">
        <v>1</v>
      </c>
      <c r="KO159" s="16">
        <v>2</v>
      </c>
      <c r="KS159" s="16"/>
    </row>
    <row r="160" spans="1:305" ht="30" x14ac:dyDescent="0.25">
      <c r="A160" s="29" t="s">
        <v>2371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A3.17</v>
      </c>
      <c r="Y160" s="43">
        <f t="array" ref="Y160">IF(COUNTIFS($X$2:$X160,$X160)=1,"1",VALUE(SUBSTITUTE(INDEX(Y:Y,_xlfn.XMATCH($X160,$X$1:$X159,0,-1)),"A",""))+INDEX(Z:Z,_xlfn.XMATCH($X160,$X$1:$X159,0,-1))+1)</f>
        <v>4</v>
      </c>
      <c r="Z160" s="43">
        <f t="array" ref="Z160">SUM(IF(ISNUMBER(FIND("TmAi",$BE$1:$AAQ$1)),IF(IFERROR(ISODD(SUBSTITUTE($BE160:$AAQ160,"A","")),FALSE),IF(ISODD(SUBSTITUTE($BE160:$AAQ160,"A","")),1,0),0)))</f>
        <v>0</v>
      </c>
      <c r="AA160" t="str">
        <f t="shared" si="177"/>
        <v>7B</v>
      </c>
      <c r="AB160" t="str">
        <f t="shared" si="178"/>
        <v>8B</v>
      </c>
      <c r="AD160" s="46"/>
      <c r="AE160" s="46">
        <f t="array" ref="AE160">SUM(IF(ISNUMBER(FIND("TmDi",$BE$1:$AAQ$1)),IF(IFERROR(ISNUMBER(VALUE(SUBSTITUTE($BE160:$AAQ160,"B",""))),FALSE),IF(ISNUMBER(VALUE(SUBSTITUTE($BE160:$AAQ160,"B",""))),1,0),0)))</f>
        <v>0</v>
      </c>
      <c r="AP160" t="s">
        <v>137</v>
      </c>
      <c r="AS160" t="s">
        <v>396</v>
      </c>
      <c r="JZ160" s="27" t="str">
        <f t="shared" si="172"/>
        <v>XT55</v>
      </c>
      <c r="KC160" t="str">
        <f t="shared" si="173"/>
        <v>F0-AI17-7B</v>
      </c>
      <c r="KD160" t="str">
        <f t="shared" si="174"/>
        <v>F0-AI17-8B</v>
      </c>
      <c r="KI160">
        <f t="array" ref="KI160">IF(COUNTIFS($U$2:$U160,$U160)=1,1,INDEX(KI:KI,_xlfn.XMATCH(U160,U$1:U159,0,-1))+COUNT(KI159:KM159))</f>
        <v>321</v>
      </c>
      <c r="KJ160">
        <f t="shared" si="175"/>
        <v>322</v>
      </c>
      <c r="KK160">
        <f t="shared" si="176"/>
        <v>323</v>
      </c>
      <c r="KN160">
        <v>1</v>
      </c>
      <c r="KO160" s="16">
        <v>2</v>
      </c>
      <c r="KS160" s="16"/>
    </row>
    <row r="161" spans="1:335" ht="30" x14ac:dyDescent="0.25">
      <c r="A161" s="29" t="s">
        <v>2372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A3.17</v>
      </c>
      <c r="Y161" s="45">
        <f t="array" ref="Y161">IF(COUNTIFS($X$2:$X161,$X161)=1,"1",VALUE(SUBSTITUTE(INDEX(Y:Y,_xlfn.XMATCH($X161,$X$1:$X160,0,-1)),"A",""))+INDEX(Z:Z,_xlfn.XMATCH($X161,$X$1:$X160,0,-1))+1)</f>
        <v>5</v>
      </c>
      <c r="Z161" s="43">
        <f t="array" ref="Z161">SUM(IF(ISNUMBER(FIND("TmAi",$BE$1:$AAQ$1)),IF(IFERROR(ISODD(SUBSTITUTE($BE161:$AAQ161,"A","")),FALSE),IF(ISODD(SUBSTITUTE($BE161:$AAQ161,"A","")),1,0),0)))</f>
        <v>0</v>
      </c>
      <c r="AA161" t="str">
        <f t="shared" si="177"/>
        <v>9B</v>
      </c>
      <c r="AB161" t="str">
        <f t="shared" si="178"/>
        <v>10B</v>
      </c>
      <c r="AD161" s="46"/>
      <c r="AE161" s="46">
        <f t="array" ref="AE161">SUM(IF(ISNUMBER(FIND("TmDi",$BE$1:$AAQ$1)),IF(IFERROR(ISNUMBER(VALUE(SUBSTITUTE($BE161:$AAQ161,"B",""))),FALSE),IF(ISNUMBER(VALUE(SUBSTITUTE($BE161:$AAQ161,"B",""))),1,0),0)))</f>
        <v>0</v>
      </c>
      <c r="AP161" t="s">
        <v>137</v>
      </c>
      <c r="AS161" t="s">
        <v>396</v>
      </c>
      <c r="JZ161" s="27" t="str">
        <f t="shared" si="172"/>
        <v>XT55</v>
      </c>
      <c r="KC161" t="str">
        <f t="shared" si="173"/>
        <v>F0-AI17-9B</v>
      </c>
      <c r="KD161" t="str">
        <f t="shared" si="174"/>
        <v>F0-AI17-10B</v>
      </c>
      <c r="KI161">
        <f t="array" ref="KI161">IF(COUNTIFS($U$2:$U161,$U161)=1,1,INDEX(KI:KI,_xlfn.XMATCH(U161,U$1:U160,0,-1))+COUNT(KI160:KM160))</f>
        <v>324</v>
      </c>
      <c r="KJ161">
        <f t="shared" si="175"/>
        <v>325</v>
      </c>
      <c r="KK161">
        <f t="shared" si="176"/>
        <v>326</v>
      </c>
      <c r="KN161">
        <v>1</v>
      </c>
      <c r="KO161" s="16">
        <v>2</v>
      </c>
      <c r="KS161" s="16"/>
    </row>
    <row r="162" spans="1:335" ht="30" x14ac:dyDescent="0.25">
      <c r="A162" s="29" t="s">
        <v>2373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A3.17</v>
      </c>
      <c r="Y162" s="43">
        <f t="array" ref="Y162">IF(COUNTIFS($X$2:$X162,$X162)=1,"1",VALUE(SUBSTITUTE(INDEX(Y:Y,_xlfn.XMATCH($X162,$X$1:$X161,0,-1)),"A",""))+INDEX(Z:Z,_xlfn.XMATCH($X162,$X$1:$X161,0,-1))+1)</f>
        <v>6</v>
      </c>
      <c r="Z162" s="46">
        <f t="array" ref="Z162">SUM(IF(ISNUMBER(FIND("TmAi",$BE$1:$AAQ$1)),IF(IFERROR(ISODD(SUBSTITUTE($BE162:$AAQ162,"A","")),FALSE),IF(ISODD(SUBSTITUTE($BE162:$AAQ162,"A","")),1,0),0)))</f>
        <v>0</v>
      </c>
      <c r="AA162" t="str">
        <f t="shared" si="177"/>
        <v>11B</v>
      </c>
      <c r="AB162" t="str">
        <f t="shared" si="178"/>
        <v>12B</v>
      </c>
      <c r="AD162" s="46"/>
      <c r="AE162" s="46">
        <f t="array" ref="AE162">SUM(IF(ISNUMBER(FIND("TmDi",$BE$1:$AAQ$1)),IF(IFERROR(ISNUMBER(VALUE(SUBSTITUTE($BE162:$AAQ162,"B",""))),FALSE),IF(ISNUMBER(VALUE(SUBSTITUTE($BE162:$AAQ162,"B",""))),1,0),0)))</f>
        <v>0</v>
      </c>
      <c r="AP162" t="s">
        <v>137</v>
      </c>
      <c r="AS162" t="s">
        <v>396</v>
      </c>
      <c r="JZ162" s="27" t="str">
        <f t="shared" si="172"/>
        <v>XT55</v>
      </c>
      <c r="KC162" t="str">
        <f t="shared" si="173"/>
        <v>F0-AI17-11B</v>
      </c>
      <c r="KD162" t="str">
        <f t="shared" si="174"/>
        <v>F0-AI17-12B</v>
      </c>
      <c r="KI162">
        <f t="array" ref="KI162">IF(COUNTIFS($U$2:$U162,$U162)=1,1,INDEX(KI:KI,_xlfn.XMATCH(U162,U$1:U161,0,-1))+COUNT(KI161:KM161))</f>
        <v>327</v>
      </c>
      <c r="KJ162">
        <f t="shared" si="175"/>
        <v>328</v>
      </c>
      <c r="KK162">
        <f t="shared" si="176"/>
        <v>329</v>
      </c>
      <c r="KN162">
        <v>1</v>
      </c>
      <c r="KO162" s="16">
        <v>2</v>
      </c>
      <c r="KS162" s="16"/>
    </row>
    <row r="163" spans="1:335" ht="30" x14ac:dyDescent="0.25">
      <c r="A163" s="29" t="s">
        <v>2374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A3.17</v>
      </c>
      <c r="Y163" s="43">
        <f t="array" ref="Y163">IF(COUNTIFS($X$2:$X163,$X163)=1,"1",VALUE(SUBSTITUTE(INDEX(Y:Y,_xlfn.XMATCH($X163,$X$1:$X162,0,-1)),"A",""))+INDEX(Z:Z,_xlfn.XMATCH($X163,$X$1:$X162,0,-1))+1)</f>
        <v>7</v>
      </c>
      <c r="Z163" s="46">
        <f t="array" ref="Z163">SUM(IF(ISNUMBER(FIND("TmAi",$BE$1:$AAQ$1)),IF(IFERROR(ISODD(SUBSTITUTE($BE163:$AAQ163,"A","")),FALSE),IF(ISODD(SUBSTITUTE($BE163:$AAQ163,"A","")),1,0),0)))</f>
        <v>0</v>
      </c>
      <c r="AA163" t="str">
        <f t="shared" si="177"/>
        <v>13B</v>
      </c>
      <c r="AB163" t="str">
        <f t="shared" si="178"/>
        <v>14B</v>
      </c>
      <c r="AD163" s="46"/>
      <c r="AE163" s="46">
        <f t="array" ref="AE163">SUM(IF(ISNUMBER(FIND("TmDi",$BE$1:$AAQ$1)),IF(IFERROR(ISNUMBER(VALUE(SUBSTITUTE($BE163:$AAQ163,"B",""))),FALSE),IF(ISNUMBER(VALUE(SUBSTITUTE($BE163:$AAQ163,"B",""))),1,0),0)))</f>
        <v>0</v>
      </c>
      <c r="AP163" t="s">
        <v>137</v>
      </c>
      <c r="AS163" t="s">
        <v>396</v>
      </c>
      <c r="JZ163" s="27" t="str">
        <f t="shared" si="172"/>
        <v>XT55</v>
      </c>
      <c r="KC163" t="str">
        <f t="shared" si="173"/>
        <v>F0-AI17-13B</v>
      </c>
      <c r="KD163" t="str">
        <f t="shared" si="174"/>
        <v>F0-AI17-14B</v>
      </c>
      <c r="KI163">
        <f t="array" ref="KI163">IF(COUNTIFS($U$2:$U163,$U163)=1,1,INDEX(KI:KI,_xlfn.XMATCH(U163,U$1:U162,0,-1))+COUNT(KI162:KM162))</f>
        <v>330</v>
      </c>
      <c r="KJ163">
        <f t="shared" si="175"/>
        <v>331</v>
      </c>
      <c r="KK163">
        <f t="shared" si="176"/>
        <v>332</v>
      </c>
      <c r="KN163">
        <v>1</v>
      </c>
      <c r="KO163" s="16">
        <v>2</v>
      </c>
      <c r="KS163" s="16"/>
    </row>
    <row r="164" spans="1:335" ht="30" x14ac:dyDescent="0.25">
      <c r="A164" s="29" t="s">
        <v>2375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A3.17</v>
      </c>
      <c r="Y164" s="43">
        <f t="array" ref="Y164">IF(COUNTIFS($X$2:$X164,$X164)=1,"1",VALUE(SUBSTITUTE(INDEX(Y:Y,_xlfn.XMATCH($X164,$X$1:$X163,0,-1)),"A",""))+INDEX(Z:Z,_xlfn.XMATCH($X164,$X$1:$X163,0,-1))+1)</f>
        <v>8</v>
      </c>
      <c r="Z164" s="46">
        <f t="array" ref="Z164">SUM(IF(ISNUMBER(FIND("TmAi",$BE$1:$AAQ$1)),IF(IFERROR(ISODD(SUBSTITUTE($BE164:$AAQ164,"A","")),FALSE),IF(ISODD(SUBSTITUTE($BE164:$AAQ164,"A","")),1,0),0)))</f>
        <v>0</v>
      </c>
      <c r="AA164" t="str">
        <f t="shared" si="177"/>
        <v>15B</v>
      </c>
      <c r="AB164" t="str">
        <f t="shared" si="178"/>
        <v>16B</v>
      </c>
      <c r="AD164" s="46"/>
      <c r="AE164" s="46">
        <f t="array" ref="AE164">SUM(IF(ISNUMBER(FIND("TmDi",$BE$1:$AAQ$1)),IF(IFERROR(ISNUMBER(VALUE(SUBSTITUTE($BE164:$AAQ164,"B",""))),FALSE),IF(ISNUMBER(VALUE(SUBSTITUTE($BE164:$AAQ164,"B",""))),1,0),0)))</f>
        <v>0</v>
      </c>
      <c r="AP164" t="s">
        <v>137</v>
      </c>
      <c r="AS164" t="s">
        <v>396</v>
      </c>
      <c r="JZ164" s="27" t="str">
        <f t="shared" si="172"/>
        <v>XT55</v>
      </c>
      <c r="KC164" t="str">
        <f t="shared" si="173"/>
        <v>F0-AI17-15B</v>
      </c>
      <c r="KD164" t="str">
        <f t="shared" si="174"/>
        <v>F0-AI17-16B</v>
      </c>
      <c r="KI164">
        <f t="array" ref="KI164">IF(COUNTIFS($U$2:$U164,$U164)=1,1,INDEX(KI:KI,_xlfn.XMATCH(U164,U$1:U163,0,-1))+COUNT(KI163:KM163))</f>
        <v>333</v>
      </c>
      <c r="KJ164">
        <f t="shared" si="175"/>
        <v>334</v>
      </c>
      <c r="KK164">
        <f t="shared" si="176"/>
        <v>335</v>
      </c>
      <c r="KN164">
        <v>1</v>
      </c>
      <c r="KO164" s="16">
        <v>2</v>
      </c>
      <c r="KS164" s="16"/>
    </row>
    <row r="165" spans="1:335" ht="30" x14ac:dyDescent="0.25">
      <c r="A165" s="29" t="s">
        <v>2376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">
        <v>1148</v>
      </c>
      <c r="Y165" s="45" t="str">
        <f t="array" ref="Y165">IF(COUNTIFS($X$2:$X165,$X165)=1,"1",VALUE(SUBSTITUTE(INDEX(Y:Y,_xlfn.XMATCH($X165,$X$1:$X164,0,-1)),"A",""))+INDEX(Z:Z,_xlfn.XMATCH($X165,$X$1:$X164,0,-1))+1)</f>
        <v>1</v>
      </c>
      <c r="Z165" s="46">
        <f t="array" ref="Z165">SUM(IF(ISNUMBER(FIND("TmAi",$BE$1:$AAQ$1)),IF(IFERROR(ISODD(SUBSTITUTE($BE165:$AAQ165,"A","")),FALSE),IF(ISODD(SUBSTITUTE($BE165:$AAQ165,"A","")),1,0),0)))</f>
        <v>0</v>
      </c>
      <c r="AA165" t="str">
        <f t="shared" si="177"/>
        <v>1B</v>
      </c>
      <c r="AB165" t="str">
        <f t="shared" si="178"/>
        <v>2B</v>
      </c>
      <c r="AD165" s="46"/>
      <c r="AE165" s="46">
        <f t="array" ref="AE165">SUM(IF(ISNUMBER(FIND("TmDi",$BE$1:$AAQ$1)),IF(IFERROR(ISNUMBER(VALUE(SUBSTITUTE($BE165:$AAQ165,"B",""))),FALSE),IF(ISNUMBER(VALUE(SUBSTITUTE($BE165:$AAQ165,"B",""))),1,0),0)))</f>
        <v>0</v>
      </c>
      <c r="AP165" t="s">
        <v>137</v>
      </c>
      <c r="AS165" t="s">
        <v>396</v>
      </c>
      <c r="JZ165" s="27" t="str">
        <f t="shared" si="172"/>
        <v>XT55</v>
      </c>
      <c r="KC165" t="str">
        <f t="shared" si="173"/>
        <v>F0-AI20-1B</v>
      </c>
      <c r="KD165" t="str">
        <f t="shared" si="174"/>
        <v>F0-AI20-2B</v>
      </c>
      <c r="KI165">
        <f t="array" ref="KI165">IF(COUNTIFS($U$2:$U165,$U165)=1,1,INDEX(KI:KI,_xlfn.XMATCH(U165,U$1:U164,0,-1))+COUNT(KI164:KM164))</f>
        <v>336</v>
      </c>
      <c r="KJ165">
        <f t="shared" si="175"/>
        <v>337</v>
      </c>
      <c r="KK165">
        <f t="shared" si="176"/>
        <v>338</v>
      </c>
      <c r="KN165">
        <v>1</v>
      </c>
      <c r="KO165" s="16">
        <v>2</v>
      </c>
      <c r="KS165" s="16"/>
    </row>
    <row r="166" spans="1:335" ht="30" x14ac:dyDescent="0.25">
      <c r="A166" s="29" t="s">
        <v>2377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1362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SUM(IF(ISNUMBER(FIND("TmAi",$BE$1:$AAQ$1)),IF(IFERROR(ISODD(SUBSTITUTE($BE166:$AAQ166,"A","")),FALSE),IF(ISODD(SUBSTITUTE($BE166:$AAQ166,"A","")),1,0),0)))</f>
        <v>0</v>
      </c>
      <c r="AA166" t="str">
        <f t="shared" ref="AA166:AA180" si="179">CONCATENATE($Y166*2-1,"A")</f>
        <v>5A</v>
      </c>
      <c r="AB166" t="str">
        <f t="shared" ref="AB166:AB180" si="180">CONCATENATE($Y166*2-1,"B")</f>
        <v>5B</v>
      </c>
      <c r="AD166" s="46"/>
      <c r="AE166" s="46">
        <f t="array" ref="AE166">SUM(IF(ISNUMBER(FIND("TmDi",$BE$1:$AAQ$1)),IF(IFERROR(ISNUMBER(VALUE(SUBSTITUTE($BE166:$AAQ166,"B",""))),FALSE),IF(ISNUMBER(VALUE(SUBSTITUTE($BE166:$AAQ166,"B",""))),1,0),0)))</f>
        <v>0</v>
      </c>
      <c r="AP166" t="s">
        <v>137</v>
      </c>
      <c r="AS166" t="s">
        <v>396</v>
      </c>
      <c r="JZ166" s="27" t="str">
        <f t="shared" si="172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73"/>
        <v>F0-AI38-5A</v>
      </c>
      <c r="KD166" t="str">
        <f t="shared" si="174"/>
        <v>F0-AI38-5B</v>
      </c>
      <c r="KE166" t="str">
        <f t="shared" ref="KE166:KF168" si="181">CONCATENATE($T166,"-AI",REPLACE($X166,1,3,""),"-",KA166)</f>
        <v>F0-AI38-6A</v>
      </c>
      <c r="KF166" t="str">
        <f t="shared" si="181"/>
        <v>F0-AI38-6B</v>
      </c>
      <c r="KI166">
        <f t="array" ref="KI166">IF(COUNTIFS($U$2:$U166,$U166)=1,1,INDEX(KI:KI,_xlfn.XMATCH(U166,U$1:U165,0,-1))+COUNT(KI165:KM165))</f>
        <v>339</v>
      </c>
      <c r="KJ166">
        <f t="shared" si="175"/>
        <v>340</v>
      </c>
      <c r="KK166">
        <f t="shared" si="176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5" ht="30" x14ac:dyDescent="0.25">
      <c r="A167" s="29" t="s">
        <v>2378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A3.38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SUM(IF(ISNUMBER(FIND("TmAi",$BE$1:$AAQ$1)),IF(IFERROR(ISODD(SUBSTITUTE($BE167:$AAQ167,"A","")),FALSE),IF(ISODD(SUBSTITUTE($BE167:$AAQ167,"A","")),1,0),0)))</f>
        <v>0</v>
      </c>
      <c r="AA167" t="str">
        <f t="shared" si="179"/>
        <v>7A</v>
      </c>
      <c r="AB167" t="str">
        <f t="shared" si="180"/>
        <v>7B</v>
      </c>
      <c r="AD167" s="46"/>
      <c r="AE167" s="46">
        <f t="array" ref="AE167">SUM(IF(ISNUMBER(FIND("TmDi",$BE$1:$AAQ$1)),IF(IFERROR(ISNUMBER(VALUE(SUBSTITUTE($BE167:$AAQ167,"B",""))),FALSE),IF(ISNUMBER(VALUE(SUBSTITUTE($BE167:$AAQ167,"B",""))),1,0),0)))</f>
        <v>0</v>
      </c>
      <c r="AP167" t="s">
        <v>137</v>
      </c>
      <c r="AS167" t="s">
        <v>396</v>
      </c>
      <c r="JZ167" s="27" t="str">
        <f t="shared" si="172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73"/>
        <v>F0-AI38-7A</v>
      </c>
      <c r="KD167" t="str">
        <f t="shared" si="174"/>
        <v>F0-AI38-7B</v>
      </c>
      <c r="KE167" t="str">
        <f t="shared" si="181"/>
        <v>F0-AI38-8A</v>
      </c>
      <c r="KF167" t="str">
        <f t="shared" si="181"/>
        <v>F0-AI38-8B</v>
      </c>
      <c r="KI167">
        <f t="array" ref="KI167">IF(COUNTIFS($U$2:$U167,$U167)=1,1,INDEX(KI:KI,_xlfn.XMATCH(U167,U$1:U166,0,-1))+COUNT(KI166:KM166))</f>
        <v>343</v>
      </c>
      <c r="KJ167">
        <f t="shared" si="175"/>
        <v>344</v>
      </c>
      <c r="KK167">
        <f t="shared" si="176"/>
        <v>345</v>
      </c>
      <c r="KL167">
        <f>KK167+1</f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5" ht="30.75" thickBot="1" x14ac:dyDescent="0.3">
      <c r="A168" s="29" t="s">
        <v>2379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A3.38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SUM(IF(ISNUMBER(FIND("TmAi",$BE$1:$AAQ$1)),IF(IFERROR(ISODD(SUBSTITUTE($BE168:$AAQ168,"A","")),FALSE),IF(ISODD(SUBSTITUTE($BE168:$AAQ168,"A","")),1,0),0)))</f>
        <v>0</v>
      </c>
      <c r="AA168" t="str">
        <f t="shared" si="179"/>
        <v>9A</v>
      </c>
      <c r="AB168" t="str">
        <f t="shared" si="180"/>
        <v>9B</v>
      </c>
      <c r="AD168" s="46"/>
      <c r="AE168" s="46">
        <f t="array" ref="AE168">SUM(IF(ISNUMBER(FIND("TmDi",$BE$1:$AAQ$1)),IF(IFERROR(ISNUMBER(VALUE(SUBSTITUTE($BE168:$AAQ168,"B",""))),FALSE),IF(ISNUMBER(VALUE(SUBSTITUTE($BE168:$AAQ168,"B",""))),1,0),0)))</f>
        <v>0</v>
      </c>
      <c r="AP168" t="s">
        <v>137</v>
      </c>
      <c r="AS168" t="s">
        <v>396</v>
      </c>
      <c r="JZ168" s="28" t="str">
        <f t="shared" si="172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73"/>
        <v>F0-AI38-9A</v>
      </c>
      <c r="KD168" s="19" t="str">
        <f t="shared" si="174"/>
        <v>F0-AI38-9B</v>
      </c>
      <c r="KE168" s="19" t="str">
        <f t="shared" si="181"/>
        <v>F0-AI38-10A</v>
      </c>
      <c r="KF168" s="19" t="str">
        <f t="shared" si="181"/>
        <v>F0-AI38-10B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75"/>
        <v>348</v>
      </c>
      <c r="KK168" s="19">
        <f t="shared" si="176"/>
        <v>349</v>
      </c>
      <c r="KL168" s="19">
        <f>KK168+1</f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5" ht="30.75" thickBot="1" x14ac:dyDescent="0.3">
      <c r="A169" s="29" t="s">
        <v>2380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s="46" t="str">
        <f t="array" ref="AD169">IF(COUNTIFS(AC$2:AC169,AC169)=1,"1",VALUE(SUBSTITUTE(INDEX(AD:AD,_xlfn.XMATCH(AC169,AC$1:AC168,0,-1)),"A",""))+INDEX(AE:AE,_xlfn.XMATCH(AC169,AC$1:AC168,0,-1))+1)</f>
        <v>1</v>
      </c>
      <c r="AE169" s="46">
        <f t="array" ref="AE169">SUM(IF(ISNUMBER(FIND("TmDi",$BE$1:$AAQ$1)),IF(IFERROR(ISNUMBER(VALUE(SUBSTITUTE($BE169:$AAQ169,"B",""))),FALSE),IF(ISNUMBER(VALUE(SUBSTITUTE($BE169:$AAQ169,"B",""))),1,0),0)))</f>
        <v>0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tr">
        <f>CONCATENATE("DI",REPLACE($AC169,1,3,""),"-",$AG169)</f>
        <v>DI12-B1</v>
      </c>
      <c r="KW169" s="12" t="s">
        <v>865</v>
      </c>
      <c r="KX169" s="12" t="str">
        <f>CONCATENATE("K",$U169,"-01")</f>
        <v>K56-01</v>
      </c>
      <c r="KY169" s="12">
        <v>11</v>
      </c>
      <c r="KZ169" s="12">
        <v>14</v>
      </c>
      <c r="LA169" s="12" t="s">
        <v>142</v>
      </c>
      <c r="LB169" s="12" t="s">
        <v>143</v>
      </c>
      <c r="LC169" s="12" t="s">
        <v>488</v>
      </c>
      <c r="LD169" s="12" t="s">
        <v>487</v>
      </c>
      <c r="LE169" s="12" t="s">
        <v>414</v>
      </c>
      <c r="LF169" s="12" t="s">
        <v>413</v>
      </c>
      <c r="LG169" s="12">
        <f t="array" ref="LG169">IF(COUNTIFS($U$2:$U169,$U169)=1,1,INDEX(LG:LG,_xlfn.XMATCH(AW169,AW$1:AW168,0,-1))+COUNT(LG168:LK168))</f>
        <v>1</v>
      </c>
      <c r="LH169" s="12">
        <f>LG169+1</f>
        <v>2</v>
      </c>
      <c r="LI169" s="12">
        <f>LH169+1</f>
        <v>3</v>
      </c>
      <c r="LJ169" s="12" t="s">
        <v>547</v>
      </c>
      <c r="LK169" s="12" t="s">
        <v>548</v>
      </c>
      <c r="LL169" s="12">
        <v>1</v>
      </c>
      <c r="LM169" s="12">
        <v>2</v>
      </c>
      <c r="LN169" s="13">
        <v>3</v>
      </c>
    </row>
    <row r="170" spans="1:335" ht="30" x14ac:dyDescent="0.25">
      <c r="A170" s="29" t="s">
        <v>2381</v>
      </c>
      <c r="B170" t="s">
        <v>867</v>
      </c>
      <c r="P170" t="s">
        <v>869</v>
      </c>
      <c r="T170" s="14" t="s">
        <v>554</v>
      </c>
      <c r="U170">
        <v>57</v>
      </c>
      <c r="V170" t="s">
        <v>2078</v>
      </c>
      <c r="X170" t="s">
        <v>1148</v>
      </c>
      <c r="Y170" s="43">
        <f t="array" ref="Y170">IF(COUNTIFS($X$2:$X170,$X170)=1,"1",VALUE(SUBSTITUTE(INDEX(Y:Y,_xlfn.XMATCH($X170,$X$1:$X169,0,-1)),"A",""))+INDEX(Z:Z,_xlfn.XMATCH($X170,$X$1:$X169,0,-1))+1)</f>
        <v>2</v>
      </c>
      <c r="Z170" s="46">
        <f t="array" ref="Z170">SUM(IF(ISNUMBER(FIND("TmAi",$BE$1:$AAQ$1)),IF(IFERROR(ISODD(SUBSTITUTE($BE170:$AAQ170,"A","")),FALSE),IF(ISODD(SUBSTITUTE($BE170:$AAQ170,"A","")),1,0),0)))</f>
        <v>0</v>
      </c>
      <c r="AA170" t="str">
        <f t="shared" si="179"/>
        <v>3A</v>
      </c>
      <c r="AB170" t="str">
        <f t="shared" si="180"/>
        <v>3B</v>
      </c>
      <c r="AD170" s="46"/>
      <c r="AE170" s="46">
        <f t="array" ref="AE170">SUM(IF(ISNUMBER(FIND("TmDi",$BE$1:$AAQ$1)),IF(IFERROR(ISNUMBER(VALUE(SUBSTITUTE($BE170:$AAQ170,"B",""))),FALSE),IF(ISNUMBER(VALUE(SUBSTITUTE($BE170:$AAQ170,"B",""))),1,0),0)))</f>
        <v>0</v>
      </c>
      <c r="AP170" t="s">
        <v>137</v>
      </c>
      <c r="AQ170" t="s">
        <v>873</v>
      </c>
      <c r="AS170" t="s">
        <v>396</v>
      </c>
      <c r="KS170" s="16"/>
      <c r="LO170" s="25" t="str">
        <f t="shared" ref="LO170:LO176" si="182">CONCATENATE("XT",U170)</f>
        <v>XT57</v>
      </c>
      <c r="LP170" s="12" t="str">
        <f t="shared" ref="LP170:LP176" si="183">CONCATENATE(T170,"-AI",REPLACE($X170,1,3,""),"-",AA170)</f>
        <v>F0-AI20-3A</v>
      </c>
      <c r="LQ170" s="12" t="str">
        <f t="shared" ref="LQ170:LQ176" si="184">CONCATENATE(T170,"-AI",REPLACE($X170,1,3,""),"-",AB170)</f>
        <v>F0-AI20-3B</v>
      </c>
      <c r="LR170" s="12">
        <v>1</v>
      </c>
      <c r="LS170" s="12">
        <f>LR170+1</f>
        <v>2</v>
      </c>
      <c r="LT170" s="12">
        <f>LS170+1</f>
        <v>3</v>
      </c>
      <c r="LU170" s="12" t="s">
        <v>870</v>
      </c>
      <c r="LV170" s="12" t="s">
        <v>871</v>
      </c>
      <c r="LW170" s="13" t="s">
        <v>872</v>
      </c>
    </row>
    <row r="171" spans="1:335" ht="30" x14ac:dyDescent="0.25">
      <c r="A171" s="29" t="s">
        <v>2382</v>
      </c>
      <c r="B171" t="s">
        <v>878</v>
      </c>
      <c r="P171" t="s">
        <v>869</v>
      </c>
      <c r="T171" s="14" t="s">
        <v>554</v>
      </c>
      <c r="U171">
        <v>57</v>
      </c>
      <c r="V171" t="s">
        <v>2079</v>
      </c>
      <c r="X171" t="str">
        <f>IF(COUNTIF(X$1:X170,X170)&gt;7,REPLACE(X170,LEN(X170),1,VALUE(RIGHT(X170,1))+1),X170)</f>
        <v>A3.20</v>
      </c>
      <c r="Y171" s="43">
        <f t="array" ref="Y171">IF(COUNTIFS($X$2:$X171,$X171)=1,"1",VALUE(SUBSTITUTE(INDEX(Y:Y,_xlfn.XMATCH($X171,$X$1:$X170,0,-1)),"A",""))+INDEX(Z:Z,_xlfn.XMATCH($X171,$X$1:$X170,0,-1))+1)</f>
        <v>3</v>
      </c>
      <c r="Z171" s="46">
        <f t="array" ref="Z171">SUM(IF(ISNUMBER(FIND("TmAi",$BE$1:$AAQ$1)),IF(IFERROR(ISODD(SUBSTITUTE($BE171:$AAQ171,"A","")),FALSE),IF(ISODD(SUBSTITUTE($BE171:$AAQ171,"A","")),1,0),0)))</f>
        <v>0</v>
      </c>
      <c r="AA171" t="str">
        <f t="shared" si="179"/>
        <v>5A</v>
      </c>
      <c r="AB171" t="str">
        <f t="shared" si="180"/>
        <v>5B</v>
      </c>
      <c r="AD171" s="46"/>
      <c r="AE171" s="46">
        <f t="array" ref="AE171">SUM(IF(ISNUMBER(FIND("TmDi",$BE$1:$AAQ$1)),IF(IFERROR(ISNUMBER(VALUE(SUBSTITUTE($BE171:$AAQ171,"B",""))),FALSE),IF(ISNUMBER(VALUE(SUBSTITUTE($BE171:$AAQ171,"B",""))),1,0),0)))</f>
        <v>0</v>
      </c>
      <c r="AP171" t="s">
        <v>137</v>
      </c>
      <c r="AQ171" t="s">
        <v>873</v>
      </c>
      <c r="AS171" t="s">
        <v>396</v>
      </c>
      <c r="LO171" s="27" t="str">
        <f t="shared" si="182"/>
        <v>XT57</v>
      </c>
      <c r="LP171" t="str">
        <f t="shared" si="183"/>
        <v>F0-AI20-5A</v>
      </c>
      <c r="LQ171" t="str">
        <f t="shared" si="184"/>
        <v>F0-AI20-5B</v>
      </c>
      <c r="LR171">
        <f t="shared" ref="LR171:LR176" si="185">LR170+3</f>
        <v>4</v>
      </c>
      <c r="LS171">
        <f t="shared" ref="LS171:LS176" si="186">LR171+1</f>
        <v>5</v>
      </c>
      <c r="LT171">
        <f t="shared" ref="LT171:LT176" si="187">LS171+1</f>
        <v>6</v>
      </c>
      <c r="LU171" t="s">
        <v>892</v>
      </c>
      <c r="LV171" t="s">
        <v>871</v>
      </c>
      <c r="LW171" s="16" t="s">
        <v>872</v>
      </c>
    </row>
    <row r="172" spans="1:335" ht="30" x14ac:dyDescent="0.25">
      <c r="A172" s="29" t="s">
        <v>2383</v>
      </c>
      <c r="B172" t="s">
        <v>880</v>
      </c>
      <c r="P172" t="s">
        <v>869</v>
      </c>
      <c r="T172" s="14" t="s">
        <v>554</v>
      </c>
      <c r="U172">
        <v>57</v>
      </c>
      <c r="V172" t="s">
        <v>2080</v>
      </c>
      <c r="X172" t="str">
        <f>IF(COUNTIF(X$1:X171,X171)&gt;7,REPLACE(X171,LEN(X171),1,VALUE(RIGHT(X171,1))+1),X171)</f>
        <v>A3.20</v>
      </c>
      <c r="Y172" s="43">
        <f t="array" ref="Y172">IF(COUNTIFS($X$2:$X172,$X172)=1,"1",VALUE(SUBSTITUTE(INDEX(Y:Y,_xlfn.XMATCH($X172,$X$1:$X171,0,-1)),"A",""))+INDEX(Z:Z,_xlfn.XMATCH($X172,$X$1:$X171,0,-1))+1)</f>
        <v>4</v>
      </c>
      <c r="Z172" s="46">
        <f t="array" ref="Z172">SUM(IF(ISNUMBER(FIND("TmAi",$BE$1:$AAQ$1)),IF(IFERROR(ISODD(SUBSTITUTE($BE172:$AAQ172,"A","")),FALSE),IF(ISODD(SUBSTITUTE($BE172:$AAQ172,"A","")),1,0),0)))</f>
        <v>0</v>
      </c>
      <c r="AA172" t="str">
        <f t="shared" si="179"/>
        <v>7A</v>
      </c>
      <c r="AB172" t="str">
        <f t="shared" si="180"/>
        <v>7B</v>
      </c>
      <c r="AD172" s="46"/>
      <c r="AE172" s="46">
        <f t="array" ref="AE172">SUM(IF(ISNUMBER(FIND("TmDi",$BE$1:$AAQ$1)),IF(IFERROR(ISNUMBER(VALUE(SUBSTITUTE($BE172:$AAQ172,"B",""))),FALSE),IF(ISNUMBER(VALUE(SUBSTITUTE($BE172:$AAQ172,"B",""))),1,0),0)))</f>
        <v>0</v>
      </c>
      <c r="AP172" t="s">
        <v>137</v>
      </c>
      <c r="AQ172" t="s">
        <v>873</v>
      </c>
      <c r="AS172" t="s">
        <v>396</v>
      </c>
      <c r="LO172" s="27" t="str">
        <f t="shared" si="182"/>
        <v>XT57</v>
      </c>
      <c r="LP172" t="str">
        <f t="shared" si="183"/>
        <v>F0-AI20-7A</v>
      </c>
      <c r="LQ172" t="str">
        <f t="shared" si="184"/>
        <v>F0-AI20-7B</v>
      </c>
      <c r="LR172">
        <f t="shared" si="185"/>
        <v>7</v>
      </c>
      <c r="LS172">
        <f t="shared" si="186"/>
        <v>8</v>
      </c>
      <c r="LT172">
        <f t="shared" si="187"/>
        <v>9</v>
      </c>
      <c r="LU172" t="s">
        <v>893</v>
      </c>
      <c r="LV172" t="s">
        <v>871</v>
      </c>
      <c r="LW172" s="16" t="s">
        <v>872</v>
      </c>
    </row>
    <row r="173" spans="1:335" ht="30" x14ac:dyDescent="0.25">
      <c r="A173" s="29" t="s">
        <v>2384</v>
      </c>
      <c r="B173" t="s">
        <v>882</v>
      </c>
      <c r="P173" t="s">
        <v>869</v>
      </c>
      <c r="T173" s="14" t="s">
        <v>554</v>
      </c>
      <c r="U173">
        <v>57</v>
      </c>
      <c r="V173" t="s">
        <v>2081</v>
      </c>
      <c r="X173" s="33" t="str">
        <f>IF(COUNTIF(X$1:X172,X172)&gt;7,REPLACE(X172,LEN(X172),1,VALUE(RIGHT(X172,1))+1),X172)</f>
        <v>A3.20</v>
      </c>
      <c r="Y173" s="45">
        <f t="array" ref="Y173">IF(COUNTIFS($X$2:$X173,$X173)=1,"1",VALUE(SUBSTITUTE(INDEX(Y:Y,_xlfn.XMATCH($X173,$X$1:$X172,0,-1)),"A",""))+INDEX(Z:Z,_xlfn.XMATCH($X173,$X$1:$X172,0,-1))+1)</f>
        <v>5</v>
      </c>
      <c r="Z173" s="46">
        <f t="array" ref="Z173">SUM(IF(ISNUMBER(FIND("TmAi",$BE$1:$AAQ$1)),IF(IFERROR(ISODD(SUBSTITUTE($BE173:$AAQ173,"A","")),FALSE),IF(ISODD(SUBSTITUTE($BE173:$AAQ173,"A","")),1,0),0)))</f>
        <v>0</v>
      </c>
      <c r="AA173" t="str">
        <f t="shared" si="179"/>
        <v>9A</v>
      </c>
      <c r="AB173" t="str">
        <f t="shared" si="180"/>
        <v>9B</v>
      </c>
      <c r="AD173" s="46"/>
      <c r="AE173" s="46">
        <f t="array" ref="AE173">SUM(IF(ISNUMBER(FIND("TmDi",$BE$1:$AAQ$1)),IF(IFERROR(ISNUMBER(VALUE(SUBSTITUTE($BE173:$AAQ173,"B",""))),FALSE),IF(ISNUMBER(VALUE(SUBSTITUTE($BE173:$AAQ173,"B",""))),1,0),0)))</f>
        <v>0</v>
      </c>
      <c r="AP173" t="s">
        <v>137</v>
      </c>
      <c r="AQ173" t="s">
        <v>873</v>
      </c>
      <c r="AS173" t="s">
        <v>396</v>
      </c>
      <c r="LO173" s="27" t="str">
        <f t="shared" si="182"/>
        <v>XT57</v>
      </c>
      <c r="LP173" t="str">
        <f t="shared" si="183"/>
        <v>F0-AI20-9A</v>
      </c>
      <c r="LQ173" t="str">
        <f t="shared" si="184"/>
        <v>F0-AI20-9B</v>
      </c>
      <c r="LR173">
        <f t="shared" si="185"/>
        <v>10</v>
      </c>
      <c r="LS173">
        <f t="shared" si="186"/>
        <v>11</v>
      </c>
      <c r="LT173">
        <f t="shared" si="187"/>
        <v>12</v>
      </c>
      <c r="LU173" t="s">
        <v>894</v>
      </c>
      <c r="LV173" t="s">
        <v>871</v>
      </c>
      <c r="LW173" s="16" t="s">
        <v>872</v>
      </c>
    </row>
    <row r="174" spans="1:335" ht="30" x14ac:dyDescent="0.25">
      <c r="A174" s="29" t="s">
        <v>2385</v>
      </c>
      <c r="B174" t="s">
        <v>884</v>
      </c>
      <c r="P174" t="s">
        <v>869</v>
      </c>
      <c r="T174" s="14" t="s">
        <v>554</v>
      </c>
      <c r="U174">
        <v>57</v>
      </c>
      <c r="V174" t="s">
        <v>2082</v>
      </c>
      <c r="X174" t="str">
        <f>IF(COUNTIF(X$1:X173,X173)&gt;7,REPLACE(X173,LEN(X173),1,VALUE(RIGHT(X173,1))+1),X173)</f>
        <v>A3.20</v>
      </c>
      <c r="Y174" s="43">
        <f t="array" ref="Y174">IF(COUNTIFS($X$2:$X174,$X174)=1,"1",VALUE(SUBSTITUTE(INDEX(Y:Y,_xlfn.XMATCH($X174,$X$1:$X173,0,-1)),"A",""))+INDEX(Z:Z,_xlfn.XMATCH($X174,$X$1:$X173,0,-1))+1)</f>
        <v>6</v>
      </c>
      <c r="Z174" s="46">
        <f t="array" ref="Z174">SUM(IF(ISNUMBER(FIND("TmAi",$BE$1:$AAQ$1)),IF(IFERROR(ISODD(SUBSTITUTE($BE174:$AAQ174,"A","")),FALSE),IF(ISODD(SUBSTITUTE($BE174:$AAQ174,"A","")),1,0),0)))</f>
        <v>0</v>
      </c>
      <c r="AA174" t="str">
        <f t="shared" si="179"/>
        <v>11A</v>
      </c>
      <c r="AB174" t="str">
        <f t="shared" si="180"/>
        <v>11B</v>
      </c>
      <c r="AD174" s="46"/>
      <c r="AE174" s="46">
        <f t="array" ref="AE174">SUM(IF(ISNUMBER(FIND("TmDi",$BE$1:$AAQ$1)),IF(IFERROR(ISNUMBER(VALUE(SUBSTITUTE($BE174:$AAQ174,"B",""))),FALSE),IF(ISNUMBER(VALUE(SUBSTITUTE($BE174:$AAQ174,"B",""))),1,0),0)))</f>
        <v>0</v>
      </c>
      <c r="AP174" t="s">
        <v>137</v>
      </c>
      <c r="AQ174" t="s">
        <v>873</v>
      </c>
      <c r="AS174" t="s">
        <v>396</v>
      </c>
      <c r="LO174" s="27" t="str">
        <f t="shared" si="182"/>
        <v>XT57</v>
      </c>
      <c r="LP174" t="str">
        <f t="shared" si="183"/>
        <v>F0-AI20-11A</v>
      </c>
      <c r="LQ174" t="str">
        <f t="shared" si="184"/>
        <v>F0-AI20-11B</v>
      </c>
      <c r="LR174">
        <f t="shared" si="185"/>
        <v>13</v>
      </c>
      <c r="LS174">
        <f t="shared" si="186"/>
        <v>14</v>
      </c>
      <c r="LT174">
        <f t="shared" si="187"/>
        <v>15</v>
      </c>
      <c r="LU174" t="s">
        <v>895</v>
      </c>
      <c r="LV174" t="s">
        <v>871</v>
      </c>
      <c r="LW174" s="16" t="s">
        <v>872</v>
      </c>
    </row>
    <row r="175" spans="1:335" ht="30" x14ac:dyDescent="0.25">
      <c r="A175" s="29" t="s">
        <v>2386</v>
      </c>
      <c r="B175" t="s">
        <v>888</v>
      </c>
      <c r="P175" t="s">
        <v>869</v>
      </c>
      <c r="T175" s="14" t="s">
        <v>554</v>
      </c>
      <c r="U175">
        <v>57</v>
      </c>
      <c r="V175" t="s">
        <v>2083</v>
      </c>
      <c r="X175" t="str">
        <f>IF(COUNTIF(X$1:X174,X174)&gt;7,REPLACE(X174,LEN(X174),1,VALUE(RIGHT(X174,1))+1),X174)</f>
        <v>A3.20</v>
      </c>
      <c r="Y175" s="43">
        <f t="array" ref="Y175">IF(COUNTIFS($X$2:$X175,$X175)=1,"1",VALUE(SUBSTITUTE(INDEX(Y:Y,_xlfn.XMATCH($X175,$X$1:$X174,0,-1)),"A",""))+INDEX(Z:Z,_xlfn.XMATCH($X175,$X$1:$X174,0,-1))+1)</f>
        <v>7</v>
      </c>
      <c r="Z175" s="46">
        <f t="array" ref="Z175">SUM(IF(ISNUMBER(FIND("TmAi",$BE$1:$AAQ$1)),IF(IFERROR(ISODD(SUBSTITUTE($BE175:$AAQ175,"A","")),FALSE),IF(ISODD(SUBSTITUTE($BE175:$AAQ175,"A","")),1,0),0)))</f>
        <v>0</v>
      </c>
      <c r="AA175" t="str">
        <f t="shared" si="179"/>
        <v>13A</v>
      </c>
      <c r="AB175" t="str">
        <f t="shared" si="180"/>
        <v>13B</v>
      </c>
      <c r="AD175" s="46"/>
      <c r="AE175" s="46">
        <f t="array" ref="AE175">SUM(IF(ISNUMBER(FIND("TmDi",$BE$1:$AAQ$1)),IF(IFERROR(ISNUMBER(VALUE(SUBSTITUTE($BE175:$AAQ175,"B",""))),FALSE),IF(ISNUMBER(VALUE(SUBSTITUTE($BE175:$AAQ175,"B",""))),1,0),0)))</f>
        <v>0</v>
      </c>
      <c r="AP175" t="s">
        <v>137</v>
      </c>
      <c r="AQ175" t="s">
        <v>873</v>
      </c>
      <c r="AS175" t="s">
        <v>396</v>
      </c>
      <c r="LO175" s="27" t="str">
        <f t="shared" si="182"/>
        <v>XT57</v>
      </c>
      <c r="LP175" t="str">
        <f t="shared" si="183"/>
        <v>F0-AI20-13A</v>
      </c>
      <c r="LQ175" t="str">
        <f t="shared" si="184"/>
        <v>F0-AI20-13B</v>
      </c>
      <c r="LR175">
        <f t="shared" si="185"/>
        <v>16</v>
      </c>
      <c r="LS175">
        <f t="shared" si="186"/>
        <v>17</v>
      </c>
      <c r="LT175">
        <f t="shared" si="187"/>
        <v>18</v>
      </c>
      <c r="LU175" t="s">
        <v>896</v>
      </c>
      <c r="LV175" t="s">
        <v>871</v>
      </c>
      <c r="LW175" s="16" t="s">
        <v>872</v>
      </c>
    </row>
    <row r="176" spans="1:335" ht="30.75" thickBot="1" x14ac:dyDescent="0.3">
      <c r="A176" s="29" t="s">
        <v>2387</v>
      </c>
      <c r="B176" s="33" t="s">
        <v>890</v>
      </c>
      <c r="P176" t="s">
        <v>869</v>
      </c>
      <c r="T176" s="14" t="s">
        <v>554</v>
      </c>
      <c r="U176">
        <v>57</v>
      </c>
      <c r="V176" t="s">
        <v>2084</v>
      </c>
      <c r="X176" t="str">
        <f>IF(COUNTIF(X$1:X175,X175)&gt;7,REPLACE(X175,LEN(X175),1,VALUE(RIGHT(X175,1))+1),X175)</f>
        <v>A3.20</v>
      </c>
      <c r="Y176" s="43">
        <f t="array" ref="Y176">IF(COUNTIFS($X$2:$X176,$X176)=1,"1",VALUE(SUBSTITUTE(INDEX(Y:Y,_xlfn.XMATCH($X176,$X$1:$X175,0,-1)),"A",""))+INDEX(Z:Z,_xlfn.XMATCH($X176,$X$1:$X175,0,-1))+1)</f>
        <v>8</v>
      </c>
      <c r="Z176" s="46">
        <f t="array" ref="Z176">SUM(IF(ISNUMBER(FIND("TmAi",$BE$1:$AAQ$1)),IF(IFERROR(ISODD(SUBSTITUTE($BE176:$AAQ176,"A","")),FALSE),IF(ISODD(SUBSTITUTE($BE176:$AAQ176,"A","")),1,0),0)))</f>
        <v>0</v>
      </c>
      <c r="AA176" t="str">
        <f t="shared" si="179"/>
        <v>15A</v>
      </c>
      <c r="AB176" t="str">
        <f t="shared" si="180"/>
        <v>15B</v>
      </c>
      <c r="AD176" s="46"/>
      <c r="AE176" s="46">
        <f t="array" ref="AE176">SUM(IF(ISNUMBER(FIND("TmDi",$BE$1:$AAQ$1)),IF(IFERROR(ISNUMBER(VALUE(SUBSTITUTE($BE176:$AAQ176,"B",""))),FALSE),IF(ISNUMBER(VALUE(SUBSTITUTE($BE176:$AAQ176,"B",""))),1,0),0)))</f>
        <v>0</v>
      </c>
      <c r="AP176" t="s">
        <v>137</v>
      </c>
      <c r="AQ176" t="s">
        <v>873</v>
      </c>
      <c r="AS176" t="s">
        <v>396</v>
      </c>
      <c r="LO176" s="27" t="str">
        <f t="shared" si="182"/>
        <v>XT57</v>
      </c>
      <c r="LP176" t="str">
        <f t="shared" si="183"/>
        <v>F0-AI20-15A</v>
      </c>
      <c r="LQ176" t="str">
        <f t="shared" si="184"/>
        <v>F0-AI20-15B</v>
      </c>
      <c r="LR176">
        <f t="shared" si="185"/>
        <v>19</v>
      </c>
      <c r="LS176">
        <f t="shared" si="186"/>
        <v>20</v>
      </c>
      <c r="LT176">
        <f t="shared" si="187"/>
        <v>21</v>
      </c>
      <c r="LU176" t="s">
        <v>897</v>
      </c>
      <c r="LV176" t="s">
        <v>871</v>
      </c>
      <c r="LW176" s="16" t="s">
        <v>872</v>
      </c>
    </row>
    <row r="177" spans="1:543" ht="30" x14ac:dyDescent="0.25">
      <c r="A177" s="29" t="s">
        <v>2388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2085</v>
      </c>
      <c r="Y177" s="43"/>
      <c r="Z177" s="46"/>
      <c r="AC177" t="s">
        <v>853</v>
      </c>
      <c r="AD177" s="46">
        <f t="array" ref="AD177">IF(COUNTIFS(AC$2:AC177,AC177)=1,"1",VALUE(SUBSTITUTE(INDEX(AD:AD,_xlfn.XMATCH(AC177,AC$1:AC176,0,-1)),"A",""))+INDEX(AE:AE,_xlfn.XMATCH(AC177,AC$1:AC176,0,-1))+1)</f>
        <v>2</v>
      </c>
      <c r="AE177" s="46">
        <f t="array" ref="AE177">SUM(IF(ISNUMBER(FIND("TmDi",$BE$1:$AAQ$1)),IF(IFERROR(ISNUMBER(VALUE(SUBSTITUTE($BE177:$AAQ177,"B",""))),FALSE),IF(ISNUMBER(VALUE(SUBSTITUTE($BE177:$AAQ177,"B",""))),1,0),0)))</f>
        <v>0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Y177" s="25" t="str">
        <f>CONCATENATE("XT",U177)</f>
        <v>XT56</v>
      </c>
      <c r="LZ177" s="12" t="str">
        <f>CONCATENATE("DI",REPLACE($AC177,1,3,""),"-",$AF177)</f>
        <v>DI12-C2</v>
      </c>
      <c r="MA177" s="12" t="str">
        <f>CONCATENATE("DI",REPLACE($AC177,1,3,""),"-",$AG177)</f>
        <v>DI12-B2</v>
      </c>
      <c r="MB177" s="12" t="s">
        <v>910</v>
      </c>
      <c r="MC177" s="12" t="str">
        <f>CONCATENATE("K",$U177,"-02")</f>
        <v>K56-02</v>
      </c>
      <c r="MD177" s="12">
        <v>11</v>
      </c>
      <c r="ME177" s="12">
        <v>14</v>
      </c>
      <c r="MF177" s="12" t="s">
        <v>142</v>
      </c>
      <c r="MG177" s="12" t="s">
        <v>143</v>
      </c>
      <c r="MH177" s="12" t="s">
        <v>488</v>
      </c>
      <c r="MI177" s="12" t="s">
        <v>487</v>
      </c>
      <c r="MJ177" s="12" t="s">
        <v>414</v>
      </c>
      <c r="MK177" s="12" t="s">
        <v>413</v>
      </c>
      <c r="ML177" s="12">
        <v>4</v>
      </c>
      <c r="MM177" s="12">
        <f t="shared" ref="MM177:MO178" si="188">ML177+1</f>
        <v>5</v>
      </c>
      <c r="MN177" s="12">
        <f t="shared" si="188"/>
        <v>6</v>
      </c>
      <c r="MO177" s="12">
        <f t="shared" si="188"/>
        <v>7</v>
      </c>
      <c r="MP177" s="12">
        <v>1</v>
      </c>
      <c r="MQ177" s="12">
        <v>2</v>
      </c>
      <c r="MR177" s="12">
        <v>3</v>
      </c>
      <c r="MS177" s="12">
        <v>4</v>
      </c>
      <c r="MT177" s="13">
        <v>5</v>
      </c>
    </row>
    <row r="178" spans="1:543" ht="30.75" thickBot="1" x14ac:dyDescent="0.3">
      <c r="A178" s="29" t="s">
        <v>2389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2086</v>
      </c>
      <c r="Y178" s="43"/>
      <c r="Z178" s="46"/>
      <c r="AC178" t="s">
        <v>853</v>
      </c>
      <c r="AD178" s="46">
        <f t="array" ref="AD178">IF(COUNTIFS(AC$2:AC178,AC178)=1,"1",VALUE(SUBSTITUTE(INDEX(AD:AD,_xlfn.XMATCH(AC178,AC$1:AC177,0,-1)),"A",""))+INDEX(AE:AE,_xlfn.XMATCH(AC178,AC$1:AC177,0,-1))+1)</f>
        <v>3</v>
      </c>
      <c r="AE178" s="46">
        <f t="array" ref="AE178">SUM(IF(ISNUMBER(FIND("TmDi",$BE$1:$AAQ$1)),IF(IFERROR(ISNUMBER(VALUE(SUBSTITUTE($BE178:$AAQ178,"B",""))),FALSE),IF(ISNUMBER(VALUE(SUBSTITUTE($BE178:$AAQ178,"B",""))),1,0),0)))</f>
        <v>0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Y178" s="27" t="str">
        <f>CONCATENATE("XT",$U178)</f>
        <v>XT56</v>
      </c>
      <c r="LZ178" t="str">
        <f>CONCATENATE("DI",REPLACE($AC178,1,3,""),"-",$AF178)</f>
        <v>DI12-C3</v>
      </c>
      <c r="MA178" t="str">
        <f>CONCATENATE("DI",REPLACE($AC178,1,3,""),"-",$AG178)</f>
        <v>DI12-B3</v>
      </c>
      <c r="MB178" t="s">
        <v>911</v>
      </c>
      <c r="MC178" t="str">
        <f>CONCATENATE("K",$U178,"-03")</f>
        <v>K56-03</v>
      </c>
      <c r="MD178">
        <v>11</v>
      </c>
      <c r="ME178">
        <v>14</v>
      </c>
      <c r="MF178" t="s">
        <v>142</v>
      </c>
      <c r="MG178" t="s">
        <v>143</v>
      </c>
      <c r="MH178" t="s">
        <v>488</v>
      </c>
      <c r="MI178" t="s">
        <v>487</v>
      </c>
      <c r="MJ178" t="s">
        <v>414</v>
      </c>
      <c r="MK178" t="s">
        <v>413</v>
      </c>
      <c r="ML178">
        <f>ML177+4</f>
        <v>8</v>
      </c>
      <c r="MM178">
        <f t="shared" si="188"/>
        <v>9</v>
      </c>
      <c r="MN178">
        <f t="shared" si="188"/>
        <v>10</v>
      </c>
      <c r="MO178">
        <f t="shared" si="188"/>
        <v>11</v>
      </c>
      <c r="MP178">
        <v>1</v>
      </c>
      <c r="MQ178">
        <v>2</v>
      </c>
      <c r="MR178">
        <v>3</v>
      </c>
      <c r="MS178">
        <v>4</v>
      </c>
      <c r="MT178" s="16">
        <v>5</v>
      </c>
    </row>
    <row r="179" spans="1:543" ht="30.75" thickBot="1" x14ac:dyDescent="0.3">
      <c r="A179" s="29" t="s">
        <v>2390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2004</v>
      </c>
      <c r="Y179" s="43" t="str">
        <f t="array" ref="Y179">IF(COUNTIFS($X$2:$X179,$X179)=1,"1",VALUE(SUBSTITUTE(INDEX(Y:Y,_xlfn.XMATCH($X179,$X$1:$X178,0,-1)),"A",""))+INDEX(Z:Z,_xlfn.XMATCH($X179,$X$1:$X178,0,-1))+1)</f>
        <v>1</v>
      </c>
      <c r="Z179" s="46">
        <f t="array" ref="Z179">SUM(IF(ISNUMBER(FIND("TmAi",$BE$1:$AAQ$1)),IF(IFERROR(ISODD(SUBSTITUTE($BE179:$AAQ179,"A","")),FALSE),IF(ISODD(SUBSTITUTE($BE179:$AAQ179,"A","")),1,0),0)))</f>
        <v>1</v>
      </c>
      <c r="AA179" t="str">
        <f t="shared" si="179"/>
        <v>1A</v>
      </c>
      <c r="AB179" t="str">
        <f t="shared" si="180"/>
        <v>1B</v>
      </c>
      <c r="AC179" t="s">
        <v>853</v>
      </c>
      <c r="AD179" s="46">
        <f t="array" ref="AD179">IF(COUNTIFS(AC$2:AC179,AC179)=1,"1",VALUE(SUBSTITUTE(INDEX(AD:AD,_xlfn.XMATCH(AC179,AC$1:AC178,0,-1)),"A",""))+INDEX(AE:AE,_xlfn.XMATCH(AC179,AC$1:AC178,0,-1))+1)</f>
        <v>4</v>
      </c>
      <c r="AE179" s="46">
        <f t="array" ref="AE179">SUM(IF(ISNUMBER(FIND("TmDi",$BE$1:$AAQ$1)),IF(IFERROR(ISNUMBER(VALUE(SUBSTITUTE($BE179:$AAQ179,"B",""))),FALSE),IF(ISNUMBER(VALUE(SUBSTITUTE($BE179:$AAQ179,"B",""))),1,0),0)))</f>
        <v>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IX179">
        <v>1</v>
      </c>
      <c r="IY179">
        <v>2</v>
      </c>
      <c r="IZ179">
        <v>3</v>
      </c>
      <c r="JA179">
        <v>4</v>
      </c>
      <c r="JB179">
        <v>5</v>
      </c>
      <c r="JC179">
        <v>6</v>
      </c>
      <c r="JD179">
        <v>7</v>
      </c>
      <c r="JE179">
        <v>8</v>
      </c>
      <c r="JF179">
        <v>9</v>
      </c>
      <c r="JG179">
        <v>10</v>
      </c>
      <c r="JH179">
        <v>11</v>
      </c>
      <c r="JI179">
        <v>12</v>
      </c>
      <c r="MU179" s="25" t="s">
        <v>926</v>
      </c>
      <c r="MV179" s="12" t="s">
        <v>927</v>
      </c>
      <c r="MW179" s="12" t="s">
        <v>931</v>
      </c>
      <c r="MX179" s="12" t="s">
        <v>932</v>
      </c>
      <c r="MY179" s="12" t="s">
        <v>912</v>
      </c>
      <c r="MZ179" s="12" t="str">
        <f>CONCATENATE("XT",$U179)</f>
        <v>XT58</v>
      </c>
      <c r="NA179" s="12" t="str">
        <f>CONCATENATE("B",REPLACE(AF179,1,1,"")+1)</f>
        <v>B5</v>
      </c>
      <c r="NB179" s="12" t="str">
        <f>CONCATENATE("C",REPLACE(AG179,1,1,"")+1)</f>
        <v>C5</v>
      </c>
      <c r="NC179" s="12" t="str">
        <f>CONCATENATE("B",REPLACE(NA179,1,1,"")+1)</f>
        <v>B6</v>
      </c>
      <c r="ND179" s="12" t="str">
        <f>CONCATENATE("C",REPLACE(NB179,1,1,"")+1)</f>
        <v>C6</v>
      </c>
      <c r="NE179" s="12" t="str">
        <f>CONCATENATE("B",REPLACE(NC179,1,1,"")+1)</f>
        <v>B7</v>
      </c>
      <c r="NF179" s="12" t="str">
        <f>CONCATENATE("C",REPLACE(ND179,1,1,"")+1)</f>
        <v>C7</v>
      </c>
      <c r="NG179" s="12" t="str">
        <f>REPLACE($AA179,1,1,LEFT($AA179,1)+2)</f>
        <v>3A</v>
      </c>
      <c r="NH179" s="12" t="str">
        <f>REPLACE($AB179,1,1,LEFT($AB179,1)+2)</f>
        <v>3B</v>
      </c>
      <c r="NI179" s="12" t="str">
        <f>CONCATENATE("DI",REPLACE($AC179,1,3,""),"-",$AF179)</f>
        <v>DI12-C4</v>
      </c>
      <c r="NJ179" s="12" t="str">
        <f>CONCATENATE("DI",REPLACE($AC179,1,3,""),"-",$AG179)</f>
        <v>DI12-B4</v>
      </c>
      <c r="NK179" s="12" t="str">
        <f>CONCATENATE("DI",REPLACE($AC179,1,3,""),"-",$NB179)</f>
        <v>DI12-C5</v>
      </c>
      <c r="NL179" s="12" t="str">
        <f>CONCATENATE("DI",REPLACE($AC179,1,3,""),"-",$NA179)</f>
        <v>DI12-B5</v>
      </c>
      <c r="NM179" s="12" t="str">
        <f>CONCATENATE("DI",REPLACE($AC179,1,3,""),"-",$ND179)</f>
        <v>DI12-C6</v>
      </c>
      <c r="NN179" s="12" t="str">
        <f>CONCATENATE("DI",REPLACE($AC179,1,3,""),"-",$NC179)</f>
        <v>DI12-B6</v>
      </c>
      <c r="NO179" s="12" t="str">
        <f>CONCATENATE("DI",REPLACE($AC179,1,3,""),"-",$NF179)</f>
        <v>DI12-C7</v>
      </c>
      <c r="NP179" s="12" t="str">
        <f>CONCATENATE("DI",REPLACE($AC179,1,3,""),"-",$NE179)</f>
        <v>DI12-B7</v>
      </c>
      <c r="NQ179" s="12" t="s">
        <v>933</v>
      </c>
      <c r="NR179" s="12" t="s">
        <v>934</v>
      </c>
      <c r="NS179" s="12" t="s">
        <v>947</v>
      </c>
      <c r="NT179" s="12" t="s">
        <v>935</v>
      </c>
      <c r="NU179" s="12" t="s">
        <v>936</v>
      </c>
      <c r="NV179" s="12" t="s">
        <v>937</v>
      </c>
      <c r="NW179" s="12" t="s">
        <v>938</v>
      </c>
      <c r="NX179" s="12" t="s">
        <v>939</v>
      </c>
      <c r="NY179" s="12" t="s">
        <v>940</v>
      </c>
      <c r="NZ179" s="12" t="s">
        <v>941</v>
      </c>
      <c r="OA179" s="12" t="s">
        <v>942</v>
      </c>
      <c r="OB179" s="12">
        <v>11</v>
      </c>
      <c r="OC179" s="12">
        <v>14</v>
      </c>
      <c r="OD179" s="12" t="s">
        <v>142</v>
      </c>
      <c r="OE179" s="12" t="s">
        <v>143</v>
      </c>
      <c r="OF179" s="12" t="s">
        <v>488</v>
      </c>
      <c r="OG179" s="12" t="s">
        <v>487</v>
      </c>
      <c r="OH179" s="12" t="s">
        <v>414</v>
      </c>
      <c r="OI179" s="13" t="s">
        <v>413</v>
      </c>
    </row>
    <row r="180" spans="1:543" ht="30" x14ac:dyDescent="0.25">
      <c r="A180" s="29" t="s">
        <v>2391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A3.21</v>
      </c>
      <c r="Y180" s="43">
        <f t="array" ref="Y180">IF(COUNTIFS($X$2:$X180,$X180)=1,"1",VALUE(SUBSTITUTE(INDEX(Y:Y,_xlfn.XMATCH($X180,$X$1:$X179,0,-1)),"A",""))+INDEX(Z:Z,_xlfn.XMATCH($X180,$X$1:$X179,0,-1))+1)</f>
        <v>3</v>
      </c>
      <c r="Z180" s="46">
        <f t="array" ref="Z180">SUM(IF(ISNUMBER(FIND("TmAi",$BE$1:$AAQ$1)),IF(IFERROR(ISODD(SUBSTITUTE($BE180:$AAQ180,"A","")),FALSE),IF(ISODD(SUBSTITUTE($BE180:$AAQ180,"A","")),1,0),0)))</f>
        <v>0</v>
      </c>
      <c r="AA180" t="str">
        <f t="shared" si="179"/>
        <v>5A</v>
      </c>
      <c r="AB180" t="str">
        <f t="shared" si="180"/>
        <v>5B</v>
      </c>
      <c r="AC180" t="s">
        <v>853</v>
      </c>
      <c r="AD180" s="46">
        <f t="array" ref="AD180">IF(COUNTIFS(AC$2:AC180,AC180)=1,"1",VALUE(SUBSTITUTE(INDEX(AD:AD,_xlfn.XMATCH(AC180,AC$1:AC179,0,-1)),"A",""))+INDEX(AE:AE,_xlfn.XMATCH(AC180,AC$1:AC179,0,-1))+1)</f>
        <v>8</v>
      </c>
      <c r="AE180" s="46">
        <f t="array" ref="AE180">SUM(IF(ISNUMBER(FIND("TmDi",$BE$1:$AAQ$1)),IF(IFERROR(ISNUMBER(VALUE(SUBSTITUTE($BE180:$AAQ180,"B",""))),FALSE),IF(ISNUMBER(VALUE(SUBSTITUTE($BE180:$AAQ180,"B",""))),1,0),0)))</f>
        <v>1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IX180">
        <v>13</v>
      </c>
      <c r="IY180">
        <v>14</v>
      </c>
      <c r="IZ180">
        <v>15</v>
      </c>
      <c r="JA180">
        <v>16</v>
      </c>
      <c r="JB180">
        <v>17</v>
      </c>
      <c r="JC180">
        <v>18</v>
      </c>
      <c r="JD180">
        <v>19</v>
      </c>
      <c r="JE180">
        <v>20</v>
      </c>
      <c r="JF180">
        <v>21</v>
      </c>
      <c r="JG180">
        <v>22</v>
      </c>
      <c r="MU180" s="25"/>
      <c r="MV180" s="12"/>
      <c r="MW180" s="12" t="s">
        <v>960</v>
      </c>
      <c r="MX180" s="12"/>
      <c r="MY180" s="12" t="s">
        <v>959</v>
      </c>
      <c r="MZ180" s="12" t="str">
        <f>CONCATENATE("XT",$U180)</f>
        <v>XT58</v>
      </c>
      <c r="NA180" s="12" t="str">
        <f>CONCATENATE("B",REPLACE(AF180,1,1,"")+1)</f>
        <v>B9</v>
      </c>
      <c r="NB180" s="12" t="str">
        <f>CONCATENATE("C",REPLACE(AG180,1,1,"")+1)</f>
        <v>C9</v>
      </c>
      <c r="NC180" s="12"/>
      <c r="ND180" s="12"/>
      <c r="NE180" s="12"/>
      <c r="NF180" s="12"/>
      <c r="NG180" s="12"/>
      <c r="NH180" s="12"/>
      <c r="NI180" s="12" t="str">
        <f>CONCATENATE("DI",REPLACE($AC180,1,3,""),"-",$AF180)</f>
        <v>DI12-C8</v>
      </c>
      <c r="NJ180" s="12" t="str">
        <f>CONCATENATE("DI",REPLACE($AC180,1,3,""),"-",$AG180)</f>
        <v>DI12-B8</v>
      </c>
      <c r="NK180" s="12" t="str">
        <f>CONCATENATE("DI",REPLACE($AC180,1,3,""),"-",$NB180)</f>
        <v>DI12-C9</v>
      </c>
      <c r="NL180" s="12" t="str">
        <f>CONCATENATE("DI",REPLACE($AC180,1,3,""),"-",$NA180)</f>
        <v>DI12-B9</v>
      </c>
      <c r="NM180" s="12" t="str">
        <f>CONCATENATE("DI",REPLACE($AC180,1,3,""),"-",$ND180)</f>
        <v>DI12-</v>
      </c>
      <c r="NN180" s="12" t="str">
        <f>CONCATENATE("DI",REPLACE($AC180,1,3,""),"-",$NC180)</f>
        <v>DI12-</v>
      </c>
      <c r="NO180" s="12" t="str">
        <f>CONCATENATE("DI",REPLACE($AC180,1,3,""),"-",$NF180)</f>
        <v>DI12-</v>
      </c>
      <c r="NP180" s="12" t="str">
        <f>CONCATENATE("DI",REPLACE($AC180,1,3,""),"-",$NE180)</f>
        <v>DI12-</v>
      </c>
      <c r="NQ180" s="12" t="s">
        <v>952</v>
      </c>
      <c r="NR180" s="12"/>
      <c r="NS180" s="12" t="s">
        <v>957</v>
      </c>
      <c r="NT180" s="12" t="s">
        <v>956</v>
      </c>
      <c r="NU180" s="12" t="s">
        <v>955</v>
      </c>
      <c r="NV180" s="12"/>
      <c r="NW180" s="12"/>
      <c r="NX180" s="12" t="s">
        <v>950</v>
      </c>
      <c r="NY180" s="12" t="s">
        <v>951</v>
      </c>
      <c r="NZ180" s="12"/>
      <c r="OA180" s="12"/>
      <c r="OB180" s="12">
        <v>11</v>
      </c>
      <c r="OC180" s="12">
        <v>14</v>
      </c>
      <c r="OD180" s="12" t="s">
        <v>142</v>
      </c>
      <c r="OE180" s="12" t="s">
        <v>143</v>
      </c>
      <c r="OF180" s="12" t="s">
        <v>488</v>
      </c>
      <c r="OG180" s="12" t="s">
        <v>487</v>
      </c>
      <c r="OH180" s="12" t="s">
        <v>414</v>
      </c>
      <c r="OI180" s="12" t="s">
        <v>413</v>
      </c>
      <c r="OJ180" s="12" t="s">
        <v>144</v>
      </c>
      <c r="OK180" s="13" t="s">
        <v>961</v>
      </c>
    </row>
    <row r="181" spans="1:543" ht="30" x14ac:dyDescent="0.25">
      <c r="A181" s="29" t="s">
        <v>2392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A3.21</v>
      </c>
      <c r="Y181" s="43">
        <f t="array" ref="Y181">IF(COUNTIFS($X$2:$X181,$X181)=1,"1",VALUE(SUBSTITUTE(INDEX(Y:Y,_xlfn.XMATCH($X181,$X$1:$X180,0,-1)),"A",""))+INDEX(Z:Z,_xlfn.XMATCH($X181,$X$1:$X180,0,-1))+1)</f>
        <v>4</v>
      </c>
      <c r="Z181" s="46">
        <f t="array" ref="Z181">SUM(IF(ISNUMBER(FIND("TmAi",$BE$1:$AAQ$1)),IF(IFERROR(ISODD(SUBSTITUTE($BE181:$AAQ181,"A","")),FALSE),IF(ISODD(SUBSTITUTE($BE181:$AAQ181,"A","")),1,0),0)))</f>
        <v>0</v>
      </c>
      <c r="AA181" t="str">
        <f t="shared" ref="AA181:AA215" si="189">CONCATENATE($Y181*2-1,"A")</f>
        <v>7A</v>
      </c>
      <c r="AB181" t="str">
        <f t="shared" ref="AB181:AB215" si="190">CONCATENATE($Y181*2-1,"B")</f>
        <v>7B</v>
      </c>
      <c r="AD181" s="46"/>
      <c r="AE181" s="46">
        <f t="array" ref="AE181">SUM(IF(ISNUMBER(FIND("TmDi",$BE$1:$AAQ$1)),IF(IFERROR(ISNUMBER(VALUE(SUBSTITUTE($BE181:$AAQ181,"B",""))),FALSE),IF(ISNUMBER(VALUE(SUBSTITUTE($BE181:$AAQ181,"B",""))),1,0),0)))</f>
        <v>0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F0-AI21-7A</v>
      </c>
      <c r="KD181" t="str">
        <f>CONCATENATE(T181,"-AI",REPLACE($X181,1,3,""),"-",AB181)</f>
        <v>F0-AI21-7B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91">KI181+1</f>
        <v>352</v>
      </c>
      <c r="KK181">
        <f t="shared" si="191"/>
        <v>353</v>
      </c>
      <c r="KL181">
        <f t="shared" si="191"/>
        <v>354</v>
      </c>
      <c r="KM181">
        <f t="shared" si="191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43" ht="30.75" thickBot="1" x14ac:dyDescent="0.3">
      <c r="A182" s="29" t="s">
        <v>2393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A3.21</v>
      </c>
      <c r="Y182" s="45">
        <f t="array" ref="Y182">IF(COUNTIFS($X$2:$X182,$X182)=1,"1",VALUE(SUBSTITUTE(INDEX(Y:Y,_xlfn.XMATCH($X182,$X$1:$X181,0,-1)),"A",""))+INDEX(Z:Z,_xlfn.XMATCH($X182,$X$1:$X181,0,-1))+1)</f>
        <v>5</v>
      </c>
      <c r="Z182" s="46">
        <f t="array" ref="Z182">SUM(IF(ISNUMBER(FIND("TmAi",$BE$1:$AAQ$1)),IF(IFERROR(ISODD(SUBSTITUTE($BE182:$AAQ182,"A","")),FALSE),IF(ISODD(SUBSTITUTE($BE182:$AAQ182,"A","")),1,0),0)))</f>
        <v>0</v>
      </c>
      <c r="AA182" t="str">
        <f t="shared" si="189"/>
        <v>9A</v>
      </c>
      <c r="AB182" t="str">
        <f t="shared" si="190"/>
        <v>9B</v>
      </c>
      <c r="AD182" s="46"/>
      <c r="AE182" s="46">
        <f t="array" ref="AE182">SUM(IF(ISNUMBER(FIND("TmDi",$BE$1:$AAQ$1)),IF(IFERROR(ISNUMBER(VALUE(SUBSTITUTE($BE182:$AAQ182,"B",""))),FALSE),IF(ISNUMBER(VALUE(SUBSTITUTE($BE182:$AAQ182,"B",""))),1,0),0)))</f>
        <v>0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F0-AI21-9A</v>
      </c>
      <c r="KD182" t="str">
        <f>CONCATENATE(T182,"-AI",REPLACE($X182,1,3,""),"-",AB182)</f>
        <v>F0-AI21-9B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91"/>
        <v>357</v>
      </c>
      <c r="KK182">
        <f t="shared" si="191"/>
        <v>358</v>
      </c>
      <c r="KL182">
        <f t="shared" si="191"/>
        <v>359</v>
      </c>
      <c r="KM182">
        <f t="shared" si="191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43" ht="30" x14ac:dyDescent="0.25">
      <c r="A183" s="29" t="s">
        <v>2394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1976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SUM(IF(ISNUMBER(FIND("TmAi",$BE$1:$AAQ$1)),IF(IFERROR(ISODD(SUBSTITUTE($BE183:$AAQ183,"A","")),FALSE),IF(ISODD(SUBSTITUTE($BE183:$AAQ183,"A","")),1,0),0)))</f>
        <v>1</v>
      </c>
      <c r="AA183" t="str">
        <f t="shared" si="189"/>
        <v>1A</v>
      </c>
      <c r="AB183" t="str">
        <f t="shared" si="190"/>
        <v>1B</v>
      </c>
      <c r="AD183" s="46"/>
      <c r="AE183" s="46">
        <f t="array" ref="AE183">SUM(IF(ISNUMBER(FIND("TmDi",$BE$1:$AAQ$1)),IF(IFERROR(ISNUMBER(VALUE(SUBSTITUTE($BE183:$AAQ183,"B",""))),FALSE),IF(ISNUMBER(VALUE(SUBSTITUTE($BE183:$AAQ183,"B",""))),1,0),0)))</f>
        <v>0</v>
      </c>
      <c r="AP183" t="s">
        <v>137</v>
      </c>
      <c r="AR183" t="s">
        <v>1023</v>
      </c>
      <c r="AS183" t="s">
        <v>396</v>
      </c>
      <c r="OL183" s="25" t="str">
        <f>CONCATENATE("XT",$U183)</f>
        <v>XT59</v>
      </c>
      <c r="OM183" s="12" t="s">
        <v>1028</v>
      </c>
      <c r="ON183" s="12" t="s">
        <v>1024</v>
      </c>
      <c r="OO183" s="12"/>
      <c r="OP183" s="12"/>
      <c r="OQ183" s="12" t="str">
        <f>CONCATENATE(REPLACE($AA183,LEN($AA183),1,"")+1,RIGHT($AA183))</f>
        <v>2A</v>
      </c>
      <c r="OR183" s="12" t="str">
        <f>CONCATENATE(REPLACE($AB183,LEN($AB183),1,"")+1,RIGHT($AB183))</f>
        <v>2B</v>
      </c>
      <c r="OS183" s="12" t="str">
        <f t="shared" ref="OS183:OV185" si="192">CONCATENATE(REPLACE(OQ183,LEN(OQ183),1,"")+1,RIGHT(OQ183))</f>
        <v>3A</v>
      </c>
      <c r="OT183" s="12" t="str">
        <f t="shared" si="192"/>
        <v>3B</v>
      </c>
      <c r="OU183" s="12" t="str">
        <f t="shared" si="192"/>
        <v>4A</v>
      </c>
      <c r="OV183" s="12" t="str">
        <f t="shared" si="192"/>
        <v>4B</v>
      </c>
      <c r="OW183" s="12"/>
      <c r="OX183" s="12"/>
      <c r="OY183" s="12"/>
      <c r="OZ183" s="12"/>
      <c r="PA183" s="12" t="str">
        <f>CONCATENATE($T183,"-AI",REPLACE($X183,1,3,""),"-",$AA183)</f>
        <v>F0-AI39-1A</v>
      </c>
      <c r="PB183" s="12" t="str">
        <f>CONCATENATE($T183,"-AI",REPLACE($X183,1,3,""),"-",$AB183)</f>
        <v>F0-AI39-1B</v>
      </c>
      <c r="PC183" s="12" t="str">
        <f t="shared" ref="PC183:PH183" si="193">CONCATENATE($T183,"-AI",REPLACE($X183,1,3,""),"-",OQ183)</f>
        <v>F0-AI39-2A</v>
      </c>
      <c r="PD183" s="12" t="str">
        <f t="shared" si="193"/>
        <v>F0-AI39-2B</v>
      </c>
      <c r="PE183" s="12" t="str">
        <f t="shared" si="193"/>
        <v>F0-AI39-3A</v>
      </c>
      <c r="PF183" s="12" t="str">
        <f t="shared" si="193"/>
        <v>F0-AI39-3B</v>
      </c>
      <c r="PG183" s="12" t="str">
        <f t="shared" si="193"/>
        <v>F0-AI39-4A</v>
      </c>
      <c r="PH183" s="12" t="str">
        <f t="shared" si="193"/>
        <v>F0-AI39-4B</v>
      </c>
      <c r="PI183" s="12"/>
      <c r="PJ183" s="12"/>
      <c r="PK183" s="12"/>
      <c r="PL183" s="12"/>
      <c r="PM183" s="12">
        <f t="array" ref="PM183">IF(COUNTIFS($U$2:$U183,$U183)=1,1,INDEX(PM:PM,_xlfn.XMATCH($U183,$U$1:EF182,0,-1))+COUNT(PM182:PR182))</f>
        <v>1</v>
      </c>
      <c r="PN183" s="12">
        <f t="shared" ref="PN183:PR184" si="194">PM183+1</f>
        <v>2</v>
      </c>
      <c r="PO183" s="12">
        <f t="shared" si="194"/>
        <v>3</v>
      </c>
      <c r="PP183" s="12">
        <f t="shared" si="194"/>
        <v>4</v>
      </c>
      <c r="PQ183" s="12">
        <f t="shared" si="194"/>
        <v>5</v>
      </c>
      <c r="PR183" s="12">
        <f t="shared" si="194"/>
        <v>6</v>
      </c>
      <c r="PS183" s="12"/>
      <c r="PT183" s="12"/>
      <c r="PU183" s="12"/>
      <c r="PV183" s="12">
        <v>1</v>
      </c>
      <c r="PW183" s="12">
        <v>2</v>
      </c>
      <c r="PX183" s="12">
        <v>3</v>
      </c>
      <c r="PY183" s="12">
        <v>4</v>
      </c>
      <c r="PZ183" s="12">
        <v>5</v>
      </c>
      <c r="QA183" s="13">
        <v>6</v>
      </c>
    </row>
    <row r="184" spans="1:543" ht="30.75" thickBot="1" x14ac:dyDescent="0.3">
      <c r="A184" s="29" t="s">
        <v>2395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A3.39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SUM(IF(ISNUMBER(FIND("TmAi",$BE$1:$AAQ$1)),IF(IFERROR(ISODD(SUBSTITUTE($BE184:$AAQ184,"A","")),FALSE),IF(ISODD(SUBSTITUTE($BE184:$AAQ184,"A","")),1,0),0)))</f>
        <v>1</v>
      </c>
      <c r="AA184" t="str">
        <f t="shared" si="189"/>
        <v>5A</v>
      </c>
      <c r="AB184" t="str">
        <f t="shared" si="190"/>
        <v>5B</v>
      </c>
      <c r="AD184" s="46"/>
      <c r="AE184" s="46">
        <f t="array" ref="AE184">SUM(IF(ISNUMBER(FIND("TmDi",$BE$1:$AAQ$1)),IF(IFERROR(ISNUMBER(VALUE(SUBSTITUTE($BE184:$AAQ184,"B",""))),FALSE),IF(ISNUMBER(VALUE(SUBSTITUTE($BE184:$AAQ184,"B",""))),1,0),0)))</f>
        <v>0</v>
      </c>
      <c r="AP184" t="s">
        <v>137</v>
      </c>
      <c r="AR184" t="s">
        <v>1023</v>
      </c>
      <c r="AS184" t="s">
        <v>396</v>
      </c>
      <c r="OL184" s="27" t="str">
        <f>CONCATENATE("XT",$U184)</f>
        <v>XT59</v>
      </c>
      <c r="OM184" t="s">
        <v>1030</v>
      </c>
      <c r="ON184" t="s">
        <v>1026</v>
      </c>
      <c r="OQ184" t="str">
        <f>CONCATENATE(REPLACE($AA184,LEN($AA184),1,"")+1,RIGHT($AA184))</f>
        <v>6A</v>
      </c>
      <c r="OR184" t="str">
        <f>CONCATENATE(REPLACE($AB184,LEN($AB184),1,"")+1,RIGHT($AB184))</f>
        <v>6B</v>
      </c>
      <c r="OS184" t="str">
        <f t="shared" si="192"/>
        <v>7A</v>
      </c>
      <c r="OT184" t="str">
        <f t="shared" si="192"/>
        <v>7B</v>
      </c>
      <c r="OU184" t="str">
        <f t="shared" si="192"/>
        <v>8A</v>
      </c>
      <c r="OV184" t="str">
        <f t="shared" si="192"/>
        <v>8B</v>
      </c>
      <c r="PA184" t="str">
        <f>CONCATENATE($T184,"-AI",REPLACE($X184,1,3,""),"-",$AA184)</f>
        <v>F0-AI39-5A</v>
      </c>
      <c r="PB184" t="str">
        <f>CONCATENATE($T184,"-AI",REPLACE($X184,1,3,""),"-",$AB184)</f>
        <v>F0-AI39-5B</v>
      </c>
      <c r="PC184" t="str">
        <f t="shared" ref="PC184:PH185" si="195">CONCATENATE($T184,"-AI",REPLACE($X184,1,3,""),"-",OQ184)</f>
        <v>F0-AI39-6A</v>
      </c>
      <c r="PD184" t="str">
        <f t="shared" si="195"/>
        <v>F0-AI39-6B</v>
      </c>
      <c r="PE184" t="str">
        <f t="shared" si="195"/>
        <v>F0-AI39-7A</v>
      </c>
      <c r="PF184" t="str">
        <f t="shared" si="195"/>
        <v>F0-AI39-7B</v>
      </c>
      <c r="PG184" t="str">
        <f t="shared" si="195"/>
        <v>F0-AI39-8A</v>
      </c>
      <c r="PH184" t="str">
        <f t="shared" si="195"/>
        <v>F0-AI39-8B</v>
      </c>
      <c r="PM184">
        <f t="array" ref="PM184">IF(COUNTIFS($U$2:$U184,$U184)=1,1,INDEX(PM:PM,_xlfn.XMATCH($U184,$U$1:$U183,0,-1))+COUNT(PM183:PR183))</f>
        <v>7</v>
      </c>
      <c r="PN184">
        <f t="shared" si="194"/>
        <v>8</v>
      </c>
      <c r="PO184">
        <f t="shared" si="194"/>
        <v>9</v>
      </c>
      <c r="PP184">
        <f t="shared" si="194"/>
        <v>10</v>
      </c>
      <c r="PQ184">
        <f t="shared" si="194"/>
        <v>11</v>
      </c>
      <c r="PR184">
        <f t="shared" si="194"/>
        <v>12</v>
      </c>
      <c r="PV184">
        <v>7</v>
      </c>
      <c r="PW184">
        <v>8</v>
      </c>
      <c r="PX184">
        <v>9</v>
      </c>
      <c r="PY184">
        <v>10</v>
      </c>
      <c r="PZ184">
        <v>11</v>
      </c>
      <c r="QA184" s="16">
        <v>12</v>
      </c>
    </row>
    <row r="185" spans="1:543" ht="30.75" thickBot="1" x14ac:dyDescent="0.3">
      <c r="A185" s="29" t="s">
        <v>2396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A3.39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SUM(IF(ISNUMBER(FIND("TmAi",$BE$1:$AAQ$1)),IF(IFERROR(ISODD(SUBSTITUTE($BE185:$AAQ185,"A","")),FALSE),IF(ISODD(SUBSTITUTE($BE185:$AAQ185,"A","")),1,0),0)))</f>
        <v>2</v>
      </c>
      <c r="AA185" t="str">
        <f t="shared" si="189"/>
        <v>9A</v>
      </c>
      <c r="AB185" t="str">
        <f t="shared" si="190"/>
        <v>9B</v>
      </c>
      <c r="AD185" s="46"/>
      <c r="AE185" s="46">
        <f t="array" ref="AE185">SUM(IF(ISNUMBER(FIND("TmDi",$BE$1:$AAQ$1)),IF(IFERROR(ISNUMBER(VALUE(SUBSTITUTE($BE185:$AAQ185,"B",""))),FALSE),IF(ISNUMBER(VALUE(SUBSTITUTE($BE185:$AAQ185,"B",""))),1,0),0)))</f>
        <v>0</v>
      </c>
      <c r="AP185" t="s">
        <v>137</v>
      </c>
      <c r="AR185" t="s">
        <v>1048</v>
      </c>
      <c r="AS185" t="s">
        <v>396</v>
      </c>
      <c r="OL185" s="27" t="str">
        <f>CONCATENATE("XT",$U185)</f>
        <v>XT59</v>
      </c>
      <c r="OM185" t="s">
        <v>1034</v>
      </c>
      <c r="ON185" t="s">
        <v>1050</v>
      </c>
      <c r="OO185" t="s">
        <v>1035</v>
      </c>
      <c r="OP185" t="s">
        <v>1049</v>
      </c>
      <c r="OQ185" t="str">
        <f>CONCATENATE(REPLACE($AA185,LEN($AA185),1,"")+1,RIGHT($AA185))</f>
        <v>10A</v>
      </c>
      <c r="OR185" t="str">
        <f>CONCATENATE(REPLACE($AB185,LEN($AB185),1,"")+1,RIGHT($AB185))</f>
        <v>10B</v>
      </c>
      <c r="OS185" t="str">
        <f t="shared" si="192"/>
        <v>11A</v>
      </c>
      <c r="OT185" t="str">
        <f t="shared" si="192"/>
        <v>11B</v>
      </c>
      <c r="OU185" t="str">
        <f t="shared" si="192"/>
        <v>12A</v>
      </c>
      <c r="OV185" t="str">
        <f t="shared" si="192"/>
        <v>12B</v>
      </c>
      <c r="OW185" t="str">
        <f>CONCATENATE(REPLACE(OU185,LEN(OU185),1,"")+1,RIGHT(OU185))</f>
        <v>13A</v>
      </c>
      <c r="OX185" t="str">
        <f>CONCATENATE(REPLACE(OV185,LEN(OV185),1,"")+1,RIGHT(OV185))</f>
        <v>13B</v>
      </c>
      <c r="OY185" t="str">
        <f>CONCATENATE(REPLACE(OW185,LEN(OW185),1,"")+1,RIGHT(OW185))</f>
        <v>14A</v>
      </c>
      <c r="OZ185" t="str">
        <f>CONCATENATE(REPLACE(OX185,LEN(OX185),1,"")+1,RIGHT(OX185))</f>
        <v>14B</v>
      </c>
      <c r="PA185" t="str">
        <f>CONCATENATE($T185,"-AI",REPLACE($X185,1,3,""),"-",$AA185)</f>
        <v>F0-AI39-9A</v>
      </c>
      <c r="PB185" t="str">
        <f>CONCATENATE($T185,"-AI",REPLACE($X185,1,3,""),"-",$AB185)</f>
        <v>F0-AI39-9B</v>
      </c>
      <c r="PC185" t="str">
        <f t="shared" si="195"/>
        <v>F0-AI39-10A</v>
      </c>
      <c r="PD185" t="str">
        <f t="shared" si="195"/>
        <v>F0-AI39-10B</v>
      </c>
      <c r="PE185" t="str">
        <f t="shared" si="195"/>
        <v>F0-AI39-11A</v>
      </c>
      <c r="PF185" t="str">
        <f t="shared" si="195"/>
        <v>F0-AI39-11B</v>
      </c>
      <c r="PG185" t="str">
        <f t="shared" si="195"/>
        <v>F0-AI39-12A</v>
      </c>
      <c r="PH185" t="str">
        <f t="shared" si="195"/>
        <v>F0-AI39-12B</v>
      </c>
      <c r="PI185" t="str">
        <f>CONCATENATE($T185,"-AI",REPLACE($X185,1,3,""),"-",OW185)</f>
        <v>F0-AI39-13A</v>
      </c>
      <c r="PJ185" t="str">
        <f>CONCATENATE($T185,"-AI",REPLACE($X185,1,3,""),"-",OX185)</f>
        <v>F0-AI39-13B</v>
      </c>
      <c r="PK185" t="str">
        <f>CONCATENATE($T185,"-AI",REPLACE($X185,1,3,""),"-",OY185)</f>
        <v>F0-AI39-14A</v>
      </c>
      <c r="PL185" t="str">
        <f>CONCATENATE($T185,"-AI",REPLACE($X185,1,3,""),"-",OZ185)</f>
        <v>F0-AI39-14B</v>
      </c>
      <c r="PM185">
        <f t="array" ref="PM185">IF(COUNTIFS($U$2:$U185,$U185)=1,1,INDEX(PM:PM,_xlfn.XMATCH($U185,$U$1:$U184,0,-1))+COUNT(PM184:PR184))</f>
        <v>13</v>
      </c>
      <c r="PN185">
        <f>PM185+1</f>
        <v>14</v>
      </c>
      <c r="PO185">
        <f>PN185+1</f>
        <v>15</v>
      </c>
      <c r="PP185">
        <f t="shared" ref="PP185:PU185" si="196">PO185+1</f>
        <v>16</v>
      </c>
      <c r="PQ185">
        <f t="shared" si="196"/>
        <v>17</v>
      </c>
      <c r="PR185">
        <f t="shared" si="196"/>
        <v>18</v>
      </c>
      <c r="PS185">
        <f t="shared" si="196"/>
        <v>19</v>
      </c>
      <c r="PT185">
        <f t="shared" si="196"/>
        <v>20</v>
      </c>
      <c r="PU185">
        <f t="shared" si="196"/>
        <v>21</v>
      </c>
      <c r="PV185">
        <v>1</v>
      </c>
      <c r="PW185">
        <v>2</v>
      </c>
      <c r="PX185">
        <v>3</v>
      </c>
      <c r="PY185">
        <v>4</v>
      </c>
      <c r="PZ185">
        <v>5</v>
      </c>
      <c r="QA185">
        <v>6</v>
      </c>
      <c r="QB185" s="23">
        <v>7</v>
      </c>
      <c r="QC185" s="23">
        <v>8</v>
      </c>
      <c r="QD185" s="24">
        <v>9</v>
      </c>
    </row>
    <row r="186" spans="1:543" ht="30.75" thickBot="1" x14ac:dyDescent="0.3">
      <c r="A186" s="29" t="s">
        <v>2397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1214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SUM(IF(ISNUMBER(FIND("TmAi",$BE$1:$AAQ$1)),IF(IFERROR(ISODD(SUBSTITUTE($BE186:$AAQ186,"A","")),FALSE),IF(ISODD(SUBSTITUTE($BE186:$AAQ186,"A","")),1,0),0)))</f>
        <v>0</v>
      </c>
      <c r="AA186" t="str">
        <f>CONCATENATE($Y186*2-1,"B")</f>
        <v>1B</v>
      </c>
      <c r="AB186" t="str">
        <f>CONCATENATE($Y186*2,"B")</f>
        <v>2B</v>
      </c>
      <c r="AD186" s="46"/>
      <c r="AE186" s="46">
        <f t="array" ref="AE186">SUM(IF(ISNUMBER(FIND("TmDi",$BE$1:$AAQ$1)),IF(IFERROR(ISNUMBER(VALUE(SUBSTITUTE($BE186:$AAQ186,"B",""))),FALSE),IF(ISNUMBER(VALUE(SUBSTITUTE($BE186:$AAQ186,"B",""))),1,0),0)))</f>
        <v>0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F0-AI22-1B</v>
      </c>
      <c r="KD186" t="str">
        <f>CONCATENATE(T186,"-AI",REPLACE($X186,1,3,""),"-",AB186)</f>
        <v>F0-AI22-2B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L186" s="27"/>
      <c r="QA186" s="16"/>
    </row>
    <row r="187" spans="1:543" ht="30.75" thickBot="1" x14ac:dyDescent="0.3">
      <c r="A187" s="29" t="s">
        <v>2398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A3.22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SUM(IF(ISNUMBER(FIND("TmAi",$BE$1:$AAQ$1)),IF(IFERROR(ISODD(SUBSTITUTE($BE187:$AAQ187,"A","")),FALSE),IF(ISODD(SUBSTITUTE($BE187:$AAQ187,"A","")),1,0),0)))</f>
        <v>11</v>
      </c>
      <c r="AA187" t="str">
        <f t="shared" si="189"/>
        <v>3A</v>
      </c>
      <c r="AB187" t="str">
        <f t="shared" si="190"/>
        <v>3B</v>
      </c>
      <c r="AD187" s="46"/>
      <c r="AE187" s="46">
        <f t="array" ref="AE187">SUM(IF(ISNUMBER(FIND("TmDi",$BE$1:$AAQ$1)),IF(IFERROR(ISNUMBER(VALUE(SUBSTITUTE($BE187:$AAQ187,"B",""))),FALSE),IF(ISNUMBER(VALUE(SUBSTITUTE($BE187:$AAQ187,"B",""))),1,0),0)))</f>
        <v>0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QE187" s="25" t="str">
        <f>REPLACE(X187,FIND(".",X187)+1,3,MID(X187,FIND(".",X187)+1,3)+1)</f>
        <v>A3.23</v>
      </c>
      <c r="QF187" s="12" t="str">
        <f>CONCATENATE(VALUE(SUBSTITUTE($AB187,"B",""))+2,"B")</f>
        <v>5B</v>
      </c>
      <c r="QG187" s="12" t="str">
        <f>CONCATENATE(VALUE(SUBSTITUTE($AA187,"A",""))+2,"A")</f>
        <v>5A</v>
      </c>
      <c r="QH187" s="12" t="str">
        <f>CONCATENATE(VALUE(SUBSTITUTE(QF187,"B",""))+2,"B")</f>
        <v>7B</v>
      </c>
      <c r="QI187" s="12" t="str">
        <f>CONCATENATE(VALUE(SUBSTITUTE(QG187,"A",""))+2,"A")</f>
        <v>7A</v>
      </c>
      <c r="QJ187" s="12" t="str">
        <f>CONCATENATE(VALUE(SUBSTITUTE(QH187,"B",""))+2,"B")</f>
        <v>9B</v>
      </c>
      <c r="QK187" s="12" t="str">
        <f>CONCATENATE(VALUE(SUBSTITUTE(QI187,"A",""))+2,"A")</f>
        <v>9A</v>
      </c>
      <c r="QL187" s="12" t="str">
        <f>CONCATENATE(VALUE(SUBSTITUTE(QJ187,"B",""))+2,"B")</f>
        <v>11B</v>
      </c>
      <c r="QM187" s="12" t="str">
        <f>CONCATENATE(VALUE(SUBSTITUTE(QK187,"A",""))+2,"A")</f>
        <v>11A</v>
      </c>
      <c r="QN187" s="12" t="str">
        <f>CONCATENATE(VALUE(SUBSTITUTE(QL187,"B",""))+2,"B")</f>
        <v>13B</v>
      </c>
      <c r="QO187" s="12" t="str">
        <f>CONCATENATE(VALUE(SUBSTITUTE(QM187,"A",""))+2,"A")</f>
        <v>13A</v>
      </c>
      <c r="QP187" s="12" t="s">
        <v>135</v>
      </c>
      <c r="QQ187" s="12" t="s">
        <v>136</v>
      </c>
      <c r="QR187" s="12" t="str">
        <f>CONCATENATE(VALUE(SUBSTITUTE(QP187,"B",""))+2,"B")</f>
        <v>3B</v>
      </c>
      <c r="QS187" s="12" t="str">
        <f>CONCATENATE(VALUE(SUBSTITUTE(QQ187,"A",""))+2,"A")</f>
        <v>3A</v>
      </c>
      <c r="QT187" s="12" t="str">
        <f>CONCATENATE(VALUE(SUBSTITUTE(QR187,"B",""))+2,"B")</f>
        <v>5B</v>
      </c>
      <c r="QU187" s="12" t="str">
        <f>CONCATENATE(VALUE(SUBSTITUTE(QS187,"A",""))+2,"A")</f>
        <v>5A</v>
      </c>
      <c r="QV187" s="12" t="str">
        <f>CONCATENATE(VALUE(SUBSTITUTE(QT187,"B",""))+2,"B")</f>
        <v>7B</v>
      </c>
      <c r="QW187" s="12" t="str">
        <f>CONCATENATE(VALUE(SUBSTITUTE(QU187,"A",""))+2,"A")</f>
        <v>7A</v>
      </c>
      <c r="QX187" s="12" t="str">
        <f>CONCATENATE(VALUE(SUBSTITUTE(QV187,"B",""))+2,"B")</f>
        <v>9B</v>
      </c>
      <c r="QY187" s="12" t="str">
        <f>CONCATENATE(VALUE(SUBSTITUTE(QW187,"A",""))+2,"A")</f>
        <v>9A</v>
      </c>
      <c r="QZ187" s="12" t="str">
        <f>CONCATENATE(VALUE(SUBSTITUTE(QX187,"B",""))+2,"B")</f>
        <v>11B</v>
      </c>
      <c r="RA187" s="12" t="str">
        <f>CONCATENATE(VALUE(SUBSTITUTE(QY187,"A",""))+2,"A")</f>
        <v>11A</v>
      </c>
      <c r="RB187" s="12" t="str">
        <f>CONCATENATE($T187,"-AI",REPLACE($X187,1,3,""),"-",AB187)</f>
        <v>F0-AI22-3B</v>
      </c>
      <c r="RC187" s="12" t="str">
        <f>CONCATENATE($T187,"-AI",REPLACE($X187,1,3,""),"-",AA187)</f>
        <v>F0-AI22-3A</v>
      </c>
      <c r="RD187" s="12" t="str">
        <f>CONCATENATE($T187,"-AI",REPLACE($X187,1,3,""),"-",QF187)</f>
        <v>F0-AI22-5B</v>
      </c>
      <c r="RE187" s="12" t="str">
        <f>CONCATENATE($T187,"-AI",REPLACE($X187,1,3,""),"-",QG187)</f>
        <v>F0-AI22-5A</v>
      </c>
      <c r="RF187" s="12" t="str">
        <f t="shared" ref="RF187:RM187" si="197">CONCATENATE($T187,"-AI",REPLACE($X187,1,3,""),"-",QH187)</f>
        <v>F0-AI22-7B</v>
      </c>
      <c r="RG187" s="12" t="str">
        <f t="shared" si="197"/>
        <v>F0-AI22-7A</v>
      </c>
      <c r="RH187" s="12" t="str">
        <f t="shared" si="197"/>
        <v>F0-AI22-9B</v>
      </c>
      <c r="RI187" s="12" t="str">
        <f t="shared" si="197"/>
        <v>F0-AI22-9A</v>
      </c>
      <c r="RJ187" s="12" t="str">
        <f t="shared" si="197"/>
        <v>F0-AI22-11B</v>
      </c>
      <c r="RK187" s="12" t="str">
        <f t="shared" si="197"/>
        <v>F0-AI22-11A</v>
      </c>
      <c r="RL187" s="12" t="str">
        <f t="shared" si="197"/>
        <v>F0-AI22-13B</v>
      </c>
      <c r="RM187" s="12" t="str">
        <f t="shared" si="197"/>
        <v>F0-AI22-13A</v>
      </c>
      <c r="RN187" s="12" t="str">
        <f t="shared" ref="RN187:RY187" si="198">CONCATENATE($T187,"-AI",REPLACE($QE187,1,3,""),"-",QP187)</f>
        <v>F0-AI23-1B</v>
      </c>
      <c r="RO187" s="12" t="str">
        <f t="shared" si="198"/>
        <v>F0-AI23-1A</v>
      </c>
      <c r="RP187" s="12" t="str">
        <f t="shared" si="198"/>
        <v>F0-AI23-3B</v>
      </c>
      <c r="RQ187" s="12" t="str">
        <f t="shared" si="198"/>
        <v>F0-AI23-3A</v>
      </c>
      <c r="RR187" s="12" t="str">
        <f t="shared" si="198"/>
        <v>F0-AI23-5B</v>
      </c>
      <c r="RS187" s="12" t="str">
        <f t="shared" si="198"/>
        <v>F0-AI23-5A</v>
      </c>
      <c r="RT187" s="12" t="str">
        <f t="shared" si="198"/>
        <v>F0-AI23-7B</v>
      </c>
      <c r="RU187" s="12" t="str">
        <f t="shared" si="198"/>
        <v>F0-AI23-7A</v>
      </c>
      <c r="RV187" s="12" t="str">
        <f t="shared" si="198"/>
        <v>F0-AI23-9B</v>
      </c>
      <c r="RW187" s="12" t="str">
        <f t="shared" si="198"/>
        <v>F0-AI23-9A</v>
      </c>
      <c r="RX187" s="12" t="str">
        <f t="shared" si="198"/>
        <v>F0-AI23-11B</v>
      </c>
      <c r="RY187" s="12" t="str">
        <f t="shared" si="198"/>
        <v>F0-AI23-11A</v>
      </c>
      <c r="RZ187" s="12" t="str">
        <f>CONCATENATE("XT",$U187)</f>
        <v>XT59</v>
      </c>
      <c r="SA187" s="12">
        <v>25</v>
      </c>
      <c r="SB187" s="12">
        <f>SA187+1</f>
        <v>26</v>
      </c>
      <c r="SC187" s="12">
        <f t="shared" ref="SC187:SY187" si="199">SB187+1</f>
        <v>27</v>
      </c>
      <c r="SD187" s="12">
        <f t="shared" si="199"/>
        <v>28</v>
      </c>
      <c r="SE187" s="12">
        <f t="shared" si="199"/>
        <v>29</v>
      </c>
      <c r="SF187" s="12">
        <f t="shared" si="199"/>
        <v>30</v>
      </c>
      <c r="SG187" s="12">
        <f t="shared" si="199"/>
        <v>31</v>
      </c>
      <c r="SH187" s="12">
        <f t="shared" si="199"/>
        <v>32</v>
      </c>
      <c r="SI187" s="12">
        <f t="shared" si="199"/>
        <v>33</v>
      </c>
      <c r="SJ187" s="12">
        <f t="shared" si="199"/>
        <v>34</v>
      </c>
      <c r="SK187" s="12">
        <f t="shared" si="199"/>
        <v>35</v>
      </c>
      <c r="SL187" s="12">
        <f t="shared" si="199"/>
        <v>36</v>
      </c>
      <c r="SM187" s="12">
        <f t="shared" si="199"/>
        <v>37</v>
      </c>
      <c r="SN187" s="12">
        <f t="shared" si="199"/>
        <v>38</v>
      </c>
      <c r="SO187" s="12">
        <f t="shared" si="199"/>
        <v>39</v>
      </c>
      <c r="SP187" s="12">
        <f t="shared" si="199"/>
        <v>40</v>
      </c>
      <c r="SQ187" s="12">
        <f t="shared" si="199"/>
        <v>41</v>
      </c>
      <c r="SR187" s="12">
        <f t="shared" si="199"/>
        <v>42</v>
      </c>
      <c r="SS187" s="12">
        <f t="shared" si="199"/>
        <v>43</v>
      </c>
      <c r="ST187" s="12">
        <f t="shared" si="199"/>
        <v>44</v>
      </c>
      <c r="SU187" s="12">
        <f t="shared" si="199"/>
        <v>45</v>
      </c>
      <c r="SV187" s="12">
        <f t="shared" si="199"/>
        <v>46</v>
      </c>
      <c r="SW187" s="12">
        <f t="shared" si="199"/>
        <v>47</v>
      </c>
      <c r="SX187" s="12">
        <f t="shared" si="199"/>
        <v>48</v>
      </c>
      <c r="SY187" s="12">
        <f t="shared" si="199"/>
        <v>49</v>
      </c>
      <c r="SZ187" s="12" t="s">
        <v>1060</v>
      </c>
      <c r="TA187" s="12" t="s">
        <v>1116</v>
      </c>
      <c r="TB187" s="12" t="s">
        <v>1117</v>
      </c>
      <c r="TC187" s="12" t="s">
        <v>1118</v>
      </c>
      <c r="TD187" s="12" t="s">
        <v>1119</v>
      </c>
      <c r="TE187" s="12" t="s">
        <v>1120</v>
      </c>
      <c r="TF187" s="12" t="s">
        <v>1121</v>
      </c>
      <c r="TG187" s="12" t="s">
        <v>1122</v>
      </c>
      <c r="TH187" s="12" t="s">
        <v>1123</v>
      </c>
      <c r="TI187" s="12" t="s">
        <v>1124</v>
      </c>
      <c r="TJ187" s="12" t="s">
        <v>1125</v>
      </c>
      <c r="TK187" s="12" t="s">
        <v>1126</v>
      </c>
      <c r="TL187" s="12" t="s">
        <v>1059</v>
      </c>
      <c r="TM187" s="12" t="s">
        <v>1128</v>
      </c>
      <c r="TN187" s="12" t="s">
        <v>1129</v>
      </c>
      <c r="TO187" s="12" t="s">
        <v>1130</v>
      </c>
      <c r="TP187" s="12" t="s">
        <v>1132</v>
      </c>
      <c r="TQ187" s="12" t="s">
        <v>1131</v>
      </c>
      <c r="TR187" s="12" t="s">
        <v>1133</v>
      </c>
      <c r="TS187" s="12" t="s">
        <v>1134</v>
      </c>
      <c r="TT187" s="12" t="s">
        <v>1135</v>
      </c>
      <c r="TU187" s="12" t="s">
        <v>1136</v>
      </c>
      <c r="TV187" s="12" t="s">
        <v>1137</v>
      </c>
      <c r="TW187" s="13" t="s">
        <v>1138</v>
      </c>
    </row>
    <row r="188" spans="1:543" ht="30" x14ac:dyDescent="0.25">
      <c r="A188" s="29" t="s">
        <v>2399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1977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SUM(IF(ISNUMBER(FIND("TmAi",$BE$1:$AAQ$1)),IF(IFERROR(ISODD(SUBSTITUTE($BE188:$AAQ188,"A","")),FALSE),IF(ISODD(SUBSTITUTE($BE188:$AAQ188,"A","")),1,0),0)))</f>
        <v>1</v>
      </c>
      <c r="AA188" t="str">
        <f t="shared" si="189"/>
        <v>1A</v>
      </c>
      <c r="AB188" t="str">
        <f t="shared" si="190"/>
        <v>1B</v>
      </c>
      <c r="AD188" s="46"/>
      <c r="AE188" s="46">
        <f t="array" ref="AE188">SUM(IF(ISNUMBER(FIND("TmDi",$BE$1:$AAQ$1)),IF(IFERROR(ISNUMBER(VALUE(SUBSTITUTE($BE188:$AAQ188,"B",""))),FALSE),IF(ISNUMBER(VALUE(SUBSTITUTE($BE188:$AAQ188,"B",""))),1,0),0)))</f>
        <v>0</v>
      </c>
      <c r="AP188" t="s">
        <v>137</v>
      </c>
      <c r="AR188" t="s">
        <v>1152</v>
      </c>
      <c r="AS188" t="s">
        <v>396</v>
      </c>
      <c r="OL188" s="25" t="str">
        <f>CONCATENATE("XT",$U188)</f>
        <v>XT60</v>
      </c>
      <c r="OM188" s="12" t="s">
        <v>1174</v>
      </c>
      <c r="ON188" s="12" t="s">
        <v>1179</v>
      </c>
      <c r="OO188" s="12"/>
      <c r="OP188" s="12"/>
      <c r="OQ188" s="12" t="str">
        <f>CONCATENATE(REPLACE($AA188,LEN($AA188),1,"")+1,RIGHT($AA188))</f>
        <v>2A</v>
      </c>
      <c r="OR188" s="12" t="str">
        <f>CONCATENATE(REPLACE($AB188,LEN($AB188),1,"")+1,RIGHT($AB188))</f>
        <v>2B</v>
      </c>
      <c r="OS188" s="12" t="str">
        <f t="shared" ref="OS188:OV190" si="200">CONCATENATE(REPLACE(OQ188,LEN(OQ188),1,"")+1,RIGHT(OQ188))</f>
        <v>3A</v>
      </c>
      <c r="OT188" s="12" t="str">
        <f t="shared" si="200"/>
        <v>3B</v>
      </c>
      <c r="OU188" s="12" t="str">
        <f t="shared" si="200"/>
        <v>4A</v>
      </c>
      <c r="OV188" s="12" t="str">
        <f t="shared" si="200"/>
        <v>4B</v>
      </c>
      <c r="OW188" s="12"/>
      <c r="OX188" s="12"/>
      <c r="OY188" s="12"/>
      <c r="OZ188" s="12"/>
      <c r="PA188" s="12" t="str">
        <f>CONCATENATE($T188,"-AI",REPLACE($X188,1,3,""),"-",$AA188)</f>
        <v>F0-AI40-1A</v>
      </c>
      <c r="PB188" s="12" t="str">
        <f>CONCATENATE($T188,"-AI",REPLACE($X188,1,3,""),"-",$AB188)</f>
        <v>F0-AI40-1B</v>
      </c>
      <c r="PC188" s="12" t="str">
        <f t="shared" ref="PC188:PH190" si="201">CONCATENATE($T188,"-AI",REPLACE($X188,1,3,""),"-",OQ188)</f>
        <v>F0-AI40-2A</v>
      </c>
      <c r="PD188" s="12" t="str">
        <f t="shared" si="201"/>
        <v>F0-AI40-2B</v>
      </c>
      <c r="PE188" s="12" t="str">
        <f t="shared" si="201"/>
        <v>F0-AI40-3A</v>
      </c>
      <c r="PF188" s="12" t="str">
        <f t="shared" si="201"/>
        <v>F0-AI40-3B</v>
      </c>
      <c r="PG188" s="12" t="str">
        <f t="shared" si="201"/>
        <v>F0-AI40-4A</v>
      </c>
      <c r="PH188" s="12" t="str">
        <f t="shared" si="201"/>
        <v>F0-AI40-4B</v>
      </c>
      <c r="PI188" s="12"/>
      <c r="PJ188" s="12"/>
      <c r="PK188" s="12"/>
      <c r="PL188" s="12"/>
      <c r="PM188" s="12">
        <f t="array" ref="PM188">IF(COUNTIFS($U$2:$U188,$U188)=1,1,INDEX(PM:PM,_xlfn.XMATCH($U188,$U$1:EF187,0,-1))+COUNT(PM187:PR187))</f>
        <v>1</v>
      </c>
      <c r="PN188" s="12">
        <f t="shared" ref="PN188:PR190" si="202">PM188+1</f>
        <v>2</v>
      </c>
      <c r="PO188" s="12">
        <f t="shared" si="202"/>
        <v>3</v>
      </c>
      <c r="PP188" s="12">
        <f t="shared" si="202"/>
        <v>4</v>
      </c>
      <c r="PQ188" s="12">
        <f t="shared" si="202"/>
        <v>5</v>
      </c>
      <c r="PR188" s="12">
        <f t="shared" si="202"/>
        <v>6</v>
      </c>
      <c r="PS188" s="12"/>
      <c r="PT188" s="12"/>
      <c r="PU188" s="12"/>
      <c r="PV188" s="12">
        <v>1</v>
      </c>
      <c r="PW188" s="12">
        <v>2</v>
      </c>
      <c r="PX188" s="12">
        <v>3</v>
      </c>
      <c r="PY188" s="12">
        <v>4</v>
      </c>
      <c r="PZ188" s="12">
        <v>5</v>
      </c>
      <c r="QA188" s="13">
        <v>6</v>
      </c>
    </row>
    <row r="189" spans="1:543" ht="30.75" thickBot="1" x14ac:dyDescent="0.3">
      <c r="A189" s="29" t="s">
        <v>2400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A3.40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SUM(IF(ISNUMBER(FIND("TmAi",$BE$1:$AAQ$1)),IF(IFERROR(ISODD(SUBSTITUTE($BE189:$AAQ189,"A","")),FALSE),IF(ISODD(SUBSTITUTE($BE189:$AAQ189,"A","")),1,0),0)))</f>
        <v>1</v>
      </c>
      <c r="AA189" t="str">
        <f t="shared" si="189"/>
        <v>5A</v>
      </c>
      <c r="AB189" t="str">
        <f t="shared" si="190"/>
        <v>5B</v>
      </c>
      <c r="AD189" s="46"/>
      <c r="AE189" s="46">
        <f t="array" ref="AE189">SUM(IF(ISNUMBER(FIND("TmDi",$BE$1:$AAQ$1)),IF(IFERROR(ISNUMBER(VALUE(SUBSTITUTE($BE189:$AAQ189,"B",""))),FALSE),IF(ISNUMBER(VALUE(SUBSTITUTE($BE189:$AAQ189,"B",""))),1,0),0)))</f>
        <v>0</v>
      </c>
      <c r="AP189" t="s">
        <v>137</v>
      </c>
      <c r="AR189" t="s">
        <v>1152</v>
      </c>
      <c r="AS189" t="s">
        <v>396</v>
      </c>
      <c r="OL189" s="27" t="str">
        <f>CONCATENATE("XT",$U189)</f>
        <v>XT60</v>
      </c>
      <c r="OM189" t="s">
        <v>1175</v>
      </c>
      <c r="ON189" t="s">
        <v>1181</v>
      </c>
      <c r="OQ189" t="str">
        <f>CONCATENATE(REPLACE($AA189,LEN($AA189),1,"")+1,RIGHT($AA189))</f>
        <v>6A</v>
      </c>
      <c r="OR189" t="str">
        <f>CONCATENATE(REPLACE($AB189,LEN($AB189),1,"")+1,RIGHT($AB189))</f>
        <v>6B</v>
      </c>
      <c r="OS189" t="str">
        <f t="shared" si="200"/>
        <v>7A</v>
      </c>
      <c r="OT189" t="str">
        <f t="shared" si="200"/>
        <v>7B</v>
      </c>
      <c r="OU189" t="str">
        <f t="shared" si="200"/>
        <v>8A</v>
      </c>
      <c r="OV189" t="str">
        <f t="shared" si="200"/>
        <v>8B</v>
      </c>
      <c r="PA189" t="str">
        <f>CONCATENATE($T189,"-AI",REPLACE($X189,1,3,""),"-",$AA189)</f>
        <v>F0-AI40-5A</v>
      </c>
      <c r="PB189" t="str">
        <f>CONCATENATE($T189,"-AI",REPLACE($X189,1,3,""),"-",$AB189)</f>
        <v>F0-AI40-5B</v>
      </c>
      <c r="PC189" t="str">
        <f t="shared" si="201"/>
        <v>F0-AI40-6A</v>
      </c>
      <c r="PD189" t="str">
        <f t="shared" si="201"/>
        <v>F0-AI40-6B</v>
      </c>
      <c r="PE189" t="str">
        <f t="shared" si="201"/>
        <v>F0-AI40-7A</v>
      </c>
      <c r="PF189" t="str">
        <f t="shared" si="201"/>
        <v>F0-AI40-7B</v>
      </c>
      <c r="PG189" t="str">
        <f t="shared" si="201"/>
        <v>F0-AI40-8A</v>
      </c>
      <c r="PH189" t="str">
        <f t="shared" si="201"/>
        <v>F0-AI40-8B</v>
      </c>
      <c r="PM189">
        <f t="array" ref="PM189">IF(COUNTIFS($U$2:$U189,$U189)=1,1,INDEX(PM:PM,_xlfn.XMATCH($U189,$U$1:$U188,0,-1))+COUNT(PM188:PR188))</f>
        <v>7</v>
      </c>
      <c r="PN189">
        <f t="shared" si="202"/>
        <v>8</v>
      </c>
      <c r="PO189">
        <f t="shared" si="202"/>
        <v>9</v>
      </c>
      <c r="PP189">
        <f t="shared" si="202"/>
        <v>10</v>
      </c>
      <c r="PQ189">
        <f t="shared" si="202"/>
        <v>11</v>
      </c>
      <c r="PR189">
        <f t="shared" si="202"/>
        <v>12</v>
      </c>
      <c r="PV189">
        <v>7</v>
      </c>
      <c r="PW189">
        <v>8</v>
      </c>
      <c r="PX189">
        <v>9</v>
      </c>
      <c r="PY189">
        <v>10</v>
      </c>
      <c r="PZ189">
        <v>11</v>
      </c>
      <c r="QA189" s="16">
        <v>12</v>
      </c>
    </row>
    <row r="190" spans="1:543" ht="30.75" thickBot="1" x14ac:dyDescent="0.3">
      <c r="A190" s="29" t="s">
        <v>2401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A3.40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SUM(IF(ISNUMBER(FIND("TmAi",$BE$1:$AAQ$1)),IF(IFERROR(ISODD(SUBSTITUTE($BE190:$AAQ190,"A","")),FALSE),IF(ISODD(SUBSTITUTE($BE190:$AAQ190,"A","")),1,0),0)))</f>
        <v>2</v>
      </c>
      <c r="AA190" t="str">
        <f t="shared" si="189"/>
        <v>9A</v>
      </c>
      <c r="AB190" t="str">
        <f t="shared" si="190"/>
        <v>9B</v>
      </c>
      <c r="AD190" s="46"/>
      <c r="AE190" s="46">
        <f t="array" ref="AE190">SUM(IF(ISNUMBER(FIND("TmDi",$BE$1:$AAQ$1)),IF(IFERROR(ISNUMBER(VALUE(SUBSTITUTE($BE190:$AAQ190,"B",""))),FALSE),IF(ISNUMBER(VALUE(SUBSTITUTE($BE190:$AAQ190,"B",""))),1,0),0)))</f>
        <v>0</v>
      </c>
      <c r="AP190" t="s">
        <v>137</v>
      </c>
      <c r="AR190" t="s">
        <v>1153</v>
      </c>
      <c r="AS190" t="s">
        <v>396</v>
      </c>
      <c r="OL190" s="27" t="str">
        <f>CONCATENATE("XT",$U190)</f>
        <v>XT60</v>
      </c>
      <c r="OM190" t="s">
        <v>1176</v>
      </c>
      <c r="ON190" t="s">
        <v>1183</v>
      </c>
      <c r="OO190" t="s">
        <v>1320</v>
      </c>
      <c r="OP190" t="s">
        <v>1319</v>
      </c>
      <c r="OQ190" t="str">
        <f>CONCATENATE(REPLACE($AA190,LEN($AA190),1,"")+1,RIGHT($AA190))</f>
        <v>10A</v>
      </c>
      <c r="OR190" t="str">
        <f>CONCATENATE(REPLACE($AB190,LEN($AB190),1,"")+1,RIGHT($AB190))</f>
        <v>10B</v>
      </c>
      <c r="OS190" t="str">
        <f t="shared" si="200"/>
        <v>11A</v>
      </c>
      <c r="OT190" t="str">
        <f t="shared" si="200"/>
        <v>11B</v>
      </c>
      <c r="OU190" t="str">
        <f t="shared" si="200"/>
        <v>12A</v>
      </c>
      <c r="OV190" t="str">
        <f t="shared" si="200"/>
        <v>12B</v>
      </c>
      <c r="OW190" t="str">
        <f>CONCATENATE(REPLACE(OU190,LEN(OU190),1,"")+1,RIGHT(OU190))</f>
        <v>13A</v>
      </c>
      <c r="OX190" t="str">
        <f>CONCATENATE(REPLACE(OV190,LEN(OV190),1,"")+1,RIGHT(OV190))</f>
        <v>13B</v>
      </c>
      <c r="OY190" t="str">
        <f>CONCATENATE(REPLACE(OW190,LEN(OW190),1,"")+1,RIGHT(OW190))</f>
        <v>14A</v>
      </c>
      <c r="OZ190" t="str">
        <f>CONCATENATE(REPLACE(OX190,LEN(OX190),1,"")+1,RIGHT(OX190))</f>
        <v>14B</v>
      </c>
      <c r="PA190" t="str">
        <f>CONCATENATE($T190,"-AI",REPLACE($X190,1,3,""),"-",$AA190)</f>
        <v>F0-AI40-9A</v>
      </c>
      <c r="PB190" t="str">
        <f>CONCATENATE($T190,"-AI",REPLACE($X190,1,3,""),"-",$AB190)</f>
        <v>F0-AI40-9B</v>
      </c>
      <c r="PC190" t="str">
        <f t="shared" si="201"/>
        <v>F0-AI40-10A</v>
      </c>
      <c r="PD190" t="str">
        <f t="shared" si="201"/>
        <v>F0-AI40-10B</v>
      </c>
      <c r="PE190" t="str">
        <f t="shared" si="201"/>
        <v>F0-AI40-11A</v>
      </c>
      <c r="PF190" t="str">
        <f t="shared" si="201"/>
        <v>F0-AI40-11B</v>
      </c>
      <c r="PG190" t="str">
        <f t="shared" si="201"/>
        <v>F0-AI40-12A</v>
      </c>
      <c r="PH190" t="str">
        <f t="shared" si="201"/>
        <v>F0-AI40-12B</v>
      </c>
      <c r="PI190" t="str">
        <f>CONCATENATE($T190,"-AI",REPLACE($X190,1,3,""),"-",OW190)</f>
        <v>F0-AI40-13A</v>
      </c>
      <c r="PJ190" t="str">
        <f>CONCATENATE($T190,"-AI",REPLACE($X190,1,3,""),"-",OX190)</f>
        <v>F0-AI40-13B</v>
      </c>
      <c r="PK190" t="str">
        <f>CONCATENATE($T190,"-AI",REPLACE($X190,1,3,""),"-",OY190)</f>
        <v>F0-AI40-14A</v>
      </c>
      <c r="PL190" t="str">
        <f>CONCATENATE($T190,"-AI",REPLACE($X190,1,3,""),"-",OZ190)</f>
        <v>F0-AI40-14B</v>
      </c>
      <c r="PM190">
        <f t="array" ref="PM190">IF(COUNTIFS($U$2:$U190,$U190)=1,1,INDEX(PM:PM,_xlfn.XMATCH($U190,$U$1:$U189,0,-1))+COUNT(PM189:PR189))</f>
        <v>13</v>
      </c>
      <c r="PN190">
        <f t="shared" si="202"/>
        <v>14</v>
      </c>
      <c r="PO190">
        <f t="shared" si="202"/>
        <v>15</v>
      </c>
      <c r="PP190">
        <f t="shared" si="202"/>
        <v>16</v>
      </c>
      <c r="PQ190">
        <f t="shared" si="202"/>
        <v>17</v>
      </c>
      <c r="PR190">
        <f t="shared" si="202"/>
        <v>18</v>
      </c>
      <c r="PS190">
        <f>PR190+1</f>
        <v>19</v>
      </c>
      <c r="PT190">
        <f>PS190+1</f>
        <v>20</v>
      </c>
      <c r="PU190">
        <f>PT190+1</f>
        <v>21</v>
      </c>
      <c r="PV190">
        <v>1</v>
      </c>
      <c r="PW190">
        <v>2</v>
      </c>
      <c r="PX190">
        <v>3</v>
      </c>
      <c r="PY190">
        <v>4</v>
      </c>
      <c r="PZ190">
        <v>5</v>
      </c>
      <c r="QA190">
        <v>6</v>
      </c>
      <c r="QB190" s="23">
        <v>7</v>
      </c>
      <c r="QC190" s="23">
        <v>8</v>
      </c>
      <c r="QD190" s="24">
        <v>9</v>
      </c>
    </row>
    <row r="191" spans="1:543" ht="30.75" thickBot="1" x14ac:dyDescent="0.3">
      <c r="A191" s="29" t="s">
        <v>2402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1247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SUM(IF(ISNUMBER(FIND("TmAi",$BE$1:$AAQ$1)),IF(IFERROR(ISODD(SUBSTITUTE($BE191:$AAQ191,"A","")),FALSE),IF(ISODD(SUBSTITUTE($BE191:$AAQ191,"A","")),1,0),0)))</f>
        <v>0</v>
      </c>
      <c r="AA191" t="str">
        <f>CONCATENATE($Y191*2-1,"B")</f>
        <v>1B</v>
      </c>
      <c r="AB191" t="str">
        <f>CONCATENATE($Y191*2,"B")</f>
        <v>2B</v>
      </c>
      <c r="AD191" s="46"/>
      <c r="AE191" s="46">
        <f t="array" ref="AE191">SUM(IF(ISNUMBER(FIND("TmDi",$BE$1:$AAQ$1)),IF(IFERROR(ISNUMBER(VALUE(SUBSTITUTE($BE191:$AAQ191,"B",""))),FALSE),IF(ISNUMBER(VALUE(SUBSTITUTE($BE191:$AAQ191,"B",""))),1,0),0)))</f>
        <v>0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F0-AI24-1B</v>
      </c>
      <c r="KD191" t="str">
        <f>CONCATENATE(T191,"-AI",REPLACE($X191,1,3,""),"-",AB191)</f>
        <v>F0-AI24-2B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L191" s="27"/>
      <c r="QA191" s="16"/>
    </row>
    <row r="192" spans="1:543" ht="30.75" thickBot="1" x14ac:dyDescent="0.3">
      <c r="A192" s="29" t="s">
        <v>2403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A3.24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SUM(IF(ISNUMBER(FIND("TmAi",$BE$1:$AAQ$1)),IF(IFERROR(ISODD(SUBSTITUTE($BE192:$AAQ192,"A","")),FALSE),IF(ISODD(SUBSTITUTE($BE192:$AAQ192,"A","")),1,0),0)))</f>
        <v>11</v>
      </c>
      <c r="AA192" t="str">
        <f t="shared" si="189"/>
        <v>3A</v>
      </c>
      <c r="AB192" t="str">
        <f t="shared" si="190"/>
        <v>3B</v>
      </c>
      <c r="AD192" s="46"/>
      <c r="AE192" s="46">
        <f t="array" ref="AE192">SUM(IF(ISNUMBER(FIND("TmDi",$BE$1:$AAQ$1)),IF(IFERROR(ISNUMBER(VALUE(SUBSTITUTE($BE192:$AAQ192,"B",""))),FALSE),IF(ISNUMBER(VALUE(SUBSTITUTE($BE192:$AAQ192,"B",""))),1,0),0)))</f>
        <v>0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QE192" s="25" t="str">
        <f>REPLACE(X192,FIND(".",X192)+1,3,MID(X192,FIND(".",X192)+1,3)+1)</f>
        <v>A3.25</v>
      </c>
      <c r="QF192" s="12" t="str">
        <f>CONCATENATE(VALUE(SUBSTITUTE($AB192,"B",""))+2,"B")</f>
        <v>5B</v>
      </c>
      <c r="QG192" s="12" t="str">
        <f>CONCATENATE(VALUE(SUBSTITUTE($AA192,"A",""))+2,"A")</f>
        <v>5A</v>
      </c>
      <c r="QH192" s="12" t="str">
        <f>CONCATENATE(VALUE(SUBSTITUTE(QF192,"B",""))+2,"B")</f>
        <v>7B</v>
      </c>
      <c r="QI192" s="12" t="str">
        <f>CONCATENATE(VALUE(SUBSTITUTE(QG192,"A",""))+2,"A")</f>
        <v>7A</v>
      </c>
      <c r="QJ192" s="12" t="str">
        <f>CONCATENATE(VALUE(SUBSTITUTE(QH192,"B",""))+2,"B")</f>
        <v>9B</v>
      </c>
      <c r="QK192" s="12" t="str">
        <f>CONCATENATE(VALUE(SUBSTITUTE(QI192,"A",""))+2,"A")</f>
        <v>9A</v>
      </c>
      <c r="QL192" s="12" t="str">
        <f>CONCATENATE(VALUE(SUBSTITUTE(QJ192,"B",""))+2,"B")</f>
        <v>11B</v>
      </c>
      <c r="QM192" s="12" t="str">
        <f>CONCATENATE(VALUE(SUBSTITUTE(QK192,"A",""))+2,"A")</f>
        <v>11A</v>
      </c>
      <c r="QN192" s="12" t="str">
        <f>CONCATENATE(VALUE(SUBSTITUTE(QL192,"B",""))+2,"B")</f>
        <v>13B</v>
      </c>
      <c r="QO192" s="12" t="str">
        <f>CONCATENATE(VALUE(SUBSTITUTE(QM192,"A",""))+2,"A")</f>
        <v>13A</v>
      </c>
      <c r="QP192" s="12" t="s">
        <v>135</v>
      </c>
      <c r="QQ192" s="12" t="s">
        <v>136</v>
      </c>
      <c r="QR192" s="12" t="str">
        <f>CONCATENATE(VALUE(SUBSTITUTE(QP192,"B",""))+2,"B")</f>
        <v>3B</v>
      </c>
      <c r="QS192" s="12" t="str">
        <f>CONCATENATE(VALUE(SUBSTITUTE(QQ192,"A",""))+2,"A")</f>
        <v>3A</v>
      </c>
      <c r="QT192" s="12" t="str">
        <f>CONCATENATE(VALUE(SUBSTITUTE(QR192,"B",""))+2,"B")</f>
        <v>5B</v>
      </c>
      <c r="QU192" s="12" t="str">
        <f>CONCATENATE(VALUE(SUBSTITUTE(QS192,"A",""))+2,"A")</f>
        <v>5A</v>
      </c>
      <c r="QV192" s="12" t="str">
        <f>CONCATENATE(VALUE(SUBSTITUTE(QT192,"B",""))+2,"B")</f>
        <v>7B</v>
      </c>
      <c r="QW192" s="12" t="str">
        <f>CONCATENATE(VALUE(SUBSTITUTE(QU192,"A",""))+2,"A")</f>
        <v>7A</v>
      </c>
      <c r="QX192" s="12" t="str">
        <f>CONCATENATE(VALUE(SUBSTITUTE(QV192,"B",""))+2,"B")</f>
        <v>9B</v>
      </c>
      <c r="QY192" s="12" t="str">
        <f>CONCATENATE(VALUE(SUBSTITUTE(QW192,"A",""))+2,"A")</f>
        <v>9A</v>
      </c>
      <c r="QZ192" s="12" t="str">
        <f>CONCATENATE(VALUE(SUBSTITUTE(QX192,"B",""))+2,"B")</f>
        <v>11B</v>
      </c>
      <c r="RA192" s="12" t="str">
        <f>CONCATENATE(VALUE(SUBSTITUTE(QY192,"A",""))+2,"A")</f>
        <v>11A</v>
      </c>
      <c r="RB192" s="12" t="str">
        <f>CONCATENATE($T192,"-AI",REPLACE($X192,1,3,""),"-",AB192)</f>
        <v>F0-AI24-3B</v>
      </c>
      <c r="RC192" s="12" t="str">
        <f>CONCATENATE($T192,"-AI",REPLACE($X192,1,3,""),"-",AA192)</f>
        <v>F0-AI24-3A</v>
      </c>
      <c r="RD192" s="12" t="str">
        <f t="shared" ref="RD192:RM192" si="203">CONCATENATE($T192,"-AI",REPLACE($X192,1,3,""),"-",QF192)</f>
        <v>F0-AI24-5B</v>
      </c>
      <c r="RE192" s="12" t="str">
        <f t="shared" si="203"/>
        <v>F0-AI24-5A</v>
      </c>
      <c r="RF192" s="12" t="str">
        <f t="shared" si="203"/>
        <v>F0-AI24-7B</v>
      </c>
      <c r="RG192" s="12" t="str">
        <f t="shared" si="203"/>
        <v>F0-AI24-7A</v>
      </c>
      <c r="RH192" s="12" t="str">
        <f t="shared" si="203"/>
        <v>F0-AI24-9B</v>
      </c>
      <c r="RI192" s="12" t="str">
        <f t="shared" si="203"/>
        <v>F0-AI24-9A</v>
      </c>
      <c r="RJ192" s="12" t="str">
        <f t="shared" si="203"/>
        <v>F0-AI24-11B</v>
      </c>
      <c r="RK192" s="12" t="str">
        <f t="shared" si="203"/>
        <v>F0-AI24-11A</v>
      </c>
      <c r="RL192" s="12" t="str">
        <f t="shared" si="203"/>
        <v>F0-AI24-13B</v>
      </c>
      <c r="RM192" s="12" t="str">
        <f t="shared" si="203"/>
        <v>F0-AI24-13A</v>
      </c>
      <c r="RN192" s="12" t="str">
        <f t="shared" ref="RN192:RY192" si="204">CONCATENATE($T192,"-AI",REPLACE($QE192,1,3,""),"-",QP192)</f>
        <v>F0-AI25-1B</v>
      </c>
      <c r="RO192" s="12" t="str">
        <f t="shared" si="204"/>
        <v>F0-AI25-1A</v>
      </c>
      <c r="RP192" s="12" t="str">
        <f t="shared" si="204"/>
        <v>F0-AI25-3B</v>
      </c>
      <c r="RQ192" s="12" t="str">
        <f t="shared" si="204"/>
        <v>F0-AI25-3A</v>
      </c>
      <c r="RR192" s="12" t="str">
        <f t="shared" si="204"/>
        <v>F0-AI25-5B</v>
      </c>
      <c r="RS192" s="12" t="str">
        <f t="shared" si="204"/>
        <v>F0-AI25-5A</v>
      </c>
      <c r="RT192" s="12" t="str">
        <f t="shared" si="204"/>
        <v>F0-AI25-7B</v>
      </c>
      <c r="RU192" s="12" t="str">
        <f t="shared" si="204"/>
        <v>F0-AI25-7A</v>
      </c>
      <c r="RV192" s="12" t="str">
        <f t="shared" si="204"/>
        <v>F0-AI25-9B</v>
      </c>
      <c r="RW192" s="12" t="str">
        <f t="shared" si="204"/>
        <v>F0-AI25-9A</v>
      </c>
      <c r="RX192" s="12" t="str">
        <f t="shared" si="204"/>
        <v>F0-AI25-11B</v>
      </c>
      <c r="RY192" s="12" t="str">
        <f t="shared" si="204"/>
        <v>F0-AI25-11A</v>
      </c>
      <c r="RZ192" s="12" t="str">
        <f>CONCATENATE("XT",$U192)</f>
        <v>XT60</v>
      </c>
      <c r="SA192" s="12">
        <v>25</v>
      </c>
      <c r="SB192" s="12">
        <f>SA192+1</f>
        <v>26</v>
      </c>
      <c r="SC192" s="12">
        <f t="shared" ref="SC192:SY192" si="205">SB192+1</f>
        <v>27</v>
      </c>
      <c r="SD192" s="12">
        <f t="shared" si="205"/>
        <v>28</v>
      </c>
      <c r="SE192" s="12">
        <f t="shared" si="205"/>
        <v>29</v>
      </c>
      <c r="SF192" s="12">
        <f t="shared" si="205"/>
        <v>30</v>
      </c>
      <c r="SG192" s="12">
        <f t="shared" si="205"/>
        <v>31</v>
      </c>
      <c r="SH192" s="12">
        <f t="shared" si="205"/>
        <v>32</v>
      </c>
      <c r="SI192" s="12">
        <f t="shared" si="205"/>
        <v>33</v>
      </c>
      <c r="SJ192" s="12">
        <f t="shared" si="205"/>
        <v>34</v>
      </c>
      <c r="SK192" s="12">
        <f t="shared" si="205"/>
        <v>35</v>
      </c>
      <c r="SL192" s="12">
        <f t="shared" si="205"/>
        <v>36</v>
      </c>
      <c r="SM192" s="12">
        <f t="shared" si="205"/>
        <v>37</v>
      </c>
      <c r="SN192" s="12">
        <f t="shared" si="205"/>
        <v>38</v>
      </c>
      <c r="SO192" s="12">
        <f t="shared" si="205"/>
        <v>39</v>
      </c>
      <c r="SP192" s="12">
        <f t="shared" si="205"/>
        <v>40</v>
      </c>
      <c r="SQ192" s="12">
        <f t="shared" si="205"/>
        <v>41</v>
      </c>
      <c r="SR192" s="12">
        <f t="shared" si="205"/>
        <v>42</v>
      </c>
      <c r="SS192" s="12">
        <f t="shared" si="205"/>
        <v>43</v>
      </c>
      <c r="ST192" s="12">
        <f t="shared" si="205"/>
        <v>44</v>
      </c>
      <c r="SU192" s="12">
        <f t="shared" si="205"/>
        <v>45</v>
      </c>
      <c r="SV192" s="12">
        <f t="shared" si="205"/>
        <v>46</v>
      </c>
      <c r="SW192" s="12">
        <f t="shared" si="205"/>
        <v>47</v>
      </c>
      <c r="SX192" s="12">
        <f t="shared" si="205"/>
        <v>48</v>
      </c>
      <c r="SY192" s="12">
        <f t="shared" si="205"/>
        <v>49</v>
      </c>
      <c r="SZ192" s="12" t="s">
        <v>1154</v>
      </c>
      <c r="TA192" s="12" t="s">
        <v>1155</v>
      </c>
      <c r="TB192" s="12" t="s">
        <v>1156</v>
      </c>
      <c r="TC192" s="12" t="s">
        <v>1157</v>
      </c>
      <c r="TD192" s="12" t="s">
        <v>1158</v>
      </c>
      <c r="TE192" s="12" t="s">
        <v>1159</v>
      </c>
      <c r="TF192" s="12" t="s">
        <v>1160</v>
      </c>
      <c r="TG192" s="12" t="s">
        <v>1161</v>
      </c>
      <c r="TH192" s="12" t="s">
        <v>1162</v>
      </c>
      <c r="TI192" s="12" t="s">
        <v>1163</v>
      </c>
      <c r="TJ192" s="12" t="s">
        <v>1164</v>
      </c>
      <c r="TK192" s="12" t="s">
        <v>1165</v>
      </c>
      <c r="TL192" s="12" t="s">
        <v>1059</v>
      </c>
      <c r="TM192" s="12" t="s">
        <v>1128</v>
      </c>
      <c r="TN192" s="12" t="s">
        <v>1129</v>
      </c>
      <c r="TO192" s="12" t="s">
        <v>1130</v>
      </c>
      <c r="TP192" s="12" t="s">
        <v>1132</v>
      </c>
      <c r="TQ192" s="12" t="s">
        <v>1131</v>
      </c>
      <c r="TR192" s="12" t="s">
        <v>1133</v>
      </c>
      <c r="TS192" s="12" t="s">
        <v>1134</v>
      </c>
      <c r="TT192" s="12" t="s">
        <v>1135</v>
      </c>
      <c r="TU192" s="12" t="s">
        <v>1136</v>
      </c>
      <c r="TV192" s="12" t="s">
        <v>1137</v>
      </c>
      <c r="TW192" s="13" t="s">
        <v>1138</v>
      </c>
    </row>
    <row r="193" spans="1:543" ht="30" x14ac:dyDescent="0.25">
      <c r="A193" s="29" t="s">
        <v>2404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1978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SUM(IF(ISNUMBER(FIND("TmAi",$BE$1:$AAQ$1)),IF(IFERROR(ISODD(SUBSTITUTE($BE193:$AAQ193,"A","")),FALSE),IF(ISODD(SUBSTITUTE($BE193:$AAQ193,"A","")),1,0),0)))</f>
        <v>1</v>
      </c>
      <c r="AA193" t="str">
        <f t="shared" si="189"/>
        <v>1A</v>
      </c>
      <c r="AB193" t="str">
        <f t="shared" si="190"/>
        <v>1B</v>
      </c>
      <c r="AD193" s="46"/>
      <c r="AE193" s="46">
        <f t="array" ref="AE193">SUM(IF(ISNUMBER(FIND("TmDi",$BE$1:$AAQ$1)),IF(IFERROR(ISNUMBER(VALUE(SUBSTITUTE($BE193:$AAQ193,"B",""))),FALSE),IF(ISNUMBER(VALUE(SUBSTITUTE($BE193:$AAQ193,"B",""))),1,0),0)))</f>
        <v>0</v>
      </c>
      <c r="AP193" t="s">
        <v>137</v>
      </c>
      <c r="AR193" t="s">
        <v>1207</v>
      </c>
      <c r="AS193" t="s">
        <v>396</v>
      </c>
      <c r="OL193" s="25" t="str">
        <f>CONCATENATE("XT",$U193)</f>
        <v>XT61</v>
      </c>
      <c r="OM193" s="12" t="s">
        <v>1187</v>
      </c>
      <c r="ON193" s="12" t="s">
        <v>1323</v>
      </c>
      <c r="OO193" s="12"/>
      <c r="OP193" s="12"/>
      <c r="OQ193" s="12" t="str">
        <f>CONCATENATE(REPLACE($AA193,LEN($AA193),1,"")+1,RIGHT($AA193))</f>
        <v>2A</v>
      </c>
      <c r="OR193" s="12" t="str">
        <f>CONCATENATE(REPLACE($AB193,LEN($AB193),1,"")+1,RIGHT($AB193))</f>
        <v>2B</v>
      </c>
      <c r="OS193" s="12" t="str">
        <f t="shared" ref="OS193:OV195" si="206">CONCATENATE(REPLACE(OQ193,LEN(OQ193),1,"")+1,RIGHT(OQ193))</f>
        <v>3A</v>
      </c>
      <c r="OT193" s="12" t="str">
        <f t="shared" si="206"/>
        <v>3B</v>
      </c>
      <c r="OU193" s="12" t="str">
        <f t="shared" si="206"/>
        <v>4A</v>
      </c>
      <c r="OV193" s="12" t="str">
        <f t="shared" si="206"/>
        <v>4B</v>
      </c>
      <c r="OW193" s="12"/>
      <c r="OX193" s="12"/>
      <c r="OY193" s="12"/>
      <c r="OZ193" s="12"/>
      <c r="PA193" s="12" t="str">
        <f>CONCATENATE($T193,"-AI",REPLACE($X193,1,3,""),"-",$AA193)</f>
        <v>F0-AI41-1A</v>
      </c>
      <c r="PB193" s="12" t="str">
        <f>CONCATENATE($T193,"-AI",REPLACE($X193,1,3,""),"-",$AB193)</f>
        <v>F0-AI41-1B</v>
      </c>
      <c r="PC193" s="12" t="str">
        <f t="shared" ref="PC193:PH195" si="207">CONCATENATE($T193,"-AI",REPLACE($X193,1,3,""),"-",OQ193)</f>
        <v>F0-AI41-2A</v>
      </c>
      <c r="PD193" s="12" t="str">
        <f t="shared" si="207"/>
        <v>F0-AI41-2B</v>
      </c>
      <c r="PE193" s="12" t="str">
        <f t="shared" si="207"/>
        <v>F0-AI41-3A</v>
      </c>
      <c r="PF193" s="12" t="str">
        <f t="shared" si="207"/>
        <v>F0-AI41-3B</v>
      </c>
      <c r="PG193" s="12" t="str">
        <f t="shared" si="207"/>
        <v>F0-AI41-4A</v>
      </c>
      <c r="PH193" s="12" t="str">
        <f t="shared" si="207"/>
        <v>F0-AI41-4B</v>
      </c>
      <c r="PI193" s="12"/>
      <c r="PJ193" s="12"/>
      <c r="PK193" s="12"/>
      <c r="PL193" s="12"/>
      <c r="PM193" s="12">
        <f t="array" ref="PM193">IF(COUNTIFS($U$2:$U193,$U193)=1,1,INDEX(PM:PM,_xlfn.XMATCH($U193,$U$1:EF192,0,-1))+COUNT(PM192:PR192))</f>
        <v>1</v>
      </c>
      <c r="PN193" s="12">
        <f t="shared" ref="PN193:PR195" si="208">PM193+1</f>
        <v>2</v>
      </c>
      <c r="PO193" s="12">
        <f t="shared" si="208"/>
        <v>3</v>
      </c>
      <c r="PP193" s="12">
        <f t="shared" si="208"/>
        <v>4</v>
      </c>
      <c r="PQ193" s="12">
        <f t="shared" si="208"/>
        <v>5</v>
      </c>
      <c r="PR193" s="12">
        <f t="shared" si="208"/>
        <v>6</v>
      </c>
      <c r="PS193" s="12"/>
      <c r="PT193" s="12"/>
      <c r="PU193" s="12"/>
      <c r="PV193" s="12">
        <v>1</v>
      </c>
      <c r="PW193" s="12">
        <v>2</v>
      </c>
      <c r="PX193" s="12">
        <v>3</v>
      </c>
      <c r="PY193" s="12">
        <v>4</v>
      </c>
      <c r="PZ193" s="12">
        <v>5</v>
      </c>
      <c r="QA193" s="13">
        <v>6</v>
      </c>
    </row>
    <row r="194" spans="1:543" ht="30.75" thickBot="1" x14ac:dyDescent="0.3">
      <c r="A194" s="29" t="s">
        <v>2405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A3.41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SUM(IF(ISNUMBER(FIND("TmAi",$BE$1:$AAQ$1)),IF(IFERROR(ISODD(SUBSTITUTE($BE194:$AAQ194,"A","")),FALSE),IF(ISODD(SUBSTITUTE($BE194:$AAQ194,"A","")),1,0),0)))</f>
        <v>1</v>
      </c>
      <c r="AA194" t="str">
        <f t="shared" si="189"/>
        <v>5A</v>
      </c>
      <c r="AB194" t="str">
        <f t="shared" si="190"/>
        <v>5B</v>
      </c>
      <c r="AD194" s="46"/>
      <c r="AE194" s="46">
        <f t="array" ref="AE194">SUM(IF(ISNUMBER(FIND("TmDi",$BE$1:$AAQ$1)),IF(IFERROR(ISNUMBER(VALUE(SUBSTITUTE($BE194:$AAQ194,"B",""))),FALSE),IF(ISNUMBER(VALUE(SUBSTITUTE($BE194:$AAQ194,"B",""))),1,0),0)))</f>
        <v>0</v>
      </c>
      <c r="AP194" t="s">
        <v>137</v>
      </c>
      <c r="AR194" t="s">
        <v>1207</v>
      </c>
      <c r="AS194" t="s">
        <v>396</v>
      </c>
      <c r="OL194" s="27" t="str">
        <f>CONCATENATE("XT",$U194)</f>
        <v>XT61</v>
      </c>
      <c r="OM194" t="s">
        <v>1189</v>
      </c>
      <c r="ON194" t="s">
        <v>1324</v>
      </c>
      <c r="OQ194" t="str">
        <f>CONCATENATE(REPLACE($AA194,LEN($AA194),1,"")+1,RIGHT($AA194))</f>
        <v>6A</v>
      </c>
      <c r="OR194" t="str">
        <f>CONCATENATE(REPLACE($AB194,LEN($AB194),1,"")+1,RIGHT($AB194))</f>
        <v>6B</v>
      </c>
      <c r="OS194" t="str">
        <f t="shared" si="206"/>
        <v>7A</v>
      </c>
      <c r="OT194" t="str">
        <f t="shared" si="206"/>
        <v>7B</v>
      </c>
      <c r="OU194" t="str">
        <f t="shared" si="206"/>
        <v>8A</v>
      </c>
      <c r="OV194" t="str">
        <f t="shared" si="206"/>
        <v>8B</v>
      </c>
      <c r="PA194" t="str">
        <f>CONCATENATE($T194,"-AI",REPLACE($X194,1,3,""),"-",$AA194)</f>
        <v>F0-AI41-5A</v>
      </c>
      <c r="PB194" t="str">
        <f>CONCATENATE($T194,"-AI",REPLACE($X194,1,3,""),"-",$AB194)</f>
        <v>F0-AI41-5B</v>
      </c>
      <c r="PC194" t="str">
        <f t="shared" si="207"/>
        <v>F0-AI41-6A</v>
      </c>
      <c r="PD194" t="str">
        <f t="shared" si="207"/>
        <v>F0-AI41-6B</v>
      </c>
      <c r="PE194" t="str">
        <f t="shared" si="207"/>
        <v>F0-AI41-7A</v>
      </c>
      <c r="PF194" t="str">
        <f t="shared" si="207"/>
        <v>F0-AI41-7B</v>
      </c>
      <c r="PG194" t="str">
        <f t="shared" si="207"/>
        <v>F0-AI41-8A</v>
      </c>
      <c r="PH194" t="str">
        <f t="shared" si="207"/>
        <v>F0-AI41-8B</v>
      </c>
      <c r="PM194">
        <f t="array" ref="PM194">IF(COUNTIFS($U$2:$U194,$U194)=1,1,INDEX(PM:PM,_xlfn.XMATCH($U194,$U$1:$U193,0,-1))+COUNT(PM193:PR193))</f>
        <v>7</v>
      </c>
      <c r="PN194">
        <f t="shared" si="208"/>
        <v>8</v>
      </c>
      <c r="PO194">
        <f t="shared" si="208"/>
        <v>9</v>
      </c>
      <c r="PP194">
        <f t="shared" si="208"/>
        <v>10</v>
      </c>
      <c r="PQ194">
        <f t="shared" si="208"/>
        <v>11</v>
      </c>
      <c r="PR194">
        <f t="shared" si="208"/>
        <v>12</v>
      </c>
      <c r="PV194">
        <v>7</v>
      </c>
      <c r="PW194">
        <v>8</v>
      </c>
      <c r="PX194">
        <v>9</v>
      </c>
      <c r="PY194">
        <v>10</v>
      </c>
      <c r="PZ194">
        <v>11</v>
      </c>
      <c r="QA194" s="16">
        <v>12</v>
      </c>
    </row>
    <row r="195" spans="1:543" ht="30.75" thickBot="1" x14ac:dyDescent="0.3">
      <c r="A195" s="29" t="s">
        <v>2406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A3.41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SUM(IF(ISNUMBER(FIND("TmAi",$BE$1:$AAQ$1)),IF(IFERROR(ISODD(SUBSTITUTE($BE195:$AAQ195,"A","")),FALSE),IF(ISODD(SUBSTITUTE($BE195:$AAQ195,"A","")),1,0),0)))</f>
        <v>2</v>
      </c>
      <c r="AA195" t="str">
        <f t="shared" si="189"/>
        <v>9A</v>
      </c>
      <c r="AB195" t="str">
        <f t="shared" si="190"/>
        <v>9B</v>
      </c>
      <c r="AD195" s="46"/>
      <c r="AE195" s="46">
        <f t="array" ref="AE195">SUM(IF(ISNUMBER(FIND("TmDi",$BE$1:$AAQ$1)),IF(IFERROR(ISNUMBER(VALUE(SUBSTITUTE($BE195:$AAQ195,"B",""))),FALSE),IF(ISNUMBER(VALUE(SUBSTITUTE($BE195:$AAQ195,"B",""))),1,0),0)))</f>
        <v>0</v>
      </c>
      <c r="AP195" t="s">
        <v>137</v>
      </c>
      <c r="AR195" t="s">
        <v>1210</v>
      </c>
      <c r="AS195" t="s">
        <v>396</v>
      </c>
      <c r="OL195" s="27" t="str">
        <f>CONCATENATE("XT",$U195)</f>
        <v>XT61</v>
      </c>
      <c r="OM195" t="s">
        <v>1191</v>
      </c>
      <c r="ON195" t="s">
        <v>1325</v>
      </c>
      <c r="OO195" t="s">
        <v>1321</v>
      </c>
      <c r="OP195" t="s">
        <v>1326</v>
      </c>
      <c r="OQ195" t="str">
        <f>CONCATENATE(REPLACE($AA195,LEN($AA195),1,"")+1,RIGHT($AA195))</f>
        <v>10A</v>
      </c>
      <c r="OR195" t="str">
        <f>CONCATENATE(REPLACE($AB195,LEN($AB195),1,"")+1,RIGHT($AB195))</f>
        <v>10B</v>
      </c>
      <c r="OS195" t="str">
        <f t="shared" si="206"/>
        <v>11A</v>
      </c>
      <c r="OT195" t="str">
        <f t="shared" si="206"/>
        <v>11B</v>
      </c>
      <c r="OU195" t="str">
        <f t="shared" si="206"/>
        <v>12A</v>
      </c>
      <c r="OV195" t="str">
        <f t="shared" si="206"/>
        <v>12B</v>
      </c>
      <c r="OW195" t="str">
        <f>CONCATENATE(REPLACE(OU195,LEN(OU195),1,"")+1,RIGHT(OU195))</f>
        <v>13A</v>
      </c>
      <c r="OX195" t="str">
        <f>CONCATENATE(REPLACE(OV195,LEN(OV195),1,"")+1,RIGHT(OV195))</f>
        <v>13B</v>
      </c>
      <c r="OY195" t="str">
        <f>CONCATENATE(REPLACE(OW195,LEN(OW195),1,"")+1,RIGHT(OW195))</f>
        <v>14A</v>
      </c>
      <c r="OZ195" t="str">
        <f>CONCATENATE(REPLACE(OX195,LEN(OX195),1,"")+1,RIGHT(OX195))</f>
        <v>14B</v>
      </c>
      <c r="PA195" t="str">
        <f>CONCATENATE($T195,"-AI",REPLACE($X195,1,3,""),"-",$AA195)</f>
        <v>F0-AI41-9A</v>
      </c>
      <c r="PB195" t="str">
        <f>CONCATENATE($T195,"-AI",REPLACE($X195,1,3,""),"-",$AB195)</f>
        <v>F0-AI41-9B</v>
      </c>
      <c r="PC195" t="str">
        <f t="shared" si="207"/>
        <v>F0-AI41-10A</v>
      </c>
      <c r="PD195" t="str">
        <f t="shared" si="207"/>
        <v>F0-AI41-10B</v>
      </c>
      <c r="PE195" t="str">
        <f t="shared" si="207"/>
        <v>F0-AI41-11A</v>
      </c>
      <c r="PF195" t="str">
        <f t="shared" si="207"/>
        <v>F0-AI41-11B</v>
      </c>
      <c r="PG195" t="str">
        <f t="shared" si="207"/>
        <v>F0-AI41-12A</v>
      </c>
      <c r="PH195" t="str">
        <f t="shared" si="207"/>
        <v>F0-AI41-12B</v>
      </c>
      <c r="PI195" t="str">
        <f>CONCATENATE($T195,"-AI",REPLACE($X195,1,3,""),"-",OW195)</f>
        <v>F0-AI41-13A</v>
      </c>
      <c r="PJ195" t="str">
        <f>CONCATENATE($T195,"-AI",REPLACE($X195,1,3,""),"-",OX195)</f>
        <v>F0-AI41-13B</v>
      </c>
      <c r="PK195" t="str">
        <f>CONCATENATE($T195,"-AI",REPLACE($X195,1,3,""),"-",OY195)</f>
        <v>F0-AI41-14A</v>
      </c>
      <c r="PL195" t="str">
        <f>CONCATENATE($T195,"-AI",REPLACE($X195,1,3,""),"-",OZ195)</f>
        <v>F0-AI41-14B</v>
      </c>
      <c r="PM195">
        <f t="array" ref="PM195">IF(COUNTIFS($U$2:$U195,$U195)=1,1,INDEX(PM:PM,_xlfn.XMATCH($U195,$U$1:$U194,0,-1))+COUNT(PM194:PR194))</f>
        <v>13</v>
      </c>
      <c r="PN195">
        <f t="shared" si="208"/>
        <v>14</v>
      </c>
      <c r="PO195">
        <f t="shared" si="208"/>
        <v>15</v>
      </c>
      <c r="PP195">
        <f t="shared" si="208"/>
        <v>16</v>
      </c>
      <c r="PQ195">
        <f t="shared" si="208"/>
        <v>17</v>
      </c>
      <c r="PR195">
        <f t="shared" si="208"/>
        <v>18</v>
      </c>
      <c r="PS195">
        <f>PR195+1</f>
        <v>19</v>
      </c>
      <c r="PT195">
        <f>PS195+1</f>
        <v>20</v>
      </c>
      <c r="PU195">
        <f>PT195+1</f>
        <v>21</v>
      </c>
      <c r="PV195">
        <v>1</v>
      </c>
      <c r="PW195">
        <v>2</v>
      </c>
      <c r="PX195">
        <v>3</v>
      </c>
      <c r="PY195">
        <v>4</v>
      </c>
      <c r="PZ195">
        <v>5</v>
      </c>
      <c r="QA195">
        <v>6</v>
      </c>
      <c r="QB195" s="23">
        <v>7</v>
      </c>
      <c r="QC195" s="23">
        <v>8</v>
      </c>
      <c r="QD195" s="24">
        <v>9</v>
      </c>
    </row>
    <row r="196" spans="1:543" ht="30.75" thickBot="1" x14ac:dyDescent="0.3">
      <c r="A196" s="29" t="s">
        <v>2407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2076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SUM(IF(ISNUMBER(FIND("TmAi",$BE$1:$AAQ$1)),IF(IFERROR(ISODD(SUBSTITUTE($BE196:$AAQ196,"A","")),FALSE),IF(ISODD(SUBSTITUTE($BE196:$AAQ196,"A","")),1,0),0)))</f>
        <v>0</v>
      </c>
      <c r="AA196" t="str">
        <f>CONCATENATE($Y196*2-1,"B")</f>
        <v>1B</v>
      </c>
      <c r="AB196" t="str">
        <f>CONCATENATE($Y196*2,"B")</f>
        <v>2B</v>
      </c>
      <c r="AD196" s="46"/>
      <c r="AE196" s="46">
        <f t="array" ref="AE196">SUM(IF(ISNUMBER(FIND("TmDi",$BE$1:$AAQ$1)),IF(IFERROR(ISNUMBER(VALUE(SUBSTITUTE($BE196:$AAQ196,"B",""))),FALSE),IF(ISNUMBER(VALUE(SUBSTITUTE($BE196:$AAQ196,"B",""))),1,0),0)))</f>
        <v>0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F0-AI26-1B</v>
      </c>
      <c r="KD196" t="str">
        <f>CONCATENATE(T196,"-AI",REPLACE($X196,1,3,""),"-",AB196)</f>
        <v>F0-AI26-2B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L196" s="27"/>
      <c r="QA196" s="16"/>
    </row>
    <row r="197" spans="1:543" ht="30.75" thickBot="1" x14ac:dyDescent="0.3">
      <c r="A197" s="29" t="s">
        <v>2408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A3.26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SUM(IF(ISNUMBER(FIND("TmAi",$BE$1:$AAQ$1)),IF(IFERROR(ISODD(SUBSTITUTE($BE197:$AAQ197,"A","")),FALSE),IF(ISODD(SUBSTITUTE($BE197:$AAQ197,"A","")),1,0),0)))</f>
        <v>11</v>
      </c>
      <c r="AA197" t="str">
        <f t="shared" si="189"/>
        <v>3A</v>
      </c>
      <c r="AB197" t="str">
        <f t="shared" si="190"/>
        <v>3B</v>
      </c>
      <c r="AD197" s="46"/>
      <c r="AE197" s="46">
        <f t="array" ref="AE197">SUM(IF(ISNUMBER(FIND("TmDi",$BE$1:$AAQ$1)),IF(IFERROR(ISNUMBER(VALUE(SUBSTITUTE($BE197:$AAQ197,"B",""))),FALSE),IF(ISNUMBER(VALUE(SUBSTITUTE($BE197:$AAQ197,"B",""))),1,0),0)))</f>
        <v>0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QE197" s="25" t="str">
        <f>REPLACE(X197,FIND(".",X197)+1,3,MID(X197,FIND(".",X197)+1,3)+1)</f>
        <v>A3.27</v>
      </c>
      <c r="QF197" s="12" t="str">
        <f>CONCATENATE(VALUE(SUBSTITUTE($AB197,"B",""))+2,"B")</f>
        <v>5B</v>
      </c>
      <c r="QG197" s="12" t="str">
        <f>CONCATENATE(VALUE(SUBSTITUTE($AA197,"A",""))+2,"A")</f>
        <v>5A</v>
      </c>
      <c r="QH197" s="12" t="str">
        <f>CONCATENATE(VALUE(SUBSTITUTE(QF197,"B",""))+2,"B")</f>
        <v>7B</v>
      </c>
      <c r="QI197" s="12" t="str">
        <f>CONCATENATE(VALUE(SUBSTITUTE(QG197,"A",""))+2,"A")</f>
        <v>7A</v>
      </c>
      <c r="QJ197" s="12" t="str">
        <f>CONCATENATE(VALUE(SUBSTITUTE(QH197,"B",""))+2,"B")</f>
        <v>9B</v>
      </c>
      <c r="QK197" s="12" t="str">
        <f>CONCATENATE(VALUE(SUBSTITUTE(QI197,"A",""))+2,"A")</f>
        <v>9A</v>
      </c>
      <c r="QL197" s="12" t="str">
        <f>CONCATENATE(VALUE(SUBSTITUTE(QJ197,"B",""))+2,"B")</f>
        <v>11B</v>
      </c>
      <c r="QM197" s="12" t="str">
        <f>CONCATENATE(VALUE(SUBSTITUTE(QK197,"A",""))+2,"A")</f>
        <v>11A</v>
      </c>
      <c r="QN197" s="12" t="str">
        <f>CONCATENATE(VALUE(SUBSTITUTE(QL197,"B",""))+2,"B")</f>
        <v>13B</v>
      </c>
      <c r="QO197" s="12" t="str">
        <f>CONCATENATE(VALUE(SUBSTITUTE(QM197,"A",""))+2,"A")</f>
        <v>13A</v>
      </c>
      <c r="QP197" s="12" t="s">
        <v>135</v>
      </c>
      <c r="QQ197" s="12" t="s">
        <v>136</v>
      </c>
      <c r="QR197" s="12" t="str">
        <f>CONCATENATE(VALUE(SUBSTITUTE(QP197,"B",""))+2,"B")</f>
        <v>3B</v>
      </c>
      <c r="QS197" s="12" t="str">
        <f>CONCATENATE(VALUE(SUBSTITUTE(QQ197,"A",""))+2,"A")</f>
        <v>3A</v>
      </c>
      <c r="QT197" s="12" t="str">
        <f>CONCATENATE(VALUE(SUBSTITUTE(QR197,"B",""))+2,"B")</f>
        <v>5B</v>
      </c>
      <c r="QU197" s="12" t="str">
        <f>CONCATENATE(VALUE(SUBSTITUTE(QS197,"A",""))+2,"A")</f>
        <v>5A</v>
      </c>
      <c r="QV197" s="12" t="str">
        <f>CONCATENATE(VALUE(SUBSTITUTE(QT197,"B",""))+2,"B")</f>
        <v>7B</v>
      </c>
      <c r="QW197" s="12" t="str">
        <f>CONCATENATE(VALUE(SUBSTITUTE(QU197,"A",""))+2,"A")</f>
        <v>7A</v>
      </c>
      <c r="QX197" s="12" t="str">
        <f>CONCATENATE(VALUE(SUBSTITUTE(QV197,"B",""))+2,"B")</f>
        <v>9B</v>
      </c>
      <c r="QY197" s="12" t="str">
        <f>CONCATENATE(VALUE(SUBSTITUTE(QW197,"A",""))+2,"A")</f>
        <v>9A</v>
      </c>
      <c r="QZ197" s="12" t="str">
        <f>CONCATENATE(VALUE(SUBSTITUTE(QX197,"B",""))+2,"B")</f>
        <v>11B</v>
      </c>
      <c r="RA197" s="12" t="str">
        <f>CONCATENATE(VALUE(SUBSTITUTE(QY197,"A",""))+2,"A")</f>
        <v>11A</v>
      </c>
      <c r="RB197" s="12" t="str">
        <f>CONCATENATE($T197,"-AI",REPLACE($X197,1,3,""),"-",AB197)</f>
        <v>F0-AI26-3B</v>
      </c>
      <c r="RC197" s="12" t="str">
        <f>CONCATENATE($T197,"-AI",REPLACE($X197,1,3,""),"-",AA197)</f>
        <v>F0-AI26-3A</v>
      </c>
      <c r="RD197" s="12" t="str">
        <f t="shared" ref="RD197:RM197" si="209">CONCATENATE($T197,"-AI",REPLACE($X197,1,3,""),"-",QF197)</f>
        <v>F0-AI26-5B</v>
      </c>
      <c r="RE197" s="12" t="str">
        <f t="shared" si="209"/>
        <v>F0-AI26-5A</v>
      </c>
      <c r="RF197" s="12" t="str">
        <f t="shared" si="209"/>
        <v>F0-AI26-7B</v>
      </c>
      <c r="RG197" s="12" t="str">
        <f t="shared" si="209"/>
        <v>F0-AI26-7A</v>
      </c>
      <c r="RH197" s="12" t="str">
        <f t="shared" si="209"/>
        <v>F0-AI26-9B</v>
      </c>
      <c r="RI197" s="12" t="str">
        <f t="shared" si="209"/>
        <v>F0-AI26-9A</v>
      </c>
      <c r="RJ197" s="12" t="str">
        <f t="shared" si="209"/>
        <v>F0-AI26-11B</v>
      </c>
      <c r="RK197" s="12" t="str">
        <f t="shared" si="209"/>
        <v>F0-AI26-11A</v>
      </c>
      <c r="RL197" s="12" t="str">
        <f t="shared" si="209"/>
        <v>F0-AI26-13B</v>
      </c>
      <c r="RM197" s="12" t="str">
        <f t="shared" si="209"/>
        <v>F0-AI26-13A</v>
      </c>
      <c r="RN197" s="12" t="str">
        <f t="shared" ref="RN197:RY197" si="210">CONCATENATE($T197,"-AI",REPLACE($QE197,1,3,""),"-",QP197)</f>
        <v>F0-AI27-1B</v>
      </c>
      <c r="RO197" s="12" t="str">
        <f t="shared" si="210"/>
        <v>F0-AI27-1A</v>
      </c>
      <c r="RP197" s="12" t="str">
        <f t="shared" si="210"/>
        <v>F0-AI27-3B</v>
      </c>
      <c r="RQ197" s="12" t="str">
        <f t="shared" si="210"/>
        <v>F0-AI27-3A</v>
      </c>
      <c r="RR197" s="12" t="str">
        <f t="shared" si="210"/>
        <v>F0-AI27-5B</v>
      </c>
      <c r="RS197" s="12" t="str">
        <f t="shared" si="210"/>
        <v>F0-AI27-5A</v>
      </c>
      <c r="RT197" s="12" t="str">
        <f t="shared" si="210"/>
        <v>F0-AI27-7B</v>
      </c>
      <c r="RU197" s="12" t="str">
        <f t="shared" si="210"/>
        <v>F0-AI27-7A</v>
      </c>
      <c r="RV197" s="12" t="str">
        <f t="shared" si="210"/>
        <v>F0-AI27-9B</v>
      </c>
      <c r="RW197" s="12" t="str">
        <f t="shared" si="210"/>
        <v>F0-AI27-9A</v>
      </c>
      <c r="RX197" s="12" t="str">
        <f t="shared" si="210"/>
        <v>F0-AI27-11B</v>
      </c>
      <c r="RY197" s="12" t="str">
        <f t="shared" si="210"/>
        <v>F0-AI27-11A</v>
      </c>
      <c r="RZ197" s="12" t="str">
        <f>CONCATENATE("XT",$U197)</f>
        <v>XT61</v>
      </c>
      <c r="SA197" s="12">
        <v>25</v>
      </c>
      <c r="SB197" s="12">
        <f>SA197+1</f>
        <v>26</v>
      </c>
      <c r="SC197" s="12">
        <f t="shared" ref="SC197:SY197" si="211">SB197+1</f>
        <v>27</v>
      </c>
      <c r="SD197" s="12">
        <f t="shared" si="211"/>
        <v>28</v>
      </c>
      <c r="SE197" s="12">
        <f t="shared" si="211"/>
        <v>29</v>
      </c>
      <c r="SF197" s="12">
        <f t="shared" si="211"/>
        <v>30</v>
      </c>
      <c r="SG197" s="12">
        <f t="shared" si="211"/>
        <v>31</v>
      </c>
      <c r="SH197" s="12">
        <f t="shared" si="211"/>
        <v>32</v>
      </c>
      <c r="SI197" s="12">
        <f t="shared" si="211"/>
        <v>33</v>
      </c>
      <c r="SJ197" s="12">
        <f t="shared" si="211"/>
        <v>34</v>
      </c>
      <c r="SK197" s="12">
        <f t="shared" si="211"/>
        <v>35</v>
      </c>
      <c r="SL197" s="12">
        <f t="shared" si="211"/>
        <v>36</v>
      </c>
      <c r="SM197" s="12">
        <f t="shared" si="211"/>
        <v>37</v>
      </c>
      <c r="SN197" s="12">
        <f t="shared" si="211"/>
        <v>38</v>
      </c>
      <c r="SO197" s="12">
        <f t="shared" si="211"/>
        <v>39</v>
      </c>
      <c r="SP197" s="12">
        <f t="shared" si="211"/>
        <v>40</v>
      </c>
      <c r="SQ197" s="12">
        <f t="shared" si="211"/>
        <v>41</v>
      </c>
      <c r="SR197" s="12">
        <f t="shared" si="211"/>
        <v>42</v>
      </c>
      <c r="SS197" s="12">
        <f t="shared" si="211"/>
        <v>43</v>
      </c>
      <c r="ST197" s="12">
        <f t="shared" si="211"/>
        <v>44</v>
      </c>
      <c r="SU197" s="12">
        <f t="shared" si="211"/>
        <v>45</v>
      </c>
      <c r="SV197" s="12">
        <f t="shared" si="211"/>
        <v>46</v>
      </c>
      <c r="SW197" s="12">
        <f t="shared" si="211"/>
        <v>47</v>
      </c>
      <c r="SX197" s="12">
        <f t="shared" si="211"/>
        <v>48</v>
      </c>
      <c r="SY197" s="12">
        <f t="shared" si="211"/>
        <v>49</v>
      </c>
      <c r="SZ197" s="12" t="s">
        <v>1194</v>
      </c>
      <c r="TA197" s="12" t="s">
        <v>1195</v>
      </c>
      <c r="TB197" s="12" t="s">
        <v>1196</v>
      </c>
      <c r="TC197" s="12" t="s">
        <v>1197</v>
      </c>
      <c r="TD197" s="12" t="s">
        <v>1198</v>
      </c>
      <c r="TE197" s="12" t="s">
        <v>1199</v>
      </c>
      <c r="TF197" s="12" t="s">
        <v>1200</v>
      </c>
      <c r="TG197" s="12" t="s">
        <v>1201</v>
      </c>
      <c r="TH197" s="12" t="s">
        <v>1202</v>
      </c>
      <c r="TI197" s="12" t="s">
        <v>1203</v>
      </c>
      <c r="TJ197" s="12" t="s">
        <v>1204</v>
      </c>
      <c r="TK197" s="12" t="s">
        <v>1205</v>
      </c>
      <c r="TL197" s="12" t="s">
        <v>1059</v>
      </c>
      <c r="TM197" s="12" t="s">
        <v>1128</v>
      </c>
      <c r="TN197" s="12" t="s">
        <v>1129</v>
      </c>
      <c r="TO197" s="12" t="s">
        <v>1130</v>
      </c>
      <c r="TP197" s="12" t="s">
        <v>1132</v>
      </c>
      <c r="TQ197" s="12" t="s">
        <v>1131</v>
      </c>
      <c r="TR197" s="12" t="s">
        <v>1133</v>
      </c>
      <c r="TS197" s="12" t="s">
        <v>1134</v>
      </c>
      <c r="TT197" s="12" t="s">
        <v>1135</v>
      </c>
      <c r="TU197" s="12" t="s">
        <v>1136</v>
      </c>
      <c r="TV197" s="12" t="s">
        <v>1137</v>
      </c>
      <c r="TW197" s="13" t="s">
        <v>1138</v>
      </c>
    </row>
    <row r="198" spans="1:543" ht="30" x14ac:dyDescent="0.25">
      <c r="A198" s="29" t="s">
        <v>2409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1979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SUM(IF(ISNUMBER(FIND("TmAi",$BE$1:$AAQ$1)),IF(IFERROR(ISODD(SUBSTITUTE($BE198:$AAQ198,"A","")),FALSE),IF(ISODD(SUBSTITUTE($BE198:$AAQ198,"A","")),1,0),0)))</f>
        <v>1</v>
      </c>
      <c r="AA198" t="str">
        <f t="shared" si="189"/>
        <v>1A</v>
      </c>
      <c r="AB198" t="str">
        <f t="shared" si="190"/>
        <v>1B</v>
      </c>
      <c r="AD198" s="46"/>
      <c r="AE198" s="46">
        <f t="array" ref="AE198">SUM(IF(ISNUMBER(FIND("TmDi",$BE$1:$AAQ$1)),IF(IFERROR(ISNUMBER(VALUE(SUBSTITUTE($BE198:$AAQ198,"B",""))),FALSE),IF(ISNUMBER(VALUE(SUBSTITUTE($BE198:$AAQ198,"B",""))),1,0),0)))</f>
        <v>0</v>
      </c>
      <c r="AP198" t="s">
        <v>137</v>
      </c>
      <c r="AR198" t="s">
        <v>1216</v>
      </c>
      <c r="AS198" t="s">
        <v>396</v>
      </c>
      <c r="OL198" s="25" t="str">
        <f>CONCATENATE("XT",$U198)</f>
        <v>XT62</v>
      </c>
      <c r="OM198" s="12" t="s">
        <v>1224</v>
      </c>
      <c r="ON198" s="12" t="s">
        <v>1327</v>
      </c>
      <c r="OO198" s="12"/>
      <c r="OP198" s="12"/>
      <c r="OQ198" s="12" t="str">
        <f>CONCATENATE(REPLACE($AA198,LEN($AA198),1,"")+1,RIGHT($AA198))</f>
        <v>2A</v>
      </c>
      <c r="OR198" s="12" t="str">
        <f>CONCATENATE(REPLACE($AB198,LEN($AB198),1,"")+1,RIGHT($AB198))</f>
        <v>2B</v>
      </c>
      <c r="OS198" s="12" t="str">
        <f t="shared" ref="OS198:OV200" si="212">CONCATENATE(REPLACE(OQ198,LEN(OQ198),1,"")+1,RIGHT(OQ198))</f>
        <v>3A</v>
      </c>
      <c r="OT198" s="12" t="str">
        <f t="shared" si="212"/>
        <v>3B</v>
      </c>
      <c r="OU198" s="12" t="str">
        <f t="shared" si="212"/>
        <v>4A</v>
      </c>
      <c r="OV198" s="12" t="str">
        <f t="shared" si="212"/>
        <v>4B</v>
      </c>
      <c r="OW198" s="12"/>
      <c r="OX198" s="12"/>
      <c r="OY198" s="12"/>
      <c r="OZ198" s="12"/>
      <c r="PA198" s="12" t="str">
        <f>CONCATENATE($T198,"-AI",REPLACE($X198,1,3,""),"-",$AA198)</f>
        <v>F0-AI42-1A</v>
      </c>
      <c r="PB198" s="12" t="str">
        <f>CONCATENATE($T198,"-AI",REPLACE($X198,1,3,""),"-",$AB198)</f>
        <v>F0-AI42-1B</v>
      </c>
      <c r="PC198" s="12" t="str">
        <f t="shared" ref="PC198:PH200" si="213">CONCATENATE($T198,"-AI",REPLACE($X198,1,3,""),"-",OQ198)</f>
        <v>F0-AI42-2A</v>
      </c>
      <c r="PD198" s="12" t="str">
        <f t="shared" si="213"/>
        <v>F0-AI42-2B</v>
      </c>
      <c r="PE198" s="12" t="str">
        <f t="shared" si="213"/>
        <v>F0-AI42-3A</v>
      </c>
      <c r="PF198" s="12" t="str">
        <f t="shared" si="213"/>
        <v>F0-AI42-3B</v>
      </c>
      <c r="PG198" s="12" t="str">
        <f t="shared" si="213"/>
        <v>F0-AI42-4A</v>
      </c>
      <c r="PH198" s="12" t="str">
        <f t="shared" si="213"/>
        <v>F0-AI42-4B</v>
      </c>
      <c r="PI198" s="12"/>
      <c r="PJ198" s="12"/>
      <c r="PK198" s="12"/>
      <c r="PL198" s="12"/>
      <c r="PM198" s="12">
        <f t="array" ref="PM198">IF(COUNTIFS($U$2:$U198,$U198)=1,1,INDEX(PM:PM,_xlfn.XMATCH($U198,$U$1:EF197,0,-1))+COUNT(PM197:PR197))</f>
        <v>1</v>
      </c>
      <c r="PN198" s="12">
        <f t="shared" ref="PN198:PR200" si="214">PM198+1</f>
        <v>2</v>
      </c>
      <c r="PO198" s="12">
        <f t="shared" si="214"/>
        <v>3</v>
      </c>
      <c r="PP198" s="12">
        <f t="shared" si="214"/>
        <v>4</v>
      </c>
      <c r="PQ198" s="12">
        <f t="shared" si="214"/>
        <v>5</v>
      </c>
      <c r="PR198" s="12">
        <f t="shared" si="214"/>
        <v>6</v>
      </c>
      <c r="PS198" s="12"/>
      <c r="PT198" s="12"/>
      <c r="PU198" s="12"/>
      <c r="PV198" s="12">
        <v>1</v>
      </c>
      <c r="PW198" s="12">
        <v>2</v>
      </c>
      <c r="PX198" s="12">
        <v>3</v>
      </c>
      <c r="PY198" s="12">
        <v>4</v>
      </c>
      <c r="PZ198" s="12">
        <v>5</v>
      </c>
      <c r="QA198" s="13">
        <v>6</v>
      </c>
    </row>
    <row r="199" spans="1:543" ht="30.75" thickBot="1" x14ac:dyDescent="0.3">
      <c r="A199" s="29" t="s">
        <v>2410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A3.42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SUM(IF(ISNUMBER(FIND("TmAi",$BE$1:$AAQ$1)),IF(IFERROR(ISODD(SUBSTITUTE($BE199:$AAQ199,"A","")),FALSE),IF(ISODD(SUBSTITUTE($BE199:$AAQ199,"A","")),1,0),0)))</f>
        <v>1</v>
      </c>
      <c r="AA199" t="str">
        <f t="shared" si="189"/>
        <v>5A</v>
      </c>
      <c r="AB199" t="str">
        <f t="shared" si="190"/>
        <v>5B</v>
      </c>
      <c r="AD199" s="46"/>
      <c r="AE199" s="46">
        <f t="array" ref="AE199">SUM(IF(ISNUMBER(FIND("TmDi",$BE$1:$AAQ$1)),IF(IFERROR(ISNUMBER(VALUE(SUBSTITUTE($BE199:$AAQ199,"B",""))),FALSE),IF(ISNUMBER(VALUE(SUBSTITUTE($BE199:$AAQ199,"B",""))),1,0),0)))</f>
        <v>0</v>
      </c>
      <c r="AP199" t="s">
        <v>137</v>
      </c>
      <c r="AR199" t="s">
        <v>1216</v>
      </c>
      <c r="AS199" t="s">
        <v>396</v>
      </c>
      <c r="OL199" s="27" t="str">
        <f>CONCATENATE("XT",$U199)</f>
        <v>XT62</v>
      </c>
      <c r="OM199" t="s">
        <v>1226</v>
      </c>
      <c r="ON199" t="s">
        <v>1328</v>
      </c>
      <c r="OQ199" t="str">
        <f>CONCATENATE(REPLACE($AA199,LEN($AA199),1,"")+1,RIGHT($AA199))</f>
        <v>6A</v>
      </c>
      <c r="OR199" t="str">
        <f>CONCATENATE(REPLACE($AB199,LEN($AB199),1,"")+1,RIGHT($AB199))</f>
        <v>6B</v>
      </c>
      <c r="OS199" t="str">
        <f t="shared" si="212"/>
        <v>7A</v>
      </c>
      <c r="OT199" t="str">
        <f t="shared" si="212"/>
        <v>7B</v>
      </c>
      <c r="OU199" t="str">
        <f t="shared" si="212"/>
        <v>8A</v>
      </c>
      <c r="OV199" t="str">
        <f t="shared" si="212"/>
        <v>8B</v>
      </c>
      <c r="PA199" t="str">
        <f>CONCATENATE($T199,"-AI",REPLACE($X199,1,3,""),"-",$AA199)</f>
        <v>F0-AI42-5A</v>
      </c>
      <c r="PB199" t="str">
        <f>CONCATENATE($T199,"-AI",REPLACE($X199,1,3,""),"-",$AB199)</f>
        <v>F0-AI42-5B</v>
      </c>
      <c r="PC199" t="str">
        <f t="shared" si="213"/>
        <v>F0-AI42-6A</v>
      </c>
      <c r="PD199" t="str">
        <f t="shared" si="213"/>
        <v>F0-AI42-6B</v>
      </c>
      <c r="PE199" t="str">
        <f t="shared" si="213"/>
        <v>F0-AI42-7A</v>
      </c>
      <c r="PF199" t="str">
        <f t="shared" si="213"/>
        <v>F0-AI42-7B</v>
      </c>
      <c r="PG199" t="str">
        <f t="shared" si="213"/>
        <v>F0-AI42-8A</v>
      </c>
      <c r="PH199" t="str">
        <f t="shared" si="213"/>
        <v>F0-AI42-8B</v>
      </c>
      <c r="PM199">
        <f t="array" ref="PM199">IF(COUNTIFS($U$2:$U199,$U199)=1,1,INDEX(PM:PM,_xlfn.XMATCH($U199,$U$1:$U198,0,-1))+COUNT(PM198:PR198))</f>
        <v>7</v>
      </c>
      <c r="PN199">
        <f t="shared" si="214"/>
        <v>8</v>
      </c>
      <c r="PO199">
        <f t="shared" si="214"/>
        <v>9</v>
      </c>
      <c r="PP199">
        <f t="shared" si="214"/>
        <v>10</v>
      </c>
      <c r="PQ199">
        <f t="shared" si="214"/>
        <v>11</v>
      </c>
      <c r="PR199">
        <f t="shared" si="214"/>
        <v>12</v>
      </c>
      <c r="PV199">
        <v>7</v>
      </c>
      <c r="PW199">
        <v>8</v>
      </c>
      <c r="PX199">
        <v>9</v>
      </c>
      <c r="PY199">
        <v>10</v>
      </c>
      <c r="PZ199">
        <v>11</v>
      </c>
      <c r="QA199" s="16">
        <v>12</v>
      </c>
    </row>
    <row r="200" spans="1:543" ht="30.75" thickBot="1" x14ac:dyDescent="0.3">
      <c r="A200" s="29" t="s">
        <v>2411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A3.42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SUM(IF(ISNUMBER(FIND("TmAi",$BE$1:$AAQ$1)),IF(IFERROR(ISODD(SUBSTITUTE($BE200:$AAQ200,"A","")),FALSE),IF(ISODD(SUBSTITUTE($BE200:$AAQ200,"A","")),1,0),0)))</f>
        <v>2</v>
      </c>
      <c r="AA200" t="str">
        <f t="shared" si="189"/>
        <v>9A</v>
      </c>
      <c r="AB200" t="str">
        <f t="shared" si="190"/>
        <v>9B</v>
      </c>
      <c r="AD200" s="46"/>
      <c r="AE200" s="46">
        <f t="array" ref="AE200">SUM(IF(ISNUMBER(FIND("TmDi",$BE$1:$AAQ$1)),IF(IFERROR(ISNUMBER(VALUE(SUBSTITUTE($BE200:$AAQ200,"B",""))),FALSE),IF(ISNUMBER(VALUE(SUBSTITUTE($BE200:$AAQ200,"B",""))),1,0),0)))</f>
        <v>0</v>
      </c>
      <c r="AP200" t="s">
        <v>137</v>
      </c>
      <c r="AR200" t="s">
        <v>1219</v>
      </c>
      <c r="AS200" t="s">
        <v>396</v>
      </c>
      <c r="OL200" s="27" t="str">
        <f>CONCATENATE("XT",$U200)</f>
        <v>XT62</v>
      </c>
      <c r="OM200" t="s">
        <v>1228</v>
      </c>
      <c r="ON200" t="s">
        <v>1329</v>
      </c>
      <c r="OO200" t="s">
        <v>1322</v>
      </c>
      <c r="OP200" t="s">
        <v>1330</v>
      </c>
      <c r="OQ200" t="str">
        <f>CONCATENATE(REPLACE($AA200,LEN($AA200),1,"")+1,RIGHT($AA200))</f>
        <v>10A</v>
      </c>
      <c r="OR200" t="str">
        <f>CONCATENATE(REPLACE($AB200,LEN($AB200),1,"")+1,RIGHT($AB200))</f>
        <v>10B</v>
      </c>
      <c r="OS200" t="str">
        <f t="shared" si="212"/>
        <v>11A</v>
      </c>
      <c r="OT200" t="str">
        <f t="shared" si="212"/>
        <v>11B</v>
      </c>
      <c r="OU200" t="str">
        <f t="shared" si="212"/>
        <v>12A</v>
      </c>
      <c r="OV200" t="str">
        <f t="shared" si="212"/>
        <v>12B</v>
      </c>
      <c r="OW200" t="str">
        <f>CONCATENATE(REPLACE(OU200,LEN(OU200),1,"")+1,RIGHT(OU200))</f>
        <v>13A</v>
      </c>
      <c r="OX200" t="str">
        <f>CONCATENATE(REPLACE(OV200,LEN(OV200),1,"")+1,RIGHT(OV200))</f>
        <v>13B</v>
      </c>
      <c r="OY200" t="str">
        <f>CONCATENATE(REPLACE(OW200,LEN(OW200),1,"")+1,RIGHT(OW200))</f>
        <v>14A</v>
      </c>
      <c r="OZ200" t="str">
        <f>CONCATENATE(REPLACE(OX200,LEN(OX200),1,"")+1,RIGHT(OX200))</f>
        <v>14B</v>
      </c>
      <c r="PA200" t="str">
        <f>CONCATENATE($T200,"-AI",REPLACE($X200,1,3,""),"-",$AA200)</f>
        <v>F0-AI42-9A</v>
      </c>
      <c r="PB200" t="str">
        <f>CONCATENATE($T200,"-AI",REPLACE($X200,1,3,""),"-",$AB200)</f>
        <v>F0-AI42-9B</v>
      </c>
      <c r="PC200" t="str">
        <f t="shared" si="213"/>
        <v>F0-AI42-10A</v>
      </c>
      <c r="PD200" t="str">
        <f t="shared" si="213"/>
        <v>F0-AI42-10B</v>
      </c>
      <c r="PE200" t="str">
        <f t="shared" si="213"/>
        <v>F0-AI42-11A</v>
      </c>
      <c r="PF200" t="str">
        <f t="shared" si="213"/>
        <v>F0-AI42-11B</v>
      </c>
      <c r="PG200" t="str">
        <f t="shared" si="213"/>
        <v>F0-AI42-12A</v>
      </c>
      <c r="PH200" t="str">
        <f t="shared" si="213"/>
        <v>F0-AI42-12B</v>
      </c>
      <c r="PI200" t="str">
        <f>CONCATENATE($T200,"-AI",REPLACE($X200,1,3,""),"-",OW200)</f>
        <v>F0-AI42-13A</v>
      </c>
      <c r="PJ200" t="str">
        <f>CONCATENATE($T200,"-AI",REPLACE($X200,1,3,""),"-",OX200)</f>
        <v>F0-AI42-13B</v>
      </c>
      <c r="PK200" t="str">
        <f>CONCATENATE($T200,"-AI",REPLACE($X200,1,3,""),"-",OY200)</f>
        <v>F0-AI42-14A</v>
      </c>
      <c r="PL200" t="str">
        <f>CONCATENATE($T200,"-AI",REPLACE($X200,1,3,""),"-",OZ200)</f>
        <v>F0-AI42-14B</v>
      </c>
      <c r="PM200">
        <f t="array" ref="PM200">IF(COUNTIFS($U$2:$U200,$U200)=1,1,INDEX(PM:PM,_xlfn.XMATCH($U200,$U$1:$U199,0,-1))+COUNT(PM199:PR199))</f>
        <v>13</v>
      </c>
      <c r="PN200">
        <f t="shared" si="214"/>
        <v>14</v>
      </c>
      <c r="PO200">
        <f t="shared" si="214"/>
        <v>15</v>
      </c>
      <c r="PP200">
        <f t="shared" si="214"/>
        <v>16</v>
      </c>
      <c r="PQ200">
        <f t="shared" si="214"/>
        <v>17</v>
      </c>
      <c r="PR200">
        <f t="shared" si="214"/>
        <v>18</v>
      </c>
      <c r="PS200">
        <f>PR200+1</f>
        <v>19</v>
      </c>
      <c r="PT200">
        <f>PS200+1</f>
        <v>20</v>
      </c>
      <c r="PU200">
        <f>PT200+1</f>
        <v>21</v>
      </c>
      <c r="PV200">
        <v>1</v>
      </c>
      <c r="PW200">
        <v>2</v>
      </c>
      <c r="PX200">
        <v>3</v>
      </c>
      <c r="PY200">
        <v>4</v>
      </c>
      <c r="PZ200">
        <v>5</v>
      </c>
      <c r="QA200">
        <v>6</v>
      </c>
      <c r="QB200" s="23">
        <v>7</v>
      </c>
      <c r="QC200" s="23">
        <v>8</v>
      </c>
      <c r="QD200" s="24">
        <v>9</v>
      </c>
    </row>
    <row r="201" spans="1:543" ht="15.75" thickBot="1" x14ac:dyDescent="0.3">
      <c r="A201" t="s">
        <v>2412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1366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SUM(IF(ISNUMBER(FIND("TmAi",$BE$1:$AAQ$1)),IF(IFERROR(ISODD(SUBSTITUTE($BE201:$AAQ201,"A","")),FALSE),IF(ISODD(SUBSTITUTE($BE201:$AAQ201,"A","")),1,0),0)))</f>
        <v>0</v>
      </c>
      <c r="AA201" t="str">
        <f>CONCATENATE($Y201*2-1,"B")</f>
        <v>1B</v>
      </c>
      <c r="AB201" t="str">
        <f>CONCATENATE($Y201*2,"B")</f>
        <v>2B</v>
      </c>
      <c r="AD201" s="46"/>
      <c r="AE201" s="46">
        <f t="array" ref="AE201">SUM(IF(ISNUMBER(FIND("TmDi",$BE$1:$AAQ$1)),IF(IFERROR(ISNUMBER(VALUE(SUBSTITUTE($BE201:$AAQ201,"B",""))),FALSE),IF(ISNUMBER(VALUE(SUBSTITUTE($BE201:$AAQ201,"B",""))),1,0),0)))</f>
        <v>0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F0-AI28-1B</v>
      </c>
      <c r="KD201" t="str">
        <f>CONCATENATE(T201,"-AI",REPLACE($X201,1,3,""),"-",AB201)</f>
        <v>F0-AI28-2B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L201" s="27"/>
      <c r="QA201" s="16"/>
    </row>
    <row r="202" spans="1:543" ht="15.75" thickBot="1" x14ac:dyDescent="0.3">
      <c r="A202" t="s">
        <v>2413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A3.28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SUM(IF(ISNUMBER(FIND("TmAi",$BE$1:$AAQ$1)),IF(IFERROR(ISODD(SUBSTITUTE($BE202:$AAQ202,"A","")),FALSE),IF(ISODD(SUBSTITUTE($BE202:$AAQ202,"A","")),1,0),0)))</f>
        <v>11</v>
      </c>
      <c r="AA202" t="str">
        <f t="shared" si="189"/>
        <v>3A</v>
      </c>
      <c r="AB202" t="str">
        <f t="shared" si="190"/>
        <v>3B</v>
      </c>
      <c r="AD202" s="46"/>
      <c r="AE202" s="46">
        <f t="array" ref="AE202">SUM(IF(ISNUMBER(FIND("TmDi",$BE$1:$AAQ$1)),IF(IFERROR(ISNUMBER(VALUE(SUBSTITUTE($BE202:$AAQ202,"B",""))),FALSE),IF(ISNUMBER(VALUE(SUBSTITUTE($BE202:$AAQ202,"B",""))),1,0),0)))</f>
        <v>0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QE202" s="25" t="str">
        <f>REPLACE(X202,FIND(".",X202)+1,3,MID(X202,FIND(".",X202)+1,3)+1)</f>
        <v>A3.29</v>
      </c>
      <c r="QF202" s="12" t="str">
        <f>CONCATENATE(VALUE(SUBSTITUTE($AB202,"B",""))+2,"B")</f>
        <v>5B</v>
      </c>
      <c r="QG202" s="12" t="str">
        <f>CONCATENATE(VALUE(SUBSTITUTE($AA202,"A",""))+2,"A")</f>
        <v>5A</v>
      </c>
      <c r="QH202" s="12" t="str">
        <f>CONCATENATE(VALUE(SUBSTITUTE(QF202,"B",""))+2,"B")</f>
        <v>7B</v>
      </c>
      <c r="QI202" s="12" t="str">
        <f>CONCATENATE(VALUE(SUBSTITUTE(QG202,"A",""))+2,"A")</f>
        <v>7A</v>
      </c>
      <c r="QJ202" s="12" t="str">
        <f>CONCATENATE(VALUE(SUBSTITUTE(QH202,"B",""))+2,"B")</f>
        <v>9B</v>
      </c>
      <c r="QK202" s="12" t="str">
        <f>CONCATENATE(VALUE(SUBSTITUTE(QI202,"A",""))+2,"A")</f>
        <v>9A</v>
      </c>
      <c r="QL202" s="12" t="str">
        <f>CONCATENATE(VALUE(SUBSTITUTE(QJ202,"B",""))+2,"B")</f>
        <v>11B</v>
      </c>
      <c r="QM202" s="12" t="str">
        <f>CONCATENATE(VALUE(SUBSTITUTE(QK202,"A",""))+2,"A")</f>
        <v>11A</v>
      </c>
      <c r="QN202" s="12" t="str">
        <f>CONCATENATE(VALUE(SUBSTITUTE(QL202,"B",""))+2,"B")</f>
        <v>13B</v>
      </c>
      <c r="QO202" s="12" t="str">
        <f>CONCATENATE(VALUE(SUBSTITUTE(QM202,"A",""))+2,"A")</f>
        <v>13A</v>
      </c>
      <c r="QP202" s="12" t="s">
        <v>135</v>
      </c>
      <c r="QQ202" s="12" t="s">
        <v>136</v>
      </c>
      <c r="QR202" s="12" t="str">
        <f>CONCATENATE(VALUE(SUBSTITUTE(QP202,"B",""))+2,"B")</f>
        <v>3B</v>
      </c>
      <c r="QS202" s="12" t="str">
        <f>CONCATENATE(VALUE(SUBSTITUTE(QQ202,"A",""))+2,"A")</f>
        <v>3A</v>
      </c>
      <c r="QT202" s="12" t="str">
        <f>CONCATENATE(VALUE(SUBSTITUTE(QR202,"B",""))+2,"B")</f>
        <v>5B</v>
      </c>
      <c r="QU202" s="12" t="str">
        <f>CONCATENATE(VALUE(SUBSTITUTE(QS202,"A",""))+2,"A")</f>
        <v>5A</v>
      </c>
      <c r="QV202" s="12" t="str">
        <f>CONCATENATE(VALUE(SUBSTITUTE(QT202,"B",""))+2,"B")</f>
        <v>7B</v>
      </c>
      <c r="QW202" s="12" t="str">
        <f>CONCATENATE(VALUE(SUBSTITUTE(QU202,"A",""))+2,"A")</f>
        <v>7A</v>
      </c>
      <c r="QX202" s="12" t="str">
        <f>CONCATENATE(VALUE(SUBSTITUTE(QV202,"B",""))+2,"B")</f>
        <v>9B</v>
      </c>
      <c r="QY202" s="12" t="str">
        <f>CONCATENATE(VALUE(SUBSTITUTE(QW202,"A",""))+2,"A")</f>
        <v>9A</v>
      </c>
      <c r="QZ202" s="12" t="str">
        <f>CONCATENATE(VALUE(SUBSTITUTE(QX202,"B",""))+2,"B")</f>
        <v>11B</v>
      </c>
      <c r="RA202" s="12" t="str">
        <f>CONCATENATE(VALUE(SUBSTITUTE(QY202,"A",""))+2,"A")</f>
        <v>11A</v>
      </c>
      <c r="RB202" s="12" t="str">
        <f>CONCATENATE($T202,"-AI",REPLACE($X202,1,3,""),"-",AB202)</f>
        <v>F0-AI28-3B</v>
      </c>
      <c r="RC202" s="12" t="str">
        <f>CONCATENATE($T202,"-AI",REPLACE($X202,1,3,""),"-",AA202)</f>
        <v>F0-AI28-3A</v>
      </c>
      <c r="RD202" s="12" t="str">
        <f t="shared" ref="RD202:RM202" si="215">CONCATENATE($T202,"-AI",REPLACE($X202,1,3,""),"-",QF202)</f>
        <v>F0-AI28-5B</v>
      </c>
      <c r="RE202" s="12" t="str">
        <f t="shared" si="215"/>
        <v>F0-AI28-5A</v>
      </c>
      <c r="RF202" s="12" t="str">
        <f t="shared" si="215"/>
        <v>F0-AI28-7B</v>
      </c>
      <c r="RG202" s="12" t="str">
        <f t="shared" si="215"/>
        <v>F0-AI28-7A</v>
      </c>
      <c r="RH202" s="12" t="str">
        <f t="shared" si="215"/>
        <v>F0-AI28-9B</v>
      </c>
      <c r="RI202" s="12" t="str">
        <f t="shared" si="215"/>
        <v>F0-AI28-9A</v>
      </c>
      <c r="RJ202" s="12" t="str">
        <f t="shared" si="215"/>
        <v>F0-AI28-11B</v>
      </c>
      <c r="RK202" s="12" t="str">
        <f t="shared" si="215"/>
        <v>F0-AI28-11A</v>
      </c>
      <c r="RL202" s="12" t="str">
        <f t="shared" si="215"/>
        <v>F0-AI28-13B</v>
      </c>
      <c r="RM202" s="12" t="str">
        <f t="shared" si="215"/>
        <v>F0-AI28-13A</v>
      </c>
      <c r="RN202" s="12" t="str">
        <f t="shared" ref="RN202:RY202" si="216">CONCATENATE($T202,"-AI",REPLACE($QE202,1,3,""),"-",QP202)</f>
        <v>F0-AI29-1B</v>
      </c>
      <c r="RO202" s="12" t="str">
        <f t="shared" si="216"/>
        <v>F0-AI29-1A</v>
      </c>
      <c r="RP202" s="12" t="str">
        <f t="shared" si="216"/>
        <v>F0-AI29-3B</v>
      </c>
      <c r="RQ202" s="12" t="str">
        <f t="shared" si="216"/>
        <v>F0-AI29-3A</v>
      </c>
      <c r="RR202" s="12" t="str">
        <f t="shared" si="216"/>
        <v>F0-AI29-5B</v>
      </c>
      <c r="RS202" s="12" t="str">
        <f t="shared" si="216"/>
        <v>F0-AI29-5A</v>
      </c>
      <c r="RT202" s="12" t="str">
        <f t="shared" si="216"/>
        <v>F0-AI29-7B</v>
      </c>
      <c r="RU202" s="12" t="str">
        <f t="shared" si="216"/>
        <v>F0-AI29-7A</v>
      </c>
      <c r="RV202" s="12" t="str">
        <f t="shared" si="216"/>
        <v>F0-AI29-9B</v>
      </c>
      <c r="RW202" s="12" t="str">
        <f t="shared" si="216"/>
        <v>F0-AI29-9A</v>
      </c>
      <c r="RX202" s="12" t="str">
        <f t="shared" si="216"/>
        <v>F0-AI29-11B</v>
      </c>
      <c r="RY202" s="12" t="str">
        <f t="shared" si="216"/>
        <v>F0-AI29-11A</v>
      </c>
      <c r="RZ202" s="12" t="str">
        <f>CONCATENATE("XT",$U202)</f>
        <v>XT62</v>
      </c>
      <c r="SA202" s="12">
        <v>25</v>
      </c>
      <c r="SB202" s="12">
        <f>SA202+1</f>
        <v>26</v>
      </c>
      <c r="SC202" s="12">
        <f t="shared" ref="SC202:SY202" si="217">SB202+1</f>
        <v>27</v>
      </c>
      <c r="SD202" s="12">
        <f t="shared" si="217"/>
        <v>28</v>
      </c>
      <c r="SE202" s="12">
        <f t="shared" si="217"/>
        <v>29</v>
      </c>
      <c r="SF202" s="12">
        <f t="shared" si="217"/>
        <v>30</v>
      </c>
      <c r="SG202" s="12">
        <f t="shared" si="217"/>
        <v>31</v>
      </c>
      <c r="SH202" s="12">
        <f t="shared" si="217"/>
        <v>32</v>
      </c>
      <c r="SI202" s="12">
        <f t="shared" si="217"/>
        <v>33</v>
      </c>
      <c r="SJ202" s="12">
        <f t="shared" si="217"/>
        <v>34</v>
      </c>
      <c r="SK202" s="12">
        <f t="shared" si="217"/>
        <v>35</v>
      </c>
      <c r="SL202" s="12">
        <f t="shared" si="217"/>
        <v>36</v>
      </c>
      <c r="SM202" s="12">
        <f t="shared" si="217"/>
        <v>37</v>
      </c>
      <c r="SN202" s="12">
        <f t="shared" si="217"/>
        <v>38</v>
      </c>
      <c r="SO202" s="12">
        <f t="shared" si="217"/>
        <v>39</v>
      </c>
      <c r="SP202" s="12">
        <f t="shared" si="217"/>
        <v>40</v>
      </c>
      <c r="SQ202" s="12">
        <f t="shared" si="217"/>
        <v>41</v>
      </c>
      <c r="SR202" s="12">
        <f t="shared" si="217"/>
        <v>42</v>
      </c>
      <c r="SS202" s="12">
        <f t="shared" si="217"/>
        <v>43</v>
      </c>
      <c r="ST202" s="12">
        <f t="shared" si="217"/>
        <v>44</v>
      </c>
      <c r="SU202" s="12">
        <f t="shared" si="217"/>
        <v>45</v>
      </c>
      <c r="SV202" s="12">
        <f t="shared" si="217"/>
        <v>46</v>
      </c>
      <c r="SW202" s="12">
        <f t="shared" si="217"/>
        <v>47</v>
      </c>
      <c r="SX202" s="12">
        <f t="shared" si="217"/>
        <v>48</v>
      </c>
      <c r="SY202" s="12">
        <f t="shared" si="217"/>
        <v>49</v>
      </c>
      <c r="SZ202" s="12" t="s">
        <v>1231</v>
      </c>
      <c r="TA202" s="12" t="s">
        <v>1232</v>
      </c>
      <c r="TB202" s="12" t="s">
        <v>1233</v>
      </c>
      <c r="TC202" s="12" t="s">
        <v>1234</v>
      </c>
      <c r="TD202" s="12" t="s">
        <v>1235</v>
      </c>
      <c r="TE202" s="12" t="s">
        <v>1236</v>
      </c>
      <c r="TF202" s="12" t="s">
        <v>1237</v>
      </c>
      <c r="TG202" s="12" t="s">
        <v>1238</v>
      </c>
      <c r="TH202" s="12" t="s">
        <v>1239</v>
      </c>
      <c r="TI202" s="12" t="s">
        <v>1240</v>
      </c>
      <c r="TJ202" s="12" t="s">
        <v>1241</v>
      </c>
      <c r="TK202" s="12" t="s">
        <v>1242</v>
      </c>
      <c r="TL202" s="12" t="s">
        <v>1059</v>
      </c>
      <c r="TM202" s="12" t="s">
        <v>1128</v>
      </c>
      <c r="TN202" s="12" t="s">
        <v>1129</v>
      </c>
      <c r="TO202" s="12" t="s">
        <v>1130</v>
      </c>
      <c r="TP202" s="12" t="s">
        <v>1132</v>
      </c>
      <c r="TQ202" s="12" t="s">
        <v>1131</v>
      </c>
      <c r="TR202" s="12" t="s">
        <v>1133</v>
      </c>
      <c r="TS202" s="12" t="s">
        <v>1134</v>
      </c>
      <c r="TT202" s="12" t="s">
        <v>1135</v>
      </c>
      <c r="TU202" s="12" t="s">
        <v>1136</v>
      </c>
      <c r="TV202" s="12" t="s">
        <v>1137</v>
      </c>
      <c r="TW202" s="13" t="s">
        <v>1138</v>
      </c>
    </row>
    <row r="203" spans="1:543" x14ac:dyDescent="0.25">
      <c r="A203" t="s">
        <v>2414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2073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SUM(IF(ISNUMBER(FIND("TmAi",$BE$1:$AAQ$1)),IF(IFERROR(ISODD(SUBSTITUTE($BE203:$AAQ203,"A","")),FALSE),IF(ISODD(SUBSTITUTE($BE203:$AAQ203,"A","")),1,0),0)))</f>
        <v>1</v>
      </c>
      <c r="AA203" t="str">
        <f t="shared" si="189"/>
        <v>1A</v>
      </c>
      <c r="AB203" t="str">
        <f t="shared" si="190"/>
        <v>1B</v>
      </c>
      <c r="AD203" s="46"/>
      <c r="AE203" s="46">
        <f t="array" ref="AE203">SUM(IF(ISNUMBER(FIND("TmDi",$BE$1:$AAQ$1)),IF(IFERROR(ISNUMBER(VALUE(SUBSTITUTE($BE203:$AAQ203,"B",""))),FALSE),IF(ISNUMBER(VALUE(SUBSTITUTE($BE203:$AAQ203,"B",""))),1,0),0)))</f>
        <v>0</v>
      </c>
      <c r="AP203" t="s">
        <v>137</v>
      </c>
      <c r="AR203" t="s">
        <v>1253</v>
      </c>
      <c r="AS203" t="s">
        <v>396</v>
      </c>
      <c r="OL203" s="25" t="str">
        <f>CONCATENATE("XT",$U203)</f>
        <v>XT63</v>
      </c>
      <c r="OM203" s="12" t="s">
        <v>1259</v>
      </c>
      <c r="ON203" s="12" t="s">
        <v>1312</v>
      </c>
      <c r="OO203" s="12"/>
      <c r="OP203" s="12"/>
      <c r="OQ203" s="12" t="str">
        <f>CONCATENATE(REPLACE($AA203,LEN($AA203),1,"")+1,RIGHT($AA203))</f>
        <v>2A</v>
      </c>
      <c r="OR203" s="12" t="str">
        <f>CONCATENATE(REPLACE($AB203,LEN($AB203),1,"")+1,RIGHT($AB203))</f>
        <v>2B</v>
      </c>
      <c r="OS203" s="12" t="str">
        <f>CONCATENATE(REPLACE(OQ203,LEN(OQ203),1,"")+1,RIGHT(OQ203))</f>
        <v>3A</v>
      </c>
      <c r="OT203" s="12" t="str">
        <f>CONCATENATE(REPLACE(OR203,LEN(OR203),1,"")+1,RIGHT(OR203))</f>
        <v>3B</v>
      </c>
      <c r="OU203" s="12" t="str">
        <f>CONCATENATE(REPLACE(OS203,LEN(OS203),1,"")+1,RIGHT(OS203))</f>
        <v>4A</v>
      </c>
      <c r="OV203" s="12" t="str">
        <f>CONCATENATE(REPLACE(OT203,LEN(OT203),1,"")+1,RIGHT(OT203))</f>
        <v>4B</v>
      </c>
      <c r="OW203" s="12"/>
      <c r="OX203" s="12"/>
      <c r="OY203" s="12"/>
      <c r="OZ203" s="12"/>
      <c r="PA203" s="12" t="str">
        <f>CONCATENATE($T203,"-AI",REPLACE($X203,1,3,""),"-",$AA203)</f>
        <v>F0-AI43-1A</v>
      </c>
      <c r="PB203" s="12" t="str">
        <f>CONCATENATE($T203,"-AI",REPLACE($X203,1,3,""),"-",$AB203)</f>
        <v>F0-AI43-1B</v>
      </c>
      <c r="PC203" s="12" t="str">
        <f t="shared" ref="PC203:PH203" si="218">CONCATENATE($T203,"-AI",REPLACE($X203,1,3,""),"-",OQ203)</f>
        <v>F0-AI43-2A</v>
      </c>
      <c r="PD203" s="12" t="str">
        <f t="shared" si="218"/>
        <v>F0-AI43-2B</v>
      </c>
      <c r="PE203" s="12" t="str">
        <f t="shared" si="218"/>
        <v>F0-AI43-3A</v>
      </c>
      <c r="PF203" s="12" t="str">
        <f t="shared" si="218"/>
        <v>F0-AI43-3B</v>
      </c>
      <c r="PG203" s="12" t="str">
        <f t="shared" si="218"/>
        <v>F0-AI43-4A</v>
      </c>
      <c r="PH203" s="12" t="str">
        <f t="shared" si="218"/>
        <v>F0-AI43-4B</v>
      </c>
      <c r="PI203" s="12"/>
      <c r="PJ203" s="12"/>
      <c r="PK203" s="12"/>
      <c r="PL203" s="12"/>
      <c r="PM203" s="12">
        <f t="array" ref="PM203">IF(COUNTIFS($U$2:$U203,$U203)=1,1,INDEX(PM:PM,_xlfn.XMATCH($U203,$U$1:EF202,0,-1))+COUNT(PM202:PR202))</f>
        <v>1</v>
      </c>
      <c r="PN203" s="12">
        <f>PM203+1</f>
        <v>2</v>
      </c>
      <c r="PO203" s="12">
        <f>PN203+1</f>
        <v>3</v>
      </c>
      <c r="PP203" s="12">
        <f>PO203+1</f>
        <v>4</v>
      </c>
      <c r="PQ203" s="12">
        <f>PP203+1</f>
        <v>5</v>
      </c>
      <c r="PR203" s="12">
        <f>PQ203+1</f>
        <v>6</v>
      </c>
      <c r="PS203" s="12"/>
      <c r="PT203" s="12"/>
      <c r="PU203" s="12"/>
      <c r="PV203" s="12">
        <v>1</v>
      </c>
      <c r="PW203" s="12">
        <v>2</v>
      </c>
      <c r="PX203" s="12">
        <v>3</v>
      </c>
      <c r="PY203" s="12">
        <v>4</v>
      </c>
      <c r="PZ203" s="12">
        <v>5</v>
      </c>
      <c r="QA203" s="13">
        <v>6</v>
      </c>
    </row>
    <row r="204" spans="1:543" ht="15.75" thickBot="1" x14ac:dyDescent="0.3">
      <c r="A204" t="s">
        <v>2415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1056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SUM(IF(ISNUMBER(FIND("TmAi",$BE$1:$AAQ$1)),IF(IFERROR(ISODD(SUBSTITUTE($BE204:$AAQ204,"A","")),FALSE),IF(ISODD(SUBSTITUTE($BE204:$AAQ204,"A","")),1,0),0)))</f>
        <v>0</v>
      </c>
      <c r="AA204" t="str">
        <f t="shared" ref="AA204:AA220" si="219">CONCATENATE($Y204*2-1,"B")</f>
        <v>1B</v>
      </c>
      <c r="AB204" t="str">
        <f t="shared" ref="AB204:AB220" si="220">CONCATENATE($Y204*2,"B")</f>
        <v>2B</v>
      </c>
      <c r="AD204" s="46"/>
      <c r="AE204" s="46">
        <f t="array" ref="AE204">SUM(IF(ISNUMBER(FIND("TmDi",$BE$1:$AAQ$1)),IF(IFERROR(ISNUMBER(VALUE(SUBSTITUTE($BE204:$AAQ204,"B",""))),FALSE),IF(ISNUMBER(VALUE(SUBSTITUTE($BE204:$AAQ204,"B",""))),1,0),0)))</f>
        <v>0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F0-AI30-1B</v>
      </c>
      <c r="KD204" t="str">
        <f>CONCATENATE(T204,"-AI",REPLACE($X204,1,3,""),"-",AB204)</f>
        <v>F0-AI30-2B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L204" s="27"/>
      <c r="QA204" s="16"/>
    </row>
    <row r="205" spans="1:543" x14ac:dyDescent="0.25">
      <c r="A205" t="s">
        <v>2416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2073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SUM(IF(ISNUMBER(FIND("TmAi",$BE$1:$AAQ$1)),IF(IFERROR(ISODD(SUBSTITUTE($BE205:$AAQ205,"A","")),FALSE),IF(ISODD(SUBSTITUTE($BE205:$AAQ205,"A","")),1,0),0)))</f>
        <v>1</v>
      </c>
      <c r="AA205" t="str">
        <f t="shared" si="189"/>
        <v>5A</v>
      </c>
      <c r="AB205" t="str">
        <f t="shared" si="190"/>
        <v>5B</v>
      </c>
      <c r="AD205" s="46"/>
      <c r="AE205" s="46">
        <f t="array" ref="AE205">SUM(IF(ISNUMBER(FIND("TmDi",$BE$1:$AAQ$1)),IF(IFERROR(ISNUMBER(VALUE(SUBSTITUTE($BE205:$AAQ205,"B",""))),FALSE),IF(ISNUMBER(VALUE(SUBSTITUTE($BE205:$AAQ205,"B",""))),1,0),0)))</f>
        <v>0</v>
      </c>
      <c r="AP205" t="s">
        <v>137</v>
      </c>
      <c r="AR205" t="s">
        <v>1261</v>
      </c>
      <c r="AS205" t="s">
        <v>396</v>
      </c>
      <c r="OL205" s="25" t="str">
        <f>CONCATENATE("XT",$U205)</f>
        <v>XT64</v>
      </c>
      <c r="OM205" s="12" t="s">
        <v>1254</v>
      </c>
      <c r="ON205" s="12" t="s">
        <v>1313</v>
      </c>
      <c r="OO205" s="12"/>
      <c r="OP205" s="12"/>
      <c r="OQ205" s="12" t="str">
        <f>CONCATENATE(REPLACE($AA205,LEN($AA205),1,"")+1,RIGHT($AA205))</f>
        <v>6A</v>
      </c>
      <c r="OR205" s="12" t="str">
        <f>CONCATENATE(REPLACE($AB205,LEN($AB205),1,"")+1,RIGHT($AB205))</f>
        <v>6B</v>
      </c>
      <c r="OS205" s="12" t="str">
        <f>CONCATENATE(REPLACE(OQ205,LEN(OQ205),1,"")+1,RIGHT(OQ205))</f>
        <v>7A</v>
      </c>
      <c r="OT205" s="12" t="str">
        <f>CONCATENATE(REPLACE(OR205,LEN(OR205),1,"")+1,RIGHT(OR205))</f>
        <v>7B</v>
      </c>
      <c r="OU205" s="12" t="str">
        <f>CONCATENATE(REPLACE(OS205,LEN(OS205),1,"")+1,RIGHT(OS205))</f>
        <v>8A</v>
      </c>
      <c r="OV205" s="12" t="str">
        <f>CONCATENATE(REPLACE(OT205,LEN(OT205),1,"")+1,RIGHT(OT205))</f>
        <v>8B</v>
      </c>
      <c r="OW205" s="12"/>
      <c r="OX205" s="12"/>
      <c r="OY205" s="12"/>
      <c r="OZ205" s="12"/>
      <c r="PA205" s="12" t="str">
        <f>CONCATENATE($T205,"-AI",REPLACE($X205,1,3,""),"-",$AA205)</f>
        <v>F0-AI43-5A</v>
      </c>
      <c r="PB205" s="12" t="str">
        <f>CONCATENATE($T205,"-AI",REPLACE($X205,1,3,""),"-",$AB205)</f>
        <v>F0-AI43-5B</v>
      </c>
      <c r="PC205" s="12" t="str">
        <f t="shared" ref="PC205:PH205" si="221">CONCATENATE($T205,"-AI",REPLACE($X205,1,3,""),"-",OQ205)</f>
        <v>F0-AI43-6A</v>
      </c>
      <c r="PD205" s="12" t="str">
        <f t="shared" si="221"/>
        <v>F0-AI43-6B</v>
      </c>
      <c r="PE205" s="12" t="str">
        <f t="shared" si="221"/>
        <v>F0-AI43-7A</v>
      </c>
      <c r="PF205" s="12" t="str">
        <f t="shared" si="221"/>
        <v>F0-AI43-7B</v>
      </c>
      <c r="PG205" s="12" t="str">
        <f t="shared" si="221"/>
        <v>F0-AI43-8A</v>
      </c>
      <c r="PH205" s="12" t="str">
        <f t="shared" si="221"/>
        <v>F0-AI43-8B</v>
      </c>
      <c r="PI205" s="12"/>
      <c r="PJ205" s="12"/>
      <c r="PK205" s="12"/>
      <c r="PL205" s="12"/>
      <c r="PM205" s="12">
        <f t="array" ref="PM205">IF(COUNTIFS($U$2:$U205,$U205)=1,1,INDEX(PM:PM,_xlfn.XMATCH($U205,$U$1:EF204,0,-1))+COUNT(PM204:PR204))</f>
        <v>1</v>
      </c>
      <c r="PN205" s="12">
        <f>PM205+1</f>
        <v>2</v>
      </c>
      <c r="PO205" s="12">
        <f>PN205+1</f>
        <v>3</v>
      </c>
      <c r="PP205" s="12">
        <f>PO205+1</f>
        <v>4</v>
      </c>
      <c r="PQ205" s="12">
        <f>PP205+1</f>
        <v>5</v>
      </c>
      <c r="PR205" s="12">
        <f>PQ205+1</f>
        <v>6</v>
      </c>
      <c r="PS205" s="12"/>
      <c r="PT205" s="12"/>
      <c r="PU205" s="12"/>
      <c r="PV205" s="12">
        <v>1</v>
      </c>
      <c r="PW205" s="12">
        <v>2</v>
      </c>
      <c r="PX205" s="12">
        <v>3</v>
      </c>
      <c r="PY205" s="12">
        <v>4</v>
      </c>
      <c r="PZ205" s="12">
        <v>5</v>
      </c>
      <c r="QA205" s="13">
        <v>6</v>
      </c>
    </row>
    <row r="206" spans="1:543" ht="15.75" thickBot="1" x14ac:dyDescent="0.3">
      <c r="A206" t="s">
        <v>2417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1056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SUM(IF(ISNUMBER(FIND("TmAi",$BE$1:$AAQ$1)),IF(IFERROR(ISODD(SUBSTITUTE($BE206:$AAQ206,"A","")),FALSE),IF(ISODD(SUBSTITUTE($BE206:$AAQ206,"A","")),1,0),0)))</f>
        <v>0</v>
      </c>
      <c r="AA206" t="str">
        <f t="shared" si="219"/>
        <v>3B</v>
      </c>
      <c r="AB206" t="str">
        <f t="shared" si="220"/>
        <v>4B</v>
      </c>
      <c r="AD206" s="46"/>
      <c r="AE206" s="46">
        <f t="array" ref="AE206">SUM(IF(ISNUMBER(FIND("TmDi",$BE$1:$AAQ$1)),IF(IFERROR(ISNUMBER(VALUE(SUBSTITUTE($BE206:$AAQ206,"B",""))),FALSE),IF(ISNUMBER(VALUE(SUBSTITUTE($BE206:$AAQ206,"B",""))),1,0),0)))</f>
        <v>0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F0-AI30-3B</v>
      </c>
      <c r="KD206" t="str">
        <f>CONCATENATE(T206,"-AI",REPLACE($X206,1,3,""),"-",AB206)</f>
        <v>F0-AI30-4B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L206" s="27"/>
      <c r="QA206" s="16"/>
    </row>
    <row r="207" spans="1:543" x14ac:dyDescent="0.25">
      <c r="A207" t="s">
        <v>2418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2073</v>
      </c>
      <c r="Y207" s="45">
        <f t="array" ref="Y207">IF(COUNTIFS($X$2:$X207,$X207)=1,"1",VALUE(SUBSTITUTE(INDEX(Y:Y,_xlfn.XMATCH($X207,$X$1:$X206,0,-1)),"A",""))+INDEX(Z:Z,_xlfn.XMATCH($X207,$X$1:$X206,0,-1))+1)</f>
        <v>5</v>
      </c>
      <c r="Z207" s="46">
        <f t="array" ref="Z207">SUM(IF(ISNUMBER(FIND("TmAi",$BE$1:$AAQ$1)),IF(IFERROR(ISODD(SUBSTITUTE($BE207:$AAQ207,"A","")),FALSE),IF(ISODD(SUBSTITUTE($BE207:$AAQ207,"A","")),1,0),0)))</f>
        <v>1</v>
      </c>
      <c r="AA207" t="str">
        <f t="shared" si="189"/>
        <v>9A</v>
      </c>
      <c r="AB207" t="str">
        <f t="shared" si="190"/>
        <v>9B</v>
      </c>
      <c r="AD207" s="46"/>
      <c r="AE207" s="46">
        <f t="array" ref="AE207">SUM(IF(ISNUMBER(FIND("TmDi",$BE$1:$AAQ$1)),IF(IFERROR(ISNUMBER(VALUE(SUBSTITUTE($BE207:$AAQ207,"B",""))),FALSE),IF(ISNUMBER(VALUE(SUBSTITUTE($BE207:$AAQ207,"B",""))),1,0),0)))</f>
        <v>0</v>
      </c>
      <c r="AP207" t="s">
        <v>137</v>
      </c>
      <c r="AR207" t="s">
        <v>1270</v>
      </c>
      <c r="AS207" t="s">
        <v>396</v>
      </c>
      <c r="OL207" s="25" t="str">
        <f>CONCATENATE("XT",$U207)</f>
        <v>XT65</v>
      </c>
      <c r="OM207" s="12" t="s">
        <v>1275</v>
      </c>
      <c r="ON207" s="12" t="s">
        <v>1316</v>
      </c>
      <c r="OO207" s="12"/>
      <c r="OP207" s="12"/>
      <c r="OQ207" s="12" t="str">
        <f>CONCATENATE(REPLACE($AA207,LEN($AA207),1,"")+1,RIGHT($AA207))</f>
        <v>10A</v>
      </c>
      <c r="OR207" s="12" t="str">
        <f>CONCATENATE(REPLACE($AB207,LEN($AB207),1,"")+1,RIGHT($AB207))</f>
        <v>10B</v>
      </c>
      <c r="OS207" s="12" t="str">
        <f>CONCATENATE(REPLACE(OQ207,LEN(OQ207),1,"")+1,RIGHT(OQ207))</f>
        <v>11A</v>
      </c>
      <c r="OT207" s="12" t="str">
        <f>CONCATENATE(REPLACE(OR207,LEN(OR207),1,"")+1,RIGHT(OR207))</f>
        <v>11B</v>
      </c>
      <c r="OU207" s="12" t="str">
        <f>CONCATENATE(REPLACE(OS207,LEN(OS207),1,"")+1,RIGHT(OS207))</f>
        <v>12A</v>
      </c>
      <c r="OV207" s="12" t="str">
        <f>CONCATENATE(REPLACE(OT207,LEN(OT207),1,"")+1,RIGHT(OT207))</f>
        <v>12B</v>
      </c>
      <c r="OW207" s="12"/>
      <c r="OX207" s="12"/>
      <c r="OY207" s="12"/>
      <c r="OZ207" s="12"/>
      <c r="PA207" s="12" t="str">
        <f>CONCATENATE($T207,"-AI",REPLACE($X207,1,3,""),"-",$AA207)</f>
        <v>F0-AI43-9A</v>
      </c>
      <c r="PB207" s="12" t="str">
        <f>CONCATENATE($T207,"-AI",REPLACE($X207,1,3,""),"-",$AB207)</f>
        <v>F0-AI43-9B</v>
      </c>
      <c r="PC207" s="12" t="str">
        <f t="shared" ref="PC207:PH207" si="222">CONCATENATE($T207,"-AI",REPLACE($X207,1,3,""),"-",OQ207)</f>
        <v>F0-AI43-10A</v>
      </c>
      <c r="PD207" s="12" t="str">
        <f t="shared" si="222"/>
        <v>F0-AI43-10B</v>
      </c>
      <c r="PE207" s="12" t="str">
        <f t="shared" si="222"/>
        <v>F0-AI43-11A</v>
      </c>
      <c r="PF207" s="12" t="str">
        <f t="shared" si="222"/>
        <v>F0-AI43-11B</v>
      </c>
      <c r="PG207" s="12" t="str">
        <f t="shared" si="222"/>
        <v>F0-AI43-12A</v>
      </c>
      <c r="PH207" s="12" t="str">
        <f t="shared" si="222"/>
        <v>F0-AI43-12B</v>
      </c>
      <c r="PI207" s="12"/>
      <c r="PJ207" s="12"/>
      <c r="PK207" s="12"/>
      <c r="PL207" s="12"/>
      <c r="PM207" s="12">
        <f t="array" ref="PM207">IF(COUNTIFS($U$2:$U207,$U207)=1,1,INDEX(PM:PM,_xlfn.XMATCH($U207,$U$1:EF206,0,-1))+COUNT(PM206:PR206))</f>
        <v>1</v>
      </c>
      <c r="PN207" s="12">
        <f>PM207+1</f>
        <v>2</v>
      </c>
      <c r="PO207" s="12">
        <f>PN207+1</f>
        <v>3</v>
      </c>
      <c r="PP207" s="12">
        <f>PO207+1</f>
        <v>4</v>
      </c>
      <c r="PQ207" s="12">
        <f>PP207+1</f>
        <v>5</v>
      </c>
      <c r="PR207" s="12">
        <f>PQ207+1</f>
        <v>6</v>
      </c>
      <c r="PS207" s="12"/>
      <c r="PT207" s="12"/>
      <c r="PU207" s="12"/>
      <c r="PV207" s="12">
        <v>1</v>
      </c>
      <c r="PW207" s="12">
        <v>2</v>
      </c>
      <c r="PX207" s="12">
        <v>3</v>
      </c>
      <c r="PY207" s="12">
        <v>4</v>
      </c>
      <c r="PZ207" s="12">
        <v>5</v>
      </c>
      <c r="QA207" s="13">
        <v>6</v>
      </c>
    </row>
    <row r="208" spans="1:543" ht="15.75" thickBot="1" x14ac:dyDescent="0.3">
      <c r="A208" t="s">
        <v>2419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1056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SUM(IF(ISNUMBER(FIND("TmAi",$BE$1:$AAQ$1)),IF(IFERROR(ISODD(SUBSTITUTE($BE208:$AAQ208,"A","")),FALSE),IF(ISODD(SUBSTITUTE($BE208:$AAQ208,"A","")),1,0),0)))</f>
        <v>0</v>
      </c>
      <c r="AA208" t="str">
        <f t="shared" si="219"/>
        <v>5B</v>
      </c>
      <c r="AB208" t="str">
        <f t="shared" si="220"/>
        <v>6B</v>
      </c>
      <c r="AD208" s="46"/>
      <c r="AE208" s="46">
        <f t="array" ref="AE208">SUM(IF(ISNUMBER(FIND("TmDi",$BE$1:$AAQ$1)),IF(IFERROR(ISNUMBER(VALUE(SUBSTITUTE($BE208:$AAQ208,"B",""))),FALSE),IF(ISNUMBER(VALUE(SUBSTITUTE($BE208:$AAQ208,"B",""))),1,0),0)))</f>
        <v>0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F0-AI30-5B</v>
      </c>
      <c r="KD208" t="str">
        <f>CONCATENATE(T208,"-AI",REPLACE($X208,1,3,""),"-",AB208)</f>
        <v>F0-AI30-6B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L208" s="27"/>
      <c r="QA208" s="16"/>
    </row>
    <row r="209" spans="1:443" x14ac:dyDescent="0.25">
      <c r="A209" t="s">
        <v>2420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2074</v>
      </c>
      <c r="Y209" s="45" t="str">
        <f t="array" ref="Y209">IF(COUNTIFS($X$2:$X209,$X209)=1,"1",VALUE(SUBSTITUTE(INDEX(Y:Y,_xlfn.XMATCH($X209,$X$1:$X208,0,-1)),"A",""))+INDEX(Z:Z,_xlfn.XMATCH($X209,$X$1:$X208,0,-1))+1)</f>
        <v>1</v>
      </c>
      <c r="Z209" s="46">
        <f t="array" ref="Z209">SUM(IF(ISNUMBER(FIND("TmAi",$BE$1:$AAQ$1)),IF(IFERROR(ISODD(SUBSTITUTE($BE209:$AAQ209,"A","")),FALSE),IF(ISODD(SUBSTITUTE($BE209:$AAQ209,"A","")),1,0),0)))</f>
        <v>1</v>
      </c>
      <c r="AA209" t="str">
        <f t="shared" si="189"/>
        <v>1A</v>
      </c>
      <c r="AB209" t="str">
        <f t="shared" si="190"/>
        <v>1B</v>
      </c>
      <c r="AD209" s="46"/>
      <c r="AE209" s="46">
        <f t="array" ref="AE209">SUM(IF(ISNUMBER(FIND("TmDi",$BE$1:$AAQ$1)),IF(IFERROR(ISNUMBER(VALUE(SUBSTITUTE($BE209:$AAQ209,"B",""))),FALSE),IF(ISNUMBER(VALUE(SUBSTITUTE($BE209:$AAQ209,"B",""))),1,0),0)))</f>
        <v>0</v>
      </c>
      <c r="AP209" t="s">
        <v>137</v>
      </c>
      <c r="AR209" t="s">
        <v>1271</v>
      </c>
      <c r="AS209" t="s">
        <v>396</v>
      </c>
      <c r="OL209" s="25" t="str">
        <f>CONCATENATE("XT",$U209)</f>
        <v>XT66</v>
      </c>
      <c r="OM209" s="12" t="s">
        <v>1274</v>
      </c>
      <c r="ON209" s="12" t="s">
        <v>1317</v>
      </c>
      <c r="OO209" s="12"/>
      <c r="OP209" s="12"/>
      <c r="OQ209" s="12" t="str">
        <f>CONCATENATE(REPLACE($AA209,LEN($AA209),1,"")+1,RIGHT($AA209))</f>
        <v>2A</v>
      </c>
      <c r="OR209" s="12" t="str">
        <f>CONCATENATE(REPLACE($AB209,LEN($AB209),1,"")+1,RIGHT($AB209))</f>
        <v>2B</v>
      </c>
      <c r="OS209" s="12" t="str">
        <f>CONCATENATE(REPLACE(OQ209,LEN(OQ209),1,"")+1,RIGHT(OQ209))</f>
        <v>3A</v>
      </c>
      <c r="OT209" s="12" t="str">
        <f>CONCATENATE(REPLACE(OR209,LEN(OR209),1,"")+1,RIGHT(OR209))</f>
        <v>3B</v>
      </c>
      <c r="OU209" s="12" t="str">
        <f>CONCATENATE(REPLACE(OS209,LEN(OS209),1,"")+1,RIGHT(OS209))</f>
        <v>4A</v>
      </c>
      <c r="OV209" s="12" t="str">
        <f>CONCATENATE(REPLACE(OT209,LEN(OT209),1,"")+1,RIGHT(OT209))</f>
        <v>4B</v>
      </c>
      <c r="OW209" s="12"/>
      <c r="OX209" s="12"/>
      <c r="OY209" s="12"/>
      <c r="OZ209" s="12"/>
      <c r="PA209" s="12" t="str">
        <f>CONCATENATE($T209,"-AI",REPLACE($X209,1,3,""),"-",$AA209)</f>
        <v>F0-AI44-1A</v>
      </c>
      <c r="PB209" s="12" t="str">
        <f>CONCATENATE($T209,"-AI",REPLACE($X209,1,3,""),"-",$AB209)</f>
        <v>F0-AI44-1B</v>
      </c>
      <c r="PC209" s="12" t="str">
        <f t="shared" ref="PC209:PH209" si="223">CONCATENATE($T209,"-AI",REPLACE($X209,1,3,""),"-",OQ209)</f>
        <v>F0-AI44-2A</v>
      </c>
      <c r="PD209" s="12" t="str">
        <f t="shared" si="223"/>
        <v>F0-AI44-2B</v>
      </c>
      <c r="PE209" s="12" t="str">
        <f t="shared" si="223"/>
        <v>F0-AI44-3A</v>
      </c>
      <c r="PF209" s="12" t="str">
        <f t="shared" si="223"/>
        <v>F0-AI44-3B</v>
      </c>
      <c r="PG209" s="12" t="str">
        <f t="shared" si="223"/>
        <v>F0-AI44-4A</v>
      </c>
      <c r="PH209" s="12" t="str">
        <f t="shared" si="223"/>
        <v>F0-AI44-4B</v>
      </c>
      <c r="PI209" s="12"/>
      <c r="PJ209" s="12"/>
      <c r="PK209" s="12"/>
      <c r="PL209" s="12"/>
      <c r="PM209" s="12">
        <f t="array" ref="PM209">IF(COUNTIFS($U$2:$U209,$U209)=1,1,INDEX(PM:PM,_xlfn.XMATCH($U209,$U$1:EF208,0,-1))+COUNT(PM208:PR208))</f>
        <v>1</v>
      </c>
      <c r="PN209" s="12">
        <f>PM209+1</f>
        <v>2</v>
      </c>
      <c r="PO209" s="12">
        <f>PN209+1</f>
        <v>3</v>
      </c>
      <c r="PP209" s="12">
        <f>PO209+1</f>
        <v>4</v>
      </c>
      <c r="PQ209" s="12">
        <f>PP209+1</f>
        <v>5</v>
      </c>
      <c r="PR209" s="12">
        <f>PQ209+1</f>
        <v>6</v>
      </c>
      <c r="PS209" s="12"/>
      <c r="PT209" s="12"/>
      <c r="PU209" s="12"/>
      <c r="PV209" s="12">
        <v>1</v>
      </c>
      <c r="PW209" s="12">
        <v>2</v>
      </c>
      <c r="PX209" s="12">
        <v>3</v>
      </c>
      <c r="PY209" s="12">
        <v>4</v>
      </c>
      <c r="PZ209" s="12">
        <v>5</v>
      </c>
      <c r="QA209" s="13">
        <v>6</v>
      </c>
    </row>
    <row r="210" spans="1:443" ht="15.75" thickBot="1" x14ac:dyDescent="0.3">
      <c r="A210" t="s">
        <v>2421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1056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SUM(IF(ISNUMBER(FIND("TmAi",$BE$1:$AAQ$1)),IF(IFERROR(ISODD(SUBSTITUTE($BE210:$AAQ210,"A","")),FALSE),IF(ISODD(SUBSTITUTE($BE210:$AAQ210,"A","")),1,0),0)))</f>
        <v>0</v>
      </c>
      <c r="AA210" t="str">
        <f t="shared" si="219"/>
        <v>7B</v>
      </c>
      <c r="AB210" t="str">
        <f t="shared" si="220"/>
        <v>8B</v>
      </c>
      <c r="AD210" s="46"/>
      <c r="AE210" s="46">
        <f t="array" ref="AE210">SUM(IF(ISNUMBER(FIND("TmDi",$BE$1:$AAQ$1)),IF(IFERROR(ISNUMBER(VALUE(SUBSTITUTE($BE210:$AAQ210,"B",""))),FALSE),IF(ISNUMBER(VALUE(SUBSTITUTE($BE210:$AAQ210,"B",""))),1,0),0)))</f>
        <v>0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F0-AI30-7B</v>
      </c>
      <c r="KD210" t="str">
        <f>CONCATENATE(T210,"-AI",REPLACE($X210,1,3,""),"-",AB210)</f>
        <v>F0-AI30-8B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L210" s="27"/>
      <c r="QA210" s="16"/>
    </row>
    <row r="211" spans="1:443" x14ac:dyDescent="0.25">
      <c r="A211" t="s">
        <v>2422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2074</v>
      </c>
      <c r="Y211" s="45">
        <f t="array" ref="Y211">IF(COUNTIFS($X$2:$X211,$X211)=1,"1",VALUE(SUBSTITUTE(INDEX(Y:Y,_xlfn.XMATCH($X211,$X$1:$X210,0,-1)),"A",""))+INDEX(Z:Z,_xlfn.XMATCH($X211,$X$1:$X210,0,-1))+1)</f>
        <v>3</v>
      </c>
      <c r="Z211" s="46">
        <f t="array" ref="Z211">SUM(IF(ISNUMBER(FIND("TmAi",$BE$1:$AAQ$1)),IF(IFERROR(ISODD(SUBSTITUTE($BE211:$AAQ211,"A","")),FALSE),IF(ISODD(SUBSTITUTE($BE211:$AAQ211,"A","")),1,0),0)))</f>
        <v>1</v>
      </c>
      <c r="AA211" t="str">
        <f t="shared" si="189"/>
        <v>5A</v>
      </c>
      <c r="AB211" t="str">
        <f t="shared" si="190"/>
        <v>5B</v>
      </c>
      <c r="AD211" s="46"/>
      <c r="AE211" s="46">
        <f t="array" ref="AE211">SUM(IF(ISNUMBER(FIND("TmDi",$BE$1:$AAQ$1)),IF(IFERROR(ISNUMBER(VALUE(SUBSTITUTE($BE211:$AAQ211,"B",""))),FALSE),IF(ISNUMBER(VALUE(SUBSTITUTE($BE211:$AAQ211,"B",""))),1,0),0)))</f>
        <v>0</v>
      </c>
      <c r="AP211" t="s">
        <v>137</v>
      </c>
      <c r="AR211" t="s">
        <v>1278</v>
      </c>
      <c r="AS211" t="s">
        <v>396</v>
      </c>
      <c r="OL211" s="25" t="str">
        <f>CONCATENATE("XT",$U211)</f>
        <v>XT67</v>
      </c>
      <c r="OM211" s="12" t="s">
        <v>1284</v>
      </c>
      <c r="ON211" s="12" t="s">
        <v>1318</v>
      </c>
      <c r="OO211" s="12"/>
      <c r="OP211" s="12"/>
      <c r="OQ211" s="12" t="str">
        <f>CONCATENATE(REPLACE($AA211,LEN($AA211),1,"")+1,RIGHT($AA211))</f>
        <v>6A</v>
      </c>
      <c r="OR211" s="12" t="str">
        <f>CONCATENATE(REPLACE($AB211,LEN($AB211),1,"")+1,RIGHT($AB211))</f>
        <v>6B</v>
      </c>
      <c r="OS211" s="12" t="str">
        <f>CONCATENATE(REPLACE(OQ211,LEN(OQ211),1,"")+1,RIGHT(OQ211))</f>
        <v>7A</v>
      </c>
      <c r="OT211" s="12" t="str">
        <f>CONCATENATE(REPLACE(OR211,LEN(OR211),1,"")+1,RIGHT(OR211))</f>
        <v>7B</v>
      </c>
      <c r="OU211" s="12" t="str">
        <f>CONCATENATE(REPLACE(OS211,LEN(OS211),1,"")+1,RIGHT(OS211))</f>
        <v>8A</v>
      </c>
      <c r="OV211" s="12" t="str">
        <f>CONCATENATE(REPLACE(OT211,LEN(OT211),1,"")+1,RIGHT(OT211))</f>
        <v>8B</v>
      </c>
      <c r="OW211" s="12"/>
      <c r="OX211" s="12"/>
      <c r="OY211" s="12"/>
      <c r="OZ211" s="12"/>
      <c r="PA211" s="12" t="str">
        <f>CONCATENATE($T211,"-AI",REPLACE($X211,1,3,""),"-",$AA211)</f>
        <v>F0-AI44-5A</v>
      </c>
      <c r="PB211" s="12" t="str">
        <f>CONCATENATE($T211,"-AI",REPLACE($X211,1,3,""),"-",$AB211)</f>
        <v>F0-AI44-5B</v>
      </c>
      <c r="PC211" s="12" t="str">
        <f t="shared" ref="PC211:PH211" si="224">CONCATENATE($T211,"-AI",REPLACE($X211,1,3,""),"-",OQ211)</f>
        <v>F0-AI44-6A</v>
      </c>
      <c r="PD211" s="12" t="str">
        <f t="shared" si="224"/>
        <v>F0-AI44-6B</v>
      </c>
      <c r="PE211" s="12" t="str">
        <f t="shared" si="224"/>
        <v>F0-AI44-7A</v>
      </c>
      <c r="PF211" s="12" t="str">
        <f t="shared" si="224"/>
        <v>F0-AI44-7B</v>
      </c>
      <c r="PG211" s="12" t="str">
        <f t="shared" si="224"/>
        <v>F0-AI44-8A</v>
      </c>
      <c r="PH211" s="12" t="str">
        <f t="shared" si="224"/>
        <v>F0-AI44-8B</v>
      </c>
      <c r="PI211" s="12"/>
      <c r="PJ211" s="12"/>
      <c r="PK211" s="12"/>
      <c r="PL211" s="12"/>
      <c r="PM211" s="12">
        <f t="array" ref="PM211">IF(COUNTIFS($U$2:$U211,$U211)=1,1,INDEX(PM:PM,_xlfn.XMATCH($U211,$U$1:EF210,0,-1))+COUNT(PM210:PR210))</f>
        <v>1</v>
      </c>
      <c r="PN211" s="12">
        <f>PM211+1</f>
        <v>2</v>
      </c>
      <c r="PO211" s="12">
        <f>PN211+1</f>
        <v>3</v>
      </c>
      <c r="PP211" s="12">
        <f>PO211+1</f>
        <v>4</v>
      </c>
      <c r="PQ211" s="12">
        <f>PP211+1</f>
        <v>5</v>
      </c>
      <c r="PR211" s="12">
        <f>PQ211+1</f>
        <v>6</v>
      </c>
      <c r="PS211" s="12"/>
      <c r="PT211" s="12"/>
      <c r="PU211" s="12"/>
      <c r="PV211" s="12">
        <v>1</v>
      </c>
      <c r="PW211" s="12">
        <v>2</v>
      </c>
      <c r="PX211" s="12">
        <v>3</v>
      </c>
      <c r="PY211" s="12">
        <v>4</v>
      </c>
      <c r="PZ211" s="12">
        <v>5</v>
      </c>
      <c r="QA211" s="13">
        <v>6</v>
      </c>
    </row>
    <row r="212" spans="1:443" ht="15.75" thickBot="1" x14ac:dyDescent="0.3">
      <c r="A212" t="s">
        <v>2423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1056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SUM(IF(ISNUMBER(FIND("TmAi",$BE$1:$AAQ$1)),IF(IFERROR(ISODD(SUBSTITUTE($BE212:$AAQ212,"A","")),FALSE),IF(ISODD(SUBSTITUTE($BE212:$AAQ212,"A","")),1,0),0)))</f>
        <v>0</v>
      </c>
      <c r="AA212" t="str">
        <f t="shared" si="219"/>
        <v>9B</v>
      </c>
      <c r="AB212" t="str">
        <f t="shared" si="220"/>
        <v>10B</v>
      </c>
      <c r="AD212" s="46"/>
      <c r="AE212" s="46">
        <f t="array" ref="AE212">SUM(IF(ISNUMBER(FIND("TmDi",$BE$1:$AAQ$1)),IF(IFERROR(ISNUMBER(VALUE(SUBSTITUTE($BE212:$AAQ212,"B",""))),FALSE),IF(ISNUMBER(VALUE(SUBSTITUTE($BE212:$AAQ212,"B",""))),1,0),0)))</f>
        <v>0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F0-AI30-9B</v>
      </c>
      <c r="KD212" t="str">
        <f>CONCATENATE(T212,"-AI",REPLACE($X212,1,3,""),"-",AB212)</f>
        <v>F0-AI30-10B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L212" s="27"/>
      <c r="QA212" s="16"/>
    </row>
    <row r="213" spans="1:443" x14ac:dyDescent="0.25">
      <c r="A213" t="s">
        <v>2424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2074</v>
      </c>
      <c r="Y213" s="45">
        <f t="array" ref="Y213">IF(COUNTIFS($X$2:$X213,$X213)=1,"1",VALUE(SUBSTITUTE(INDEX(Y:Y,_xlfn.XMATCH($X213,$X$1:$X212,0,-1)),"A",""))+INDEX(Z:Z,_xlfn.XMATCH($X213,$X$1:$X212,0,-1))+1)</f>
        <v>5</v>
      </c>
      <c r="Z213" s="46">
        <f t="array" ref="Z213">SUM(IF(ISNUMBER(FIND("TmAi",$BE$1:$AAQ$1)),IF(IFERROR(ISODD(SUBSTITUTE($BE213:$AAQ213,"A","")),FALSE),IF(ISODD(SUBSTITUTE($BE213:$AAQ213,"A","")),1,0),0)))</f>
        <v>1</v>
      </c>
      <c r="AA213" t="str">
        <f t="shared" si="189"/>
        <v>9A</v>
      </c>
      <c r="AB213" t="str">
        <f t="shared" si="190"/>
        <v>9B</v>
      </c>
      <c r="AD213" s="46"/>
      <c r="AE213" s="46">
        <f t="array" ref="AE213">SUM(IF(ISNUMBER(FIND("TmDi",$BE$1:$AAQ$1)),IF(IFERROR(ISNUMBER(VALUE(SUBSTITUTE($BE213:$AAQ213,"B",""))),FALSE),IF(ISNUMBER(VALUE(SUBSTITUTE($BE213:$AAQ213,"B",""))),1,0),0)))</f>
        <v>0</v>
      </c>
      <c r="AP213" t="s">
        <v>137</v>
      </c>
      <c r="AR213" t="s">
        <v>1290</v>
      </c>
      <c r="AS213" t="s">
        <v>396</v>
      </c>
      <c r="OL213" s="25" t="str">
        <f>CONCATENATE("XT",$U213)</f>
        <v>XT68</v>
      </c>
      <c r="OM213" s="12" t="s">
        <v>1297</v>
      </c>
      <c r="ON213" s="12" t="s">
        <v>1314</v>
      </c>
      <c r="OO213" s="12"/>
      <c r="OP213" s="12"/>
      <c r="OQ213" s="12" t="str">
        <f>CONCATENATE(REPLACE($AA213,LEN($AA213),1,"")+1,RIGHT($AA213))</f>
        <v>10A</v>
      </c>
      <c r="OR213" s="12" t="str">
        <f>CONCATENATE(REPLACE($AB213,LEN($AB213),1,"")+1,RIGHT($AB213))</f>
        <v>10B</v>
      </c>
      <c r="OS213" s="12" t="str">
        <f>CONCATENATE(REPLACE(OQ213,LEN(OQ213),1,"")+1,RIGHT(OQ213))</f>
        <v>11A</v>
      </c>
      <c r="OT213" s="12" t="str">
        <f>CONCATENATE(REPLACE(OR213,LEN(OR213),1,"")+1,RIGHT(OR213))</f>
        <v>11B</v>
      </c>
      <c r="OU213" s="12" t="str">
        <f>CONCATENATE(REPLACE(OS213,LEN(OS213),1,"")+1,RIGHT(OS213))</f>
        <v>12A</v>
      </c>
      <c r="OV213" s="12" t="str">
        <f>CONCATENATE(REPLACE(OT213,LEN(OT213),1,"")+1,RIGHT(OT213))</f>
        <v>12B</v>
      </c>
      <c r="OW213" s="12"/>
      <c r="OX213" s="12"/>
      <c r="OY213" s="12"/>
      <c r="OZ213" s="12"/>
      <c r="PA213" s="12" t="str">
        <f>CONCATENATE($T213,"-AI",REPLACE($X213,1,3,""),"-",$AA213)</f>
        <v>F0-AI44-9A</v>
      </c>
      <c r="PB213" s="12" t="str">
        <f>CONCATENATE($T213,"-AI",REPLACE($X213,1,3,""),"-",$AB213)</f>
        <v>F0-AI44-9B</v>
      </c>
      <c r="PC213" s="12" t="str">
        <f t="shared" ref="PC213:PH213" si="225">CONCATENATE($T213,"-AI",REPLACE($X213,1,3,""),"-",OQ213)</f>
        <v>F0-AI44-10A</v>
      </c>
      <c r="PD213" s="12" t="str">
        <f t="shared" si="225"/>
        <v>F0-AI44-10B</v>
      </c>
      <c r="PE213" s="12" t="str">
        <f t="shared" si="225"/>
        <v>F0-AI44-11A</v>
      </c>
      <c r="PF213" s="12" t="str">
        <f t="shared" si="225"/>
        <v>F0-AI44-11B</v>
      </c>
      <c r="PG213" s="12" t="str">
        <f t="shared" si="225"/>
        <v>F0-AI44-12A</v>
      </c>
      <c r="PH213" s="12" t="str">
        <f t="shared" si="225"/>
        <v>F0-AI44-12B</v>
      </c>
      <c r="PI213" s="12"/>
      <c r="PJ213" s="12"/>
      <c r="PK213" s="12"/>
      <c r="PL213" s="12"/>
      <c r="PM213" s="12">
        <f t="array" ref="PM213">IF(COUNTIFS($U$2:$U213,$U213)=1,1,INDEX(PM:PM,_xlfn.XMATCH($U213,$U$1:EF212,0,-1))+COUNT(PM212:PR212))</f>
        <v>1</v>
      </c>
      <c r="PN213" s="12">
        <f>PM213+1</f>
        <v>2</v>
      </c>
      <c r="PO213" s="12">
        <f>PN213+1</f>
        <v>3</v>
      </c>
      <c r="PP213" s="12">
        <f>PO213+1</f>
        <v>4</v>
      </c>
      <c r="PQ213" s="12">
        <f>PP213+1</f>
        <v>5</v>
      </c>
      <c r="PR213" s="12">
        <f>PQ213+1</f>
        <v>6</v>
      </c>
      <c r="PS213" s="12"/>
      <c r="PT213" s="12"/>
      <c r="PU213" s="12"/>
      <c r="PV213" s="12">
        <v>1</v>
      </c>
      <c r="PW213" s="12">
        <v>2</v>
      </c>
      <c r="PX213" s="12">
        <v>3</v>
      </c>
      <c r="PY213" s="12">
        <v>4</v>
      </c>
      <c r="PZ213" s="12">
        <v>5</v>
      </c>
      <c r="QA213" s="13">
        <v>6</v>
      </c>
    </row>
    <row r="214" spans="1:443" ht="15.75" thickBot="1" x14ac:dyDescent="0.3">
      <c r="A214" t="s">
        <v>2425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1056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SUM(IF(ISNUMBER(FIND("TmAi",$BE$1:$AAQ$1)),IF(IFERROR(ISODD(SUBSTITUTE($BE214:$AAQ214,"A","")),FALSE),IF(ISODD(SUBSTITUTE($BE214:$AAQ214,"A","")),1,0),0)))</f>
        <v>0</v>
      </c>
      <c r="AA214" t="str">
        <f t="shared" si="219"/>
        <v>11B</v>
      </c>
      <c r="AB214" t="str">
        <f t="shared" si="220"/>
        <v>12B</v>
      </c>
      <c r="AD214" s="46"/>
      <c r="AE214" s="46">
        <f t="array" ref="AE214">SUM(IF(ISNUMBER(FIND("TmDi",$BE$1:$AAQ$1)),IF(IFERROR(ISNUMBER(VALUE(SUBSTITUTE($BE214:$AAQ214,"B",""))),FALSE),IF(ISNUMBER(VALUE(SUBSTITUTE($BE214:$AAQ214,"B",""))),1,0),0)))</f>
        <v>0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F0-AI30-11B</v>
      </c>
      <c r="KD214" t="str">
        <f>CONCATENATE(T214,"-AI",REPLACE($X214,1,3,""),"-",AB214)</f>
        <v>F0-AI30-12B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L214" s="27"/>
      <c r="QA214" s="16"/>
    </row>
    <row r="215" spans="1:443" x14ac:dyDescent="0.25">
      <c r="A215" t="s">
        <v>2426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2075</v>
      </c>
      <c r="Y215" s="45" t="str">
        <f t="array" ref="Y215">IF(COUNTIFS($X$2:$X215,$X215)=1,"1",VALUE(SUBSTITUTE(INDEX(Y:Y,_xlfn.XMATCH($X215,$X$1:$X214,0,-1)),"A",""))+INDEX(Z:Z,_xlfn.XMATCH($X215,$X$1:$X214,0,-1))+1)</f>
        <v>1</v>
      </c>
      <c r="Z215" s="46">
        <f t="array" ref="Z215">SUM(IF(ISNUMBER(FIND("TmAi",$BE$1:$AAQ$1)),IF(IFERROR(ISODD(SUBSTITUTE($BE215:$AAQ215,"A","")),FALSE),IF(ISODD(SUBSTITUTE($BE215:$AAQ215,"A","")),1,0),0)))</f>
        <v>1</v>
      </c>
      <c r="AA215" t="str">
        <f t="shared" si="189"/>
        <v>1A</v>
      </c>
      <c r="AB215" t="str">
        <f t="shared" si="190"/>
        <v>1B</v>
      </c>
      <c r="AD215" s="46"/>
      <c r="AE215" s="46">
        <f t="array" ref="AE215">SUM(IF(ISNUMBER(FIND("TmDi",$BE$1:$AAQ$1)),IF(IFERROR(ISNUMBER(VALUE(SUBSTITUTE($BE215:$AAQ215,"B",""))),FALSE),IF(ISNUMBER(VALUE(SUBSTITUTE($BE215:$AAQ215,"B",""))),1,0),0)))</f>
        <v>0</v>
      </c>
      <c r="AP215" t="s">
        <v>137</v>
      </c>
      <c r="AR215" t="s">
        <v>1291</v>
      </c>
      <c r="AS215" t="s">
        <v>396</v>
      </c>
      <c r="OL215" s="25" t="str">
        <f>CONCATENATE("XT",$U215)</f>
        <v>XT69</v>
      </c>
      <c r="OM215" s="12" t="s">
        <v>1298</v>
      </c>
      <c r="ON215" s="12" t="s">
        <v>1315</v>
      </c>
      <c r="OO215" s="12"/>
      <c r="OP215" s="12"/>
      <c r="OQ215" s="12" t="str">
        <f>CONCATENATE(REPLACE($AA215,LEN($AA215),1,"")+1,RIGHT($AA215))</f>
        <v>2A</v>
      </c>
      <c r="OR215" s="12" t="str">
        <f>CONCATENATE(REPLACE($AB215,LEN($AB215),1,"")+1,RIGHT($AB215))</f>
        <v>2B</v>
      </c>
      <c r="OS215" s="12" t="str">
        <f>CONCATENATE(REPLACE(OQ215,LEN(OQ215),1,"")+1,RIGHT(OQ215))</f>
        <v>3A</v>
      </c>
      <c r="OT215" s="12" t="str">
        <f>CONCATENATE(REPLACE(OR215,LEN(OR215),1,"")+1,RIGHT(OR215))</f>
        <v>3B</v>
      </c>
      <c r="OU215" s="12" t="str">
        <f>CONCATENATE(REPLACE(OS215,LEN(OS215),1,"")+1,RIGHT(OS215))</f>
        <v>4A</v>
      </c>
      <c r="OV215" s="12" t="str">
        <f>CONCATENATE(REPLACE(OT215,LEN(OT215),1,"")+1,RIGHT(OT215))</f>
        <v>4B</v>
      </c>
      <c r="OW215" s="12"/>
      <c r="OX215" s="12"/>
      <c r="OY215" s="12"/>
      <c r="OZ215" s="12"/>
      <c r="PA215" s="12" t="str">
        <f>CONCATENATE($T215,"-AI",REPLACE($X215,1,3,""),"-",$AA215)</f>
        <v>F0-AI45-1A</v>
      </c>
      <c r="PB215" s="12" t="str">
        <f>CONCATENATE($T215,"-AI",REPLACE($X215,1,3,""),"-",$AB215)</f>
        <v>F0-AI45-1B</v>
      </c>
      <c r="PC215" s="12" t="str">
        <f t="shared" ref="PC215:PH215" si="226">CONCATENATE($T215,"-AI",REPLACE($X215,1,3,""),"-",OQ215)</f>
        <v>F0-AI45-2A</v>
      </c>
      <c r="PD215" s="12" t="str">
        <f t="shared" si="226"/>
        <v>F0-AI45-2B</v>
      </c>
      <c r="PE215" s="12" t="str">
        <f t="shared" si="226"/>
        <v>F0-AI45-3A</v>
      </c>
      <c r="PF215" s="12" t="str">
        <f t="shared" si="226"/>
        <v>F0-AI45-3B</v>
      </c>
      <c r="PG215" s="12" t="str">
        <f t="shared" si="226"/>
        <v>F0-AI45-4A</v>
      </c>
      <c r="PH215" s="12" t="str">
        <f t="shared" si="226"/>
        <v>F0-AI45-4B</v>
      </c>
      <c r="PI215" s="12"/>
      <c r="PJ215" s="12"/>
      <c r="PK215" s="12"/>
      <c r="PL215" s="12"/>
      <c r="PM215" s="12">
        <f t="array" ref="PM215">IF(COUNTIFS($U$2:$U215,$U215)=1,1,INDEX(PM:PM,_xlfn.XMATCH($U215,$U$1:EF214,0,-1))+COUNT(PM214:PR214))</f>
        <v>1</v>
      </c>
      <c r="PN215" s="12">
        <f>PM215+1</f>
        <v>2</v>
      </c>
      <c r="PO215" s="12">
        <f>PN215+1</f>
        <v>3</v>
      </c>
      <c r="PP215" s="12">
        <f>PO215+1</f>
        <v>4</v>
      </c>
      <c r="PQ215" s="12">
        <f>PP215+1</f>
        <v>5</v>
      </c>
      <c r="PR215" s="12">
        <f>PQ215+1</f>
        <v>6</v>
      </c>
      <c r="PS215" s="12"/>
      <c r="PT215" s="12"/>
      <c r="PU215" s="12"/>
      <c r="PV215" s="12">
        <v>1</v>
      </c>
      <c r="PW215" s="12">
        <v>2</v>
      </c>
      <c r="PX215" s="12">
        <v>3</v>
      </c>
      <c r="PY215" s="12">
        <v>4</v>
      </c>
      <c r="PZ215" s="12">
        <v>5</v>
      </c>
      <c r="QA215" s="13">
        <v>6</v>
      </c>
    </row>
    <row r="216" spans="1:443" x14ac:dyDescent="0.25">
      <c r="A216" t="s">
        <v>2427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1056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SUM(IF(ISNUMBER(FIND("TmAi",$BE$1:$AAQ$1)),IF(IFERROR(ISODD(SUBSTITUTE($BE216:$AAQ216,"A","")),FALSE),IF(ISODD(SUBSTITUTE($BE216:$AAQ216,"A","")),1,0),0)))</f>
        <v>0</v>
      </c>
      <c r="AA216" t="str">
        <f t="shared" si="219"/>
        <v>13B</v>
      </c>
      <c r="AB216" t="str">
        <f t="shared" si="220"/>
        <v>14B</v>
      </c>
      <c r="AD216" s="46"/>
      <c r="AE216" s="46">
        <f t="array" ref="AE216">SUM(IF(ISNUMBER(FIND("TmDi",$BE$1:$AAQ$1)),IF(IFERROR(ISNUMBER(VALUE(SUBSTITUTE($BE216:$AAQ216,"B",""))),FALSE),IF(ISNUMBER(VALUE(SUBSTITUTE($BE216:$AAQ216,"B",""))),1,0),0)))</f>
        <v>0</v>
      </c>
      <c r="AP216" t="s">
        <v>137</v>
      </c>
      <c r="AQ216" t="s">
        <v>1292</v>
      </c>
      <c r="AS216" t="s">
        <v>396</v>
      </c>
      <c r="JZ216" s="27" t="str">
        <f t="shared" ref="JZ216:JZ224" si="227">CONCATENATE("XT",U216)</f>
        <v>XT69</v>
      </c>
      <c r="KC216" t="str">
        <f t="shared" ref="KC216:KC224" si="228">CONCATENATE(T216,"-AI",REPLACE($X216,1,3,""),"-",AA216)</f>
        <v>F0-AI30-13B</v>
      </c>
      <c r="KD216" t="str">
        <f t="shared" ref="KD216:KD224" si="229">CONCATENATE(T216,"-AI",REPLACE($X216,1,3,""),"-",AB216)</f>
        <v>F0-AI30-14B</v>
      </c>
      <c r="KI216">
        <v>7</v>
      </c>
      <c r="KJ216">
        <f>KI216+1</f>
        <v>8</v>
      </c>
      <c r="KK216">
        <f>KJ216+1</f>
        <v>9</v>
      </c>
      <c r="KN216" t="s">
        <v>548</v>
      </c>
      <c r="KO216" s="16" t="s">
        <v>548</v>
      </c>
      <c r="KS216" s="16"/>
      <c r="OL216" s="27"/>
      <c r="QA216" s="16"/>
    </row>
    <row r="217" spans="1:443" x14ac:dyDescent="0.25">
      <c r="A217" t="s">
        <v>2428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A3.31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SUM(IF(ISNUMBER(FIND("TmAi",$BE$1:$AAQ$1)),IF(IFERROR(ISODD(SUBSTITUTE($BE217:$AAQ217,"A","")),FALSE),IF(ISODD(SUBSTITUTE($BE217:$AAQ217,"A","")),1,0),0)))</f>
        <v>0</v>
      </c>
      <c r="AA217" t="str">
        <f t="shared" si="219"/>
        <v>1B</v>
      </c>
      <c r="AB217" t="str">
        <f t="shared" si="220"/>
        <v>2B</v>
      </c>
      <c r="AD217" s="46"/>
      <c r="AE217" s="46">
        <f t="array" ref="AE217">SUM(IF(ISNUMBER(FIND("TmDi",$BE$1:$AAQ$1)),IF(IFERROR(ISNUMBER(VALUE(SUBSTITUTE($BE217:$AAQ217,"B",""))),FALSE),IF(ISNUMBER(VALUE(SUBSTITUTE($BE217:$AAQ217,"B",""))),1,0),0)))</f>
        <v>0</v>
      </c>
      <c r="AP217" t="s">
        <v>137</v>
      </c>
      <c r="AQ217" t="s">
        <v>1307</v>
      </c>
      <c r="AS217" t="s">
        <v>396</v>
      </c>
      <c r="JZ217" s="27" t="str">
        <f t="shared" si="227"/>
        <v>XT70</v>
      </c>
      <c r="KC217" t="str">
        <f t="shared" si="228"/>
        <v>F0-AI31-1B</v>
      </c>
      <c r="KD217" t="str">
        <f t="shared" si="229"/>
        <v>F0-AI31-2B</v>
      </c>
      <c r="KI217">
        <v>1</v>
      </c>
      <c r="KJ217">
        <f t="shared" ref="KJ217:KJ222" si="230">KI217+1</f>
        <v>2</v>
      </c>
      <c r="KK217">
        <f t="shared" ref="KK217:KK222" si="231">KJ217+1</f>
        <v>3</v>
      </c>
      <c r="KN217" t="s">
        <v>548</v>
      </c>
      <c r="KO217" s="16" t="s">
        <v>548</v>
      </c>
      <c r="KS217" s="16"/>
      <c r="OL217" s="27"/>
      <c r="QA217" s="16"/>
    </row>
    <row r="218" spans="1:443" x14ac:dyDescent="0.25">
      <c r="A218" t="s">
        <v>2429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A3.31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SUM(IF(ISNUMBER(FIND("TmAi",$BE$1:$AAQ$1)),IF(IFERROR(ISODD(SUBSTITUTE($BE218:$AAQ218,"A","")),FALSE),IF(ISODD(SUBSTITUTE($BE218:$AAQ218,"A","")),1,0),0)))</f>
        <v>0</v>
      </c>
      <c r="AA218" t="str">
        <f t="shared" si="219"/>
        <v>3B</v>
      </c>
      <c r="AB218" t="str">
        <f t="shared" si="220"/>
        <v>4B</v>
      </c>
      <c r="AD218" s="46"/>
      <c r="AE218" s="46">
        <f t="array" ref="AE218">SUM(IF(ISNUMBER(FIND("TmDi",$BE$1:$AAQ$1)),IF(IFERROR(ISNUMBER(VALUE(SUBSTITUTE($BE218:$AAQ218,"B",""))),FALSE),IF(ISNUMBER(VALUE(SUBSTITUTE($BE218:$AAQ218,"B",""))),1,0),0)))</f>
        <v>0</v>
      </c>
      <c r="AP218" t="s">
        <v>137</v>
      </c>
      <c r="AQ218" t="s">
        <v>1307</v>
      </c>
      <c r="AS218" t="s">
        <v>396</v>
      </c>
      <c r="JZ218" s="27" t="str">
        <f t="shared" si="227"/>
        <v>XT70</v>
      </c>
      <c r="KC218" t="str">
        <f t="shared" si="228"/>
        <v>F0-AI31-3B</v>
      </c>
      <c r="KD218" t="str">
        <f t="shared" si="229"/>
        <v>F0-AI31-4B</v>
      </c>
      <c r="KI218">
        <f t="array" ref="KI218">IF(COUNTIFS($U$2:$U218,$U218)=1,1,INDEX(KI:KI,_xlfn.XMATCH(U218,U$1:U217,0,-1))+COUNT(KI217:KM217))</f>
        <v>4</v>
      </c>
      <c r="KJ218">
        <f t="shared" si="230"/>
        <v>5</v>
      </c>
      <c r="KK218">
        <f t="shared" si="231"/>
        <v>6</v>
      </c>
      <c r="KN218" t="s">
        <v>548</v>
      </c>
      <c r="KO218" s="16" t="s">
        <v>548</v>
      </c>
      <c r="KS218" s="16"/>
      <c r="OL218" s="27"/>
      <c r="QA218" s="16"/>
    </row>
    <row r="219" spans="1:443" x14ac:dyDescent="0.25">
      <c r="A219" t="s">
        <v>2430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A3.31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SUM(IF(ISNUMBER(FIND("TmAi",$BE$1:$AAQ$1)),IF(IFERROR(ISODD(SUBSTITUTE($BE219:$AAQ219,"A","")),FALSE),IF(ISODD(SUBSTITUTE($BE219:$AAQ219,"A","")),1,0),0)))</f>
        <v>0</v>
      </c>
      <c r="AA219" t="str">
        <f t="shared" si="219"/>
        <v>5B</v>
      </c>
      <c r="AB219" t="str">
        <f t="shared" si="220"/>
        <v>6B</v>
      </c>
      <c r="AD219" s="46"/>
      <c r="AE219" s="46">
        <f t="array" ref="AE219">SUM(IF(ISNUMBER(FIND("TmDi",$BE$1:$AAQ$1)),IF(IFERROR(ISNUMBER(VALUE(SUBSTITUTE($BE219:$AAQ219,"B",""))),FALSE),IF(ISNUMBER(VALUE(SUBSTITUTE($BE219:$AAQ219,"B",""))),1,0),0)))</f>
        <v>0</v>
      </c>
      <c r="AP219" t="s">
        <v>137</v>
      </c>
      <c r="AQ219" t="s">
        <v>1302</v>
      </c>
      <c r="AS219" t="s">
        <v>396</v>
      </c>
      <c r="JZ219" s="27" t="str">
        <f t="shared" si="227"/>
        <v>XT70</v>
      </c>
      <c r="KC219" t="str">
        <f t="shared" si="228"/>
        <v>F0-AI31-5B</v>
      </c>
      <c r="KD219" t="str">
        <f t="shared" si="229"/>
        <v>F0-AI31-6B</v>
      </c>
      <c r="KI219">
        <f t="array" ref="KI219">IF(COUNTIFS($U$2:$U219,$U219)=1,1,INDEX(KI:KI,_xlfn.XMATCH(U219,U$1:U218,0,-1))+COUNT(KI218:KM218))</f>
        <v>7</v>
      </c>
      <c r="KJ219">
        <f t="shared" si="230"/>
        <v>8</v>
      </c>
      <c r="KK219">
        <f t="shared" si="231"/>
        <v>9</v>
      </c>
      <c r="KN219" t="s">
        <v>548</v>
      </c>
      <c r="KO219" s="16" t="s">
        <v>548</v>
      </c>
      <c r="KS219" s="16"/>
      <c r="OL219" s="27"/>
      <c r="QA219" s="16"/>
    </row>
    <row r="220" spans="1:443" x14ac:dyDescent="0.25">
      <c r="A220" t="s">
        <v>2431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A3.31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SUM(IF(ISNUMBER(FIND("TmAi",$BE$1:$AAQ$1)),IF(IFERROR(ISODD(SUBSTITUTE($BE220:$AAQ220,"A","")),FALSE),IF(ISODD(SUBSTITUTE($BE220:$AAQ220,"A","")),1,0),0)))</f>
        <v>0</v>
      </c>
      <c r="AA220" t="str">
        <f t="shared" si="219"/>
        <v>7B</v>
      </c>
      <c r="AB220" t="str">
        <f t="shared" si="220"/>
        <v>8B</v>
      </c>
      <c r="AD220" s="46"/>
      <c r="AE220" s="46">
        <f t="array" ref="AE220">SUM(IF(ISNUMBER(FIND("TmDi",$BE$1:$AAQ$1)),IF(IFERROR(ISNUMBER(VALUE(SUBSTITUTE($BE220:$AAQ220,"B",""))),FALSE),IF(ISNUMBER(VALUE(SUBSTITUTE($BE220:$AAQ220,"B",""))),1,0),0)))</f>
        <v>0</v>
      </c>
      <c r="AP220" t="s">
        <v>137</v>
      </c>
      <c r="AQ220" t="s">
        <v>1302</v>
      </c>
      <c r="AS220" t="s">
        <v>396</v>
      </c>
      <c r="JZ220" s="27" t="str">
        <f t="shared" si="227"/>
        <v>XT70</v>
      </c>
      <c r="KC220" t="str">
        <f t="shared" si="228"/>
        <v>F0-AI31-7B</v>
      </c>
      <c r="KD220" t="str">
        <f t="shared" si="229"/>
        <v>F0-AI31-8B</v>
      </c>
      <c r="KI220">
        <f t="array" ref="KI220">IF(COUNTIFS($U$2:$U220,$U220)=1,1,INDEX(KI:KI,_xlfn.XMATCH(U220,U$1:U219,0,-1))+COUNT(KI219:KM219))</f>
        <v>10</v>
      </c>
      <c r="KJ220">
        <f t="shared" si="230"/>
        <v>11</v>
      </c>
      <c r="KK220">
        <f t="shared" si="231"/>
        <v>12</v>
      </c>
      <c r="KN220" t="s">
        <v>548</v>
      </c>
      <c r="KO220" s="16" t="s">
        <v>548</v>
      </c>
      <c r="KS220" s="16"/>
      <c r="OL220" s="27"/>
      <c r="QA220" s="16"/>
    </row>
    <row r="221" spans="1:443" x14ac:dyDescent="0.25">
      <c r="A221" t="s">
        <v>2432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2094</v>
      </c>
      <c r="X221" t="s">
        <v>2075</v>
      </c>
      <c r="Y221" s="43">
        <f t="array" ref="Y221">IF(COUNTIFS($X$2:$X221,$X221)=1,"1",VALUE(SUBSTITUTE(INDEX(Y:Y,_xlfn.XMATCH($X221,$X$1:$X220,0,-1)),"A",""))+INDEX(Z:Z,_xlfn.XMATCH($X221,$X$1:$X220,0,-1))+1)</f>
        <v>3</v>
      </c>
      <c r="Z221" s="46">
        <f t="array" ref="Z221">SUM(IF(ISNUMBER(FIND("TmAi",$BE$1:$AAQ$1)),IF(IFERROR(ISODD(SUBSTITUTE($BE221:$AAQ221,"A","")),FALSE),IF(ISODD(SUBSTITUTE($BE221:$AAQ221,"A","")),1,0),0)))</f>
        <v>0</v>
      </c>
      <c r="AA221" t="str">
        <f>CONCATENATE($Y221*2-1,"A")</f>
        <v>5A</v>
      </c>
      <c r="AB221" t="str">
        <f>CONCATENATE($Y221*2-1,"B")</f>
        <v>5B</v>
      </c>
      <c r="AD221" s="46"/>
      <c r="AE221" s="46">
        <f t="array" ref="AE221">SUM(IF(ISNUMBER(FIND("TmDi",$BE$1:$AAQ$1)),IF(IFERROR(ISNUMBER(VALUE(SUBSTITUTE($BE221:$AAQ221,"B",""))),FALSE),IF(ISNUMBER(VALUE(SUBSTITUTE($BE221:$AAQ221,"B",""))),1,0),0)))</f>
        <v>0</v>
      </c>
      <c r="AP221" t="s">
        <v>137</v>
      </c>
      <c r="AS221" t="s">
        <v>396</v>
      </c>
      <c r="JZ221" s="27" t="str">
        <f t="shared" si="227"/>
        <v>XT71</v>
      </c>
      <c r="KA221" t="str">
        <f>REPLACE(AA221,1,1,LEFT(AA221,1)+1)</f>
        <v>6A</v>
      </c>
      <c r="KC221" t="str">
        <f t="shared" si="228"/>
        <v>F0-AI45-5A</v>
      </c>
      <c r="KD221" t="str">
        <f t="shared" si="229"/>
        <v>F0-AI45-5B</v>
      </c>
      <c r="KE221" t="str">
        <f>CONCATENATE($T221,"-AI",REPLACE($X221,1,3,""),"-",KA221)</f>
        <v>F0-AI45-6A</v>
      </c>
      <c r="KF221" t="str">
        <f>CONCATENATE($T221,"-AI",REPLACE($X221,1,3,""),"-",KB221)</f>
        <v>F0-AI45-</v>
      </c>
      <c r="KI221">
        <f t="array" ref="KI221">IF(COUNTIFS($U$2:$U221,$U221)=1,1,INDEX(KI:KI,_xlfn.XMATCH(U221,U$1:U220,0,-1))+COUNT(KI220:KM220))</f>
        <v>1</v>
      </c>
      <c r="KJ221">
        <f t="shared" si="230"/>
        <v>2</v>
      </c>
      <c r="KK221">
        <f t="shared" si="231"/>
        <v>3</v>
      </c>
      <c r="KL221">
        <f>KK221+1</f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43" x14ac:dyDescent="0.25">
      <c r="A222" t="s">
        <v>2433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2095</v>
      </c>
      <c r="X222" s="33" t="str">
        <f>IF(COUNTIF(X$1:X221,X221)&gt;7,REPLACE(X221,LEN(X221),1,VALUE(RIGHT(X221,1))+1),X221)</f>
        <v>A3.45</v>
      </c>
      <c r="Y222" s="45">
        <f t="array" ref="Y222">IF(COUNTIFS($X$2:$X222,$X222)=1,"1",VALUE(SUBSTITUTE(INDEX(Y:Y,_xlfn.XMATCH($X222,$X$1:$X221,0,-1)),"A",""))+INDEX(Z:Z,_xlfn.XMATCH($X222,$X$1:$X221,0,-1))+1)</f>
        <v>4</v>
      </c>
      <c r="Z222" s="46">
        <f t="array" ref="Z222">SUM(IF(ISNUMBER(FIND("TmAi",$BE$1:$AAQ$1)),IF(IFERROR(ISODD(SUBSTITUTE($BE222:$AAQ222,"A","")),FALSE),IF(ISODD(SUBSTITUTE($BE222:$AAQ222,"A","")),1,0),0)))</f>
        <v>0</v>
      </c>
      <c r="AA222" t="str">
        <f>CONCATENATE($Y222*2-1,"A")</f>
        <v>7A</v>
      </c>
      <c r="AB222" t="str">
        <f>CONCATENATE($Y222*2-1,"B")</f>
        <v>7B</v>
      </c>
      <c r="AD222" s="46"/>
      <c r="AE222" s="46">
        <f t="array" ref="AE222">SUM(IF(ISNUMBER(FIND("TmDi",$BE$1:$AAQ$1)),IF(IFERROR(ISNUMBER(VALUE(SUBSTITUTE($BE222:$AAQ222,"B",""))),FALSE),IF(ISNUMBER(VALUE(SUBSTITUTE($BE222:$AAQ222,"B",""))),1,0),0)))</f>
        <v>0</v>
      </c>
      <c r="AP222" t="s">
        <v>137</v>
      </c>
      <c r="AS222" t="s">
        <v>396</v>
      </c>
      <c r="JZ222" s="27" t="str">
        <f t="shared" si="227"/>
        <v>XT71</v>
      </c>
      <c r="KA222" t="str">
        <f>REPLACE(AA222,1,1,LEFT(AA222,1)+1)</f>
        <v>8A</v>
      </c>
      <c r="KC222" t="str">
        <f t="shared" si="228"/>
        <v>F0-AI45-7A</v>
      </c>
      <c r="KD222" t="str">
        <f t="shared" si="229"/>
        <v>F0-AI45-7B</v>
      </c>
      <c r="KE222" t="str">
        <f>CONCATENATE($T222,"-AI",REPLACE($X222,1,3,""),"-",KA222)</f>
        <v>F0-AI45-8A</v>
      </c>
      <c r="KF222" t="str">
        <f>CONCATENATE($T222,"-AI",REPLACE($X222,1,3,""),"-",KB222)</f>
        <v>F0-AI45-</v>
      </c>
      <c r="KI222">
        <f t="array" ref="KI222">IF(COUNTIFS($U$2:$U222,$U222)=1,1,INDEX(KI:KI,_xlfn.XMATCH(U222,U$1:U221,0,-1))+COUNT(KI221:KM221))</f>
        <v>5</v>
      </c>
      <c r="KJ222">
        <f t="shared" si="230"/>
        <v>6</v>
      </c>
      <c r="KK222">
        <f t="shared" si="231"/>
        <v>7</v>
      </c>
      <c r="KL222">
        <f>KK222+1</f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43" x14ac:dyDescent="0.25">
      <c r="A223" t="s">
        <v>2434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2096</v>
      </c>
      <c r="X223" s="34" t="s">
        <v>1057</v>
      </c>
      <c r="Y223" s="48">
        <f t="array" ref="Y223">IF(COUNTIFS($X$2:$X223,$X223)=1,"1",VALUE(SUBSTITUTE(INDEX(Y:Y,_xlfn.XMATCH($X223,$X$1:$X222,0,-1)),"A",""))+INDEX(Z:Z,_xlfn.XMATCH($X223,$X$1:$X222,0,-1))+1)</f>
        <v>5</v>
      </c>
      <c r="Z223" s="46">
        <f t="array" ref="Z223">SUM(IF(ISNUMBER(FIND("TmAi",$BE$1:$AAQ$1)),IF(IFERROR(ISODD(SUBSTITUTE($BE223:$AAQ223,"A","")),FALSE),IF(ISODD(SUBSTITUTE($BE223:$AAQ223,"A","")),1,0),0)))</f>
        <v>0</v>
      </c>
      <c r="AA223" t="str">
        <f>CONCATENATE($Y223*2-1,"B")</f>
        <v>9B</v>
      </c>
      <c r="AB223" t="str">
        <f>CONCATENATE($Y223*2,"B")</f>
        <v>10B</v>
      </c>
      <c r="AD223" s="46"/>
      <c r="AE223" s="46">
        <f t="array" ref="AE223">SUM(IF(ISNUMBER(FIND("TmDi",$BE$1:$AAQ$1)),IF(IFERROR(ISNUMBER(VALUE(SUBSTITUTE($BE223:$AAQ223,"B",""))),FALSE),IF(ISNUMBER(VALUE(SUBSTITUTE($BE223:$AAQ223,"B",""))),1,0),0)))</f>
        <v>0</v>
      </c>
      <c r="AP223" t="s">
        <v>137</v>
      </c>
      <c r="AS223" t="s">
        <v>396</v>
      </c>
      <c r="JZ223" s="27" t="str">
        <f t="shared" si="227"/>
        <v>XT71</v>
      </c>
      <c r="KC223" t="str">
        <f t="shared" si="228"/>
        <v>F0-AI31-9B</v>
      </c>
      <c r="KD223" t="str">
        <f t="shared" si="229"/>
        <v>F0-AI31-10B</v>
      </c>
      <c r="KI223">
        <f t="array" ref="KI223">IF(COUNTIFS($U$2:$U223,$U223)=1,1,INDEX(KI:KI,_xlfn.XMATCH(U223,U$1:U222,0,-1))+COUNT(KI222:KM222))</f>
        <v>9</v>
      </c>
      <c r="KJ223">
        <f>KI223+1</f>
        <v>10</v>
      </c>
      <c r="KK223">
        <f>KJ223+1</f>
        <v>11</v>
      </c>
      <c r="KN223">
        <v>1</v>
      </c>
      <c r="KO223" s="16">
        <v>2</v>
      </c>
      <c r="KS223" s="16"/>
    </row>
    <row r="224" spans="1:443" ht="15.75" thickBot="1" x14ac:dyDescent="0.3">
      <c r="A224" t="s">
        <v>2435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2097</v>
      </c>
      <c r="X224" s="33" t="str">
        <f>IF(COUNTIF(X$1:X223,X223)&gt;7,REPLACE(X223,LEN(X223),1,VALUE(RIGHT(X223,1))+1),X223)</f>
        <v>A3.31</v>
      </c>
      <c r="Y224" s="45">
        <f t="array" ref="Y224">IF(COUNTIFS($X$2:$X224,$X224)=1,"1",VALUE(SUBSTITUTE(INDEX(Y:Y,_xlfn.XMATCH($X224,$X$1:$X223,0,-1)),"A",""))+INDEX(Z:Z,_xlfn.XMATCH($X224,$X$1:$X223,0,-1))+1)</f>
        <v>6</v>
      </c>
      <c r="Z224" s="46">
        <f t="array" ref="Z224">SUM(IF(ISNUMBER(FIND("TmAi",$BE$1:$AAQ$1)),IF(IFERROR(ISODD(SUBSTITUTE($BE224:$AAQ224,"A","")),FALSE),IF(ISODD(SUBSTITUTE($BE224:$AAQ224,"A","")),1,0),0)))</f>
        <v>0</v>
      </c>
      <c r="AA224" t="str">
        <f>CONCATENATE($Y224*2-1,"B")</f>
        <v>11B</v>
      </c>
      <c r="AB224" t="str">
        <f>CONCATENATE($Y224*2,"B")</f>
        <v>12B</v>
      </c>
      <c r="AD224" s="46"/>
      <c r="AE224" s="46">
        <f t="array" ref="AE224">SUM(IF(ISNUMBER(FIND("TmDi",$BE$1:$AAQ$1)),IF(IFERROR(ISNUMBER(VALUE(SUBSTITUTE($BE224:$AAQ224,"B",""))),FALSE),IF(ISNUMBER(VALUE(SUBSTITUTE($BE224:$AAQ224,"B",""))),1,0),0)))</f>
        <v>0</v>
      </c>
      <c r="AP224" t="s">
        <v>137</v>
      </c>
      <c r="AS224" t="s">
        <v>396</v>
      </c>
      <c r="JZ224" s="27" t="str">
        <f t="shared" si="227"/>
        <v>XT71</v>
      </c>
      <c r="KC224" t="str">
        <f t="shared" si="228"/>
        <v>F0-AI31-11B</v>
      </c>
      <c r="KD224" t="str">
        <f t="shared" si="229"/>
        <v>F0-AI31-12B</v>
      </c>
      <c r="KI224">
        <f t="array" ref="KI224">IF(COUNTIFS($U$2:$U224,$U224)=1,1,INDEX(KI:KI,_xlfn.XMATCH(U224,U$1:U223,0,-1))+COUNT(KI223:KM223))</f>
        <v>12</v>
      </c>
      <c r="KJ224">
        <f>KI224+1</f>
        <v>13</v>
      </c>
      <c r="KK224">
        <f>KJ224+1</f>
        <v>14</v>
      </c>
      <c r="KN224">
        <v>1</v>
      </c>
      <c r="KO224" s="16">
        <v>2</v>
      </c>
      <c r="KS224" s="16"/>
    </row>
    <row r="225" spans="1:358" x14ac:dyDescent="0.25">
      <c r="A225" t="s">
        <v>2436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2098</v>
      </c>
      <c r="W225" s="11" t="s">
        <v>2099</v>
      </c>
      <c r="X225" s="12"/>
      <c r="Y225" s="12"/>
      <c r="Z225" s="12"/>
      <c r="AA225" s="12"/>
      <c r="AB225" s="12"/>
      <c r="AC225" s="12" t="s">
        <v>1375</v>
      </c>
      <c r="AD225" s="69" t="str">
        <f t="array" ref="AD225">IF(COUNTIFS(AC$2:AC225,AC225)=1,"1",VALUE(SUBSTITUTE(INDEX(AD:AD,_xlfn.XMATCH(AC225,AC$1:AC224,0,-1)),"A",""))+INDEX(AE:AE,_xlfn.XMATCH(AC225,AC$1:AC224,0,-1))+1)</f>
        <v>1</v>
      </c>
      <c r="AE225" s="69">
        <f t="array" ref="AE225">SUM(IF(ISNUMBER(FIND("TmDi",$BE$1:$AAQ$1)),IF(IFERROR(ISNUMBER(VALUE(SUBSTITUTE($BE225:$AAQ225,"B",""))),FALSE),IF(ISNUMBER(VALUE(SUBSTITUTE($BE225:$AAQ225,"B",""))),1,0),0)))</f>
        <v>2</v>
      </c>
      <c r="AF225" s="12" t="s">
        <v>133</v>
      </c>
      <c r="AG225" s="12" t="s">
        <v>134</v>
      </c>
      <c r="AH225" s="12" t="s">
        <v>1376</v>
      </c>
      <c r="AI225" s="60" t="str">
        <f t="array" ref="AI225">IF(COUNTIFS(AH$2:AH225,AH225)=1,"1",VALUE(SUBSTITUTE(INDEX(AI:AI,_xlfn.XMATCH(AH225,AH$1:AH224,0,-1)),"A",""))+INDEX(AJ:AJ,_xlfn.XMATCH(AH225,AH$1:AH224,0,-1))+1)</f>
        <v>1</v>
      </c>
      <c r="AJ225" s="60">
        <f t="array" ref="AJ225">SUM(IF(ISNUMBER(FIND("TmDo",$BE$1:$AAQ$1)),IF(IFERROR(ISNUMBER(VALUE(SUBSTITUTE($BE225:$AAQ225,"B",""))),FALSE),IF(ISNUMBER(VALUE(SUBSTITUTE($BE225:$AAQ225,"B",""))),1,0),0)))</f>
        <v>1</v>
      </c>
      <c r="AK225" s="12" t="str">
        <f>CONCATENATE($AI225,"A")</f>
        <v>1A</v>
      </c>
      <c r="AL225" s="12" t="str">
        <f>CONCATENATE($AI225,"B")</f>
        <v>1B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CONCATENATE(REPLACE(AK225,LEN(AK225),1,"")+1,"A")</f>
        <v>2A</v>
      </c>
      <c r="EX225" s="12" t="str">
        <f>CONCATENATE(REPLACE(AL225,LEN(AL225),1,"")+1,"B")</f>
        <v>2B</v>
      </c>
      <c r="EY225" s="12" t="str">
        <f t="shared" ref="EY225:EZ229" si="232">CONCATENATE("DI",REPLACE($AC225,1,3,""),"-",AF225)</f>
        <v>DI13-C1</v>
      </c>
      <c r="EZ225" s="12" t="str">
        <f t="shared" si="232"/>
        <v>DI13-B1</v>
      </c>
      <c r="FA225" s="12" t="str">
        <f t="shared" ref="FA225:FD227" si="233">CONCATENATE("DI",REPLACE($AC225,1,3,""),"-",ES225)</f>
        <v>DI13-C2</v>
      </c>
      <c r="FB225" s="12" t="str">
        <f t="shared" si="233"/>
        <v>DI13-B2</v>
      </c>
      <c r="FC225" s="12" t="str">
        <f t="shared" si="233"/>
        <v>DI13-C3</v>
      </c>
      <c r="FD225" s="12" t="str">
        <f t="shared" si="233"/>
        <v>DI13-B3</v>
      </c>
      <c r="FE225" s="12" t="str">
        <f t="shared" ref="FE225:FF229" si="234">CONCATENATE("DO",REPLACE($AH225,1,3,""),"-",AK225)</f>
        <v>DO7-1A</v>
      </c>
      <c r="FF225" s="12" t="str">
        <f t="shared" si="234"/>
        <v>DO7-1B</v>
      </c>
      <c r="FG225" s="12" t="str">
        <f t="shared" ref="FG225:FH227" si="235">CONCATENATE("DO",REPLACE($AH225,1,3,""),"-",EW225)</f>
        <v>DO7-2A</v>
      </c>
      <c r="FH225" s="12" t="str">
        <f t="shared" si="235"/>
        <v>DO7-2B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8" x14ac:dyDescent="0.25">
      <c r="A226" t="s">
        <v>2437</v>
      </c>
      <c r="B226" t="s">
        <v>1384</v>
      </c>
      <c r="P226" t="s">
        <v>1370</v>
      </c>
      <c r="T226" s="27" t="s">
        <v>554</v>
      </c>
      <c r="U226">
        <v>73</v>
      </c>
      <c r="V226" t="s">
        <v>2100</v>
      </c>
      <c r="W226" t="s">
        <v>2101</v>
      </c>
      <c r="AC226" t="s">
        <v>1375</v>
      </c>
      <c r="AD226" s="46">
        <f t="array" ref="AD226">IF(COUNTIFS(AC$2:AC226,AC226)=1,"1",VALUE(SUBSTITUTE(INDEX(AD:AD,_xlfn.XMATCH(AC226,AC$1:AC225,0,-1)),"A",""))+INDEX(AE:AE,_xlfn.XMATCH(AC226,AC$1:AC225,0,-1))+1)</f>
        <v>4</v>
      </c>
      <c r="AE226" s="46">
        <f t="array" ref="AE226">SUM(IF(ISNUMBER(FIND("TmDi",$BE$1:$AAQ$1)),IF(IFERROR(ISNUMBER(VALUE(SUBSTITUTE($BE226:$AAQ226,"B",""))),FALSE),IF(ISNUMBER(VALUE(SUBSTITUTE($BE226:$AAQ226,"B",""))),1,0),0)))</f>
        <v>2</v>
      </c>
      <c r="AF226" t="s">
        <v>369</v>
      </c>
      <c r="AG226" t="s">
        <v>370</v>
      </c>
      <c r="AH226" t="s">
        <v>1376</v>
      </c>
      <c r="AI226" s="61">
        <f t="array" ref="AI226">IF(COUNTIFS(AH$2:AH226,AH226)=1,"1",VALUE(SUBSTITUTE(INDEX(AI:AI,_xlfn.XMATCH(AH226,AH$1:AH225,0,-1)),"A",""))+INDEX(AJ:AJ,_xlfn.XMATCH(AH226,AH$1:AH225,0,-1))+1)</f>
        <v>3</v>
      </c>
      <c r="AJ226" s="61">
        <f t="array" ref="AJ226">SUM(IF(ISNUMBER(FIND("TmDo",$BE$1:$AAQ$1)),IF(IFERROR(ISNUMBER(VALUE(SUBSTITUTE($BE226:$AAQ226,"B",""))),FALSE),IF(ISNUMBER(VALUE(SUBSTITUTE($BE226:$AAQ226,"B",""))),1,0),0)))</f>
        <v>1</v>
      </c>
      <c r="AK226" t="str">
        <f>CONCATENATE($AI226,"A")</f>
        <v>3A</v>
      </c>
      <c r="AL226" t="str">
        <f>CONCATENATE($AI226,"B")</f>
        <v>3B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CONCATENATE(REPLACE(AK226,LEN(AK226),1,"")+1,"A")</f>
        <v>4A</v>
      </c>
      <c r="EX226" t="str">
        <f>CONCATENATE(REPLACE(AL226,LEN(AL226),1,"")+1,"B")</f>
        <v>4B</v>
      </c>
      <c r="EY226" t="str">
        <f t="shared" si="232"/>
        <v>DI13-C4</v>
      </c>
      <c r="EZ226" t="str">
        <f t="shared" si="232"/>
        <v>DI13-B4</v>
      </c>
      <c r="FA226" t="str">
        <f t="shared" si="233"/>
        <v>DI13-C5</v>
      </c>
      <c r="FB226" t="str">
        <f t="shared" si="233"/>
        <v>DI13-B5</v>
      </c>
      <c r="FC226" t="str">
        <f t="shared" si="233"/>
        <v>DI13-C6</v>
      </c>
      <c r="FD226" t="str">
        <f t="shared" si="233"/>
        <v>DI13-B6</v>
      </c>
      <c r="FE226" t="str">
        <f t="shared" si="234"/>
        <v>DO7-3A</v>
      </c>
      <c r="FF226" t="str">
        <f t="shared" si="234"/>
        <v>DO7-3B</v>
      </c>
      <c r="FG226" t="str">
        <f t="shared" si="235"/>
        <v>DO7-4A</v>
      </c>
      <c r="FH226" t="str">
        <f t="shared" si="235"/>
        <v>DO7-4B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8" x14ac:dyDescent="0.25">
      <c r="A227" t="s">
        <v>2438</v>
      </c>
      <c r="B227" t="s">
        <v>1385</v>
      </c>
      <c r="P227" t="s">
        <v>1370</v>
      </c>
      <c r="T227" s="27" t="s">
        <v>554</v>
      </c>
      <c r="U227">
        <v>74</v>
      </c>
      <c r="V227" t="s">
        <v>2102</v>
      </c>
      <c r="W227" t="s">
        <v>2103</v>
      </c>
      <c r="AC227" t="s">
        <v>1375</v>
      </c>
      <c r="AD227" s="46">
        <f t="array" ref="AD227">IF(COUNTIFS(AC$2:AC227,AC227)=1,"1",VALUE(SUBSTITUTE(INDEX(AD:AD,_xlfn.XMATCH(AC227,AC$1:AC226,0,-1)),"A",""))+INDEX(AE:AE,_xlfn.XMATCH(AC227,AC$1:AC226,0,-1))+1)</f>
        <v>7</v>
      </c>
      <c r="AE227" s="46">
        <f t="array" ref="AE227">SUM(IF(ISNUMBER(FIND("TmDi",$BE$1:$AAQ$1)),IF(IFERROR(ISNUMBER(VALUE(SUBSTITUTE($BE227:$AAQ227,"B",""))),FALSE),IF(ISNUMBER(VALUE(SUBSTITUTE($BE227:$AAQ227,"B",""))),1,0),0)))</f>
        <v>2</v>
      </c>
      <c r="AF227" t="s">
        <v>148</v>
      </c>
      <c r="AG227" t="s">
        <v>149</v>
      </c>
      <c r="AH227" t="s">
        <v>1376</v>
      </c>
      <c r="AI227" s="61">
        <f t="array" ref="AI227">IF(COUNTIFS(AH$2:AH227,AH227)=1,"1",VALUE(SUBSTITUTE(INDEX(AI:AI,_xlfn.XMATCH(AH227,AH$1:AH226,0,-1)),"A",""))+INDEX(AJ:AJ,_xlfn.XMATCH(AH227,AH$1:AH226,0,-1))+1)</f>
        <v>5</v>
      </c>
      <c r="AJ227" s="61">
        <f t="array" ref="AJ227">SUM(IF(ISNUMBER(FIND("TmDo",$BE$1:$AAQ$1)),IF(IFERROR(ISNUMBER(VALUE(SUBSTITUTE($BE227:$AAQ227,"B",""))),FALSE),IF(ISNUMBER(VALUE(SUBSTITUTE($BE227:$AAQ227,"B",""))),1,0),0)))</f>
        <v>1</v>
      </c>
      <c r="AK227" t="str">
        <f>CONCATENATE($AI227,"A")</f>
        <v>5A</v>
      </c>
      <c r="AL227" t="str">
        <f>CONCATENATE($AI227,"B")</f>
        <v>5B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CONCATENATE(REPLACE(AK227,LEN(AK227),1,"")+1,"A")</f>
        <v>6A</v>
      </c>
      <c r="EX227" t="str">
        <f>CONCATENATE(REPLACE(AL227,LEN(AL227),1,"")+1,"B")</f>
        <v>6B</v>
      </c>
      <c r="EY227" t="str">
        <f t="shared" si="232"/>
        <v>DI13-C7</v>
      </c>
      <c r="EZ227" t="str">
        <f t="shared" si="232"/>
        <v>DI13-B7</v>
      </c>
      <c r="FA227" t="str">
        <f t="shared" si="233"/>
        <v>DI13-C8</v>
      </c>
      <c r="FB227" t="str">
        <f t="shared" si="233"/>
        <v>DI13-B8</v>
      </c>
      <c r="FC227" t="str">
        <f t="shared" si="233"/>
        <v>DI13-C9</v>
      </c>
      <c r="FD227" t="str">
        <f t="shared" si="233"/>
        <v>DI13-B9</v>
      </c>
      <c r="FE227" t="str">
        <f t="shared" si="234"/>
        <v>DO7-5A</v>
      </c>
      <c r="FF227" t="str">
        <f t="shared" si="234"/>
        <v>DO7-5B</v>
      </c>
      <c r="FG227" t="str">
        <f t="shared" si="235"/>
        <v>DO7-6A</v>
      </c>
      <c r="FH227" t="str">
        <f t="shared" si="235"/>
        <v>DO7-6B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8" x14ac:dyDescent="0.25">
      <c r="A228" t="s">
        <v>2439</v>
      </c>
      <c r="B228" t="s">
        <v>1389</v>
      </c>
      <c r="P228" t="s">
        <v>1393</v>
      </c>
      <c r="T228" s="27" t="s">
        <v>554</v>
      </c>
      <c r="U228">
        <v>75</v>
      </c>
      <c r="V228" t="s">
        <v>2104</v>
      </c>
      <c r="W228" t="s">
        <v>2105</v>
      </c>
      <c r="AC228" t="s">
        <v>1375</v>
      </c>
      <c r="AD228" s="46">
        <f t="array" ref="AD228">IF(COUNTIFS(AC$2:AC228,AC228)=1,"1",VALUE(SUBSTITUTE(INDEX(AD:AD,_xlfn.XMATCH(AC228,AC$1:AC227,0,-1)),"A",""))+INDEX(AE:AE,_xlfn.XMATCH(AC228,AC$1:AC227,0,-1))+1)</f>
        <v>10</v>
      </c>
      <c r="AE228" s="46">
        <f t="array" ref="AE228">SUM(IF(ISNUMBER(FIND("TmDi",$BE$1:$AAQ$1)),IF(IFERROR(ISNUMBER(VALUE(SUBSTITUTE($BE228:$AAQ228,"B",""))),FALSE),IF(ISNUMBER(VALUE(SUBSTITUTE($BE228:$AAQ228,"B",""))),1,0),0)))</f>
        <v>0</v>
      </c>
      <c r="AF228" t="s">
        <v>377</v>
      </c>
      <c r="AG228" t="s">
        <v>378</v>
      </c>
      <c r="AH228" t="s">
        <v>1376</v>
      </c>
      <c r="AI228" s="61">
        <f t="array" ref="AI228">IF(COUNTIFS(AH$2:AH228,AH228)=1,"1",VALUE(SUBSTITUTE(INDEX(AI:AI,_xlfn.XMATCH(AH228,AH$1:AH227,0,-1)),"A",""))+INDEX(AJ:AJ,_xlfn.XMATCH(AH228,AH$1:AH227,0,-1))+1)</f>
        <v>7</v>
      </c>
      <c r="AJ228" s="61">
        <f t="array" ref="AJ228">SUM(IF(ISNUMBER(FIND("TmDo",$BE$1:$AAQ$1)),IF(IFERROR(ISNUMBER(VALUE(SUBSTITUTE($BE228:$AAQ228,"B",""))),FALSE),IF(ISNUMBER(VALUE(SUBSTITUTE($BE228:$AAQ228,"B",""))),1,0),0)))</f>
        <v>0</v>
      </c>
      <c r="AK228" t="str">
        <f>CONCATENATE($AI228,"A")</f>
        <v>7A</v>
      </c>
      <c r="AL228" t="str">
        <f>CONCATENATE($AI228,"B")</f>
        <v>7B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232"/>
        <v>DI13-C10</v>
      </c>
      <c r="EZ228" t="str">
        <f t="shared" si="232"/>
        <v>DI13-B10</v>
      </c>
      <c r="FE228" t="str">
        <f t="shared" si="234"/>
        <v>DO7-7A</v>
      </c>
      <c r="FF228" t="str">
        <f t="shared" si="234"/>
        <v>DO7-7B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8" ht="15.75" customHeight="1" thickBot="1" x14ac:dyDescent="0.3">
      <c r="A229" t="s">
        <v>2440</v>
      </c>
      <c r="B229" t="s">
        <v>1390</v>
      </c>
      <c r="P229" t="s">
        <v>1393</v>
      </c>
      <c r="T229" s="27" t="s">
        <v>554</v>
      </c>
      <c r="U229">
        <v>76</v>
      </c>
      <c r="V229" t="s">
        <v>2106</v>
      </c>
      <c r="W229" t="s">
        <v>2107</v>
      </c>
      <c r="AC229" t="s">
        <v>1375</v>
      </c>
      <c r="AD229" s="46">
        <f t="array" ref="AD229">IF(COUNTIFS(AC$2:AC229,AC229)=1,"1",VALUE(SUBSTITUTE(INDEX(AD:AD,_xlfn.XMATCH(AC229,AC$1:AC228,0,-1)),"A",""))+INDEX(AE:AE,_xlfn.XMATCH(AC229,AC$1:AC228,0,-1))+1)</f>
        <v>11</v>
      </c>
      <c r="AE229" s="46">
        <f t="array" ref="AE229">SUM(IF(ISNUMBER(FIND("TmDi",$BE$1:$AAQ$1)),IF(IFERROR(ISNUMBER(VALUE(SUBSTITUTE($BE229:$AAQ229,"B",""))),FALSE),IF(ISNUMBER(VALUE(SUBSTITUTE($BE229:$AAQ229,"B",""))),1,0),0)))</f>
        <v>0</v>
      </c>
      <c r="AF229" t="s">
        <v>1394</v>
      </c>
      <c r="AG229" t="s">
        <v>1395</v>
      </c>
      <c r="AH229" t="s">
        <v>1376</v>
      </c>
      <c r="AI229" s="61">
        <f t="array" ref="AI229">IF(COUNTIFS(AH$2:AH229,AH229)=1,"1",VALUE(SUBSTITUTE(INDEX(AI:AI,_xlfn.XMATCH(AH229,AH$1:AH228,0,-1)),"A",""))+INDEX(AJ:AJ,_xlfn.XMATCH(AH229,AH$1:AH228,0,-1))+1)</f>
        <v>8</v>
      </c>
      <c r="AJ229" s="61">
        <f t="array" ref="AJ229">SUM(IF(ISNUMBER(FIND("TmDo",$BE$1:$AAQ$1)),IF(IFERROR(ISNUMBER(VALUE(SUBSTITUTE($BE229:$AAQ229,"B",""))),FALSE),IF(ISNUMBER(VALUE(SUBSTITUTE($BE229:$AAQ229,"B",""))),1,0),0)))</f>
        <v>0</v>
      </c>
      <c r="AK229" t="str">
        <f>CONCATENATE($AI229,"A")</f>
        <v>8A</v>
      </c>
      <c r="AL229" t="str">
        <f>CONCATENATE($AI229,"B")</f>
        <v>8B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232"/>
        <v>DI13-C11</v>
      </c>
      <c r="EZ229" t="str">
        <f t="shared" si="232"/>
        <v>DI13-B11</v>
      </c>
      <c r="FE229" t="str">
        <f t="shared" si="234"/>
        <v>DO7-8A</v>
      </c>
      <c r="FF229" t="str">
        <f t="shared" si="234"/>
        <v>DO7-8B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8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2108</v>
      </c>
      <c r="Y230" s="43"/>
      <c r="Z230" s="46"/>
      <c r="AC230" t="s">
        <v>1375</v>
      </c>
      <c r="AD230" s="46">
        <f t="array" ref="AD230">IF(COUNTIFS(AC$2:AC230,AC230)=1,"1",VALUE(SUBSTITUTE(INDEX(AD:AD,_xlfn.XMATCH(AC230,AC$1:AC229,0,-1)),"A",""))+INDEX(AE:AE,_xlfn.XMATCH(AC230,AC$1:AC229,0,-1))+1)</f>
        <v>12</v>
      </c>
      <c r="AE230" s="46">
        <f t="array" ref="AE230">SUM(IF(ISNUMBER(FIND("TmDi",$BE$1:$AAQ$1)),IF(IFERROR(ISNUMBER(VALUE(SUBSTITUTE($BE230:$AAQ230,"B",""))),FALSE),IF(ISNUMBER(VALUE(SUBSTITUTE($BE230:$AAQ230,"B",""))),1,0),0)))</f>
        <v>0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U230" t="s">
        <v>1405</v>
      </c>
      <c r="LY230" s="25" t="str">
        <f>CONCATENATE("XT",U230)</f>
        <v>XT77</v>
      </c>
      <c r="LZ230" s="12" t="str">
        <f>CONCATENATE("DI",REPLACE($AC230,1,3,""),"-",$AG230)</f>
        <v>DI13-B13</v>
      </c>
      <c r="MA230" s="12" t="str">
        <f>CONCATENATE("DI",REPLACE($AC230,1,3,""),"-",$AF230)</f>
        <v>DI13-C13</v>
      </c>
      <c r="MB230" s="12" t="s">
        <v>910</v>
      </c>
      <c r="MC230" s="12" t="s">
        <v>1417</v>
      </c>
      <c r="MD230" s="12">
        <v>11</v>
      </c>
      <c r="ME230" s="12">
        <v>14</v>
      </c>
      <c r="MF230" s="12" t="s">
        <v>142</v>
      </c>
      <c r="MG230" s="12" t="s">
        <v>143</v>
      </c>
      <c r="MH230" s="12" t="s">
        <v>488</v>
      </c>
      <c r="MI230" s="12" t="s">
        <v>487</v>
      </c>
      <c r="MJ230" s="12" t="s">
        <v>414</v>
      </c>
      <c r="MK230" s="12" t="s">
        <v>413</v>
      </c>
      <c r="ML230" s="12">
        <v>1</v>
      </c>
      <c r="MM230" s="12">
        <f>ML230+1</f>
        <v>2</v>
      </c>
      <c r="MN230" s="12"/>
      <c r="MO230" s="12"/>
      <c r="MP230" s="12"/>
      <c r="MQ230" s="12"/>
      <c r="MR230" s="12">
        <v>1</v>
      </c>
      <c r="MS230" s="12">
        <v>2</v>
      </c>
      <c r="MT230" s="13"/>
    </row>
    <row r="231" spans="1:358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2109</v>
      </c>
      <c r="Y231" s="43"/>
      <c r="Z231" s="46"/>
      <c r="AC231" t="s">
        <v>1375</v>
      </c>
      <c r="AD231" s="46">
        <f t="array" ref="AD231">IF(COUNTIFS(AC$2:AC231,AC231)=1,"1",VALUE(SUBSTITUTE(INDEX(AD:AD,_xlfn.XMATCH(AC231,AC$1:AC230,0,-1)),"A",""))+INDEX(AE:AE,_xlfn.XMATCH(AC231,AC$1:AC230,0,-1))+1)</f>
        <v>13</v>
      </c>
      <c r="AE231" s="46">
        <f t="array" ref="AE231">SUM(IF(ISNUMBER(FIND("TmDi",$BE$1:$AAQ$1)),IF(IFERROR(ISNUMBER(VALUE(SUBSTITUTE($BE231:$AAQ231,"B",""))),FALSE),IF(ISNUMBER(VALUE(SUBSTITUTE($BE231:$AAQ231,"B",""))),1,0),0)))</f>
        <v>0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U231" t="s">
        <v>1405</v>
      </c>
      <c r="LY231" s="25" t="str">
        <f>CONCATENATE("XT",U231)</f>
        <v>XT77</v>
      </c>
      <c r="LZ231" s="12" t="str">
        <f>CONCATENATE("DI",REPLACE($AC231,1,3,""),"-",$AG231)</f>
        <v>DI13-B14</v>
      </c>
      <c r="MA231" s="12" t="str">
        <f>CONCATENATE("DI",REPLACE($AC231,1,3,""),"-",$AF231)</f>
        <v>DI13-C14</v>
      </c>
      <c r="MB231" s="12" t="s">
        <v>911</v>
      </c>
      <c r="MC231" s="12" t="s">
        <v>1418</v>
      </c>
      <c r="MD231" s="12">
        <v>11</v>
      </c>
      <c r="ME231" s="12">
        <v>14</v>
      </c>
      <c r="MF231" s="12" t="s">
        <v>142</v>
      </c>
      <c r="MG231" s="12" t="s">
        <v>143</v>
      </c>
      <c r="MH231" s="12" t="s">
        <v>488</v>
      </c>
      <c r="MI231" s="12" t="s">
        <v>487</v>
      </c>
      <c r="MJ231" s="12" t="s">
        <v>414</v>
      </c>
      <c r="MK231" s="12" t="s">
        <v>413</v>
      </c>
      <c r="ML231" s="12">
        <v>3</v>
      </c>
      <c r="MM231" s="12">
        <v>4</v>
      </c>
      <c r="MN231" s="12"/>
      <c r="MO231" s="12"/>
      <c r="MP231" s="12"/>
      <c r="MQ231" s="12"/>
      <c r="MR231" s="12">
        <v>1</v>
      </c>
      <c r="MS231" s="12">
        <v>2</v>
      </c>
      <c r="MT231" s="13"/>
    </row>
    <row r="232" spans="1:358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2110</v>
      </c>
      <c r="Y232" s="43"/>
      <c r="Z232" s="46"/>
      <c r="AC232" t="s">
        <v>1375</v>
      </c>
      <c r="AD232" s="46">
        <f t="array" ref="AD232">IF(COUNTIFS(AC$2:AC232,AC232)=1,"1",VALUE(SUBSTITUTE(INDEX(AD:AD,_xlfn.XMATCH(AC232,AC$1:AC231,0,-1)),"A",""))+INDEX(AE:AE,_xlfn.XMATCH(AC232,AC$1:AC231,0,-1))+1)</f>
        <v>14</v>
      </c>
      <c r="AE232" s="46">
        <f t="array" ref="AE232">SUM(IF(ISNUMBER(FIND("TmDi",$BE$1:$AAQ$1)),IF(IFERROR(ISNUMBER(VALUE(SUBSTITUTE($BE232:$AAQ232,"B",""))),FALSE),IF(ISNUMBER(VALUE(SUBSTITUTE($BE232:$AAQ232,"B",""))),1,0),0)))</f>
        <v>0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U232" t="s">
        <v>1405</v>
      </c>
      <c r="LY232" s="25" t="str">
        <f>CONCATENATE("XT",U232)</f>
        <v>XT77</v>
      </c>
      <c r="LZ232" s="12" t="str">
        <f>CONCATENATE("DI",REPLACE($AC232,1,3,""),"-",$AG232)</f>
        <v>DI13-B15</v>
      </c>
      <c r="MA232" s="12" t="str">
        <f>CONCATENATE("DI",REPLACE($AC232,1,3,""),"-",$AF232)</f>
        <v>DI13-C15</v>
      </c>
      <c r="MB232" s="12" t="s">
        <v>1416</v>
      </c>
      <c r="MC232" s="12" t="s">
        <v>1419</v>
      </c>
      <c r="MD232" s="12">
        <v>11</v>
      </c>
      <c r="ME232" s="12">
        <v>14</v>
      </c>
      <c r="MF232" s="12" t="s">
        <v>142</v>
      </c>
      <c r="MG232" s="12" t="s">
        <v>143</v>
      </c>
      <c r="MH232" s="12" t="s">
        <v>488</v>
      </c>
      <c r="MI232" s="12" t="s">
        <v>487</v>
      </c>
      <c r="MJ232" s="12" t="s">
        <v>414</v>
      </c>
      <c r="MK232" s="12" t="s">
        <v>413</v>
      </c>
      <c r="ML232" s="12">
        <v>5</v>
      </c>
      <c r="MM232" s="12">
        <v>6</v>
      </c>
      <c r="MN232" s="12"/>
      <c r="MO232" s="12"/>
      <c r="MP232" s="12"/>
      <c r="MQ232" s="12"/>
      <c r="MR232" s="12">
        <v>1</v>
      </c>
      <c r="MS232" s="12">
        <v>2</v>
      </c>
      <c r="MT232" s="13"/>
    </row>
    <row r="233" spans="1:358" x14ac:dyDescent="0.25">
      <c r="A233" t="s">
        <v>2441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2111</v>
      </c>
      <c r="X233" t="s">
        <v>1178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SUM(IF(ISNUMBER(FIND("TmAi",$BE$1:$AAQ$1)),IF(IFERROR(ISODD(SUBSTITUTE($BE233:$AAQ233,"A","")),FALSE),IF(ISODD(SUBSTITUTE($BE233:$AAQ233,"A","")),1,0),0)))</f>
        <v>0</v>
      </c>
      <c r="AA233" t="str">
        <f t="shared" ref="AA233:AA266" si="236">CONCATENATE($Y233*2-1,"B")</f>
        <v>1B</v>
      </c>
      <c r="AB233" t="str">
        <f t="shared" ref="AB233:AB266" si="237">CONCATENATE($Y233*2,"B")</f>
        <v>2B</v>
      </c>
      <c r="AD233" s="46"/>
      <c r="AE233" s="46"/>
      <c r="AP233" t="s">
        <v>137</v>
      </c>
      <c r="AS233" t="s">
        <v>396</v>
      </c>
      <c r="JZ233" s="27" t="str">
        <f t="shared" ref="JZ233:JZ266" si="238">CONCATENATE("XT",U233)</f>
        <v>XT78</v>
      </c>
      <c r="KC233" t="str">
        <f t="shared" ref="KC233:KC266" si="239">CONCATENATE(T233,"-AI",REPLACE($X233,1,3,""),"-",AA233)</f>
        <v>F0-AI32-1B</v>
      </c>
      <c r="KD233" t="str">
        <f t="shared" ref="KD233:KD266" si="240">CONCATENATE(T233,"-AI",REPLACE($X233,1,3,""),"-",AB233)</f>
        <v>F0-AI32-2B</v>
      </c>
      <c r="KI233">
        <f t="array" ref="KI233">IF(COUNTIFS($U$2:$U233,$U233)=1,1,INDEX(KI:KI,_xlfn.XMATCH(U233,U$1:U232,0,-1))+COUNT(KI232:KM232))</f>
        <v>1</v>
      </c>
      <c r="KJ233">
        <f t="shared" ref="KJ233:KK247" si="241">KI233+1</f>
        <v>2</v>
      </c>
      <c r="KK233">
        <f t="shared" si="241"/>
        <v>3</v>
      </c>
      <c r="KN233">
        <v>1</v>
      </c>
      <c r="KO233" s="16">
        <v>2</v>
      </c>
      <c r="KS233" s="16"/>
    </row>
    <row r="234" spans="1:358" x14ac:dyDescent="0.25">
      <c r="A234" t="s">
        <v>2442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2112</v>
      </c>
      <c r="X234" t="str">
        <f>IF(COUNTIF(X$1:X233,X233)&gt;7,REPLACE(X233,LEN(X233),1,VALUE(RIGHT(X233,1))+1),X233)</f>
        <v>A3.32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SUM(IF(ISNUMBER(FIND("TmAi",$BE$1:$AAQ$1)),IF(IFERROR(ISODD(SUBSTITUTE($BE234:$AAQ234,"A","")),FALSE),IF(ISODD(SUBSTITUTE($BE234:$AAQ234,"A","")),1,0),0)))</f>
        <v>0</v>
      </c>
      <c r="AA234" t="str">
        <f t="shared" si="236"/>
        <v>3B</v>
      </c>
      <c r="AB234" t="str">
        <f t="shared" si="237"/>
        <v>4B</v>
      </c>
      <c r="AD234" s="46"/>
      <c r="AE234" s="46"/>
      <c r="AP234" t="s">
        <v>137</v>
      </c>
      <c r="AS234" t="s">
        <v>396</v>
      </c>
      <c r="JZ234" s="27" t="str">
        <f t="shared" si="238"/>
        <v>XT78</v>
      </c>
      <c r="KC234" t="str">
        <f t="shared" si="239"/>
        <v>F0-AI32-3B</v>
      </c>
      <c r="KD234" t="str">
        <f t="shared" si="240"/>
        <v>F0-AI32-4B</v>
      </c>
      <c r="KI234">
        <f t="array" ref="KI234">IF(COUNTIFS($U$2:$U234,$U234)=1,1,INDEX(KI:KI,_xlfn.XMATCH(U234,U$1:U233,0,-1))+COUNT(KI233:KM233))</f>
        <v>4</v>
      </c>
      <c r="KJ234">
        <f t="shared" si="241"/>
        <v>5</v>
      </c>
      <c r="KK234">
        <f t="shared" si="241"/>
        <v>6</v>
      </c>
      <c r="KN234">
        <v>1</v>
      </c>
      <c r="KO234" s="16">
        <v>2</v>
      </c>
      <c r="KS234" s="16"/>
    </row>
    <row r="235" spans="1:358" x14ac:dyDescent="0.25">
      <c r="A235" t="s">
        <v>2443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2113</v>
      </c>
      <c r="X235" t="s">
        <v>2077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SUM(IF(ISNUMBER(FIND("TmAi",$BE$1:$AAQ$1)),IF(IFERROR(ISODD(SUBSTITUTE($BE235:$AAQ235,"A","")),FALSE),IF(ISODD(SUBSTITUTE($BE235:$AAQ235,"A","")),1,0),0)))</f>
        <v>0</v>
      </c>
      <c r="AA235" t="str">
        <f t="shared" si="236"/>
        <v>1B</v>
      </c>
      <c r="AB235" t="str">
        <f t="shared" si="237"/>
        <v>2B</v>
      </c>
      <c r="AD235" s="46"/>
      <c r="AE235" s="46"/>
      <c r="AP235" t="s">
        <v>137</v>
      </c>
      <c r="AS235" t="s">
        <v>396</v>
      </c>
      <c r="JZ235" s="27" t="str">
        <f t="shared" si="238"/>
        <v>XT79</v>
      </c>
      <c r="KC235" t="str">
        <f t="shared" si="239"/>
        <v>F0-AI33-1B</v>
      </c>
      <c r="KD235" t="str">
        <f t="shared" si="240"/>
        <v>F0-AI33-2B</v>
      </c>
      <c r="KI235">
        <f t="array" ref="KI235">IF(COUNTIFS($U$2:$U235,$U235)=1,1,INDEX(KI:KI,_xlfn.XMATCH(U235,U$1:U234,0,-1))+COUNT(KI234:KM234))</f>
        <v>1</v>
      </c>
      <c r="KJ235">
        <f t="shared" si="241"/>
        <v>2</v>
      </c>
      <c r="KK235">
        <f t="shared" si="241"/>
        <v>3</v>
      </c>
      <c r="KN235">
        <v>1</v>
      </c>
      <c r="KO235" s="16">
        <v>2</v>
      </c>
      <c r="KS235" s="16"/>
    </row>
    <row r="236" spans="1:358" x14ac:dyDescent="0.25">
      <c r="A236" t="s">
        <v>2444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2114</v>
      </c>
      <c r="X236" t="str">
        <f>IF(COUNTIF(X$1:X235,X235)&gt;7,REPLACE(X235,LEN(X235),1,VALUE(RIGHT(X235,1))+1),X235)</f>
        <v>А3.33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SUM(IF(ISNUMBER(FIND("TmAi",$BE$1:$AAQ$1)),IF(IFERROR(ISODD(SUBSTITUTE($BE236:$AAQ236,"A","")),FALSE),IF(ISODD(SUBSTITUTE($BE236:$AAQ236,"A","")),1,0),0)))</f>
        <v>0</v>
      </c>
      <c r="AA236" t="str">
        <f t="shared" si="236"/>
        <v>3B</v>
      </c>
      <c r="AB236" t="str">
        <f t="shared" si="237"/>
        <v>4B</v>
      </c>
      <c r="AD236" s="46"/>
      <c r="AE236" s="46"/>
      <c r="AP236" t="s">
        <v>137</v>
      </c>
      <c r="AS236" t="s">
        <v>396</v>
      </c>
      <c r="JZ236" s="27" t="str">
        <f t="shared" si="238"/>
        <v>XT79</v>
      </c>
      <c r="KC236" t="str">
        <f t="shared" si="239"/>
        <v>F0-AI33-3B</v>
      </c>
      <c r="KD236" t="str">
        <f t="shared" si="240"/>
        <v>F0-AI33-4B</v>
      </c>
      <c r="KI236">
        <f t="array" ref="KI236">IF(COUNTIFS($U$2:$U236,$U236)=1,1,INDEX(KI:KI,_xlfn.XMATCH(U236,U$1:U235,0,-1))+COUNT(KI235:KM235))</f>
        <v>4</v>
      </c>
      <c r="KJ236">
        <f t="shared" si="241"/>
        <v>5</v>
      </c>
      <c r="KK236">
        <f t="shared" si="241"/>
        <v>6</v>
      </c>
      <c r="KN236">
        <v>1</v>
      </c>
      <c r="KO236" s="16">
        <v>2</v>
      </c>
      <c r="KS236" s="16"/>
    </row>
    <row r="237" spans="1:358" x14ac:dyDescent="0.25">
      <c r="A237" t="s">
        <v>2445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2115</v>
      </c>
      <c r="X237" t="str">
        <f>IF(COUNTIF(X$1:X236,X236)&gt;7,REPLACE(X236,LEN(X236),1,VALUE(RIGHT(X236,1))+1),X236)</f>
        <v>А3.33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SUM(IF(ISNUMBER(FIND("TmAi",$BE$1:$AAQ$1)),IF(IFERROR(ISODD(SUBSTITUTE($BE237:$AAQ237,"A","")),FALSE),IF(ISODD(SUBSTITUTE($BE237:$AAQ237,"A","")),1,0),0)))</f>
        <v>0</v>
      </c>
      <c r="AA237" t="str">
        <f t="shared" si="236"/>
        <v>5B</v>
      </c>
      <c r="AB237" t="str">
        <f t="shared" si="237"/>
        <v>6B</v>
      </c>
      <c r="AD237" s="46"/>
      <c r="AE237" s="46"/>
      <c r="AP237" t="s">
        <v>137</v>
      </c>
      <c r="AS237" t="s">
        <v>396</v>
      </c>
      <c r="JZ237" s="27" t="str">
        <f t="shared" si="238"/>
        <v>XT79</v>
      </c>
      <c r="KC237" t="str">
        <f t="shared" si="239"/>
        <v>F0-AI33-5B</v>
      </c>
      <c r="KD237" t="str">
        <f t="shared" si="240"/>
        <v>F0-AI33-6B</v>
      </c>
      <c r="KI237">
        <f t="array" ref="KI237">IF(COUNTIFS($U$2:$U237,$U237)=1,1,INDEX(KI:KI,_xlfn.XMATCH(U237,U$1:U236,0,-1))+COUNT(KI236:KM236))</f>
        <v>7</v>
      </c>
      <c r="KJ237">
        <f t="shared" si="241"/>
        <v>8</v>
      </c>
      <c r="KK237">
        <f t="shared" si="241"/>
        <v>9</v>
      </c>
      <c r="KN237">
        <v>1</v>
      </c>
      <c r="KO237" s="16">
        <v>2</v>
      </c>
      <c r="KS237" s="16"/>
    </row>
    <row r="238" spans="1:358" x14ac:dyDescent="0.25">
      <c r="A238" t="s">
        <v>2513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2116</v>
      </c>
      <c r="X238" t="str">
        <f>IF(COUNTIF(X$1:X237,X237)&gt;7,REPLACE(X237,LEN(X237),1,VALUE(RIGHT(X237,1))+1),X237)</f>
        <v>А3.33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SUM(IF(ISNUMBER(FIND("TmAi",$BE$1:$AAQ$1)),IF(IFERROR(ISODD(SUBSTITUTE($BE238:$AAQ238,"A","")),FALSE),IF(ISODD(SUBSTITUTE($BE238:$AAQ238,"A","")),1,0),0)))</f>
        <v>0</v>
      </c>
      <c r="AA238" t="str">
        <f t="shared" si="236"/>
        <v>7B</v>
      </c>
      <c r="AB238" t="str">
        <f t="shared" si="237"/>
        <v>8B</v>
      </c>
      <c r="AD238" s="46"/>
      <c r="AE238" s="46"/>
      <c r="AP238" t="s">
        <v>137</v>
      </c>
      <c r="AS238" t="s">
        <v>396</v>
      </c>
      <c r="JZ238" s="27" t="str">
        <f t="shared" si="238"/>
        <v>XT79</v>
      </c>
      <c r="KC238" t="str">
        <f t="shared" si="239"/>
        <v>F0-AI33-7B</v>
      </c>
      <c r="KD238" t="str">
        <f t="shared" si="240"/>
        <v>F0-AI33-8B</v>
      </c>
      <c r="KI238">
        <f t="array" ref="KI238">IF(COUNTIFS($U$2:$U238,$U238)=1,1,INDEX(KI:KI,_xlfn.XMATCH(U238,U$1:U237,0,-1))+COUNT(KI237:KM237))</f>
        <v>10</v>
      </c>
      <c r="KJ238">
        <f t="shared" si="241"/>
        <v>11</v>
      </c>
      <c r="KK238">
        <f t="shared" si="241"/>
        <v>12</v>
      </c>
      <c r="KN238">
        <v>1</v>
      </c>
      <c r="KO238" s="16">
        <v>2</v>
      </c>
      <c r="KS238" s="16"/>
    </row>
    <row r="239" spans="1:358" x14ac:dyDescent="0.25">
      <c r="A239" t="s">
        <v>2446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1420</v>
      </c>
      <c r="X239" t="str">
        <f>IF(COUNTIF(X$1:X238,X238)&gt;7,REPLACE(X238,LEN(X238),1,VALUE(RIGHT(X238,1))+1),X238)</f>
        <v>А3.33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SUM(IF(ISNUMBER(FIND("TmAi",$BE$1:$AAQ$1)),IF(IFERROR(ISODD(SUBSTITUTE($BE239:$AAQ239,"A","")),FALSE),IF(ISODD(SUBSTITUTE($BE239:$AAQ239,"A","")),1,0),0)))</f>
        <v>0</v>
      </c>
      <c r="AA239" t="str">
        <f t="shared" si="236"/>
        <v>9B</v>
      </c>
      <c r="AB239" t="str">
        <f t="shared" si="237"/>
        <v>10B</v>
      </c>
      <c r="AD239" s="46"/>
      <c r="AE239" s="46"/>
      <c r="AP239" t="s">
        <v>137</v>
      </c>
      <c r="AS239" t="s">
        <v>396</v>
      </c>
      <c r="JZ239" s="27" t="str">
        <f t="shared" si="238"/>
        <v>XT80</v>
      </c>
      <c r="KC239" t="str">
        <f t="shared" si="239"/>
        <v>F0-AI33-9B</v>
      </c>
      <c r="KD239" t="str">
        <f t="shared" si="240"/>
        <v>F0-AI33-10B</v>
      </c>
      <c r="KI239">
        <f t="array" ref="KI239">IF(COUNTIFS($U$2:$U239,$U239)=1,1,INDEX(KI:KI,_xlfn.XMATCH(U239,U$1:U238,0,-1))+COUNT(KI238:KM238))</f>
        <v>1</v>
      </c>
      <c r="KJ239">
        <f t="shared" si="241"/>
        <v>2</v>
      </c>
      <c r="KK239">
        <f t="shared" si="241"/>
        <v>3</v>
      </c>
      <c r="KN239">
        <v>1</v>
      </c>
      <c r="KO239" s="16">
        <v>2</v>
      </c>
      <c r="KS239" s="16"/>
    </row>
    <row r="240" spans="1:358" x14ac:dyDescent="0.25">
      <c r="A240" t="s">
        <v>2447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1421</v>
      </c>
      <c r="X240" t="str">
        <f>IF(COUNTIF(X$1:X239,X239)&gt;7,REPLACE(X239,LEN(X239),1,VALUE(RIGHT(X239,1))+1),X239)</f>
        <v>А3.33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SUM(IF(ISNUMBER(FIND("TmAi",$BE$1:$AAQ$1)),IF(IFERROR(ISODD(SUBSTITUTE($BE240:$AAQ240,"A","")),FALSE),IF(ISODD(SUBSTITUTE($BE240:$AAQ240,"A","")),1,0),0)))</f>
        <v>0</v>
      </c>
      <c r="AA240" t="str">
        <f t="shared" si="236"/>
        <v>11B</v>
      </c>
      <c r="AB240" t="str">
        <f t="shared" si="237"/>
        <v>12B</v>
      </c>
      <c r="AD240" s="46"/>
      <c r="AE240" s="46"/>
      <c r="AP240" t="s">
        <v>137</v>
      </c>
      <c r="AS240" t="s">
        <v>396</v>
      </c>
      <c r="JZ240" s="27" t="str">
        <f t="shared" si="238"/>
        <v>XT80</v>
      </c>
      <c r="KC240" t="str">
        <f t="shared" si="239"/>
        <v>F0-AI33-11B</v>
      </c>
      <c r="KD240" t="str">
        <f t="shared" si="240"/>
        <v>F0-AI33-12B</v>
      </c>
      <c r="KI240">
        <f t="array" ref="KI240">IF(COUNTIFS($U$2:$U240,$U240)=1,1,INDEX(KI:KI,_xlfn.XMATCH(U240,U$1:U239,0,-1))+COUNT(KI239:KM239))</f>
        <v>4</v>
      </c>
      <c r="KJ240">
        <f t="shared" si="241"/>
        <v>5</v>
      </c>
      <c r="KK240">
        <f t="shared" si="241"/>
        <v>6</v>
      </c>
      <c r="KN240">
        <v>1</v>
      </c>
      <c r="KO240" s="16">
        <v>2</v>
      </c>
      <c r="KS240" s="16"/>
    </row>
    <row r="241" spans="1:305" x14ac:dyDescent="0.25">
      <c r="A241" t="s">
        <v>2448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2117</v>
      </c>
      <c r="X241" t="str">
        <f>IF(COUNTIF(X$1:X240,X240)&gt;7,REPLACE(X240,LEN(X240),1,VALUE(RIGHT(X240,1))+1),X240)</f>
        <v>А3.33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SUM(IF(ISNUMBER(FIND("TmAi",$BE$1:$AAQ$1)),IF(IFERROR(ISODD(SUBSTITUTE($BE241:$AAQ241,"A","")),FALSE),IF(ISODD(SUBSTITUTE($BE241:$AAQ241,"A","")),1,0),0)))</f>
        <v>0</v>
      </c>
      <c r="AA241" t="str">
        <f t="shared" si="236"/>
        <v>13B</v>
      </c>
      <c r="AB241" t="str">
        <f t="shared" si="237"/>
        <v>14B</v>
      </c>
      <c r="AD241" s="46"/>
      <c r="AE241" s="46"/>
      <c r="AP241" t="s">
        <v>137</v>
      </c>
      <c r="AS241" t="s">
        <v>396</v>
      </c>
      <c r="JZ241" s="27" t="str">
        <f t="shared" si="238"/>
        <v>XT80</v>
      </c>
      <c r="KC241" t="str">
        <f t="shared" si="239"/>
        <v>F0-AI33-13B</v>
      </c>
      <c r="KD241" t="str">
        <f t="shared" si="240"/>
        <v>F0-AI33-14B</v>
      </c>
      <c r="KI241">
        <f t="array" ref="KI241">IF(COUNTIFS($U$2:$U241,$U241)=1,1,INDEX(KI:KI,_xlfn.XMATCH(U241,U$1:U240,0,-1))+COUNT(KI240:KM240))</f>
        <v>7</v>
      </c>
      <c r="KJ241">
        <f t="shared" si="241"/>
        <v>8</v>
      </c>
      <c r="KK241">
        <f t="shared" si="241"/>
        <v>9</v>
      </c>
      <c r="KN241">
        <v>1</v>
      </c>
      <c r="KO241" s="16">
        <v>2</v>
      </c>
      <c r="KS241" s="16"/>
    </row>
    <row r="242" spans="1:305" x14ac:dyDescent="0.25">
      <c r="A242" t="s">
        <v>2449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2118</v>
      </c>
      <c r="X242" t="str">
        <f>IF(COUNTIF(X$1:X241,X241)&gt;7,REPLACE(X241,LEN(X241),1,VALUE(RIGHT(X241,1))+1),X241)</f>
        <v>А3.33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SUM(IF(ISNUMBER(FIND("TmAi",$BE$1:$AAQ$1)),IF(IFERROR(ISODD(SUBSTITUTE($BE242:$AAQ242,"A","")),FALSE),IF(ISODD(SUBSTITUTE($BE242:$AAQ242,"A","")),1,0),0)))</f>
        <v>0</v>
      </c>
      <c r="AA242" t="str">
        <f t="shared" si="236"/>
        <v>15B</v>
      </c>
      <c r="AB242" t="str">
        <f t="shared" si="237"/>
        <v>16B</v>
      </c>
      <c r="AD242" s="46"/>
      <c r="AE242" s="46"/>
      <c r="AP242" t="s">
        <v>137</v>
      </c>
      <c r="AS242" t="s">
        <v>396</v>
      </c>
      <c r="JZ242" s="27" t="str">
        <f t="shared" si="238"/>
        <v>XT80</v>
      </c>
      <c r="KC242" t="str">
        <f t="shared" si="239"/>
        <v>F0-AI33-15B</v>
      </c>
      <c r="KD242" t="str">
        <f t="shared" si="240"/>
        <v>F0-AI33-16B</v>
      </c>
      <c r="KI242">
        <f t="array" ref="KI242">IF(COUNTIFS($U$2:$U242,$U242)=1,1,INDEX(KI:KI,_xlfn.XMATCH(U242,U$1:U241,0,-1))+COUNT(KI241:KM241))</f>
        <v>10</v>
      </c>
      <c r="KJ242">
        <f t="shared" si="241"/>
        <v>11</v>
      </c>
      <c r="KK242">
        <f t="shared" si="241"/>
        <v>12</v>
      </c>
      <c r="KN242">
        <v>1</v>
      </c>
      <c r="KO242" s="16">
        <v>2</v>
      </c>
      <c r="KS242" s="16"/>
    </row>
    <row r="243" spans="1:305" x14ac:dyDescent="0.25">
      <c r="A243" t="s">
        <v>2450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2119</v>
      </c>
      <c r="X243" t="str">
        <f>IF(COUNTIF(X$1:X242,X242)&gt;7,REPLACE(X242,LEN(X242),1,VALUE(RIGHT(X242,1))+1),X242)</f>
        <v>А3.34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SUM(IF(ISNUMBER(FIND("TmAi",$BE$1:$AAQ$1)),IF(IFERROR(ISODD(SUBSTITUTE($BE243:$AAQ243,"A","")),FALSE),IF(ISODD(SUBSTITUTE($BE243:$AAQ243,"A","")),1,0),0)))</f>
        <v>0</v>
      </c>
      <c r="AA243" t="str">
        <f t="shared" si="236"/>
        <v>1B</v>
      </c>
      <c r="AB243" t="str">
        <f t="shared" si="237"/>
        <v>2B</v>
      </c>
      <c r="AD243" s="46"/>
      <c r="AE243" s="46"/>
      <c r="AP243" t="s">
        <v>137</v>
      </c>
      <c r="AS243" t="s">
        <v>396</v>
      </c>
      <c r="JZ243" s="27" t="str">
        <f t="shared" si="238"/>
        <v>XT81</v>
      </c>
      <c r="KC243" t="str">
        <f t="shared" si="239"/>
        <v>F0-AI34-1B</v>
      </c>
      <c r="KD243" t="str">
        <f t="shared" si="240"/>
        <v>F0-AI34-2B</v>
      </c>
      <c r="KI243">
        <f t="array" ref="KI243">IF(COUNTIFS($U$2:$U243,$U243)=1,1,INDEX(KI:KI,_xlfn.XMATCH(U243,U$1:U242,0,-1))+COUNT(KI242:KM242))</f>
        <v>1</v>
      </c>
      <c r="KJ243">
        <f t="shared" si="241"/>
        <v>2</v>
      </c>
      <c r="KK243">
        <f t="shared" si="241"/>
        <v>3</v>
      </c>
      <c r="KN243">
        <v>1</v>
      </c>
      <c r="KO243" s="16">
        <v>2</v>
      </c>
      <c r="KS243" s="16"/>
    </row>
    <row r="244" spans="1:305" x14ac:dyDescent="0.25">
      <c r="A244" t="s">
        <v>2451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2120</v>
      </c>
      <c r="X244" t="str">
        <f>IF(COUNTIF(X$1:X243,X243)&gt;7,REPLACE(X243,LEN(X243),1,VALUE(RIGHT(X243,1))+1),X243)</f>
        <v>А3.34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SUM(IF(ISNUMBER(FIND("TmAi",$BE$1:$AAQ$1)),IF(IFERROR(ISODD(SUBSTITUTE($BE244:$AAQ244,"A","")),FALSE),IF(ISODD(SUBSTITUTE($BE244:$AAQ244,"A","")),1,0),0)))</f>
        <v>0</v>
      </c>
      <c r="AA244" t="str">
        <f t="shared" si="236"/>
        <v>3B</v>
      </c>
      <c r="AB244" t="str">
        <f t="shared" si="237"/>
        <v>4B</v>
      </c>
      <c r="AD244" s="46"/>
      <c r="AE244" s="46"/>
      <c r="AP244" t="s">
        <v>137</v>
      </c>
      <c r="AS244" t="s">
        <v>396</v>
      </c>
      <c r="JZ244" s="27" t="str">
        <f t="shared" si="238"/>
        <v>XT81</v>
      </c>
      <c r="KC244" t="str">
        <f t="shared" si="239"/>
        <v>F0-AI34-3B</v>
      </c>
      <c r="KD244" t="str">
        <f t="shared" si="240"/>
        <v>F0-AI34-4B</v>
      </c>
      <c r="KI244">
        <f t="array" ref="KI244">IF(COUNTIFS($U$2:$U244,$U244)=1,1,INDEX(KI:KI,_xlfn.XMATCH(U244,U$1:U243,0,-1))+COUNT(KI243:KM243))</f>
        <v>4</v>
      </c>
      <c r="KJ244">
        <f t="shared" si="241"/>
        <v>5</v>
      </c>
      <c r="KK244">
        <f t="shared" si="241"/>
        <v>6</v>
      </c>
      <c r="KN244">
        <v>1</v>
      </c>
      <c r="KO244" s="16">
        <v>2</v>
      </c>
      <c r="KS244" s="16"/>
    </row>
    <row r="245" spans="1:305" x14ac:dyDescent="0.25">
      <c r="A245" t="s">
        <v>2452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2121</v>
      </c>
      <c r="X245" t="str">
        <f>IF(COUNTIF(X$1:X244,X244)&gt;7,REPLACE(X244,LEN(X244),1,VALUE(RIGHT(X244,1))+1),X244)</f>
        <v>А3.34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SUM(IF(ISNUMBER(FIND("TmAi",$BE$1:$AAQ$1)),IF(IFERROR(ISODD(SUBSTITUTE($BE245:$AAQ245,"A","")),FALSE),IF(ISODD(SUBSTITUTE($BE245:$AAQ245,"A","")),1,0),0)))</f>
        <v>0</v>
      </c>
      <c r="AA245" t="str">
        <f t="shared" si="236"/>
        <v>5B</v>
      </c>
      <c r="AB245" t="str">
        <f t="shared" si="237"/>
        <v>6B</v>
      </c>
      <c r="AD245" s="46"/>
      <c r="AE245" s="46"/>
      <c r="AP245" t="s">
        <v>137</v>
      </c>
      <c r="AS245" t="s">
        <v>396</v>
      </c>
      <c r="JZ245" s="27" t="str">
        <f t="shared" si="238"/>
        <v>XT81</v>
      </c>
      <c r="KC245" t="str">
        <f t="shared" si="239"/>
        <v>F0-AI34-5B</v>
      </c>
      <c r="KD245" t="str">
        <f t="shared" si="240"/>
        <v>F0-AI34-6B</v>
      </c>
      <c r="KI245">
        <f t="array" ref="KI245">IF(COUNTIFS($U$2:$U245,$U245)=1,1,INDEX(KI:KI,_xlfn.XMATCH(U245,U$1:U244,0,-1))+COUNT(KI244:KM244))</f>
        <v>7</v>
      </c>
      <c r="KJ245">
        <f t="shared" si="241"/>
        <v>8</v>
      </c>
      <c r="KK245">
        <f t="shared" si="241"/>
        <v>9</v>
      </c>
      <c r="KN245">
        <v>1</v>
      </c>
      <c r="KO245" s="16">
        <v>2</v>
      </c>
      <c r="KS245" s="16"/>
    </row>
    <row r="246" spans="1:305" x14ac:dyDescent="0.25">
      <c r="A246" t="s">
        <v>2453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2122</v>
      </c>
      <c r="X246" t="str">
        <f>IF(COUNTIF(X$1:X245,X245)&gt;7,REPLACE(X245,LEN(X245),1,VALUE(RIGHT(X245,1))+1),X245)</f>
        <v>А3.34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SUM(IF(ISNUMBER(FIND("TmAi",$BE$1:$AAQ$1)),IF(IFERROR(ISODD(SUBSTITUTE($BE246:$AAQ246,"A","")),FALSE),IF(ISODD(SUBSTITUTE($BE246:$AAQ246,"A","")),1,0),0)))</f>
        <v>0</v>
      </c>
      <c r="AA246" t="str">
        <f t="shared" si="236"/>
        <v>7B</v>
      </c>
      <c r="AB246" t="str">
        <f t="shared" si="237"/>
        <v>8B</v>
      </c>
      <c r="AD246" s="46"/>
      <c r="AE246" s="46"/>
      <c r="AP246" t="s">
        <v>137</v>
      </c>
      <c r="AS246" t="s">
        <v>396</v>
      </c>
      <c r="JZ246" s="27" t="str">
        <f t="shared" si="238"/>
        <v>XT81</v>
      </c>
      <c r="KC246" t="str">
        <f t="shared" si="239"/>
        <v>F0-AI34-7B</v>
      </c>
      <c r="KD246" t="str">
        <f t="shared" si="240"/>
        <v>F0-AI34-8B</v>
      </c>
      <c r="KI246">
        <f t="array" ref="KI246">IF(COUNTIFS($U$2:$U246,$U246)=1,1,INDEX(KI:KI,_xlfn.XMATCH(U246,U$1:U245,0,-1))+COUNT(KI245:KM245))</f>
        <v>10</v>
      </c>
      <c r="KJ246">
        <f t="shared" si="241"/>
        <v>11</v>
      </c>
      <c r="KK246">
        <f t="shared" si="241"/>
        <v>12</v>
      </c>
      <c r="KN246">
        <v>1</v>
      </c>
      <c r="KO246" s="16">
        <v>2</v>
      </c>
      <c r="KS246" s="16"/>
    </row>
    <row r="247" spans="1:305" x14ac:dyDescent="0.25">
      <c r="A247" t="s">
        <v>2454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2123</v>
      </c>
      <c r="X247" t="str">
        <f>IF(COUNTIF(X$1:X246,X246)&gt;7,REPLACE(X246,LEN(X246),1,VALUE(RIGHT(X246,1))+1),X246)</f>
        <v>А3.34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SUM(IF(ISNUMBER(FIND("TmAi",$BE$1:$AAQ$1)),IF(IFERROR(ISODD(SUBSTITUTE($BE247:$AAQ247,"A","")),FALSE),IF(ISODD(SUBSTITUTE($BE247:$AAQ247,"A","")),1,0),0)))</f>
        <v>0</v>
      </c>
      <c r="AA247" t="str">
        <f t="shared" si="236"/>
        <v>9B</v>
      </c>
      <c r="AB247" t="str">
        <f t="shared" si="237"/>
        <v>10B</v>
      </c>
      <c r="AD247" s="46"/>
      <c r="AE247" s="46"/>
      <c r="AP247" t="s">
        <v>137</v>
      </c>
      <c r="AS247" t="s">
        <v>396</v>
      </c>
      <c r="JZ247" s="27" t="str">
        <f t="shared" si="238"/>
        <v>XT82</v>
      </c>
      <c r="KC247" t="str">
        <f t="shared" si="239"/>
        <v>F0-AI34-9B</v>
      </c>
      <c r="KD247" t="str">
        <f t="shared" si="240"/>
        <v>F0-AI34-10B</v>
      </c>
      <c r="KI247">
        <f t="array" ref="KI247">IF(COUNTIFS($U$2:$U247,$U247)=1,1,INDEX(KI:KI,_xlfn.XMATCH(U247,U$1:U246,0,-1))+COUNT(KI246:KM246))</f>
        <v>1</v>
      </c>
      <c r="KJ247">
        <f t="shared" si="241"/>
        <v>2</v>
      </c>
      <c r="KK247">
        <f t="shared" si="241"/>
        <v>3</v>
      </c>
      <c r="KN247">
        <v>1</v>
      </c>
      <c r="KO247" s="16">
        <v>2</v>
      </c>
      <c r="KS247" s="16"/>
    </row>
    <row r="248" spans="1:305" x14ac:dyDescent="0.25">
      <c r="A248" t="s">
        <v>2455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2124</v>
      </c>
      <c r="X248" t="str">
        <f>IF(COUNTIF(X$1:X247,X247)&gt;7,REPLACE(X247,LEN(X247),1,VALUE(RIGHT(X247,1))+1),X247)</f>
        <v>А3.34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SUM(IF(ISNUMBER(FIND("TmAi",$BE$1:$AAQ$1)),IF(IFERROR(ISODD(SUBSTITUTE($BE248:$AAQ248,"A","")),FALSE),IF(ISODD(SUBSTITUTE($BE248:$AAQ248,"A","")),1,0),0)))</f>
        <v>0</v>
      </c>
      <c r="AA248" t="str">
        <f t="shared" si="236"/>
        <v>11B</v>
      </c>
      <c r="AB248" t="str">
        <f t="shared" si="237"/>
        <v>12B</v>
      </c>
      <c r="AD248" s="46"/>
      <c r="AE248" s="46"/>
      <c r="AP248" t="s">
        <v>137</v>
      </c>
      <c r="AS248" t="s">
        <v>396</v>
      </c>
      <c r="JZ248" s="27" t="str">
        <f t="shared" si="238"/>
        <v>XT82</v>
      </c>
      <c r="KC248" t="str">
        <f t="shared" si="239"/>
        <v>F0-AI34-11B</v>
      </c>
      <c r="KD248" t="str">
        <f t="shared" si="240"/>
        <v>F0-AI34-12B</v>
      </c>
      <c r="KI248">
        <f t="array" ref="KI248">IF(COUNTIFS($U$2:$U248,$U248)=1,1,INDEX(KI:KI,_xlfn.XMATCH(U248,U$1:U247,0,-1))+COUNT(KI247:KM247))</f>
        <v>4</v>
      </c>
      <c r="KJ248">
        <f t="shared" ref="KJ248:KJ266" si="242">KI248+1</f>
        <v>5</v>
      </c>
      <c r="KK248">
        <f t="shared" ref="KK248:KK266" si="243">KJ248+1</f>
        <v>6</v>
      </c>
      <c r="KN248">
        <v>1</v>
      </c>
      <c r="KO248" s="16">
        <v>2</v>
      </c>
      <c r="KS248" s="16"/>
    </row>
    <row r="249" spans="1:305" x14ac:dyDescent="0.25">
      <c r="A249" t="s">
        <v>2456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2125</v>
      </c>
      <c r="X249" t="str">
        <f>IF(COUNTIF(X$1:X248,X248)&gt;7,REPLACE(X248,LEN(X248),1,VALUE(RIGHT(X248,1))+1),X248)</f>
        <v>А3.34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SUM(IF(ISNUMBER(FIND("TmAi",$BE$1:$AAQ$1)),IF(IFERROR(ISODD(SUBSTITUTE($BE249:$AAQ249,"A","")),FALSE),IF(ISODD(SUBSTITUTE($BE249:$AAQ249,"A","")),1,0),0)))</f>
        <v>0</v>
      </c>
      <c r="AA249" t="str">
        <f t="shared" si="236"/>
        <v>13B</v>
      </c>
      <c r="AB249" t="str">
        <f t="shared" si="237"/>
        <v>14B</v>
      </c>
      <c r="AD249" s="46"/>
      <c r="AE249" s="46"/>
      <c r="AP249" t="s">
        <v>137</v>
      </c>
      <c r="AS249" t="s">
        <v>396</v>
      </c>
      <c r="JZ249" s="27" t="str">
        <f t="shared" si="238"/>
        <v>XT82</v>
      </c>
      <c r="KC249" t="str">
        <f t="shared" si="239"/>
        <v>F0-AI34-13B</v>
      </c>
      <c r="KD249" t="str">
        <f t="shared" si="240"/>
        <v>F0-AI34-14B</v>
      </c>
      <c r="KI249">
        <f t="array" ref="KI249">IF(COUNTIFS($U$2:$U249,$U249)=1,1,INDEX(KI:KI,_xlfn.XMATCH(U249,U$1:U248,0,-1))+COUNT(KI248:KM248))</f>
        <v>7</v>
      </c>
      <c r="KJ249">
        <f t="shared" si="242"/>
        <v>8</v>
      </c>
      <c r="KK249">
        <f t="shared" si="243"/>
        <v>9</v>
      </c>
      <c r="KN249">
        <v>1</v>
      </c>
      <c r="KO249" s="16">
        <v>2</v>
      </c>
      <c r="KS249" s="16"/>
    </row>
    <row r="250" spans="1:305" x14ac:dyDescent="0.25">
      <c r="A250" t="s">
        <v>2457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2126</v>
      </c>
      <c r="X250" t="str">
        <f>IF(COUNTIF(X$1:X249,X249)&gt;7,REPLACE(X249,LEN(X249),1,VALUE(RIGHT(X249,1))+1),X249)</f>
        <v>А3.34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SUM(IF(ISNUMBER(FIND("TmAi",$BE$1:$AAQ$1)),IF(IFERROR(ISODD(SUBSTITUTE($BE250:$AAQ250,"A","")),FALSE),IF(ISODD(SUBSTITUTE($BE250:$AAQ250,"A","")),1,0),0)))</f>
        <v>0</v>
      </c>
      <c r="AA250" t="str">
        <f t="shared" si="236"/>
        <v>15B</v>
      </c>
      <c r="AB250" t="str">
        <f t="shared" si="237"/>
        <v>16B</v>
      </c>
      <c r="AD250" s="46"/>
      <c r="AE250" s="46"/>
      <c r="AP250" t="s">
        <v>137</v>
      </c>
      <c r="AS250" t="s">
        <v>396</v>
      </c>
      <c r="JZ250" s="27" t="str">
        <f t="shared" si="238"/>
        <v>XT82</v>
      </c>
      <c r="KC250" t="str">
        <f t="shared" si="239"/>
        <v>F0-AI34-15B</v>
      </c>
      <c r="KD250" t="str">
        <f t="shared" si="240"/>
        <v>F0-AI34-16B</v>
      </c>
      <c r="KI250">
        <f t="array" ref="KI250">IF(COUNTIFS($U$2:$U250,$U250)=1,1,INDEX(KI:KI,_xlfn.XMATCH(U250,U$1:U249,0,-1))+COUNT(KI249:KM249))</f>
        <v>10</v>
      </c>
      <c r="KJ250">
        <f t="shared" si="242"/>
        <v>11</v>
      </c>
      <c r="KK250">
        <f t="shared" si="243"/>
        <v>12</v>
      </c>
      <c r="KN250">
        <v>1</v>
      </c>
      <c r="KO250" s="16">
        <v>2</v>
      </c>
      <c r="KS250" s="16"/>
    </row>
    <row r="251" spans="1:305" x14ac:dyDescent="0.25">
      <c r="A251" t="s">
        <v>2458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2127</v>
      </c>
      <c r="X251" t="str">
        <f>IF(COUNTIF(X$1:X250,X250)&gt;7,REPLACE(X250,LEN(X250),1,VALUE(RIGHT(X250,1))+1),X250)</f>
        <v>А3.35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SUM(IF(ISNUMBER(FIND("TmAi",$BE$1:$AAQ$1)),IF(IFERROR(ISODD(SUBSTITUTE($BE251:$AAQ251,"A","")),FALSE),IF(ISODD(SUBSTITUTE($BE251:$AAQ251,"A","")),1,0),0)))</f>
        <v>0</v>
      </c>
      <c r="AA251" t="str">
        <f t="shared" si="236"/>
        <v>1B</v>
      </c>
      <c r="AB251" t="str">
        <f t="shared" si="237"/>
        <v>2B</v>
      </c>
      <c r="AD251" s="46"/>
      <c r="AE251" s="46"/>
      <c r="AP251" t="s">
        <v>137</v>
      </c>
      <c r="AS251" t="s">
        <v>396</v>
      </c>
      <c r="JZ251" s="27" t="str">
        <f t="shared" si="238"/>
        <v>XT83</v>
      </c>
      <c r="KC251" t="str">
        <f t="shared" si="239"/>
        <v>F0-AI35-1B</v>
      </c>
      <c r="KD251" t="str">
        <f t="shared" si="240"/>
        <v>F0-AI35-2B</v>
      </c>
      <c r="KI251">
        <f t="array" ref="KI251">IF(COUNTIFS($U$2:$U251,$U251)=1,1,INDEX(KI:KI,_xlfn.XMATCH(U251,U$1:U250,0,-1))+COUNT(KI250:KM250))</f>
        <v>1</v>
      </c>
      <c r="KJ251">
        <f t="shared" si="242"/>
        <v>2</v>
      </c>
      <c r="KK251">
        <f t="shared" si="243"/>
        <v>3</v>
      </c>
      <c r="KN251">
        <v>1</v>
      </c>
      <c r="KO251" s="16">
        <v>2</v>
      </c>
      <c r="KS251" s="16"/>
    </row>
    <row r="252" spans="1:305" x14ac:dyDescent="0.25">
      <c r="A252" t="s">
        <v>2459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2128</v>
      </c>
      <c r="X252" t="str">
        <f>IF(COUNTIF(X$1:X251,X251)&gt;7,REPLACE(X251,LEN(X251),1,VALUE(RIGHT(X251,1))+1),X251)</f>
        <v>А3.35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SUM(IF(ISNUMBER(FIND("TmAi",$BE$1:$AAQ$1)),IF(IFERROR(ISODD(SUBSTITUTE($BE252:$AAQ252,"A","")),FALSE),IF(ISODD(SUBSTITUTE($BE252:$AAQ252,"A","")),1,0),0)))</f>
        <v>0</v>
      </c>
      <c r="AA252" t="str">
        <f t="shared" si="236"/>
        <v>3B</v>
      </c>
      <c r="AB252" t="str">
        <f t="shared" si="237"/>
        <v>4B</v>
      </c>
      <c r="AD252" s="46"/>
      <c r="AE252" s="46"/>
      <c r="AP252" t="s">
        <v>137</v>
      </c>
      <c r="AS252" t="s">
        <v>396</v>
      </c>
      <c r="JZ252" s="27" t="str">
        <f t="shared" si="238"/>
        <v>XT83</v>
      </c>
      <c r="KC252" t="str">
        <f t="shared" si="239"/>
        <v>F0-AI35-3B</v>
      </c>
      <c r="KD252" t="str">
        <f t="shared" si="240"/>
        <v>F0-AI35-4B</v>
      </c>
      <c r="KI252">
        <f t="array" ref="KI252">IF(COUNTIFS($U$2:$U252,$U252)=1,1,INDEX(KI:KI,_xlfn.XMATCH(U252,U$1:U251,0,-1))+COUNT(KI251:KM251))</f>
        <v>4</v>
      </c>
      <c r="KJ252">
        <f t="shared" si="242"/>
        <v>5</v>
      </c>
      <c r="KK252">
        <f t="shared" si="243"/>
        <v>6</v>
      </c>
      <c r="KN252">
        <v>1</v>
      </c>
      <c r="KO252" s="16">
        <v>2</v>
      </c>
      <c r="KS252" s="16"/>
    </row>
    <row r="253" spans="1:305" x14ac:dyDescent="0.25">
      <c r="A253" t="s">
        <v>2460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2129</v>
      </c>
      <c r="X253" t="str">
        <f>IF(COUNTIF(X$1:X252,X252)&gt;7,REPLACE(X252,LEN(X252),1,VALUE(RIGHT(X252,1))+1),X252)</f>
        <v>А3.35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SUM(IF(ISNUMBER(FIND("TmAi",$BE$1:$AAQ$1)),IF(IFERROR(ISODD(SUBSTITUTE($BE253:$AAQ253,"A","")),FALSE),IF(ISODD(SUBSTITUTE($BE253:$AAQ253,"A","")),1,0),0)))</f>
        <v>0</v>
      </c>
      <c r="AA253" t="str">
        <f t="shared" si="236"/>
        <v>5B</v>
      </c>
      <c r="AB253" t="str">
        <f t="shared" si="237"/>
        <v>6B</v>
      </c>
      <c r="AD253" s="46"/>
      <c r="AE253" s="46"/>
      <c r="AP253" t="s">
        <v>137</v>
      </c>
      <c r="AS253" t="s">
        <v>396</v>
      </c>
      <c r="JZ253" s="27" t="str">
        <f t="shared" si="238"/>
        <v>XT83</v>
      </c>
      <c r="KC253" t="str">
        <f t="shared" si="239"/>
        <v>F0-AI35-5B</v>
      </c>
      <c r="KD253" t="str">
        <f t="shared" si="240"/>
        <v>F0-AI35-6B</v>
      </c>
      <c r="KI253">
        <f t="array" ref="KI253">IF(COUNTIFS($U$2:$U253,$U253)=1,1,INDEX(KI:KI,_xlfn.XMATCH(U253,U$1:U252,0,-1))+COUNT(KI252:KM252))</f>
        <v>7</v>
      </c>
      <c r="KJ253">
        <f t="shared" si="242"/>
        <v>8</v>
      </c>
      <c r="KK253">
        <f t="shared" si="243"/>
        <v>9</v>
      </c>
      <c r="KN253">
        <v>1</v>
      </c>
      <c r="KO253" s="16">
        <v>2</v>
      </c>
      <c r="KS253" s="16"/>
    </row>
    <row r="254" spans="1:305" x14ac:dyDescent="0.25">
      <c r="A254" t="s">
        <v>2461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2130</v>
      </c>
      <c r="X254" t="str">
        <f>IF(COUNTIF(X$1:X253,X253)&gt;7,REPLACE(X253,LEN(X253),1,VALUE(RIGHT(X253,1))+1),X253)</f>
        <v>А3.35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SUM(IF(ISNUMBER(FIND("TmAi",$BE$1:$AAQ$1)),IF(IFERROR(ISODD(SUBSTITUTE($BE254:$AAQ254,"A","")),FALSE),IF(ISODD(SUBSTITUTE($BE254:$AAQ254,"A","")),1,0),0)))</f>
        <v>0</v>
      </c>
      <c r="AA254" t="str">
        <f t="shared" si="236"/>
        <v>7B</v>
      </c>
      <c r="AB254" t="str">
        <f t="shared" si="237"/>
        <v>8B</v>
      </c>
      <c r="AD254" s="46"/>
      <c r="AE254" s="46"/>
      <c r="AP254" t="s">
        <v>137</v>
      </c>
      <c r="AS254" t="s">
        <v>396</v>
      </c>
      <c r="JZ254" s="27" t="str">
        <f t="shared" si="238"/>
        <v>XT83</v>
      </c>
      <c r="KC254" t="str">
        <f t="shared" si="239"/>
        <v>F0-AI35-7B</v>
      </c>
      <c r="KD254" t="str">
        <f t="shared" si="240"/>
        <v>F0-AI35-8B</v>
      </c>
      <c r="KI254">
        <f t="array" ref="KI254">IF(COUNTIFS($U$2:$U254,$U254)=1,1,INDEX(KI:KI,_xlfn.XMATCH(U254,U$1:U253,0,-1))+COUNT(KI253:KM253))</f>
        <v>10</v>
      </c>
      <c r="KJ254">
        <f t="shared" si="242"/>
        <v>11</v>
      </c>
      <c r="KK254">
        <f t="shared" si="243"/>
        <v>12</v>
      </c>
      <c r="KN254">
        <v>1</v>
      </c>
      <c r="KO254" s="16">
        <v>2</v>
      </c>
      <c r="KS254" s="16"/>
    </row>
    <row r="255" spans="1:305" x14ac:dyDescent="0.25">
      <c r="A255" t="s">
        <v>2462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2131</v>
      </c>
      <c r="X255" t="str">
        <f>IF(COUNTIF(X$1:X254,X254)&gt;7,REPLACE(X254,LEN(X254),1,VALUE(RIGHT(X254,1))+1),X254)</f>
        <v>А3.35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SUM(IF(ISNUMBER(FIND("TmAi",$BE$1:$AAQ$1)),IF(IFERROR(ISODD(SUBSTITUTE($BE255:$AAQ255,"A","")),FALSE),IF(ISODD(SUBSTITUTE($BE255:$AAQ255,"A","")),1,0),0)))</f>
        <v>0</v>
      </c>
      <c r="AA255" t="str">
        <f t="shared" si="236"/>
        <v>9B</v>
      </c>
      <c r="AB255" t="str">
        <f t="shared" si="237"/>
        <v>10B</v>
      </c>
      <c r="AD255" s="46"/>
      <c r="AE255" s="46"/>
      <c r="AP255" t="s">
        <v>137</v>
      </c>
      <c r="AS255" t="s">
        <v>396</v>
      </c>
      <c r="JZ255" s="27" t="str">
        <f t="shared" si="238"/>
        <v>XT84</v>
      </c>
      <c r="KC255" t="str">
        <f t="shared" si="239"/>
        <v>F0-AI35-9B</v>
      </c>
      <c r="KD255" t="str">
        <f t="shared" si="240"/>
        <v>F0-AI35-10B</v>
      </c>
      <c r="KI255">
        <f t="array" ref="KI255">IF(COUNTIFS($U$2:$U255,$U255)=1,1,INDEX(KI:KI,_xlfn.XMATCH(U255,U$1:U254,0,-1))+COUNT(KI254:KM254))</f>
        <v>1</v>
      </c>
      <c r="KJ255">
        <f t="shared" si="242"/>
        <v>2</v>
      </c>
      <c r="KK255">
        <f t="shared" si="243"/>
        <v>3</v>
      </c>
      <c r="KN255">
        <v>1</v>
      </c>
      <c r="KO255" s="16">
        <v>2</v>
      </c>
      <c r="KS255" s="16"/>
    </row>
    <row r="256" spans="1:305" x14ac:dyDescent="0.25">
      <c r="A256" t="s">
        <v>2463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2132</v>
      </c>
      <c r="X256" t="str">
        <f>IF(COUNTIF(X$1:X255,X255)&gt;7,REPLACE(X255,LEN(X255),1,VALUE(RIGHT(X255,1))+1),X255)</f>
        <v>А3.35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SUM(IF(ISNUMBER(FIND("TmAi",$BE$1:$AAQ$1)),IF(IFERROR(ISODD(SUBSTITUTE($BE256:$AAQ256,"A","")),FALSE),IF(ISODD(SUBSTITUTE($BE256:$AAQ256,"A","")),1,0),0)))</f>
        <v>0</v>
      </c>
      <c r="AA256" t="str">
        <f t="shared" si="236"/>
        <v>11B</v>
      </c>
      <c r="AB256" t="str">
        <f t="shared" si="237"/>
        <v>12B</v>
      </c>
      <c r="AD256" s="46"/>
      <c r="AE256" s="46"/>
      <c r="AP256" t="s">
        <v>137</v>
      </c>
      <c r="AS256" t="s">
        <v>396</v>
      </c>
      <c r="JZ256" s="27" t="str">
        <f t="shared" si="238"/>
        <v>XT84</v>
      </c>
      <c r="KC256" t="str">
        <f t="shared" si="239"/>
        <v>F0-AI35-11B</v>
      </c>
      <c r="KD256" t="str">
        <f t="shared" si="240"/>
        <v>F0-AI35-12B</v>
      </c>
      <c r="KI256">
        <f t="array" ref="KI256">IF(COUNTIFS($U$2:$U256,$U256)=1,1,INDEX(KI:KI,_xlfn.XMATCH(U256,U$1:U255,0,-1))+COUNT(KI255:KM255))</f>
        <v>4</v>
      </c>
      <c r="KJ256">
        <f t="shared" si="242"/>
        <v>5</v>
      </c>
      <c r="KK256">
        <f t="shared" si="243"/>
        <v>6</v>
      </c>
      <c r="KN256">
        <v>1</v>
      </c>
      <c r="KO256" s="16">
        <v>2</v>
      </c>
      <c r="KS256" s="16"/>
    </row>
    <row r="257" spans="1:305" x14ac:dyDescent="0.25">
      <c r="A257" t="s">
        <v>2464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2133</v>
      </c>
      <c r="X257" t="str">
        <f>IF(COUNTIF(X$1:X256,X256)&gt;7,REPLACE(X256,LEN(X256),1,VALUE(RIGHT(X256,1))+1),X256)</f>
        <v>А3.35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SUM(IF(ISNUMBER(FIND("TmAi",$BE$1:$AAQ$1)),IF(IFERROR(ISODD(SUBSTITUTE($BE257:$AAQ257,"A","")),FALSE),IF(ISODD(SUBSTITUTE($BE257:$AAQ257,"A","")),1,0),0)))</f>
        <v>0</v>
      </c>
      <c r="AA257" t="str">
        <f t="shared" si="236"/>
        <v>13B</v>
      </c>
      <c r="AB257" t="str">
        <f t="shared" si="237"/>
        <v>14B</v>
      </c>
      <c r="AD257" s="46"/>
      <c r="AE257" s="46"/>
      <c r="AP257" t="s">
        <v>137</v>
      </c>
      <c r="AS257" t="s">
        <v>396</v>
      </c>
      <c r="JZ257" s="27" t="str">
        <f t="shared" si="238"/>
        <v>XT84</v>
      </c>
      <c r="KC257" t="str">
        <f t="shared" si="239"/>
        <v>F0-AI35-13B</v>
      </c>
      <c r="KD257" t="str">
        <f t="shared" si="240"/>
        <v>F0-AI35-14B</v>
      </c>
      <c r="KI257">
        <f t="array" ref="KI257">IF(COUNTIFS($U$2:$U257,$U257)=1,1,INDEX(KI:KI,_xlfn.XMATCH(U257,U$1:U256,0,-1))+COUNT(KI256:KM256))</f>
        <v>7</v>
      </c>
      <c r="KJ257">
        <f t="shared" si="242"/>
        <v>8</v>
      </c>
      <c r="KK257">
        <f t="shared" si="243"/>
        <v>9</v>
      </c>
      <c r="KN257">
        <v>1</v>
      </c>
      <c r="KO257" s="16">
        <v>2</v>
      </c>
      <c r="KS257" s="16"/>
    </row>
    <row r="258" spans="1:305" x14ac:dyDescent="0.25">
      <c r="A258" t="s">
        <v>2465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2134</v>
      </c>
      <c r="X258" t="str">
        <f>IF(COUNTIF(X$1:X257,X257)&gt;7,REPLACE(X257,LEN(X257),1,VALUE(RIGHT(X257,1))+1),X257)</f>
        <v>А3.35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SUM(IF(ISNUMBER(FIND("TmAi",$BE$1:$AAQ$1)),IF(IFERROR(ISODD(SUBSTITUTE($BE258:$AAQ258,"A","")),FALSE),IF(ISODD(SUBSTITUTE($BE258:$AAQ258,"A","")),1,0),0)))</f>
        <v>0</v>
      </c>
      <c r="AA258" t="str">
        <f t="shared" si="236"/>
        <v>15B</v>
      </c>
      <c r="AB258" t="str">
        <f t="shared" si="237"/>
        <v>16B</v>
      </c>
      <c r="AD258" s="46"/>
      <c r="AE258" s="46"/>
      <c r="AP258" t="s">
        <v>137</v>
      </c>
      <c r="AS258" t="s">
        <v>396</v>
      </c>
      <c r="JZ258" s="27" t="str">
        <f t="shared" si="238"/>
        <v>XT84</v>
      </c>
      <c r="KC258" t="str">
        <f t="shared" si="239"/>
        <v>F0-AI35-15B</v>
      </c>
      <c r="KD258" t="str">
        <f t="shared" si="240"/>
        <v>F0-AI35-16B</v>
      </c>
      <c r="KI258">
        <f t="array" ref="KI258">IF(COUNTIFS($U$2:$U258,$U258)=1,1,INDEX(KI:KI,_xlfn.XMATCH(U258,U$1:U257,0,-1))+COUNT(KI257:KM257))</f>
        <v>10</v>
      </c>
      <c r="KJ258">
        <f t="shared" si="242"/>
        <v>11</v>
      </c>
      <c r="KK258">
        <f t="shared" si="243"/>
        <v>12</v>
      </c>
      <c r="KN258">
        <v>1</v>
      </c>
      <c r="KO258" s="16">
        <v>2</v>
      </c>
      <c r="KS258" s="16"/>
    </row>
    <row r="259" spans="1:305" x14ac:dyDescent="0.25">
      <c r="A259" t="s">
        <v>2466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2135</v>
      </c>
      <c r="X259" t="str">
        <f>IF(COUNTIF(X$1:X258,X258)&gt;7,REPLACE(X258,LEN(X258),1,VALUE(RIGHT(X258,1))+1),X258)</f>
        <v>А3.36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SUM(IF(ISNUMBER(FIND("TmAi",$BE$1:$AAQ$1)),IF(IFERROR(ISODD(SUBSTITUTE($BE259:$AAQ259,"A","")),FALSE),IF(ISODD(SUBSTITUTE($BE259:$AAQ259,"A","")),1,0),0)))</f>
        <v>0</v>
      </c>
      <c r="AA259" t="str">
        <f t="shared" si="236"/>
        <v>1B</v>
      </c>
      <c r="AB259" t="str">
        <f t="shared" si="237"/>
        <v>2B</v>
      </c>
      <c r="AD259" s="46"/>
      <c r="AE259" s="46"/>
      <c r="AP259" t="s">
        <v>137</v>
      </c>
      <c r="AS259" t="s">
        <v>396</v>
      </c>
      <c r="JZ259" s="27" t="str">
        <f t="shared" si="238"/>
        <v>XT85</v>
      </c>
      <c r="KC259" t="str">
        <f t="shared" si="239"/>
        <v>F0-AI36-1B</v>
      </c>
      <c r="KD259" t="str">
        <f t="shared" si="240"/>
        <v>F0-AI36-2B</v>
      </c>
      <c r="KI259">
        <f t="array" ref="KI259">IF(COUNTIFS($U$2:$U259,$U259)=1,1,INDEX(KI:KI,_xlfn.XMATCH(U259,U$1:U258,0,-1))+COUNT(KI258:KM258))</f>
        <v>1</v>
      </c>
      <c r="KJ259">
        <f t="shared" si="242"/>
        <v>2</v>
      </c>
      <c r="KK259">
        <f t="shared" si="243"/>
        <v>3</v>
      </c>
      <c r="KN259">
        <v>1</v>
      </c>
      <c r="KO259" s="16">
        <v>2</v>
      </c>
      <c r="KS259" s="16"/>
    </row>
    <row r="260" spans="1:305" x14ac:dyDescent="0.25">
      <c r="A260" t="s">
        <v>2467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2136</v>
      </c>
      <c r="X260" t="str">
        <f>IF(COUNTIF(X$1:X259,X259)&gt;7,REPLACE(X259,LEN(X259),1,VALUE(RIGHT(X259,1))+1),X259)</f>
        <v>А3.36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SUM(IF(ISNUMBER(FIND("TmAi",$BE$1:$AAQ$1)),IF(IFERROR(ISODD(SUBSTITUTE($BE260:$AAQ260,"A","")),FALSE),IF(ISODD(SUBSTITUTE($BE260:$AAQ260,"A","")),1,0),0)))</f>
        <v>0</v>
      </c>
      <c r="AA260" t="str">
        <f t="shared" si="236"/>
        <v>3B</v>
      </c>
      <c r="AB260" t="str">
        <f t="shared" si="237"/>
        <v>4B</v>
      </c>
      <c r="AD260" s="46"/>
      <c r="AE260" s="46"/>
      <c r="AP260" t="s">
        <v>137</v>
      </c>
      <c r="AS260" t="s">
        <v>396</v>
      </c>
      <c r="JZ260" s="27" t="str">
        <f t="shared" si="238"/>
        <v>XT85</v>
      </c>
      <c r="KC260" t="str">
        <f t="shared" si="239"/>
        <v>F0-AI36-3B</v>
      </c>
      <c r="KD260" t="str">
        <f t="shared" si="240"/>
        <v>F0-AI36-4B</v>
      </c>
      <c r="KI260">
        <f t="array" ref="KI260">IF(COUNTIFS($U$2:$U260,$U260)=1,1,INDEX(KI:KI,_xlfn.XMATCH(U260,U$1:U259,0,-1))+COUNT(KI259:KM259))</f>
        <v>4</v>
      </c>
      <c r="KJ260">
        <f t="shared" si="242"/>
        <v>5</v>
      </c>
      <c r="KK260">
        <f t="shared" si="243"/>
        <v>6</v>
      </c>
      <c r="KN260">
        <v>1</v>
      </c>
      <c r="KO260" s="16">
        <v>2</v>
      </c>
      <c r="KS260" s="16"/>
    </row>
    <row r="261" spans="1:305" x14ac:dyDescent="0.25">
      <c r="A261" t="s">
        <v>2468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2137</v>
      </c>
      <c r="X261" t="str">
        <f>IF(COUNTIF(X$1:X260,X260)&gt;7,REPLACE(X260,LEN(X260),1,VALUE(RIGHT(X260,1))+1),X260)</f>
        <v>А3.36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SUM(IF(ISNUMBER(FIND("TmAi",$BE$1:$AAQ$1)),IF(IFERROR(ISODD(SUBSTITUTE($BE261:$AAQ261,"A","")),FALSE),IF(ISODD(SUBSTITUTE($BE261:$AAQ261,"A","")),1,0),0)))</f>
        <v>0</v>
      </c>
      <c r="AA261" t="str">
        <f t="shared" si="236"/>
        <v>5B</v>
      </c>
      <c r="AB261" t="str">
        <f t="shared" si="237"/>
        <v>6B</v>
      </c>
      <c r="AD261" s="46"/>
      <c r="AE261" s="46"/>
      <c r="AP261" t="s">
        <v>137</v>
      </c>
      <c r="AS261" t="s">
        <v>396</v>
      </c>
      <c r="JZ261" s="27" t="str">
        <f t="shared" si="238"/>
        <v>XT85</v>
      </c>
      <c r="KC261" t="str">
        <f t="shared" si="239"/>
        <v>F0-AI36-5B</v>
      </c>
      <c r="KD261" t="str">
        <f t="shared" si="240"/>
        <v>F0-AI36-6B</v>
      </c>
      <c r="KI261">
        <f t="array" ref="KI261">IF(COUNTIFS($U$2:$U261,$U261)=1,1,INDEX(KI:KI,_xlfn.XMATCH(U261,U$1:U260,0,-1))+COUNT(KI260:KM260))</f>
        <v>7</v>
      </c>
      <c r="KJ261">
        <f t="shared" si="242"/>
        <v>8</v>
      </c>
      <c r="KK261">
        <f t="shared" si="243"/>
        <v>9</v>
      </c>
      <c r="KN261">
        <v>1</v>
      </c>
      <c r="KO261" s="16">
        <v>2</v>
      </c>
      <c r="KS261" s="16"/>
    </row>
    <row r="262" spans="1:305" x14ac:dyDescent="0.25">
      <c r="A262" t="s">
        <v>2469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2138</v>
      </c>
      <c r="X262" t="str">
        <f>IF(COUNTIF(X$1:X261,X261)&gt;7,REPLACE(X261,LEN(X261),1,VALUE(RIGHT(X261,1))+1),X261)</f>
        <v>А3.36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SUM(IF(ISNUMBER(FIND("TmAi",$BE$1:$AAQ$1)),IF(IFERROR(ISODD(SUBSTITUTE($BE262:$AAQ262,"A","")),FALSE),IF(ISODD(SUBSTITUTE($BE262:$AAQ262,"A","")),1,0),0)))</f>
        <v>0</v>
      </c>
      <c r="AA262" t="str">
        <f t="shared" si="236"/>
        <v>7B</v>
      </c>
      <c r="AB262" t="str">
        <f t="shared" si="237"/>
        <v>8B</v>
      </c>
      <c r="AD262" s="46"/>
      <c r="AE262" s="46"/>
      <c r="AP262" t="s">
        <v>137</v>
      </c>
      <c r="AS262" t="s">
        <v>396</v>
      </c>
      <c r="JZ262" s="27" t="str">
        <f t="shared" si="238"/>
        <v>XT85</v>
      </c>
      <c r="KC262" t="str">
        <f t="shared" si="239"/>
        <v>F0-AI36-7B</v>
      </c>
      <c r="KD262" t="str">
        <f t="shared" si="240"/>
        <v>F0-AI36-8B</v>
      </c>
      <c r="KI262">
        <f t="array" ref="KI262">IF(COUNTIFS($U$2:$U262,$U262)=1,1,INDEX(KI:KI,_xlfn.XMATCH(U262,U$1:U261,0,-1))+COUNT(KI261:KM261))</f>
        <v>10</v>
      </c>
      <c r="KJ262">
        <f t="shared" si="242"/>
        <v>11</v>
      </c>
      <c r="KK262">
        <f t="shared" si="243"/>
        <v>12</v>
      </c>
      <c r="KN262">
        <v>1</v>
      </c>
      <c r="KO262" s="16">
        <v>2</v>
      </c>
      <c r="KS262" s="16"/>
    </row>
    <row r="263" spans="1:305" x14ac:dyDescent="0.25">
      <c r="A263" t="s">
        <v>2470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2139</v>
      </c>
      <c r="X263" t="str">
        <f>IF(COUNTIF(X$1:X262,X262)&gt;7,REPLACE(X262,LEN(X262),1,VALUE(RIGHT(X262,1))+1),X262)</f>
        <v>А3.36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SUM(IF(ISNUMBER(FIND("TmAi",$BE$1:$AAQ$1)),IF(IFERROR(ISODD(SUBSTITUTE($BE263:$AAQ263,"A","")),FALSE),IF(ISODD(SUBSTITUTE($BE263:$AAQ263,"A","")),1,0),0)))</f>
        <v>0</v>
      </c>
      <c r="AA263" t="str">
        <f t="shared" si="236"/>
        <v>9B</v>
      </c>
      <c r="AB263" t="str">
        <f t="shared" si="237"/>
        <v>10B</v>
      </c>
      <c r="AD263" s="46"/>
      <c r="AE263" s="46"/>
      <c r="AP263" t="s">
        <v>137</v>
      </c>
      <c r="AS263" t="s">
        <v>396</v>
      </c>
      <c r="JZ263" s="27" t="str">
        <f t="shared" si="238"/>
        <v>XT86</v>
      </c>
      <c r="KC263" t="str">
        <f t="shared" si="239"/>
        <v>F0-AI36-9B</v>
      </c>
      <c r="KD263" t="str">
        <f t="shared" si="240"/>
        <v>F0-AI36-10B</v>
      </c>
      <c r="KI263">
        <f t="array" ref="KI263">IF(COUNTIFS($U$2:$U263,$U263)=1,1,INDEX(KI:KI,_xlfn.XMATCH(U263,U$1:U262,0,-1))+COUNT(KI262:KM262))</f>
        <v>1</v>
      </c>
      <c r="KJ263">
        <f t="shared" si="242"/>
        <v>2</v>
      </c>
      <c r="KK263">
        <f t="shared" si="243"/>
        <v>3</v>
      </c>
      <c r="KN263">
        <v>1</v>
      </c>
      <c r="KO263" s="16">
        <v>2</v>
      </c>
      <c r="KS263" s="16"/>
    </row>
    <row r="264" spans="1:305" x14ac:dyDescent="0.25">
      <c r="A264" t="s">
        <v>2471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2140</v>
      </c>
      <c r="X264" t="str">
        <f>IF(COUNTIF(X$1:X263,X263)&gt;7,REPLACE(X263,LEN(X263),1,VALUE(RIGHT(X263,1))+1),X263)</f>
        <v>А3.36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SUM(IF(ISNUMBER(FIND("TmAi",$BE$1:$AAQ$1)),IF(IFERROR(ISODD(SUBSTITUTE($BE264:$AAQ264,"A","")),FALSE),IF(ISODD(SUBSTITUTE($BE264:$AAQ264,"A","")),1,0),0)))</f>
        <v>0</v>
      </c>
      <c r="AA264" t="str">
        <f t="shared" si="236"/>
        <v>11B</v>
      </c>
      <c r="AB264" t="str">
        <f t="shared" si="237"/>
        <v>12B</v>
      </c>
      <c r="AD264" s="46"/>
      <c r="AE264" s="46"/>
      <c r="AP264" t="s">
        <v>137</v>
      </c>
      <c r="AS264" t="s">
        <v>396</v>
      </c>
      <c r="JZ264" s="27" t="str">
        <f t="shared" si="238"/>
        <v>XT86</v>
      </c>
      <c r="KC264" t="str">
        <f t="shared" si="239"/>
        <v>F0-AI36-11B</v>
      </c>
      <c r="KD264" t="str">
        <f t="shared" si="240"/>
        <v>F0-AI36-12B</v>
      </c>
      <c r="KI264">
        <f t="array" ref="KI264">IF(COUNTIFS($U$2:$U264,$U264)=1,1,INDEX(KI:KI,_xlfn.XMATCH(U264,U$1:U263,0,-1))+COUNT(KI263:KM263))</f>
        <v>4</v>
      </c>
      <c r="KJ264">
        <f t="shared" si="242"/>
        <v>5</v>
      </c>
      <c r="KK264">
        <f t="shared" si="243"/>
        <v>6</v>
      </c>
      <c r="KN264">
        <v>1</v>
      </c>
      <c r="KO264" s="16">
        <v>2</v>
      </c>
      <c r="KS264" s="16"/>
    </row>
    <row r="265" spans="1:305" x14ac:dyDescent="0.25">
      <c r="A265" t="s">
        <v>2472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2141</v>
      </c>
      <c r="X265" t="str">
        <f>IF(COUNTIF(X$1:X264,X264)&gt;7,REPLACE(X264,LEN(X264),1,VALUE(RIGHT(X264,1))+1),X264)</f>
        <v>А3.36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SUM(IF(ISNUMBER(FIND("TmAi",$BE$1:$AAQ$1)),IF(IFERROR(ISODD(SUBSTITUTE($BE265:$AAQ265,"A","")),FALSE),IF(ISODD(SUBSTITUTE($BE265:$AAQ265,"A","")),1,0),0)))</f>
        <v>0</v>
      </c>
      <c r="AA265" t="str">
        <f t="shared" si="236"/>
        <v>13B</v>
      </c>
      <c r="AB265" t="str">
        <f t="shared" si="237"/>
        <v>14B</v>
      </c>
      <c r="AD265" s="46"/>
      <c r="AE265" s="46"/>
      <c r="AP265" t="s">
        <v>137</v>
      </c>
      <c r="AS265" t="s">
        <v>396</v>
      </c>
      <c r="JZ265" s="27" t="str">
        <f t="shared" si="238"/>
        <v>XT86</v>
      </c>
      <c r="KC265" t="str">
        <f t="shared" si="239"/>
        <v>F0-AI36-13B</v>
      </c>
      <c r="KD265" t="str">
        <f t="shared" si="240"/>
        <v>F0-AI36-14B</v>
      </c>
      <c r="KI265">
        <f t="array" ref="KI265">IF(COUNTIFS($U$2:$U265,$U265)=1,1,INDEX(KI:KI,_xlfn.XMATCH(U265,U$1:U264,0,-1))+COUNT(KI264:KM264))</f>
        <v>7</v>
      </c>
      <c r="KJ265">
        <f t="shared" si="242"/>
        <v>8</v>
      </c>
      <c r="KK265">
        <f t="shared" si="243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2473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2142</v>
      </c>
      <c r="X266" t="str">
        <f>IF(COUNTIF(X$1:X265,X265)&gt;7,REPLACE(X265,LEN(X265),1,VALUE(RIGHT(X265,1))+1),X265)</f>
        <v>А3.36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SUM(IF(ISNUMBER(FIND("TmAi",$BE$1:$AAQ$1)),IF(IFERROR(ISODD(SUBSTITUTE($BE266:$AAQ266,"A","")),FALSE),IF(ISODD(SUBSTITUTE($BE266:$AAQ266,"A","")),1,0),0)))</f>
        <v>0</v>
      </c>
      <c r="AA266" t="str">
        <f t="shared" si="236"/>
        <v>15B</v>
      </c>
      <c r="AB266" t="str">
        <f t="shared" si="237"/>
        <v>16B</v>
      </c>
      <c r="AD266" s="46"/>
      <c r="AE266" s="46"/>
      <c r="AP266" t="s">
        <v>137</v>
      </c>
      <c r="AS266" t="s">
        <v>396</v>
      </c>
      <c r="JZ266" s="27" t="str">
        <f t="shared" si="238"/>
        <v>XT86</v>
      </c>
      <c r="KC266" t="str">
        <f t="shared" si="239"/>
        <v>F0-AI36-15B</v>
      </c>
      <c r="KD266" t="str">
        <f t="shared" si="240"/>
        <v>F0-AI36-16B</v>
      </c>
      <c r="KI266">
        <f t="array" ref="KI266">IF(COUNTIFS($U$2:$U266,$U266)=1,1,INDEX(KI:KI,_xlfn.XMATCH(U266,U$1:U265,0,-1))+COUNT(KI265:KM265))</f>
        <v>10</v>
      </c>
      <c r="KJ266">
        <f t="shared" si="242"/>
        <v>11</v>
      </c>
      <c r="KK266">
        <f t="shared" si="243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2474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2143</v>
      </c>
      <c r="W267" s="11" t="s">
        <v>2144</v>
      </c>
      <c r="X267" t="str">
        <f>IF(COUNTIF(X$1:X266,X266)&gt;7,REPLACE(X266,LEN(X266),1,VALUE(RIGHT(X266,1))+1),X266)</f>
        <v>А3.37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SUM(IF(ISNUMBER(FIND("TmAi",$BE$1:$AAQ$1)),IF(IFERROR(ISODD(SUBSTITUTE($BE267:$AAQ267,"A","")),FALSE),IF(ISODD(SUBSTITUTE($BE267:$AAQ267,"A","")),1,0),0)))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SUM(IF(ISNUMBER(FIND("TmDi",$BE$1:$AAQ$1)),IF(IFERROR(ISNUMBER(VALUE(SUBSTITUTE($BE267:$AAQ267,"B",""))),FALSE),IF(ISNUMBER(VALUE(SUBSTITUTE($BE267:$AAQ267,"B",""))),1,0),0)))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57" t="str">
        <f t="array" ref="AI267">IF(COUNTIFS(AH$2:AH267,AH267)=1,"1",VALUE(SUBSTITUTE(INDEX(AI:AI,_xlfn.XMATCH(AH267,AH$1:AH266,0,-1)),"A",""))+INDEX(AJ:AJ,_xlfn.XMATCH(AH267,AH$1:AH266,0,-1))+1)</f>
        <v>1</v>
      </c>
      <c r="AJ267" s="57">
        <f t="array" ref="AJ267">SUM(IF(ISNUMBER(FIND("TmDo",$BE$1:$AAQ$1)),IF(IFERROR(ISNUMBER(VALUE(SUBSTITUTE($BE267:$AAQ267,"B",""))),FALSE),IF(ISNUMBER(VALUE(SUBSTITUTE($BE267:$AAQ267,"B",""))),1,0),0)))</f>
        <v>1</v>
      </c>
      <c r="AK267" s="11" t="str">
        <f t="shared" ref="AK267:AK282" si="244">CONCATENATE($AI267,"A")</f>
        <v>1A</v>
      </c>
      <c r="AL267" s="11" t="str">
        <f t="shared" ref="AL267:AL282" si="245">CONCATENATE($AI267,"B")</f>
        <v>1B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CONCATENATE(REPLACE(AK267,LEN(AK267),1,"")+1,"A")</f>
        <v>2A</v>
      </c>
      <c r="HF267" s="12" t="str">
        <f>CONCATENATE(REPLACE(AL267,LEN(AL267),1,"")+1,"B")</f>
        <v>2B</v>
      </c>
      <c r="HG267" s="12" t="str">
        <f>CONCATENATE("AI",REPLACE($X267,1,3,""),"-",AA267)</f>
        <v>AI37-1A</v>
      </c>
      <c r="HH267" s="12" t="str">
        <f>CONCATENATE("AI",REPLACE($X267,1,3,""),"-",AB267)</f>
        <v>AI37-1B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246">CONCATENATE("DI",REPLACE($AC267,1,3,""),"-",GU267)</f>
        <v>DI14-C2</v>
      </c>
      <c r="HL267" s="12" t="str">
        <f t="shared" si="246"/>
        <v>DI14-B2</v>
      </c>
      <c r="HM267" s="12" t="str">
        <f t="shared" si="246"/>
        <v>DI14-C3</v>
      </c>
      <c r="HN267" s="12" t="str">
        <f t="shared" si="246"/>
        <v>DI14-B3</v>
      </c>
      <c r="HO267" s="12" t="str">
        <f t="shared" si="246"/>
        <v>DI14-C4</v>
      </c>
      <c r="HP267" s="12" t="str">
        <f t="shared" si="246"/>
        <v>DI14-B4</v>
      </c>
      <c r="HQ267" s="12" t="str">
        <f t="shared" si="246"/>
        <v>DI14-C5</v>
      </c>
      <c r="HR267" s="12" t="str">
        <f t="shared" si="246"/>
        <v>DI14-B5</v>
      </c>
      <c r="HS267" s="12" t="str">
        <f t="shared" si="246"/>
        <v>DI14-</v>
      </c>
      <c r="HT267" s="12" t="str">
        <f t="shared" si="246"/>
        <v>DI14-</v>
      </c>
      <c r="HU267" s="12" t="str">
        <f>CONCATENATE("DO",REPLACE($AH267,1,3,""),"-",AK267)</f>
        <v>DO8-1A</v>
      </c>
      <c r="HV267" s="12" t="str">
        <f>CONCATENATE("DO",REPLACE($AH267,1,3,""),"-",AL267)</f>
        <v>DO8-1B</v>
      </c>
      <c r="HW267" s="12" t="str">
        <f>CONCATENATE("DO",REPLACE($AH267,1,3,""),"-",HE267)</f>
        <v>DO8-2A</v>
      </c>
      <c r="HX267" s="12" t="str">
        <f>CONCATENATE("DO",REPLACE($AH267,1,3,""),"-",HF267)</f>
        <v>DO8-2B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2475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2145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SUM(IF(ISNUMBER(FIND("TmDi",$BE$1:$AAQ$1)),IF(IFERROR(ISNUMBER(VALUE(SUBSTITUTE($BE268:$AAQ268,"B",""))),FALSE),IF(ISNUMBER(VALUE(SUBSTITUTE($BE268:$AAQ268,"B",""))),1,0),0)))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57">
        <f t="array" ref="AI268">IF(COUNTIFS(AH$2:AH268,AH268)=1,"1",VALUE(SUBSTITUTE(INDEX(AI:AI,_xlfn.XMATCH(AH268,AH$1:AH267,0,-1)),"A",""))+INDEX(AJ:AJ,_xlfn.XMATCH(AH268,AH$1:AH267,0,-1))+1)</f>
        <v>3</v>
      </c>
      <c r="AJ268" s="57">
        <f t="array" ref="AJ268">SUM(IF(ISNUMBER(FIND("TmDo",$BE$1:$AAQ$1)),IF(IFERROR(ISNUMBER(VALUE(SUBSTITUTE($BE268:$AAQ268,"B",""))),FALSE),IF(ISNUMBER(VALUE(SUBSTITUTE($BE268:$AAQ268,"B",""))),1,0),0)))</f>
        <v>2</v>
      </c>
      <c r="AK268" s="11" t="str">
        <f t="shared" si="244"/>
        <v>3A</v>
      </c>
      <c r="AL268" s="11" t="str">
        <f t="shared" si="245"/>
        <v>3B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CONCATENATE(REPLACE(AK268,LEN(AK268),1,"")+1,"A")</f>
        <v>4A</v>
      </c>
      <c r="BQ268" s="23" t="str">
        <f>CONCATENATE(REPLACE(AL268,LEN(AL268),1,"")+1,"B")</f>
        <v>4B</v>
      </c>
      <c r="BR268" s="23" t="str">
        <f>CONCATENATE(REPLACE(BP268,LEN(BP268),1,"")+1,"A")</f>
        <v>5A</v>
      </c>
      <c r="BS268" s="23" t="str">
        <f>CONCATENATE(REPLACE(BQ268,LEN(BQ268),1,"")+1,"B")</f>
        <v>5B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247">CONCATENATE("DI",REPLACE($AC268,1,3,""),"-",BF268)</f>
        <v>DI14-C7</v>
      </c>
      <c r="BW268" s="23" t="str">
        <f t="shared" si="247"/>
        <v>DI14-B7</v>
      </c>
      <c r="BX268" s="23" t="str">
        <f t="shared" si="247"/>
        <v>DI14-C8</v>
      </c>
      <c r="BY268" s="23" t="str">
        <f t="shared" si="247"/>
        <v>DI14-B8</v>
      </c>
      <c r="BZ268" s="23" t="str">
        <f t="shared" si="247"/>
        <v>DI14-C9</v>
      </c>
      <c r="CA268" s="23" t="str">
        <f t="shared" si="247"/>
        <v>DI14-B9</v>
      </c>
      <c r="CB268" s="23" t="str">
        <f t="shared" si="247"/>
        <v>DI14-C10</v>
      </c>
      <c r="CC268" s="23" t="str">
        <f t="shared" si="247"/>
        <v>DI14-B10</v>
      </c>
      <c r="CD268" s="23" t="str">
        <f t="shared" si="247"/>
        <v>DI14-</v>
      </c>
      <c r="CE268" s="23" t="str">
        <f t="shared" si="247"/>
        <v>DI14-</v>
      </c>
      <c r="CF268" s="23" t="str">
        <f>CONCATENATE("DO",REPLACE($AH268,1,3,""),"-",AK268)</f>
        <v>DO8-3A</v>
      </c>
      <c r="CG268" s="23" t="str">
        <f>CONCATENATE("DO",REPLACE($AH268,1,3,""),"-",AL268)</f>
        <v>DO8-3B</v>
      </c>
      <c r="CH268" s="23" t="str">
        <f>CONCATENATE("DO",REPLACE($AH268,1,3,""),"-",BP268)</f>
        <v>DO8-4A</v>
      </c>
      <c r="CI268" s="23" t="str">
        <f>CONCATENATE("DO",REPLACE($AH268,1,3,""),"-",BQ268)</f>
        <v>DO8-4B</v>
      </c>
      <c r="CJ268" s="23" t="str">
        <f>CONCATENATE("DO",REPLACE($AH268,1,3,""),"-",BR268)</f>
        <v>DO8-5A</v>
      </c>
      <c r="CK268" s="23" t="str">
        <f>CONCATENATE("DO",REPLACE($AH268,1,3,""),"-",BS268)</f>
        <v>DO8-5B</v>
      </c>
      <c r="CL268" s="23" t="str">
        <f t="shared" ref="CL268:CL285" si="248">CONCATENATE("K",$U268,"-10")</f>
        <v>K88-10</v>
      </c>
      <c r="CM268" s="23" t="str">
        <f t="shared" ref="CM268:CM285" si="249">CONCATENATE("K",$U268,"-03")</f>
        <v>K88-03</v>
      </c>
      <c r="CN268" s="23" t="str">
        <f t="shared" ref="CN268:CN285" si="250">CONCATENATE("K",$U268,"-04")</f>
        <v>K88-04</v>
      </c>
      <c r="CO268" s="23" t="str">
        <f t="shared" ref="CO268:CO285" si="251">CONCATENATE("K",$U268,"-01")</f>
        <v>K88-01</v>
      </c>
      <c r="CP268" s="23" t="str">
        <f t="shared" ref="CP268:CP285" si="252">CONCATENATE("K",$U268,"-08")</f>
        <v>K88-08</v>
      </c>
      <c r="CQ268" s="23" t="str">
        <f t="shared" ref="CQ268:CQ285" si="253">CONCATENATE("K",$U268,"-02")</f>
        <v>K88-02</v>
      </c>
      <c r="CR268" s="23" t="str">
        <f t="shared" ref="CR268:CR285" si="254">CONCATENATE("K",$U268,"-09")</f>
        <v>K88-09</v>
      </c>
      <c r="CS268" s="23" t="str">
        <f t="shared" ref="CS268:CS285" si="255">CONCATENATE("K",$U268,"-05")</f>
        <v>K88-05</v>
      </c>
      <c r="CT268" s="23" t="str">
        <f t="shared" ref="CT268:CT285" si="256">CONCATENATE("K",$U268,"-11")</f>
        <v>K88-11</v>
      </c>
      <c r="CU268" s="23" t="str">
        <f t="shared" ref="CU268:CU285" si="257">CONCATENATE($T268,"-M",$U268,"-A9")</f>
        <v>F0-M88-A9</v>
      </c>
      <c r="CV268" s="23" t="str">
        <f t="shared" ref="CV268:CV285" si="258">CONCATENATE($T268,"-M",$U268,"-A7")</f>
        <v>F0-M88-A7</v>
      </c>
      <c r="CW268" s="23" t="str">
        <f t="shared" ref="CW268:CW285" si="259">CONCATENATE($T268,"-M",$U268,"-A8")</f>
        <v>F0-M88-A8</v>
      </c>
      <c r="CX268" s="23" t="str">
        <f t="shared" ref="CX268:CX285" si="260">CONCATENATE($T268,"-M",$U268,"-A6")</f>
        <v>F0-M88-A6</v>
      </c>
      <c r="CY268" s="23" t="str">
        <f t="shared" ref="CY268:CY285" si="261">CONCATENATE($T268,"-M",$U268,"-A30")</f>
        <v>F0-M88-A30</v>
      </c>
      <c r="CZ268" s="23" t="str">
        <f t="shared" ref="CZ268:CZ285" si="262">CONCATENATE($T268,"-M",$U268,"-N")</f>
        <v>F0-M88-N</v>
      </c>
      <c r="DA268" s="23" t="str">
        <f>CONCATENATE($T268,"-A220-M",U268)</f>
        <v>F0-A220-M88</v>
      </c>
      <c r="DB268" s="23" t="str">
        <f t="shared" ref="DB268:DB285" si="263">CONCATENATE($T268,"-M",$U268,"-XM01")</f>
        <v>F0-M88-XM01</v>
      </c>
      <c r="DC268" s="23" t="str">
        <f t="shared" ref="DC268:DC285" si="264">CONCATENATE($T268,"-M",$U268,"-A1")</f>
        <v>F0-M88-A1</v>
      </c>
      <c r="DD268" s="23" t="str">
        <f t="shared" ref="DD268:DD285" si="265">CONCATENATE($T268,"-M",$U268,"-A5")</f>
        <v>F0-M88-A5</v>
      </c>
      <c r="DE268" s="23" t="str">
        <f t="shared" ref="DE268:DE285" si="266">CONCATENATE($T268,"-M",$U268,"-A11")</f>
        <v>F0-M88-A11</v>
      </c>
      <c r="DF268" s="23" t="str">
        <f t="shared" ref="DF268:DF285" si="267">CONCATENATE($T268,"-M",$U268,"-A12")</f>
        <v>F0-M88-A12</v>
      </c>
      <c r="DG268" s="23" t="str">
        <f t="shared" ref="DG268:DG285" si="268">CONCATENATE($T268,"-M",$U268,"-A19")</f>
        <v>F0-M88-A19</v>
      </c>
      <c r="DH268" s="23" t="str">
        <f t="shared" ref="DH268:DH285" si="269"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2476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2146</v>
      </c>
      <c r="W269" s="11" t="s">
        <v>2147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А3.37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SUM(IF(ISNUMBER(FIND("TmAi",$BE$1:$AAQ$1)),IF(IFERROR(ISODD(SUBSTITUTE($BE269:$AAQ269,"A","")),FALSE),IF(ISODD(SUBSTITUTE($BE269:$AAQ269,"A","")),1,0),0)))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SUM(IF(ISNUMBER(FIND("TmDi",$BE$1:$AAQ$1)),IF(IFERROR(ISNUMBER(VALUE(SUBSTITUTE($BE269:$AAQ269,"B",""))),FALSE),IF(ISNUMBER(VALUE(SUBSTITUTE($BE269:$AAQ269,"B",""))),1,0),0)))</f>
        <v>4</v>
      </c>
      <c r="AF269" t="str">
        <f t="shared" ref="AF269:AF306" si="270">CONCATENATE("C",$AD269)</f>
        <v>C11</v>
      </c>
      <c r="AG269" t="str">
        <f t="shared" ref="AG269:AG306" si="271">CONCATENATE("B",$AD269)</f>
        <v>B11</v>
      </c>
      <c r="AH269" t="str">
        <f t="shared" ref="AH269:AH284" si="272">IF(AI268+AJ268&gt;31,REPLACE(AH268,LEN(AH268),1,VALUE(RIGHT(AH268,1))+1),AH268)</f>
        <v>A6.8</v>
      </c>
      <c r="AI269" s="57">
        <f t="array" ref="AI269">IF(COUNTIFS(AH$2:AH269,AH269)=1,"1",VALUE(SUBSTITUTE(INDEX(AI:AI,_xlfn.XMATCH(AH269,AH$1:AH268,0,-1)),"A",""))+INDEX(AJ:AJ,_xlfn.XMATCH(AH269,AH$1:AH268,0,-1))+1)</f>
        <v>6</v>
      </c>
      <c r="AJ269" s="57">
        <f t="array" ref="AJ269">SUM(IF(ISNUMBER(FIND("TmDo",$BE$1:$AAQ$1)),IF(IFERROR(ISNUMBER(VALUE(SUBSTITUTE($BE269:$AAQ269,"B",""))),FALSE),IF(ISNUMBER(VALUE(SUBSTITUTE($BE269:$AAQ269,"B",""))),1,0),0)))</f>
        <v>1</v>
      </c>
      <c r="AK269" s="11" t="str">
        <f t="shared" si="244"/>
        <v>6A</v>
      </c>
      <c r="AL269" s="11" t="str">
        <f t="shared" si="245"/>
        <v>6B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CONCATENATE(REPLACE(AK269,LEN(AK269),1,"")+1,"A")</f>
        <v>7A</v>
      </c>
      <c r="HF269" s="12" t="str">
        <f>CONCATENATE(REPLACE(AL269,LEN(AL269),1,"")+1,"B")</f>
        <v>7B</v>
      </c>
      <c r="HG269" s="12" t="str">
        <f>CONCATENATE("AI",REPLACE($X269,1,3,""),"-",AA269)</f>
        <v>AI37-3A</v>
      </c>
      <c r="HH269" s="12" t="str">
        <f>CONCATENATE("AI",REPLACE($X269,1,3,""),"-",AB269)</f>
        <v>AI37-3B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273">CONCATENATE("DI",REPLACE($AC269,1,3,""),"-",GU269)</f>
        <v>DI14-C12</v>
      </c>
      <c r="HL269" s="12" t="str">
        <f t="shared" si="273"/>
        <v>DI14-B12</v>
      </c>
      <c r="HM269" s="12" t="str">
        <f t="shared" si="273"/>
        <v>DI14-C13</v>
      </c>
      <c r="HN269" s="12" t="str">
        <f t="shared" si="273"/>
        <v>DI14-B13</v>
      </c>
      <c r="HO269" s="12" t="str">
        <f t="shared" si="273"/>
        <v>DI14-C14</v>
      </c>
      <c r="HP269" s="12" t="str">
        <f t="shared" si="273"/>
        <v>DI14-B14</v>
      </c>
      <c r="HQ269" s="12" t="str">
        <f t="shared" si="273"/>
        <v>DI14-C15</v>
      </c>
      <c r="HR269" s="12" t="str">
        <f t="shared" si="273"/>
        <v>DI14-B15</v>
      </c>
      <c r="HS269" s="12" t="str">
        <f t="shared" si="273"/>
        <v>DI14-</v>
      </c>
      <c r="HT269" s="12" t="str">
        <f t="shared" si="273"/>
        <v>DI14-</v>
      </c>
      <c r="HU269" s="12" t="str">
        <f>CONCATENATE("DO",REPLACE($AH269,1,3,""),"-",AK269)</f>
        <v>DO8-6A</v>
      </c>
      <c r="HV269" s="12" t="str">
        <f>CONCATENATE("DO",REPLACE($AH269,1,3,""),"-",AL269)</f>
        <v>DO8-6B</v>
      </c>
      <c r="HW269" s="12" t="str">
        <f>CONCATENATE("DO",REPLACE($AH269,1,3,""),"-",HE269)</f>
        <v>DO8-7A</v>
      </c>
      <c r="HX269" s="12" t="str">
        <f>CONCATENATE("DO",REPLACE($AH269,1,3,""),"-",HF269)</f>
        <v>DO8-7B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2477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2148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SUM(IF(ISNUMBER(FIND("TmDi",$BE$1:$AAQ$1)),IF(IFERROR(ISNUMBER(VALUE(SUBSTITUTE($BE270:$AAQ270,"B",""))),FALSE),IF(ISNUMBER(VALUE(SUBSTITUTE($BE270:$AAQ270,"B",""))),1,0),0)))</f>
        <v>4</v>
      </c>
      <c r="AF270" t="str">
        <f t="shared" si="270"/>
        <v>C16</v>
      </c>
      <c r="AG270" t="str">
        <f t="shared" si="271"/>
        <v>B16</v>
      </c>
      <c r="AH270" t="str">
        <f t="shared" si="272"/>
        <v>A6.8</v>
      </c>
      <c r="AI270" s="57">
        <f t="array" ref="AI270">IF(COUNTIFS(AH$2:AH270,AH270)=1,"1",VALUE(SUBSTITUTE(INDEX(AI:AI,_xlfn.XMATCH(AH270,AH$1:AH269,0,-1)),"A",""))+INDEX(AJ:AJ,_xlfn.XMATCH(AH270,AH$1:AH269,0,-1))+1)</f>
        <v>8</v>
      </c>
      <c r="AJ270" s="57">
        <f t="array" ref="AJ270">SUM(IF(ISNUMBER(FIND("TmDo",$BE$1:$AAQ$1)),IF(IFERROR(ISNUMBER(VALUE(SUBSTITUTE($BE270:$AAQ270,"B",""))),FALSE),IF(ISNUMBER(VALUE(SUBSTITUTE($BE270:$AAQ270,"B",""))),1,0),0)))</f>
        <v>2</v>
      </c>
      <c r="AK270" s="11" t="str">
        <f t="shared" si="244"/>
        <v>8A</v>
      </c>
      <c r="AL270" s="11" t="str">
        <f t="shared" si="245"/>
        <v>8B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CONCATENATE(REPLACE(AK270,LEN(AK270),1,"")+1,"A")</f>
        <v>9A</v>
      </c>
      <c r="BQ270" s="23" t="str">
        <f>CONCATENATE(REPLACE(AL270,LEN(AL270),1,"")+1,"B")</f>
        <v>9B</v>
      </c>
      <c r="BR270" s="23" t="str">
        <f>CONCATENATE(REPLACE(BP270,LEN(BP270),1,"")+1,"A")</f>
        <v>10A</v>
      </c>
      <c r="BS270" s="23" t="str">
        <f>CONCATENATE(REPLACE(BQ270,LEN(BQ270),1,"")+1,"B")</f>
        <v>10B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274">CONCATENATE("DI",REPLACE($AC270,1,3,""),"-",BF270)</f>
        <v>DI14-C17</v>
      </c>
      <c r="BW270" s="23" t="str">
        <f t="shared" si="274"/>
        <v>DI14-B17</v>
      </c>
      <c r="BX270" s="23" t="str">
        <f t="shared" si="274"/>
        <v>DI14-C18</v>
      </c>
      <c r="BY270" s="23" t="str">
        <f t="shared" si="274"/>
        <v>DI14-B18</v>
      </c>
      <c r="BZ270" s="23" t="str">
        <f t="shared" si="274"/>
        <v>DI14-C19</v>
      </c>
      <c r="CA270" s="23" t="str">
        <f t="shared" si="274"/>
        <v>DI14-B19</v>
      </c>
      <c r="CB270" s="23" t="str">
        <f t="shared" si="274"/>
        <v>DI14-C20</v>
      </c>
      <c r="CC270" s="23" t="str">
        <f t="shared" si="274"/>
        <v>DI14-B20</v>
      </c>
      <c r="CD270" s="23" t="str">
        <f t="shared" si="274"/>
        <v>DI14-</v>
      </c>
      <c r="CE270" s="23" t="str">
        <f t="shared" si="274"/>
        <v>DI14-</v>
      </c>
      <c r="CF270" s="23" t="str">
        <f>CONCATENATE("DO",REPLACE($AH270,1,3,""),"-",AK270)</f>
        <v>DO8-8A</v>
      </c>
      <c r="CG270" s="23" t="str">
        <f>CONCATENATE("DO",REPLACE($AH270,1,3,""),"-",AL270)</f>
        <v>DO8-8B</v>
      </c>
      <c r="CH270" s="23" t="str">
        <f>CONCATENATE("DO",REPLACE($AH270,1,3,""),"-",BP270)</f>
        <v>DO8-9A</v>
      </c>
      <c r="CI270" s="23" t="str">
        <f>CONCATENATE("DO",REPLACE($AH270,1,3,""),"-",BQ270)</f>
        <v>DO8-9B</v>
      </c>
      <c r="CJ270" s="23" t="str">
        <f>CONCATENATE("DO",REPLACE($AH270,1,3,""),"-",BR270)</f>
        <v>DO8-10A</v>
      </c>
      <c r="CK270" s="23" t="str">
        <f>CONCATENATE("DO",REPLACE($AH270,1,3,""),"-",BS270)</f>
        <v>DO8-10B</v>
      </c>
      <c r="CL270" s="23" t="str">
        <f t="shared" si="248"/>
        <v>K90-10</v>
      </c>
      <c r="CM270" s="23" t="str">
        <f t="shared" si="249"/>
        <v>K90-03</v>
      </c>
      <c r="CN270" s="23" t="str">
        <f t="shared" si="250"/>
        <v>K90-04</v>
      </c>
      <c r="CO270" s="23" t="str">
        <f t="shared" si="251"/>
        <v>K90-01</v>
      </c>
      <c r="CP270" s="23" t="str">
        <f t="shared" si="252"/>
        <v>K90-08</v>
      </c>
      <c r="CQ270" s="23" t="str">
        <f t="shared" si="253"/>
        <v>K90-02</v>
      </c>
      <c r="CR270" s="23" t="str">
        <f t="shared" si="254"/>
        <v>K90-09</v>
      </c>
      <c r="CS270" s="23" t="str">
        <f t="shared" si="255"/>
        <v>K90-05</v>
      </c>
      <c r="CT270" s="23" t="str">
        <f t="shared" si="256"/>
        <v>K90-11</v>
      </c>
      <c r="CU270" s="23" t="str">
        <f t="shared" si="257"/>
        <v>F0-M90-A9</v>
      </c>
      <c r="CV270" s="23" t="str">
        <f t="shared" si="258"/>
        <v>F0-M90-A7</v>
      </c>
      <c r="CW270" s="23" t="str">
        <f t="shared" si="259"/>
        <v>F0-M90-A8</v>
      </c>
      <c r="CX270" s="23" t="str">
        <f t="shared" si="260"/>
        <v>F0-M90-A6</v>
      </c>
      <c r="CY270" s="23" t="str">
        <f t="shared" si="261"/>
        <v>F0-M90-A30</v>
      </c>
      <c r="CZ270" s="23" t="str">
        <f t="shared" si="262"/>
        <v>F0-M90-N</v>
      </c>
      <c r="DA270" s="23" t="str">
        <f>CONCATENATE($T270,"-A220-M",U270)</f>
        <v>F0-A220-M90</v>
      </c>
      <c r="DB270" s="23" t="str">
        <f t="shared" si="263"/>
        <v>F0-M90-XM01</v>
      </c>
      <c r="DC270" s="23" t="str">
        <f t="shared" si="264"/>
        <v>F0-M90-A1</v>
      </c>
      <c r="DD270" s="23" t="str">
        <f t="shared" si="265"/>
        <v>F0-M90-A5</v>
      </c>
      <c r="DE270" s="23" t="str">
        <f t="shared" si="266"/>
        <v>F0-M90-A11</v>
      </c>
      <c r="DF270" s="23" t="str">
        <f t="shared" si="267"/>
        <v>F0-M90-A12</v>
      </c>
      <c r="DG270" s="23" t="str">
        <f t="shared" si="268"/>
        <v>F0-M90-A19</v>
      </c>
      <c r="DH270" s="23" t="str">
        <f t="shared" si="269"/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2478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2149</v>
      </c>
      <c r="W271" s="11" t="s">
        <v>2150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А3.37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SUM(IF(ISNUMBER(FIND("TmAi",$BE$1:$AAQ$1)),IF(IFERROR(ISODD(SUBSTITUTE($BE271:$AAQ271,"A","")),FALSE),IF(ISODD(SUBSTITUTE($BE271:$AAQ271,"A","")),1,0),0)))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SUM(IF(ISNUMBER(FIND("TmDi",$BE$1:$AAQ$1)),IF(IFERROR(ISNUMBER(VALUE(SUBSTITUTE($BE271:$AAQ271,"B",""))),FALSE),IF(ISNUMBER(VALUE(SUBSTITUTE($BE271:$AAQ271,"B",""))),1,0),0)))</f>
        <v>4</v>
      </c>
      <c r="AF271" t="str">
        <f t="shared" si="270"/>
        <v>C1</v>
      </c>
      <c r="AG271" t="str">
        <f t="shared" si="271"/>
        <v>B1</v>
      </c>
      <c r="AH271" t="str">
        <f t="shared" si="272"/>
        <v>A6.8</v>
      </c>
      <c r="AI271" s="57">
        <f t="array" ref="AI271">IF(COUNTIFS(AH$2:AH271,AH271)=1,"1",VALUE(SUBSTITUTE(INDEX(AI:AI,_xlfn.XMATCH(AH271,AH$1:AH270,0,-1)),"A",""))+INDEX(AJ:AJ,_xlfn.XMATCH(AH271,AH$1:AH270,0,-1))+1)</f>
        <v>11</v>
      </c>
      <c r="AJ271" s="57">
        <f t="array" ref="AJ271">SUM(IF(ISNUMBER(FIND("TmDo",$BE$1:$AAQ$1)),IF(IFERROR(ISNUMBER(VALUE(SUBSTITUTE($BE271:$AAQ271,"B",""))),FALSE),IF(ISNUMBER(VALUE(SUBSTITUTE($BE271:$AAQ271,"B",""))),1,0),0)))</f>
        <v>1</v>
      </c>
      <c r="AK271" s="11" t="str">
        <f t="shared" si="244"/>
        <v>11A</v>
      </c>
      <c r="AL271" s="11" t="str">
        <f t="shared" si="245"/>
        <v>11B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CONCATENATE(REPLACE(AK271,LEN(AK271),1,"")+1,"A")</f>
        <v>12A</v>
      </c>
      <c r="HF271" s="12" t="str">
        <f>CONCATENATE(REPLACE(AL271,LEN(AL271),1,"")+1,"B")</f>
        <v>12B</v>
      </c>
      <c r="HG271" s="12" t="str">
        <f>CONCATENATE("AI",REPLACE($X271,1,3,""),"-",AA271)</f>
        <v>AI37-5A</v>
      </c>
      <c r="HH271" s="12" t="str">
        <f>CONCATENATE("AI",REPLACE($X271,1,3,""),"-",AB271)</f>
        <v>AI37-5B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275">CONCATENATE("DI",REPLACE($AC271,1,3,""),"-",GU271)</f>
        <v>DI15-C2</v>
      </c>
      <c r="HL271" s="12" t="str">
        <f t="shared" si="275"/>
        <v>DI15-B2</v>
      </c>
      <c r="HM271" s="12" t="str">
        <f t="shared" si="275"/>
        <v>DI15-C3</v>
      </c>
      <c r="HN271" s="12" t="str">
        <f t="shared" si="275"/>
        <v>DI15-B3</v>
      </c>
      <c r="HO271" s="12" t="str">
        <f t="shared" si="275"/>
        <v>DI15-C4</v>
      </c>
      <c r="HP271" s="12" t="str">
        <f t="shared" si="275"/>
        <v>DI15-B4</v>
      </c>
      <c r="HQ271" s="12" t="str">
        <f t="shared" si="275"/>
        <v>DI15-C5</v>
      </c>
      <c r="HR271" s="12" t="str">
        <f t="shared" si="275"/>
        <v>DI15-B5</v>
      </c>
      <c r="HS271" s="12" t="str">
        <f t="shared" si="275"/>
        <v>DI15-</v>
      </c>
      <c r="HT271" s="12" t="str">
        <f t="shared" si="275"/>
        <v>DI15-</v>
      </c>
      <c r="HU271" s="12" t="str">
        <f>CONCATENATE("DO",REPLACE($AH271,1,3,""),"-",AK271)</f>
        <v>DO8-11A</v>
      </c>
      <c r="HV271" s="12" t="str">
        <f>CONCATENATE("DO",REPLACE($AH271,1,3,""),"-",AL271)</f>
        <v>DO8-11B</v>
      </c>
      <c r="HW271" s="12" t="str">
        <f>CONCATENATE("DO",REPLACE($AH271,1,3,""),"-",HE271)</f>
        <v>DO8-12A</v>
      </c>
      <c r="HX271" s="12" t="str">
        <f>CONCATENATE("DO",REPLACE($AH271,1,3,""),"-",HF271)</f>
        <v>DO8-12B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2479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2151</v>
      </c>
      <c r="W272" s="22"/>
      <c r="X272" s="23"/>
      <c r="Y272" s="23"/>
      <c r="Z272" s="23"/>
      <c r="AA272" s="23"/>
      <c r="AB272" s="23"/>
      <c r="AC272" t="str">
        <f t="shared" ref="AC272:AC284" si="276"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SUM(IF(ISNUMBER(FIND("TmDi",$BE$1:$AAQ$1)),IF(IFERROR(ISNUMBER(VALUE(SUBSTITUTE($BE272:$AAQ272,"B",""))),FALSE),IF(ISNUMBER(VALUE(SUBSTITUTE($BE272:$AAQ272,"B",""))),1,0),0)))</f>
        <v>4</v>
      </c>
      <c r="AF272" t="str">
        <f t="shared" si="270"/>
        <v>C6</v>
      </c>
      <c r="AG272" t="str">
        <f t="shared" si="271"/>
        <v>B6</v>
      </c>
      <c r="AH272" t="str">
        <f t="shared" si="272"/>
        <v>A6.8</v>
      </c>
      <c r="AI272" s="57">
        <f t="array" ref="AI272">IF(COUNTIFS(AH$2:AH272,AH272)=1,"1",VALUE(SUBSTITUTE(INDEX(AI:AI,_xlfn.XMATCH(AH272,AH$1:AH271,0,-1)),"A",""))+INDEX(AJ:AJ,_xlfn.XMATCH(AH272,AH$1:AH271,0,-1))+1)</f>
        <v>13</v>
      </c>
      <c r="AJ272" s="57">
        <f t="array" ref="AJ272">SUM(IF(ISNUMBER(FIND("TmDo",$BE$1:$AAQ$1)),IF(IFERROR(ISNUMBER(VALUE(SUBSTITUTE($BE272:$AAQ272,"B",""))),FALSE),IF(ISNUMBER(VALUE(SUBSTITUTE($BE272:$AAQ272,"B",""))),1,0),0)))</f>
        <v>2</v>
      </c>
      <c r="AK272" s="11" t="str">
        <f t="shared" si="244"/>
        <v>13A</v>
      </c>
      <c r="AL272" s="11" t="str">
        <f t="shared" si="245"/>
        <v>13B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CONCATENATE(REPLACE(AK272,LEN(AK272),1,"")+1,"A")</f>
        <v>14A</v>
      </c>
      <c r="BQ272" s="23" t="str">
        <f>CONCATENATE(REPLACE(AL272,LEN(AL272),1,"")+1,"B")</f>
        <v>14B</v>
      </c>
      <c r="BR272" s="23" t="str">
        <f>CONCATENATE(REPLACE(BP272,LEN(BP272),1,"")+1,"A")</f>
        <v>15A</v>
      </c>
      <c r="BS272" s="23" t="str">
        <f>CONCATENATE(REPLACE(BQ272,LEN(BQ272),1,"")+1,"B")</f>
        <v>15B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77">CONCATENATE("DI",REPLACE($AC272,1,3,""),"-",BF272)</f>
        <v>DI15-C7</v>
      </c>
      <c r="BW272" s="23" t="str">
        <f t="shared" si="277"/>
        <v>DI15-B7</v>
      </c>
      <c r="BX272" s="23" t="str">
        <f t="shared" si="277"/>
        <v>DI15-C8</v>
      </c>
      <c r="BY272" s="23" t="str">
        <f t="shared" si="277"/>
        <v>DI15-B8</v>
      </c>
      <c r="BZ272" s="23" t="str">
        <f t="shared" si="277"/>
        <v>DI15-C9</v>
      </c>
      <c r="CA272" s="23" t="str">
        <f t="shared" si="277"/>
        <v>DI15-B9</v>
      </c>
      <c r="CB272" s="23" t="str">
        <f t="shared" si="277"/>
        <v>DI15-C10</v>
      </c>
      <c r="CC272" s="23" t="str">
        <f t="shared" si="277"/>
        <v>DI15-B10</v>
      </c>
      <c r="CD272" s="23" t="str">
        <f t="shared" si="277"/>
        <v>DI15-</v>
      </c>
      <c r="CE272" s="23" t="str">
        <f t="shared" si="277"/>
        <v>DI15-</v>
      </c>
      <c r="CF272" s="23" t="str">
        <f>CONCATENATE("DO",REPLACE($AH272,1,3,""),"-",AK272)</f>
        <v>DO8-13A</v>
      </c>
      <c r="CG272" s="23" t="str">
        <f>CONCATENATE("DO",REPLACE($AH272,1,3,""),"-",AL272)</f>
        <v>DO8-13B</v>
      </c>
      <c r="CH272" s="23" t="str">
        <f>CONCATENATE("DO",REPLACE($AH272,1,3,""),"-",BP272)</f>
        <v>DO8-14A</v>
      </c>
      <c r="CI272" s="23" t="str">
        <f>CONCATENATE("DO",REPLACE($AH272,1,3,""),"-",BQ272)</f>
        <v>DO8-14B</v>
      </c>
      <c r="CJ272" s="23" t="str">
        <f>CONCATENATE("DO",REPLACE($AH272,1,3,""),"-",BR272)</f>
        <v>DO8-15A</v>
      </c>
      <c r="CK272" s="23" t="str">
        <f>CONCATENATE("DO",REPLACE($AH272,1,3,""),"-",BS272)</f>
        <v>DO8-15B</v>
      </c>
      <c r="CL272" s="23" t="str">
        <f t="shared" si="248"/>
        <v>K92-10</v>
      </c>
      <c r="CM272" s="23" t="str">
        <f t="shared" si="249"/>
        <v>K92-03</v>
      </c>
      <c r="CN272" s="23" t="str">
        <f t="shared" si="250"/>
        <v>K92-04</v>
      </c>
      <c r="CO272" s="23" t="str">
        <f t="shared" si="251"/>
        <v>K92-01</v>
      </c>
      <c r="CP272" s="23" t="str">
        <f t="shared" si="252"/>
        <v>K92-08</v>
      </c>
      <c r="CQ272" s="23" t="str">
        <f t="shared" si="253"/>
        <v>K92-02</v>
      </c>
      <c r="CR272" s="23" t="str">
        <f t="shared" si="254"/>
        <v>K92-09</v>
      </c>
      <c r="CS272" s="23" t="str">
        <f t="shared" si="255"/>
        <v>K92-05</v>
      </c>
      <c r="CT272" s="23" t="str">
        <f t="shared" si="256"/>
        <v>K92-11</v>
      </c>
      <c r="CU272" s="23" t="str">
        <f t="shared" si="257"/>
        <v>F0-M92-A9</v>
      </c>
      <c r="CV272" s="23" t="str">
        <f t="shared" si="258"/>
        <v>F0-M92-A7</v>
      </c>
      <c r="CW272" s="23" t="str">
        <f t="shared" si="259"/>
        <v>F0-M92-A8</v>
      </c>
      <c r="CX272" s="23" t="str">
        <f t="shared" si="260"/>
        <v>F0-M92-A6</v>
      </c>
      <c r="CY272" s="23" t="str">
        <f t="shared" si="261"/>
        <v>F0-M92-A30</v>
      </c>
      <c r="CZ272" s="23" t="str">
        <f t="shared" si="262"/>
        <v>F0-M92-N</v>
      </c>
      <c r="DA272" s="23" t="str">
        <f>CONCATENATE($T272,"-A220-M",U272)</f>
        <v>F0-A220-M92</v>
      </c>
      <c r="DB272" s="23" t="str">
        <f t="shared" si="263"/>
        <v>F0-M92-XM01</v>
      </c>
      <c r="DC272" s="23" t="str">
        <f t="shared" si="264"/>
        <v>F0-M92-A1</v>
      </c>
      <c r="DD272" s="23" t="str">
        <f t="shared" si="265"/>
        <v>F0-M92-A5</v>
      </c>
      <c r="DE272" s="23" t="str">
        <f t="shared" si="266"/>
        <v>F0-M92-A11</v>
      </c>
      <c r="DF272" s="23" t="str">
        <f t="shared" si="267"/>
        <v>F0-M92-A12</v>
      </c>
      <c r="DG272" s="23" t="str">
        <f t="shared" si="268"/>
        <v>F0-M92-A19</v>
      </c>
      <c r="DH272" s="23" t="str">
        <f t="shared" si="269"/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8" ht="15.75" thickBot="1" x14ac:dyDescent="0.3">
      <c r="A273" t="s">
        <v>2480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2152</v>
      </c>
      <c r="W273" s="11" t="s">
        <v>2153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А3.37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SUM(IF(ISNUMBER(FIND("TmAi",$BE$1:$AAQ$1)),IF(IFERROR(ISODD(SUBSTITUTE($BE273:$AAQ273,"A","")),FALSE),IF(ISODD(SUBSTITUTE($BE273:$AAQ273,"A","")),1,0),0)))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 t="shared" si="276"/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SUM(IF(ISNUMBER(FIND("TmDi",$BE$1:$AAQ$1)),IF(IFERROR(ISNUMBER(VALUE(SUBSTITUTE($BE273:$AAQ273,"B",""))),FALSE),IF(ISNUMBER(VALUE(SUBSTITUTE($BE273:$AAQ273,"B",""))),1,0),0)))</f>
        <v>4</v>
      </c>
      <c r="AF273" t="str">
        <f t="shared" si="270"/>
        <v>C11</v>
      </c>
      <c r="AG273" t="str">
        <f t="shared" si="271"/>
        <v>B11</v>
      </c>
      <c r="AH273" t="str">
        <f t="shared" si="272"/>
        <v>A6.8</v>
      </c>
      <c r="AI273" s="57">
        <f t="array" ref="AI273">IF(COUNTIFS(AH$2:AH273,AH273)=1,"1",VALUE(SUBSTITUTE(INDEX(AI:AI,_xlfn.XMATCH(AH273,AH$1:AH272,0,-1)),"A",""))+INDEX(AJ:AJ,_xlfn.XMATCH(AH273,AH$1:AH272,0,-1))+1)</f>
        <v>16</v>
      </c>
      <c r="AJ273" s="57">
        <f t="array" ref="AJ273">SUM(IF(ISNUMBER(FIND("TmDo",$BE$1:$AAQ$1)),IF(IFERROR(ISNUMBER(VALUE(SUBSTITUTE($BE273:$AAQ273,"B",""))),FALSE),IF(ISNUMBER(VALUE(SUBSTITUTE($BE273:$AAQ273,"B",""))),1,0),0)))</f>
        <v>1</v>
      </c>
      <c r="AK273" s="11" t="str">
        <f t="shared" si="244"/>
        <v>16A</v>
      </c>
      <c r="AL273" s="11" t="str">
        <f t="shared" si="245"/>
        <v>16B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CONCATENATE(REPLACE(AK273,LEN(AK273),1,"")+1,"A")</f>
        <v>17A</v>
      </c>
      <c r="HF273" s="12" t="str">
        <f>CONCATENATE(REPLACE(AL273,LEN(AL273),1,"")+1,"B")</f>
        <v>17B</v>
      </c>
      <c r="HG273" s="12" t="str">
        <f>CONCATENATE("AI",REPLACE($X273,1,3,""),"-",AA273)</f>
        <v>AI37-7A</v>
      </c>
      <c r="HH273" s="12" t="str">
        <f>CONCATENATE("AI",REPLACE($X273,1,3,""),"-",AB273)</f>
        <v>AI37-7B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78">CONCATENATE("DI",REPLACE($AC273,1,3,""),"-",GU273)</f>
        <v>DI15-C12</v>
      </c>
      <c r="HL273" s="12" t="str">
        <f t="shared" si="278"/>
        <v>DI15-B12</v>
      </c>
      <c r="HM273" s="12" t="str">
        <f t="shared" si="278"/>
        <v>DI15-C13</v>
      </c>
      <c r="HN273" s="12" t="str">
        <f t="shared" si="278"/>
        <v>DI15-B13</v>
      </c>
      <c r="HO273" s="12" t="str">
        <f t="shared" si="278"/>
        <v>DI15-C14</v>
      </c>
      <c r="HP273" s="12" t="str">
        <f t="shared" si="278"/>
        <v>DI15-B14</v>
      </c>
      <c r="HQ273" s="12" t="str">
        <f t="shared" si="278"/>
        <v>DI15-C15</v>
      </c>
      <c r="HR273" s="12" t="str">
        <f t="shared" si="278"/>
        <v>DI15-B15</v>
      </c>
      <c r="HS273" s="12" t="str">
        <f t="shared" si="278"/>
        <v>DI15-</v>
      </c>
      <c r="HT273" s="12" t="str">
        <f t="shared" si="278"/>
        <v>DI15-</v>
      </c>
      <c r="HU273" s="12" t="str">
        <f>CONCATENATE("DO",REPLACE($AH273,1,3,""),"-",AK273)</f>
        <v>DO8-16A</v>
      </c>
      <c r="HV273" s="12" t="str">
        <f>CONCATENATE("DO",REPLACE($AH273,1,3,""),"-",AL273)</f>
        <v>DO8-16B</v>
      </c>
      <c r="HW273" s="12" t="str">
        <f>CONCATENATE("DO",REPLACE($AH273,1,3,""),"-",HE273)</f>
        <v>DO8-17A</v>
      </c>
      <c r="HX273" s="12" t="str">
        <f>CONCATENATE("DO",REPLACE($AH273,1,3,""),"-",HF273)</f>
        <v>DO8-17B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8" ht="15.75" thickBot="1" x14ac:dyDescent="0.3">
      <c r="A274" t="s">
        <v>2481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2154</v>
      </c>
      <c r="W274" s="22"/>
      <c r="X274" s="23"/>
      <c r="Y274" s="23"/>
      <c r="Z274" s="23"/>
      <c r="AA274" s="23"/>
      <c r="AB274" s="23"/>
      <c r="AC274" t="str">
        <f t="shared" si="276"/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SUM(IF(ISNUMBER(FIND("TmDi",$BE$1:$AAQ$1)),IF(IFERROR(ISNUMBER(VALUE(SUBSTITUTE($BE274:$AAQ274,"B",""))),FALSE),IF(ISNUMBER(VALUE(SUBSTITUTE($BE274:$AAQ274,"B",""))),1,0),0)))</f>
        <v>4</v>
      </c>
      <c r="AF274" t="str">
        <f t="shared" si="270"/>
        <v>C16</v>
      </c>
      <c r="AG274" t="str">
        <f t="shared" si="271"/>
        <v>B16</v>
      </c>
      <c r="AH274" t="str">
        <f t="shared" si="272"/>
        <v>A6.8</v>
      </c>
      <c r="AI274" s="57">
        <f t="array" ref="AI274">IF(COUNTIFS(AH$2:AH274,AH274)=1,"1",VALUE(SUBSTITUTE(INDEX(AI:AI,_xlfn.XMATCH(AH274,AH$1:AH273,0,-1)),"A",""))+INDEX(AJ:AJ,_xlfn.XMATCH(AH274,AH$1:AH273,0,-1))+1)</f>
        <v>18</v>
      </c>
      <c r="AJ274" s="57">
        <f t="array" ref="AJ274">SUM(IF(ISNUMBER(FIND("TmDo",$BE$1:$AAQ$1)),IF(IFERROR(ISNUMBER(VALUE(SUBSTITUTE($BE274:$AAQ274,"B",""))),FALSE),IF(ISNUMBER(VALUE(SUBSTITUTE($BE274:$AAQ274,"B",""))),1,0),0)))</f>
        <v>2</v>
      </c>
      <c r="AK274" s="11" t="str">
        <f t="shared" si="244"/>
        <v>18A</v>
      </c>
      <c r="AL274" s="11" t="str">
        <f t="shared" si="245"/>
        <v>18B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CONCATENATE(REPLACE(AK274,LEN(AK274),1,"")+1,"A")</f>
        <v>19A</v>
      </c>
      <c r="BQ274" s="23" t="str">
        <f>CONCATENATE(REPLACE(AL274,LEN(AL274),1,"")+1,"B")</f>
        <v>19B</v>
      </c>
      <c r="BR274" s="23" t="str">
        <f>CONCATENATE(REPLACE(BP274,LEN(BP274),1,"")+1,"A")</f>
        <v>20A</v>
      </c>
      <c r="BS274" s="23" t="str">
        <f>CONCATENATE(REPLACE(BQ274,LEN(BQ274),1,"")+1,"B")</f>
        <v>20B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79">CONCATENATE("DI",REPLACE($AC274,1,3,""),"-",BF274)</f>
        <v>DI15-C17</v>
      </c>
      <c r="BW274" s="23" t="str">
        <f t="shared" si="279"/>
        <v>DI15-B17</v>
      </c>
      <c r="BX274" s="23" t="str">
        <f t="shared" si="279"/>
        <v>DI15-C18</v>
      </c>
      <c r="BY274" s="23" t="str">
        <f t="shared" si="279"/>
        <v>DI15-B18</v>
      </c>
      <c r="BZ274" s="23" t="str">
        <f t="shared" si="279"/>
        <v>DI15-C19</v>
      </c>
      <c r="CA274" s="23" t="str">
        <f t="shared" si="279"/>
        <v>DI15-B19</v>
      </c>
      <c r="CB274" s="23" t="str">
        <f t="shared" si="279"/>
        <v>DI15-C20</v>
      </c>
      <c r="CC274" s="23" t="str">
        <f t="shared" si="279"/>
        <v>DI15-B20</v>
      </c>
      <c r="CD274" s="23" t="str">
        <f t="shared" si="279"/>
        <v>DI15-</v>
      </c>
      <c r="CE274" s="23" t="str">
        <f t="shared" si="279"/>
        <v>DI15-</v>
      </c>
      <c r="CF274" s="23" t="str">
        <f>CONCATENATE("DO",REPLACE($AH274,1,3,""),"-",AK274)</f>
        <v>DO8-18A</v>
      </c>
      <c r="CG274" s="23" t="str">
        <f>CONCATENATE("DO",REPLACE($AH274,1,3,""),"-",AL274)</f>
        <v>DO8-18B</v>
      </c>
      <c r="CH274" s="23" t="str">
        <f>CONCATENATE("DO",REPLACE($AH274,1,3,""),"-",BP274)</f>
        <v>DO8-19A</v>
      </c>
      <c r="CI274" s="23" t="str">
        <f>CONCATENATE("DO",REPLACE($AH274,1,3,""),"-",BQ274)</f>
        <v>DO8-19B</v>
      </c>
      <c r="CJ274" s="23" t="str">
        <f>CONCATENATE("DO",REPLACE($AH274,1,3,""),"-",BR274)</f>
        <v>DO8-20A</v>
      </c>
      <c r="CK274" s="23" t="str">
        <f>CONCATENATE("DO",REPLACE($AH274,1,3,""),"-",BS274)</f>
        <v>DO8-20B</v>
      </c>
      <c r="CL274" s="23" t="str">
        <f t="shared" si="248"/>
        <v>K94-10</v>
      </c>
      <c r="CM274" s="23" t="str">
        <f t="shared" si="249"/>
        <v>K94-03</v>
      </c>
      <c r="CN274" s="23" t="str">
        <f t="shared" si="250"/>
        <v>K94-04</v>
      </c>
      <c r="CO274" s="23" t="str">
        <f t="shared" si="251"/>
        <v>K94-01</v>
      </c>
      <c r="CP274" s="23" t="str">
        <f t="shared" si="252"/>
        <v>K94-08</v>
      </c>
      <c r="CQ274" s="23" t="str">
        <f t="shared" si="253"/>
        <v>K94-02</v>
      </c>
      <c r="CR274" s="23" t="str">
        <f t="shared" si="254"/>
        <v>K94-09</v>
      </c>
      <c r="CS274" s="23" t="str">
        <f t="shared" si="255"/>
        <v>K94-05</v>
      </c>
      <c r="CT274" s="23" t="str">
        <f t="shared" si="256"/>
        <v>K94-11</v>
      </c>
      <c r="CU274" s="23" t="str">
        <f t="shared" si="257"/>
        <v>F0-M94-A9</v>
      </c>
      <c r="CV274" s="23" t="str">
        <f t="shared" si="258"/>
        <v>F0-M94-A7</v>
      </c>
      <c r="CW274" s="23" t="str">
        <f t="shared" si="259"/>
        <v>F0-M94-A8</v>
      </c>
      <c r="CX274" s="23" t="str">
        <f t="shared" si="260"/>
        <v>F0-M94-A6</v>
      </c>
      <c r="CY274" s="23" t="str">
        <f t="shared" si="261"/>
        <v>F0-M94-A30</v>
      </c>
      <c r="CZ274" s="23" t="str">
        <f t="shared" si="262"/>
        <v>F0-M94-N</v>
      </c>
      <c r="DA274" s="23" t="str">
        <f>CONCATENATE($T274,"-A220-M",U274)</f>
        <v>F0-A220-M94</v>
      </c>
      <c r="DB274" s="23" t="str">
        <f t="shared" si="263"/>
        <v>F0-M94-XM01</v>
      </c>
      <c r="DC274" s="23" t="str">
        <f t="shared" si="264"/>
        <v>F0-M94-A1</v>
      </c>
      <c r="DD274" s="23" t="str">
        <f t="shared" si="265"/>
        <v>F0-M94-A5</v>
      </c>
      <c r="DE274" s="23" t="str">
        <f t="shared" si="266"/>
        <v>F0-M94-A11</v>
      </c>
      <c r="DF274" s="23" t="str">
        <f t="shared" si="267"/>
        <v>F0-M94-A12</v>
      </c>
      <c r="DG274" s="23" t="str">
        <f t="shared" si="268"/>
        <v>F0-M94-A19</v>
      </c>
      <c r="DH274" s="23" t="str">
        <f t="shared" si="269"/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8" ht="15.75" thickBot="1" x14ac:dyDescent="0.3">
      <c r="A275" t="s">
        <v>2482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2155</v>
      </c>
      <c r="W275" s="11" t="s">
        <v>2156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А3.37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SUM(IF(ISNUMBER(FIND("TmAi",$BE$1:$AAQ$1)),IF(IFERROR(ISODD(SUBSTITUTE($BE275:$AAQ275,"A","")),FALSE),IF(ISODD(SUBSTITUTE($BE275:$AAQ275,"A","")),1,0),0)))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SUM(IF(ISNUMBER(FIND("TmDi",$BE$1:$AAQ$1)),IF(IFERROR(ISNUMBER(VALUE(SUBSTITUTE($BE275:$AAQ275,"B",""))),FALSE),IF(ISNUMBER(VALUE(SUBSTITUTE($BE275:$AAQ275,"B",""))),1,0),0)))</f>
        <v>4</v>
      </c>
      <c r="AF275" t="str">
        <f t="shared" si="270"/>
        <v>C1</v>
      </c>
      <c r="AG275" t="str">
        <f t="shared" si="271"/>
        <v>B1</v>
      </c>
      <c r="AH275" t="s">
        <v>1802</v>
      </c>
      <c r="AI275" s="57" t="str">
        <f t="array" ref="AI275">IF(COUNTIFS(AH$2:AH275,AH275)=1,"1",VALUE(SUBSTITUTE(INDEX(AI:AI,_xlfn.XMATCH(AH275,AH$1:AH274,0,-1)),"A",""))+INDEX(AJ:AJ,_xlfn.XMATCH(AH275,AH$1:AH274,0,-1))+1)</f>
        <v>1</v>
      </c>
      <c r="AJ275" s="57">
        <f t="array" ref="AJ275">SUM(IF(ISNUMBER(FIND("TmDo",$BE$1:$AAQ$1)),IF(IFERROR(ISNUMBER(VALUE(SUBSTITUTE($BE275:$AAQ275,"B",""))),FALSE),IF(ISNUMBER(VALUE(SUBSTITUTE($BE275:$AAQ275,"B",""))),1,0),0)))</f>
        <v>1</v>
      </c>
      <c r="AK275" s="11" t="str">
        <f t="shared" si="244"/>
        <v>1A</v>
      </c>
      <c r="AL275" s="11" t="str">
        <f t="shared" si="245"/>
        <v>1B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CONCATENATE(REPLACE(AK275,LEN(AK275),1,"")+1,"A")</f>
        <v>2A</v>
      </c>
      <c r="HF275" s="12" t="str">
        <f>CONCATENATE(REPLACE(AL275,LEN(AL275),1,"")+1,"B")</f>
        <v>2B</v>
      </c>
      <c r="HG275" s="12" t="str">
        <f>CONCATENATE("AI",REPLACE($X275,1,3,""),"-",AA275)</f>
        <v>AI37-9A</v>
      </c>
      <c r="HH275" s="12" t="str">
        <f>CONCATENATE("AI",REPLACE($X275,1,3,""),"-",AB275)</f>
        <v>AI37-9B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80">CONCATENATE("DI",REPLACE($AC275,1,3,""),"-",GU275)</f>
        <v>DI16-C2</v>
      </c>
      <c r="HL275" s="12" t="str">
        <f t="shared" si="280"/>
        <v>DI16-B2</v>
      </c>
      <c r="HM275" s="12" t="str">
        <f t="shared" si="280"/>
        <v>DI16-C3</v>
      </c>
      <c r="HN275" s="12" t="str">
        <f t="shared" si="280"/>
        <v>DI16-B3</v>
      </c>
      <c r="HO275" s="12" t="str">
        <f t="shared" si="280"/>
        <v>DI16-C4</v>
      </c>
      <c r="HP275" s="12" t="str">
        <f t="shared" si="280"/>
        <v>DI16-B4</v>
      </c>
      <c r="HQ275" s="12" t="str">
        <f t="shared" si="280"/>
        <v>DI16-C5</v>
      </c>
      <c r="HR275" s="12" t="str">
        <f t="shared" si="280"/>
        <v>DI16-B5</v>
      </c>
      <c r="HS275" s="12" t="str">
        <f t="shared" si="280"/>
        <v>DI16-</v>
      </c>
      <c r="HT275" s="12" t="str">
        <f t="shared" si="280"/>
        <v>DI16-</v>
      </c>
      <c r="HU275" s="12" t="str">
        <f>CONCATENATE("DO",REPLACE($AH275,1,3,""),"-",AK275)</f>
        <v>DO9-1A</v>
      </c>
      <c r="HV275" s="12" t="str">
        <f>CONCATENATE("DO",REPLACE($AH275,1,3,""),"-",AL275)</f>
        <v>DO9-1B</v>
      </c>
      <c r="HW275" s="12" t="str">
        <f>CONCATENATE("DO",REPLACE($AH275,1,3,""),"-",HE275)</f>
        <v>DO9-2A</v>
      </c>
      <c r="HX275" s="12" t="str">
        <f>CONCATENATE("DO",REPLACE($AH275,1,3,""),"-",HF275)</f>
        <v>DO9-2B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8" ht="15.75" thickBot="1" x14ac:dyDescent="0.3">
      <c r="A276" t="s">
        <v>2483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2157</v>
      </c>
      <c r="W276" s="22"/>
      <c r="X276" s="23"/>
      <c r="Y276" s="23"/>
      <c r="Z276" s="23"/>
      <c r="AA276" s="23"/>
      <c r="AB276" s="23"/>
      <c r="AC276" t="str">
        <f t="shared" si="276"/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SUM(IF(ISNUMBER(FIND("TmDi",$BE$1:$AAQ$1)),IF(IFERROR(ISNUMBER(VALUE(SUBSTITUTE($BE276:$AAQ276,"B",""))),FALSE),IF(ISNUMBER(VALUE(SUBSTITUTE($BE276:$AAQ276,"B",""))),1,0),0)))</f>
        <v>4</v>
      </c>
      <c r="AF276" t="str">
        <f t="shared" si="270"/>
        <v>C6</v>
      </c>
      <c r="AG276" t="str">
        <f t="shared" si="271"/>
        <v>B6</v>
      </c>
      <c r="AH276" t="str">
        <f t="shared" si="272"/>
        <v>A6.9</v>
      </c>
      <c r="AI276" s="57">
        <f t="array" ref="AI276">IF(COUNTIFS(AH$2:AH276,AH276)=1,"1",VALUE(SUBSTITUTE(INDEX(AI:AI,_xlfn.XMATCH(AH276,AH$1:AH275,0,-1)),"A",""))+INDEX(AJ:AJ,_xlfn.XMATCH(AH276,AH$1:AH275,0,-1))+1)</f>
        <v>3</v>
      </c>
      <c r="AJ276" s="57">
        <f t="array" ref="AJ276">SUM(IF(ISNUMBER(FIND("TmDo",$BE$1:$AAQ$1)),IF(IFERROR(ISNUMBER(VALUE(SUBSTITUTE($BE276:$AAQ276,"B",""))),FALSE),IF(ISNUMBER(VALUE(SUBSTITUTE($BE276:$AAQ276,"B",""))),1,0),0)))</f>
        <v>2</v>
      </c>
      <c r="AK276" s="11" t="str">
        <f t="shared" si="244"/>
        <v>3A</v>
      </c>
      <c r="AL276" s="11" t="str">
        <f t="shared" si="245"/>
        <v>3B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CONCATENATE(REPLACE(AK276,LEN(AK276),1,"")+1,"A")</f>
        <v>4A</v>
      </c>
      <c r="BQ276" s="23" t="str">
        <f>CONCATENATE(REPLACE(AL276,LEN(AL276),1,"")+1,"B")</f>
        <v>4B</v>
      </c>
      <c r="BR276" s="23" t="str">
        <f>CONCATENATE(REPLACE(BP276,LEN(BP276),1,"")+1,"A")</f>
        <v>5A</v>
      </c>
      <c r="BS276" s="23" t="str">
        <f>CONCATENATE(REPLACE(BQ276,LEN(BQ276),1,"")+1,"B")</f>
        <v>5B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81">CONCATENATE("DI",REPLACE($AC276,1,3,""),"-",BF276)</f>
        <v>DI16-C7</v>
      </c>
      <c r="BW276" s="23" t="str">
        <f t="shared" si="281"/>
        <v>DI16-B7</v>
      </c>
      <c r="BX276" s="23" t="str">
        <f t="shared" si="281"/>
        <v>DI16-C8</v>
      </c>
      <c r="BY276" s="23" t="str">
        <f t="shared" si="281"/>
        <v>DI16-B8</v>
      </c>
      <c r="BZ276" s="23" t="str">
        <f t="shared" si="281"/>
        <v>DI16-C9</v>
      </c>
      <c r="CA276" s="23" t="str">
        <f t="shared" si="281"/>
        <v>DI16-B9</v>
      </c>
      <c r="CB276" s="23" t="str">
        <f t="shared" si="281"/>
        <v>DI16-C10</v>
      </c>
      <c r="CC276" s="23" t="str">
        <f t="shared" si="281"/>
        <v>DI16-B10</v>
      </c>
      <c r="CD276" s="23" t="str">
        <f t="shared" si="281"/>
        <v>DI16-</v>
      </c>
      <c r="CE276" s="23" t="str">
        <f t="shared" si="281"/>
        <v>DI16-</v>
      </c>
      <c r="CF276" s="23" t="str">
        <f>CONCATENATE("DO",REPLACE($AH276,1,3,""),"-",AK276)</f>
        <v>DO9-3A</v>
      </c>
      <c r="CG276" s="23" t="str">
        <f>CONCATENATE("DO",REPLACE($AH276,1,3,""),"-",AL276)</f>
        <v>DO9-3B</v>
      </c>
      <c r="CH276" s="23" t="str">
        <f>CONCATENATE("DO",REPLACE($AH276,1,3,""),"-",BP276)</f>
        <v>DO9-4A</v>
      </c>
      <c r="CI276" s="23" t="str">
        <f>CONCATENATE("DO",REPLACE($AH276,1,3,""),"-",BQ276)</f>
        <v>DO9-4B</v>
      </c>
      <c r="CJ276" s="23" t="str">
        <f>CONCATENATE("DO",REPLACE($AH276,1,3,""),"-",BR276)</f>
        <v>DO9-5A</v>
      </c>
      <c r="CK276" s="23" t="str">
        <f>CONCATENATE("DO",REPLACE($AH276,1,3,""),"-",BS276)</f>
        <v>DO9-5B</v>
      </c>
      <c r="CL276" s="23" t="str">
        <f t="shared" si="248"/>
        <v>K96-10</v>
      </c>
      <c r="CM276" s="23" t="str">
        <f t="shared" si="249"/>
        <v>K96-03</v>
      </c>
      <c r="CN276" s="23" t="str">
        <f t="shared" si="250"/>
        <v>K96-04</v>
      </c>
      <c r="CO276" s="23" t="str">
        <f t="shared" si="251"/>
        <v>K96-01</v>
      </c>
      <c r="CP276" s="23" t="str">
        <f t="shared" si="252"/>
        <v>K96-08</v>
      </c>
      <c r="CQ276" s="23" t="str">
        <f t="shared" si="253"/>
        <v>K96-02</v>
      </c>
      <c r="CR276" s="23" t="str">
        <f t="shared" si="254"/>
        <v>K96-09</v>
      </c>
      <c r="CS276" s="23" t="str">
        <f t="shared" si="255"/>
        <v>K96-05</v>
      </c>
      <c r="CT276" s="23" t="str">
        <f t="shared" si="256"/>
        <v>K96-11</v>
      </c>
      <c r="CU276" s="23" t="str">
        <f t="shared" si="257"/>
        <v>F0-M96-A9</v>
      </c>
      <c r="CV276" s="23" t="str">
        <f t="shared" si="258"/>
        <v>F0-M96-A7</v>
      </c>
      <c r="CW276" s="23" t="str">
        <f t="shared" si="259"/>
        <v>F0-M96-A8</v>
      </c>
      <c r="CX276" s="23" t="str">
        <f t="shared" si="260"/>
        <v>F0-M96-A6</v>
      </c>
      <c r="CY276" s="23" t="str">
        <f t="shared" si="261"/>
        <v>F0-M96-A30</v>
      </c>
      <c r="CZ276" s="23" t="str">
        <f t="shared" si="262"/>
        <v>F0-M96-N</v>
      </c>
      <c r="DA276" s="23" t="str">
        <f>CONCATENATE($T276,"-A220-M",U276)</f>
        <v>F0-A220-M96</v>
      </c>
      <c r="DB276" s="23" t="str">
        <f t="shared" si="263"/>
        <v>F0-M96-XM01</v>
      </c>
      <c r="DC276" s="23" t="str">
        <f t="shared" si="264"/>
        <v>F0-M96-A1</v>
      </c>
      <c r="DD276" s="23" t="str">
        <f t="shared" si="265"/>
        <v>F0-M96-A5</v>
      </c>
      <c r="DE276" s="23" t="str">
        <f t="shared" si="266"/>
        <v>F0-M96-A11</v>
      </c>
      <c r="DF276" s="23" t="str">
        <f t="shared" si="267"/>
        <v>F0-M96-A12</v>
      </c>
      <c r="DG276" s="23" t="str">
        <f t="shared" si="268"/>
        <v>F0-M96-A19</v>
      </c>
      <c r="DH276" s="23" t="str">
        <f t="shared" si="269"/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8" ht="15.75" thickBot="1" x14ac:dyDescent="0.3">
      <c r="A277" t="s">
        <v>2484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2158</v>
      </c>
      <c r="W277" s="11" t="s">
        <v>2159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А3.37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SUM(IF(ISNUMBER(FIND("TmAi",$BE$1:$AAQ$1)),IF(IFERROR(ISODD(SUBSTITUTE($BE277:$AAQ277,"A","")),FALSE),IF(ISODD(SUBSTITUTE($BE277:$AAQ277,"A","")),1,0),0)))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 t="shared" si="276"/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SUM(IF(ISNUMBER(FIND("TmDi",$BE$1:$AAQ$1)),IF(IFERROR(ISNUMBER(VALUE(SUBSTITUTE($BE277:$AAQ277,"B",""))),FALSE),IF(ISNUMBER(VALUE(SUBSTITUTE($BE277:$AAQ277,"B",""))),1,0),0)))</f>
        <v>4</v>
      </c>
      <c r="AF277" t="str">
        <f t="shared" si="270"/>
        <v>C11</v>
      </c>
      <c r="AG277" t="str">
        <f t="shared" si="271"/>
        <v>B11</v>
      </c>
      <c r="AH277" t="str">
        <f t="shared" si="272"/>
        <v>A6.9</v>
      </c>
      <c r="AI277" s="57">
        <f t="array" ref="AI277">IF(COUNTIFS(AH$2:AH277,AH277)=1,"1",VALUE(SUBSTITUTE(INDEX(AI:AI,_xlfn.XMATCH(AH277,AH$1:AH276,0,-1)),"A",""))+INDEX(AJ:AJ,_xlfn.XMATCH(AH277,AH$1:AH276,0,-1))+1)</f>
        <v>6</v>
      </c>
      <c r="AJ277" s="57">
        <f t="array" ref="AJ277">SUM(IF(ISNUMBER(FIND("TmDo",$BE$1:$AAQ$1)),IF(IFERROR(ISNUMBER(VALUE(SUBSTITUTE($BE277:$AAQ277,"B",""))),FALSE),IF(ISNUMBER(VALUE(SUBSTITUTE($BE277:$AAQ277,"B",""))),1,0),0)))</f>
        <v>1</v>
      </c>
      <c r="AK277" s="11" t="str">
        <f t="shared" si="244"/>
        <v>6A</v>
      </c>
      <c r="AL277" s="11" t="str">
        <f t="shared" si="245"/>
        <v>6B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CONCATENATE(REPLACE(AK277,LEN(AK277),1,"")+1,"A")</f>
        <v>7A</v>
      </c>
      <c r="HF277" s="12" t="str">
        <f>CONCATENATE(REPLACE(AL277,LEN(AL277),1,"")+1,"B")</f>
        <v>7B</v>
      </c>
      <c r="HG277" s="12" t="str">
        <f>CONCATENATE("AI",REPLACE($X277,1,3,""),"-",AA277)</f>
        <v>AI37-11A</v>
      </c>
      <c r="HH277" s="12" t="str">
        <f>CONCATENATE("AI",REPLACE($X277,1,3,""),"-",AB277)</f>
        <v>AI37-11B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82">CONCATENATE("DI",REPLACE($AC277,1,3,""),"-",GU277)</f>
        <v>DI16-C12</v>
      </c>
      <c r="HL277" s="12" t="str">
        <f t="shared" si="282"/>
        <v>DI16-B12</v>
      </c>
      <c r="HM277" s="12" t="str">
        <f t="shared" si="282"/>
        <v>DI16-C13</v>
      </c>
      <c r="HN277" s="12" t="str">
        <f t="shared" si="282"/>
        <v>DI16-B13</v>
      </c>
      <c r="HO277" s="12" t="str">
        <f t="shared" si="282"/>
        <v>DI16-C14</v>
      </c>
      <c r="HP277" s="12" t="str">
        <f t="shared" si="282"/>
        <v>DI16-B14</v>
      </c>
      <c r="HQ277" s="12" t="str">
        <f t="shared" si="282"/>
        <v>DI16-C15</v>
      </c>
      <c r="HR277" s="12" t="str">
        <f t="shared" si="282"/>
        <v>DI16-B15</v>
      </c>
      <c r="HS277" s="12" t="str">
        <f t="shared" si="282"/>
        <v>DI16-</v>
      </c>
      <c r="HT277" s="12" t="str">
        <f t="shared" si="282"/>
        <v>DI16-</v>
      </c>
      <c r="HU277" s="12" t="str">
        <f>CONCATENATE("DO",REPLACE($AH277,1,3,""),"-",AK277)</f>
        <v>DO9-6A</v>
      </c>
      <c r="HV277" s="12" t="str">
        <f>CONCATENATE("DO",REPLACE($AH277,1,3,""),"-",AL277)</f>
        <v>DO9-6B</v>
      </c>
      <c r="HW277" s="12" t="str">
        <f>CONCATENATE("DO",REPLACE($AH277,1,3,""),"-",HE277)</f>
        <v>DO9-7A</v>
      </c>
      <c r="HX277" s="12" t="str">
        <f>CONCATENATE("DO",REPLACE($AH277,1,3,""),"-",HF277)</f>
        <v>DO9-7B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8" ht="15.75" thickBot="1" x14ac:dyDescent="0.3">
      <c r="A278" t="s">
        <v>2485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2160</v>
      </c>
      <c r="W278" s="22"/>
      <c r="X278" s="23"/>
      <c r="Y278" s="23"/>
      <c r="Z278" s="23"/>
      <c r="AA278" s="23"/>
      <c r="AB278" s="23"/>
      <c r="AC278" t="str">
        <f t="shared" si="276"/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SUM(IF(ISNUMBER(FIND("TmDi",$BE$1:$AAQ$1)),IF(IFERROR(ISNUMBER(VALUE(SUBSTITUTE($BE278:$AAQ278,"B",""))),FALSE),IF(ISNUMBER(VALUE(SUBSTITUTE($BE278:$AAQ278,"B",""))),1,0),0)))</f>
        <v>4</v>
      </c>
      <c r="AF278" t="str">
        <f t="shared" si="270"/>
        <v>C16</v>
      </c>
      <c r="AG278" t="str">
        <f t="shared" si="271"/>
        <v>B16</v>
      </c>
      <c r="AH278" t="str">
        <f t="shared" si="272"/>
        <v>A6.9</v>
      </c>
      <c r="AI278" s="57">
        <f t="array" ref="AI278">IF(COUNTIFS(AH$2:AH278,AH278)=1,"1",VALUE(SUBSTITUTE(INDEX(AI:AI,_xlfn.XMATCH(AH278,AH$1:AH277,0,-1)),"A",""))+INDEX(AJ:AJ,_xlfn.XMATCH(AH278,AH$1:AH277,0,-1))+1)</f>
        <v>8</v>
      </c>
      <c r="AJ278" s="57">
        <f t="array" ref="AJ278">SUM(IF(ISNUMBER(FIND("TmDo",$BE$1:$AAQ$1)),IF(IFERROR(ISNUMBER(VALUE(SUBSTITUTE($BE278:$AAQ278,"B",""))),FALSE),IF(ISNUMBER(VALUE(SUBSTITUTE($BE278:$AAQ278,"B",""))),1,0),0)))</f>
        <v>2</v>
      </c>
      <c r="AK278" s="11" t="str">
        <f t="shared" si="244"/>
        <v>8A</v>
      </c>
      <c r="AL278" s="11" t="str">
        <f t="shared" si="245"/>
        <v>8B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CONCATENATE(REPLACE(AK278,LEN(AK278),1,"")+1,"A")</f>
        <v>9A</v>
      </c>
      <c r="BQ278" s="23" t="str">
        <f>CONCATENATE(REPLACE(AL278,LEN(AL278),1,"")+1,"B")</f>
        <v>9B</v>
      </c>
      <c r="BR278" s="23" t="str">
        <f>CONCATENATE(REPLACE(BP278,LEN(BP278),1,"")+1,"A")</f>
        <v>10A</v>
      </c>
      <c r="BS278" s="23" t="str">
        <f>CONCATENATE(REPLACE(BQ278,LEN(BQ278),1,"")+1,"B")</f>
        <v>10B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83">CONCATENATE("DI",REPLACE($AC278,1,3,""),"-",BF278)</f>
        <v>DI16-C17</v>
      </c>
      <c r="BW278" s="23" t="str">
        <f t="shared" si="283"/>
        <v>DI16-B17</v>
      </c>
      <c r="BX278" s="23" t="str">
        <f t="shared" si="283"/>
        <v>DI16-C18</v>
      </c>
      <c r="BY278" s="23" t="str">
        <f t="shared" si="283"/>
        <v>DI16-B18</v>
      </c>
      <c r="BZ278" s="23" t="str">
        <f t="shared" si="283"/>
        <v>DI16-C19</v>
      </c>
      <c r="CA278" s="23" t="str">
        <f t="shared" si="283"/>
        <v>DI16-B19</v>
      </c>
      <c r="CB278" s="23" t="str">
        <f t="shared" si="283"/>
        <v>DI16-C20</v>
      </c>
      <c r="CC278" s="23" t="str">
        <f t="shared" si="283"/>
        <v>DI16-B20</v>
      </c>
      <c r="CD278" s="23" t="str">
        <f t="shared" si="283"/>
        <v>DI16-</v>
      </c>
      <c r="CE278" s="23" t="str">
        <f t="shared" si="283"/>
        <v>DI16-</v>
      </c>
      <c r="CF278" s="23" t="str">
        <f>CONCATENATE("DO",REPLACE($AH278,1,3,""),"-",AK278)</f>
        <v>DO9-8A</v>
      </c>
      <c r="CG278" s="23" t="str">
        <f>CONCATENATE("DO",REPLACE($AH278,1,3,""),"-",AL278)</f>
        <v>DO9-8B</v>
      </c>
      <c r="CH278" s="23" t="str">
        <f>CONCATENATE("DO",REPLACE($AH278,1,3,""),"-",BP278)</f>
        <v>DO9-9A</v>
      </c>
      <c r="CI278" s="23" t="str">
        <f>CONCATENATE("DO",REPLACE($AH278,1,3,""),"-",BQ278)</f>
        <v>DO9-9B</v>
      </c>
      <c r="CJ278" s="23" t="str">
        <f>CONCATENATE("DO",REPLACE($AH278,1,3,""),"-",BR278)</f>
        <v>DO9-10A</v>
      </c>
      <c r="CK278" s="23" t="str">
        <f>CONCATENATE("DO",REPLACE($AH278,1,3,""),"-",BS278)</f>
        <v>DO9-10B</v>
      </c>
      <c r="CL278" s="23" t="str">
        <f t="shared" si="248"/>
        <v>K98-10</v>
      </c>
      <c r="CM278" s="23" t="str">
        <f t="shared" si="249"/>
        <v>K98-03</v>
      </c>
      <c r="CN278" s="23" t="str">
        <f t="shared" si="250"/>
        <v>K98-04</v>
      </c>
      <c r="CO278" s="23" t="str">
        <f t="shared" si="251"/>
        <v>K98-01</v>
      </c>
      <c r="CP278" s="23" t="str">
        <f t="shared" si="252"/>
        <v>K98-08</v>
      </c>
      <c r="CQ278" s="23" t="str">
        <f t="shared" si="253"/>
        <v>K98-02</v>
      </c>
      <c r="CR278" s="23" t="str">
        <f t="shared" si="254"/>
        <v>K98-09</v>
      </c>
      <c r="CS278" s="23" t="str">
        <f t="shared" si="255"/>
        <v>K98-05</v>
      </c>
      <c r="CT278" s="23" t="str">
        <f t="shared" si="256"/>
        <v>K98-11</v>
      </c>
      <c r="CU278" s="23" t="str">
        <f t="shared" si="257"/>
        <v>F0-M98-A9</v>
      </c>
      <c r="CV278" s="23" t="str">
        <f t="shared" si="258"/>
        <v>F0-M98-A7</v>
      </c>
      <c r="CW278" s="23" t="str">
        <f t="shared" si="259"/>
        <v>F0-M98-A8</v>
      </c>
      <c r="CX278" s="23" t="str">
        <f t="shared" si="260"/>
        <v>F0-M98-A6</v>
      </c>
      <c r="CY278" s="23" t="str">
        <f t="shared" si="261"/>
        <v>F0-M98-A30</v>
      </c>
      <c r="CZ278" s="23" t="str">
        <f t="shared" si="262"/>
        <v>F0-M98-N</v>
      </c>
      <c r="DA278" s="23" t="str">
        <f>CONCATENATE($T278,"-A220-M",U278)</f>
        <v>F0-A220-M98</v>
      </c>
      <c r="DB278" s="23" t="str">
        <f t="shared" si="263"/>
        <v>F0-M98-XM01</v>
      </c>
      <c r="DC278" s="23" t="str">
        <f t="shared" si="264"/>
        <v>F0-M98-A1</v>
      </c>
      <c r="DD278" s="23" t="str">
        <f t="shared" si="265"/>
        <v>F0-M98-A5</v>
      </c>
      <c r="DE278" s="23" t="str">
        <f t="shared" si="266"/>
        <v>F0-M98-A11</v>
      </c>
      <c r="DF278" s="23" t="str">
        <f t="shared" si="267"/>
        <v>F0-M98-A12</v>
      </c>
      <c r="DG278" s="23" t="str">
        <f t="shared" si="268"/>
        <v>F0-M98-A19</v>
      </c>
      <c r="DH278" s="23" t="str">
        <f t="shared" si="269"/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8" ht="15.75" thickBot="1" x14ac:dyDescent="0.3">
      <c r="A279" t="s">
        <v>2486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2161</v>
      </c>
      <c r="W279" s="11" t="s">
        <v>2162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А3.37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SUM(IF(ISNUMBER(FIND("TmAi",$BE$1:$AAQ$1)),IF(IFERROR(ISODD(SUBSTITUTE($BE279:$AAQ279,"A","")),FALSE),IF(ISODD(SUBSTITUTE($BE279:$AAQ279,"A","")),1,0),0)))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SUM(IF(ISNUMBER(FIND("TmDi",$BE$1:$AAQ$1)),IF(IFERROR(ISNUMBER(VALUE(SUBSTITUTE($BE279:$AAQ279,"B",""))),FALSE),IF(ISNUMBER(VALUE(SUBSTITUTE($BE279:$AAQ279,"B",""))),1,0),0)))</f>
        <v>4</v>
      </c>
      <c r="AF279" t="str">
        <f t="shared" si="270"/>
        <v>C1</v>
      </c>
      <c r="AG279" t="str">
        <f t="shared" si="271"/>
        <v>B1</v>
      </c>
      <c r="AH279" t="str">
        <f t="shared" si="272"/>
        <v>A6.9</v>
      </c>
      <c r="AI279" s="57">
        <f t="array" ref="AI279">IF(COUNTIFS(AH$2:AH279,AH279)=1,"1",VALUE(SUBSTITUTE(INDEX(AI:AI,_xlfn.XMATCH(AH279,AH$1:AH278,0,-1)),"A",""))+INDEX(AJ:AJ,_xlfn.XMATCH(AH279,AH$1:AH278,0,-1))+1)</f>
        <v>11</v>
      </c>
      <c r="AJ279" s="57">
        <f t="array" ref="AJ279">SUM(IF(ISNUMBER(FIND("TmDo",$BE$1:$AAQ$1)),IF(IFERROR(ISNUMBER(VALUE(SUBSTITUTE($BE279:$AAQ279,"B",""))),FALSE),IF(ISNUMBER(VALUE(SUBSTITUTE($BE279:$AAQ279,"B",""))),1,0),0)))</f>
        <v>1</v>
      </c>
      <c r="AK279" s="11" t="str">
        <f t="shared" si="244"/>
        <v>11A</v>
      </c>
      <c r="AL279" s="11" t="str">
        <f t="shared" si="245"/>
        <v>11B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CONCATENATE(REPLACE(AK279,LEN(AK279),1,"")+1,"A")</f>
        <v>12A</v>
      </c>
      <c r="HF279" s="12" t="str">
        <f>CONCATENATE(REPLACE(AL279,LEN(AL279),1,"")+1,"B")</f>
        <v>12B</v>
      </c>
      <c r="HG279" s="12" t="str">
        <f>CONCATENATE("AI",REPLACE($X279,1,3,""),"-",AA279)</f>
        <v>AI37-13A</v>
      </c>
      <c r="HH279" s="12" t="str">
        <f>CONCATENATE("AI",REPLACE($X279,1,3,""),"-",AB279)</f>
        <v>AI37-13B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84">CONCATENATE("DI",REPLACE($AC279,1,3,""),"-",GU279)</f>
        <v>DI17-C2</v>
      </c>
      <c r="HL279" s="12" t="str">
        <f t="shared" si="284"/>
        <v>DI17-B2</v>
      </c>
      <c r="HM279" s="12" t="str">
        <f t="shared" si="284"/>
        <v>DI17-C3</v>
      </c>
      <c r="HN279" s="12" t="str">
        <f t="shared" si="284"/>
        <v>DI17-B3</v>
      </c>
      <c r="HO279" s="12" t="str">
        <f t="shared" si="284"/>
        <v>DI17-C4</v>
      </c>
      <c r="HP279" s="12" t="str">
        <f t="shared" si="284"/>
        <v>DI17-B4</v>
      </c>
      <c r="HQ279" s="12" t="str">
        <f t="shared" si="284"/>
        <v>DI17-C5</v>
      </c>
      <c r="HR279" s="12" t="str">
        <f t="shared" si="284"/>
        <v>DI17-B5</v>
      </c>
      <c r="HS279" s="12" t="str">
        <f t="shared" si="284"/>
        <v>DI17-</v>
      </c>
      <c r="HT279" s="12" t="str">
        <f t="shared" si="284"/>
        <v>DI17-</v>
      </c>
      <c r="HU279" s="12" t="str">
        <f>CONCATENATE("DO",REPLACE($AH279,1,3,""),"-",AK279)</f>
        <v>DO9-11A</v>
      </c>
      <c r="HV279" s="12" t="str">
        <f>CONCATENATE("DO",REPLACE($AH279,1,3,""),"-",AL279)</f>
        <v>DO9-11B</v>
      </c>
      <c r="HW279" s="12" t="str">
        <f>CONCATENATE("DO",REPLACE($AH279,1,3,""),"-",HE279)</f>
        <v>DO9-12A</v>
      </c>
      <c r="HX279" s="12" t="str">
        <f>CONCATENATE("DO",REPLACE($AH279,1,3,""),"-",HF279)</f>
        <v>DO9-12B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8" ht="15.75" thickBot="1" x14ac:dyDescent="0.3">
      <c r="A280" t="s">
        <v>2487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2163</v>
      </c>
      <c r="W280" s="22"/>
      <c r="X280" s="23"/>
      <c r="Y280" s="23"/>
      <c r="Z280" s="23"/>
      <c r="AA280" s="23"/>
      <c r="AB280" s="23"/>
      <c r="AC280" t="str">
        <f t="shared" si="276"/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SUM(IF(ISNUMBER(FIND("TmDi",$BE$1:$AAQ$1)),IF(IFERROR(ISNUMBER(VALUE(SUBSTITUTE($BE280:$AAQ280,"B",""))),FALSE),IF(ISNUMBER(VALUE(SUBSTITUTE($BE280:$AAQ280,"B",""))),1,0),0)))</f>
        <v>4</v>
      </c>
      <c r="AF280" t="str">
        <f t="shared" si="270"/>
        <v>C6</v>
      </c>
      <c r="AG280" t="str">
        <f t="shared" si="271"/>
        <v>B6</v>
      </c>
      <c r="AH280" t="str">
        <f t="shared" si="272"/>
        <v>A6.9</v>
      </c>
      <c r="AI280" s="57">
        <f t="array" ref="AI280">IF(COUNTIFS(AH$2:AH280,AH280)=1,"1",VALUE(SUBSTITUTE(INDEX(AI:AI,_xlfn.XMATCH(AH280,AH$1:AH279,0,-1)),"A",""))+INDEX(AJ:AJ,_xlfn.XMATCH(AH280,AH$1:AH279,0,-1))+1)</f>
        <v>13</v>
      </c>
      <c r="AJ280" s="57">
        <f t="array" ref="AJ280">SUM(IF(ISNUMBER(FIND("TmDo",$BE$1:$AAQ$1)),IF(IFERROR(ISNUMBER(VALUE(SUBSTITUTE($BE280:$AAQ280,"B",""))),FALSE),IF(ISNUMBER(VALUE(SUBSTITUTE($BE280:$AAQ280,"B",""))),1,0),0)))</f>
        <v>2</v>
      </c>
      <c r="AK280" s="11" t="str">
        <f t="shared" si="244"/>
        <v>13A</v>
      </c>
      <c r="AL280" s="11" t="str">
        <f t="shared" si="245"/>
        <v>13B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CONCATENATE(REPLACE(AK280,LEN(AK280),1,"")+1,"A")</f>
        <v>14A</v>
      </c>
      <c r="BQ280" s="23" t="str">
        <f>CONCATENATE(REPLACE(AL280,LEN(AL280),1,"")+1,"B")</f>
        <v>14B</v>
      </c>
      <c r="BR280" s="23" t="str">
        <f>CONCATENATE(REPLACE(BP280,LEN(BP280),1,"")+1,"A")</f>
        <v>15A</v>
      </c>
      <c r="BS280" s="23" t="str">
        <f>CONCATENATE(REPLACE(BQ280,LEN(BQ280),1,"")+1,"B")</f>
        <v>15B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85">CONCATENATE("DI",REPLACE($AC280,1,3,""),"-",BF280)</f>
        <v>DI17-C7</v>
      </c>
      <c r="BW280" s="23" t="str">
        <f t="shared" si="285"/>
        <v>DI17-B7</v>
      </c>
      <c r="BX280" s="23" t="str">
        <f t="shared" si="285"/>
        <v>DI17-C8</v>
      </c>
      <c r="BY280" s="23" t="str">
        <f t="shared" si="285"/>
        <v>DI17-B8</v>
      </c>
      <c r="BZ280" s="23" t="str">
        <f t="shared" si="285"/>
        <v>DI17-C9</v>
      </c>
      <c r="CA280" s="23" t="str">
        <f t="shared" si="285"/>
        <v>DI17-B9</v>
      </c>
      <c r="CB280" s="23" t="str">
        <f t="shared" si="285"/>
        <v>DI17-C10</v>
      </c>
      <c r="CC280" s="23" t="str">
        <f t="shared" si="285"/>
        <v>DI17-B10</v>
      </c>
      <c r="CD280" s="23" t="str">
        <f t="shared" si="285"/>
        <v>DI17-</v>
      </c>
      <c r="CE280" s="23" t="str">
        <f t="shared" si="285"/>
        <v>DI17-</v>
      </c>
      <c r="CF280" s="23" t="str">
        <f>CONCATENATE("DO",REPLACE($AH280,1,3,""),"-",AK280)</f>
        <v>DO9-13A</v>
      </c>
      <c r="CG280" s="23" t="str">
        <f>CONCATENATE("DO",REPLACE($AH280,1,3,""),"-",AL280)</f>
        <v>DO9-13B</v>
      </c>
      <c r="CH280" s="23" t="str">
        <f>CONCATENATE("DO",REPLACE($AH280,1,3,""),"-",BP280)</f>
        <v>DO9-14A</v>
      </c>
      <c r="CI280" s="23" t="str">
        <f>CONCATENATE("DO",REPLACE($AH280,1,3,""),"-",BQ280)</f>
        <v>DO9-14B</v>
      </c>
      <c r="CJ280" s="23" t="str">
        <f>CONCATENATE("DO",REPLACE($AH280,1,3,""),"-",BR280)</f>
        <v>DO9-15A</v>
      </c>
      <c r="CK280" s="23" t="str">
        <f>CONCATENATE("DO",REPLACE($AH280,1,3,""),"-",BS280)</f>
        <v>DO9-15B</v>
      </c>
      <c r="CL280" s="23" t="str">
        <f t="shared" si="248"/>
        <v>K100-10</v>
      </c>
      <c r="CM280" s="23" t="str">
        <f t="shared" si="249"/>
        <v>K100-03</v>
      </c>
      <c r="CN280" s="23" t="str">
        <f t="shared" si="250"/>
        <v>K100-04</v>
      </c>
      <c r="CO280" s="23" t="str">
        <f t="shared" si="251"/>
        <v>K100-01</v>
      </c>
      <c r="CP280" s="23" t="str">
        <f t="shared" si="252"/>
        <v>K100-08</v>
      </c>
      <c r="CQ280" s="23" t="str">
        <f t="shared" si="253"/>
        <v>K100-02</v>
      </c>
      <c r="CR280" s="23" t="str">
        <f t="shared" si="254"/>
        <v>K100-09</v>
      </c>
      <c r="CS280" s="23" t="str">
        <f t="shared" si="255"/>
        <v>K100-05</v>
      </c>
      <c r="CT280" s="23" t="str">
        <f t="shared" si="256"/>
        <v>K100-11</v>
      </c>
      <c r="CU280" s="23" t="str">
        <f t="shared" si="257"/>
        <v>F0-M100-A9</v>
      </c>
      <c r="CV280" s="23" t="str">
        <f t="shared" si="258"/>
        <v>F0-M100-A7</v>
      </c>
      <c r="CW280" s="23" t="str">
        <f t="shared" si="259"/>
        <v>F0-M100-A8</v>
      </c>
      <c r="CX280" s="23" t="str">
        <f t="shared" si="260"/>
        <v>F0-M100-A6</v>
      </c>
      <c r="CY280" s="23" t="str">
        <f t="shared" si="261"/>
        <v>F0-M100-A30</v>
      </c>
      <c r="CZ280" s="23" t="str">
        <f t="shared" si="262"/>
        <v>F0-M100-N</v>
      </c>
      <c r="DA280" s="23" t="str">
        <f>CONCATENATE($T280,"-A220-M",U280)</f>
        <v>F0-A220-M100</v>
      </c>
      <c r="DB280" s="23" t="str">
        <f t="shared" si="263"/>
        <v>F0-M100-XM01</v>
      </c>
      <c r="DC280" s="23" t="str">
        <f t="shared" si="264"/>
        <v>F0-M100-A1</v>
      </c>
      <c r="DD280" s="23" t="str">
        <f t="shared" si="265"/>
        <v>F0-M100-A5</v>
      </c>
      <c r="DE280" s="23" t="str">
        <f t="shared" si="266"/>
        <v>F0-M100-A11</v>
      </c>
      <c r="DF280" s="23" t="str">
        <f t="shared" si="267"/>
        <v>F0-M100-A12</v>
      </c>
      <c r="DG280" s="23" t="str">
        <f t="shared" si="268"/>
        <v>F0-M100-A19</v>
      </c>
      <c r="DH280" s="23" t="str">
        <f t="shared" si="269"/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8" ht="15.75" thickBot="1" x14ac:dyDescent="0.3">
      <c r="A281" t="s">
        <v>2488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2164</v>
      </c>
      <c r="W281" s="11" t="s">
        <v>2165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А3.37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SUM(IF(ISNUMBER(FIND("TmAi",$BE$1:$AAQ$1)),IF(IFERROR(ISODD(SUBSTITUTE($BE281:$AAQ281,"A","")),FALSE),IF(ISODD(SUBSTITUTE($BE281:$AAQ281,"A","")),1,0),0)))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 t="shared" si="276"/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SUM(IF(ISNUMBER(FIND("TmDi",$BE$1:$AAQ$1)),IF(IFERROR(ISNUMBER(VALUE(SUBSTITUTE($BE281:$AAQ281,"B",""))),FALSE),IF(ISNUMBER(VALUE(SUBSTITUTE($BE281:$AAQ281,"B",""))),1,0),0)))</f>
        <v>4</v>
      </c>
      <c r="AF281" t="str">
        <f t="shared" si="270"/>
        <v>C11</v>
      </c>
      <c r="AG281" t="str">
        <f t="shared" si="271"/>
        <v>B11</v>
      </c>
      <c r="AH281" t="str">
        <f t="shared" si="272"/>
        <v>A6.9</v>
      </c>
      <c r="AI281" s="57">
        <f t="array" ref="AI281">IF(COUNTIFS(AH$2:AH281,AH281)=1,"1",VALUE(SUBSTITUTE(INDEX(AI:AI,_xlfn.XMATCH(AH281,AH$1:AH280,0,-1)),"A",""))+INDEX(AJ:AJ,_xlfn.XMATCH(AH281,AH$1:AH280,0,-1))+1)</f>
        <v>16</v>
      </c>
      <c r="AJ281" s="57">
        <f t="array" ref="AJ281">SUM(IF(ISNUMBER(FIND("TmDo",$BE$1:$AAQ$1)),IF(IFERROR(ISNUMBER(VALUE(SUBSTITUTE($BE281:$AAQ281,"B",""))),FALSE),IF(ISNUMBER(VALUE(SUBSTITUTE($BE281:$AAQ281,"B",""))),1,0),0)))</f>
        <v>1</v>
      </c>
      <c r="AK281" s="11" t="str">
        <f t="shared" si="244"/>
        <v>16A</v>
      </c>
      <c r="AL281" s="11" t="str">
        <f t="shared" si="245"/>
        <v>16B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CONCATENATE(REPLACE(AK281,LEN(AK281),1,"")+1,"A")</f>
        <v>17A</v>
      </c>
      <c r="HF281" s="12" t="str">
        <f>CONCATENATE(REPLACE(AL281,LEN(AL281),1,"")+1,"B")</f>
        <v>17B</v>
      </c>
      <c r="HG281" s="12" t="str">
        <f>CONCATENATE("AI",REPLACE($X281,1,3,""),"-",AA281)</f>
        <v>AI37-15A</v>
      </c>
      <c r="HH281" s="12" t="str">
        <f>CONCATENATE("AI",REPLACE($X281,1,3,""),"-",AB281)</f>
        <v>AI37-15B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86">CONCATENATE("DI",REPLACE($AC281,1,3,""),"-",GU281)</f>
        <v>DI17-C12</v>
      </c>
      <c r="HL281" s="12" t="str">
        <f t="shared" si="286"/>
        <v>DI17-B12</v>
      </c>
      <c r="HM281" s="12" t="str">
        <f t="shared" si="286"/>
        <v>DI17-C13</v>
      </c>
      <c r="HN281" s="12" t="str">
        <f t="shared" si="286"/>
        <v>DI17-B13</v>
      </c>
      <c r="HO281" s="12" t="str">
        <f t="shared" si="286"/>
        <v>DI17-C14</v>
      </c>
      <c r="HP281" s="12" t="str">
        <f t="shared" si="286"/>
        <v>DI17-B14</v>
      </c>
      <c r="HQ281" s="12" t="str">
        <f t="shared" si="286"/>
        <v>DI17-C15</v>
      </c>
      <c r="HR281" s="12" t="str">
        <f t="shared" si="286"/>
        <v>DI17-B15</v>
      </c>
      <c r="HS281" s="12" t="str">
        <f t="shared" si="286"/>
        <v>DI17-</v>
      </c>
      <c r="HT281" s="12" t="str">
        <f t="shared" si="286"/>
        <v>DI17-</v>
      </c>
      <c r="HU281" s="12" t="str">
        <f>CONCATENATE("DO",REPLACE($AH281,1,3,""),"-",AK281)</f>
        <v>DO9-16A</v>
      </c>
      <c r="HV281" s="12" t="str">
        <f>CONCATENATE("DO",REPLACE($AH281,1,3,""),"-",AL281)</f>
        <v>DO9-16B</v>
      </c>
      <c r="HW281" s="12" t="str">
        <f>CONCATENATE("DO",REPLACE($AH281,1,3,""),"-",HE281)</f>
        <v>DO9-17A</v>
      </c>
      <c r="HX281" s="12" t="str">
        <f>CONCATENATE("DO",REPLACE($AH281,1,3,""),"-",HF281)</f>
        <v>DO9-17B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8" ht="15.75" thickBot="1" x14ac:dyDescent="0.3">
      <c r="A282" t="s">
        <v>2489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2166</v>
      </c>
      <c r="W282" s="22"/>
      <c r="X282" s="23"/>
      <c r="Y282" s="23"/>
      <c r="Z282" s="23"/>
      <c r="AA282" s="23"/>
      <c r="AB282" s="23"/>
      <c r="AC282" t="str">
        <f t="shared" si="276"/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SUM(IF(ISNUMBER(FIND("TmDi",$BE$1:$AAQ$1)),IF(IFERROR(ISNUMBER(VALUE(SUBSTITUTE($BE282:$AAQ282,"B",""))),FALSE),IF(ISNUMBER(VALUE(SUBSTITUTE($BE282:$AAQ282,"B",""))),1,0),0)))</f>
        <v>4</v>
      </c>
      <c r="AF282" t="str">
        <f t="shared" si="270"/>
        <v>C16</v>
      </c>
      <c r="AG282" t="str">
        <f t="shared" si="271"/>
        <v>B16</v>
      </c>
      <c r="AH282" t="str">
        <f t="shared" si="272"/>
        <v>A6.9</v>
      </c>
      <c r="AI282" s="57">
        <f t="array" ref="AI282">IF(COUNTIFS(AH$2:AH282,AH282)=1,"1",VALUE(SUBSTITUTE(INDEX(AI:AI,_xlfn.XMATCH(AH282,AH$1:AH281,0,-1)),"A",""))+INDEX(AJ:AJ,_xlfn.XMATCH(AH282,AH$1:AH281,0,-1))+1)</f>
        <v>18</v>
      </c>
      <c r="AJ282" s="57">
        <f t="array" ref="AJ282">SUM(IF(ISNUMBER(FIND("TmDo",$BE$1:$AAQ$1)),IF(IFERROR(ISNUMBER(VALUE(SUBSTITUTE($BE282:$AAQ282,"B",""))),FALSE),IF(ISNUMBER(VALUE(SUBSTITUTE($BE282:$AAQ282,"B",""))),1,0),0)))</f>
        <v>2</v>
      </c>
      <c r="AK282" s="11" t="str">
        <f t="shared" si="244"/>
        <v>18A</v>
      </c>
      <c r="AL282" s="11" t="str">
        <f t="shared" si="245"/>
        <v>18B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CONCATENATE(REPLACE(AK282,LEN(AK282),1,"")+1,"A")</f>
        <v>19A</v>
      </c>
      <c r="BQ282" s="23" t="str">
        <f>CONCATENATE(REPLACE(AL282,LEN(AL282),1,"")+1,"B")</f>
        <v>19B</v>
      </c>
      <c r="BR282" s="23" t="str">
        <f>CONCATENATE(REPLACE(BP282,LEN(BP282),1,"")+1,"A")</f>
        <v>20A</v>
      </c>
      <c r="BS282" s="23" t="str">
        <f>CONCATENATE(REPLACE(BQ282,LEN(BQ282),1,"")+1,"B")</f>
        <v>20B</v>
      </c>
      <c r="BT282" s="23" t="str">
        <f t="shared" ref="BT282:BU285" si="287">CONCATENATE("DI",REPLACE($AC282,1,3,""),"-",AF282)</f>
        <v>DI17-C16</v>
      </c>
      <c r="BU282" s="23" t="str">
        <f t="shared" si="287"/>
        <v>DI17-B16</v>
      </c>
      <c r="BV282" s="23" t="str">
        <f t="shared" ref="BV282:CE285" si="288">CONCATENATE("DI",REPLACE($AC282,1,3,""),"-",BF282)</f>
        <v>DI17-C17</v>
      </c>
      <c r="BW282" s="23" t="str">
        <f t="shared" si="288"/>
        <v>DI17-B17</v>
      </c>
      <c r="BX282" s="23" t="str">
        <f t="shared" si="288"/>
        <v>DI17-C18</v>
      </c>
      <c r="BY282" s="23" t="str">
        <f t="shared" si="288"/>
        <v>DI17-B18</v>
      </c>
      <c r="BZ282" s="23" t="str">
        <f t="shared" si="288"/>
        <v>DI17-C19</v>
      </c>
      <c r="CA282" s="23" t="str">
        <f t="shared" si="288"/>
        <v>DI17-B19</v>
      </c>
      <c r="CB282" s="23" t="str">
        <f t="shared" si="288"/>
        <v>DI17-C20</v>
      </c>
      <c r="CC282" s="23" t="str">
        <f t="shared" si="288"/>
        <v>DI17-B20</v>
      </c>
      <c r="CD282" s="23" t="str">
        <f t="shared" si="288"/>
        <v>DI17-</v>
      </c>
      <c r="CE282" s="23" t="str">
        <f t="shared" si="288"/>
        <v>DI17-</v>
      </c>
      <c r="CF282" s="23" t="str">
        <f t="shared" ref="CF282:CG285" si="289">CONCATENATE("DO",REPLACE($AH282,1,3,""),"-",AK282)</f>
        <v>DO9-18A</v>
      </c>
      <c r="CG282" s="23" t="str">
        <f t="shared" si="289"/>
        <v>DO9-18B</v>
      </c>
      <c r="CH282" s="23" t="str">
        <f t="shared" ref="CH282:CK285" si="290">CONCATENATE("DO",REPLACE($AH282,1,3,""),"-",BP282)</f>
        <v>DO9-19A</v>
      </c>
      <c r="CI282" s="23" t="str">
        <f t="shared" si="290"/>
        <v>DO9-19B</v>
      </c>
      <c r="CJ282" s="23" t="str">
        <f t="shared" si="290"/>
        <v>DO9-20A</v>
      </c>
      <c r="CK282" s="23" t="str">
        <f t="shared" si="290"/>
        <v>DO9-20B</v>
      </c>
      <c r="CL282" s="23" t="str">
        <f t="shared" si="248"/>
        <v>K102-10</v>
      </c>
      <c r="CM282" s="23" t="str">
        <f t="shared" si="249"/>
        <v>K102-03</v>
      </c>
      <c r="CN282" s="23" t="str">
        <f t="shared" si="250"/>
        <v>K102-04</v>
      </c>
      <c r="CO282" s="23" t="str">
        <f t="shared" si="251"/>
        <v>K102-01</v>
      </c>
      <c r="CP282" s="23" t="str">
        <f t="shared" si="252"/>
        <v>K102-08</v>
      </c>
      <c r="CQ282" s="23" t="str">
        <f t="shared" si="253"/>
        <v>K102-02</v>
      </c>
      <c r="CR282" s="23" t="str">
        <f t="shared" si="254"/>
        <v>K102-09</v>
      </c>
      <c r="CS282" s="23" t="str">
        <f t="shared" si="255"/>
        <v>K102-05</v>
      </c>
      <c r="CT282" s="23" t="str">
        <f t="shared" si="256"/>
        <v>K102-11</v>
      </c>
      <c r="CU282" s="23" t="str">
        <f t="shared" si="257"/>
        <v>F0-M102-A9</v>
      </c>
      <c r="CV282" s="23" t="str">
        <f t="shared" si="258"/>
        <v>F0-M102-A7</v>
      </c>
      <c r="CW282" s="23" t="str">
        <f t="shared" si="259"/>
        <v>F0-M102-A8</v>
      </c>
      <c r="CX282" s="23" t="str">
        <f t="shared" si="260"/>
        <v>F0-M102-A6</v>
      </c>
      <c r="CY282" s="23" t="str">
        <f t="shared" si="261"/>
        <v>F0-M102-A30</v>
      </c>
      <c r="CZ282" s="23" t="str">
        <f t="shared" si="262"/>
        <v>F0-M102-N</v>
      </c>
      <c r="DA282" s="23" t="str">
        <f>CONCATENATE($T282,"-A220-M",U282)</f>
        <v>F0-A220-M102</v>
      </c>
      <c r="DB282" s="23" t="str">
        <f t="shared" si="263"/>
        <v>F0-M102-XM01</v>
      </c>
      <c r="DC282" s="23" t="str">
        <f t="shared" si="264"/>
        <v>F0-M102-A1</v>
      </c>
      <c r="DD282" s="23" t="str">
        <f t="shared" si="265"/>
        <v>F0-M102-A5</v>
      </c>
      <c r="DE282" s="23" t="str">
        <f t="shared" si="266"/>
        <v>F0-M102-A11</v>
      </c>
      <c r="DF282" s="23" t="str">
        <f t="shared" si="267"/>
        <v>F0-M102-A12</v>
      </c>
      <c r="DG282" s="23" t="str">
        <f t="shared" si="268"/>
        <v>F0-M102-A19</v>
      </c>
      <c r="DH282" s="23" t="str">
        <f t="shared" si="269"/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8" ht="15.75" thickBot="1" x14ac:dyDescent="0.3">
      <c r="A283" t="s">
        <v>2490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2167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SUM(IF(ISNUMBER(FIND("TmDi",$BE$1:$AAQ$1)),IF(IFERROR(ISNUMBER(VALUE(SUBSTITUTE($BE283:$AAQ283,"B",""))),FALSE),IF(ISNUMBER(VALUE(SUBSTITUTE($BE283:$AAQ283,"B",""))),1,0),0)))</f>
        <v>5</v>
      </c>
      <c r="AF283" t="str">
        <f t="shared" si="270"/>
        <v>C1</v>
      </c>
      <c r="AG283" t="str">
        <f t="shared" si="271"/>
        <v>B1</v>
      </c>
      <c r="AH283" s="19" t="s">
        <v>1862</v>
      </c>
      <c r="AI283" s="57" t="str">
        <f t="array" ref="AI283">IF(COUNTIFS(AH$2:AH283,AH283)=1,"1",VALUE(SUBSTITUTE(INDEX(AI:AI,_xlfn.XMATCH(AH283,AH$1:AH282,0,-1)),"A",""))+INDEX(AJ:AJ,_xlfn.XMATCH(AH283,AH$1:AH282,0,-1))+1)</f>
        <v>1</v>
      </c>
      <c r="AJ283" s="57">
        <f t="array" ref="AJ283">SUM(IF(ISNUMBER(FIND("TmDo",$BE$1:$AAQ$1)),IF(IFERROR(ISNUMBER(VALUE(SUBSTITUTE($BE283:$AAQ283,"B",""))),FALSE),IF(ISNUMBER(VALUE(SUBSTITUTE($BE283:$AAQ283,"B",""))),1,0),0)))</f>
        <v>2</v>
      </c>
      <c r="AK283" s="19" t="str">
        <f>CONCATENATE($AI283,"A")</f>
        <v>1A</v>
      </c>
      <c r="AL283" s="19" t="str">
        <f>CONCATENATE($AI283,"B")</f>
        <v>1B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CONCATENATE(REPLACE(AK283,LEN(AK283),1,"")+1,"A")</f>
        <v>2A</v>
      </c>
      <c r="BQ283" s="19" t="str">
        <f>CONCATENATE(REPLACE(AL283,LEN(AL283),1,"")+1,"B")</f>
        <v>2B</v>
      </c>
      <c r="BR283" s="19" t="str">
        <f>CONCATENATE(REPLACE(BP283,LEN(BP283),1,"")+1,"A")</f>
        <v>3A</v>
      </c>
      <c r="BS283" s="19" t="str">
        <f>CONCATENATE(REPLACE(BQ283,LEN(BQ283),1,"")+1,"B")</f>
        <v>3B</v>
      </c>
      <c r="BT283" s="19" t="str">
        <f t="shared" si="287"/>
        <v>DI18-C1</v>
      </c>
      <c r="BU283" s="19" t="str">
        <f t="shared" si="287"/>
        <v>DI18-B1</v>
      </c>
      <c r="BV283" s="19" t="str">
        <f t="shared" si="288"/>
        <v>DI18-C2</v>
      </c>
      <c r="BW283" s="19" t="str">
        <f t="shared" si="288"/>
        <v>DI18-B2</v>
      </c>
      <c r="BX283" s="19" t="str">
        <f t="shared" si="288"/>
        <v>DI18-C3</v>
      </c>
      <c r="BY283" s="19" t="str">
        <f t="shared" si="288"/>
        <v>DI18-B3</v>
      </c>
      <c r="BZ283" s="19" t="str">
        <f t="shared" si="288"/>
        <v>DI18-C4</v>
      </c>
      <c r="CA283" s="19" t="str">
        <f t="shared" si="288"/>
        <v>DI18-B4</v>
      </c>
      <c r="CB283" s="19" t="str">
        <f t="shared" si="288"/>
        <v>DI18-C5</v>
      </c>
      <c r="CC283" s="19" t="str">
        <f t="shared" si="288"/>
        <v>DI18-B5</v>
      </c>
      <c r="CD283" s="19" t="str">
        <f t="shared" si="288"/>
        <v>DI18-C6</v>
      </c>
      <c r="CE283" s="19" t="str">
        <f t="shared" si="288"/>
        <v>DI18-B6</v>
      </c>
      <c r="CF283" s="19" t="str">
        <f t="shared" si="289"/>
        <v>DO10-1A</v>
      </c>
      <c r="CG283" s="19" t="str">
        <f t="shared" si="289"/>
        <v>DO10-1B</v>
      </c>
      <c r="CH283" s="19" t="str">
        <f t="shared" si="290"/>
        <v>DO10-2A</v>
      </c>
      <c r="CI283" s="19" t="str">
        <f t="shared" si="290"/>
        <v>DO10-2B</v>
      </c>
      <c r="CJ283" s="19" t="str">
        <f t="shared" si="290"/>
        <v>DO10-3A</v>
      </c>
      <c r="CK283" s="19" t="str">
        <f t="shared" si="290"/>
        <v>DO10-3B</v>
      </c>
      <c r="CL283" s="19" t="str">
        <f t="shared" si="248"/>
        <v>K103-10</v>
      </c>
      <c r="CM283" s="19" t="str">
        <f t="shared" si="249"/>
        <v>K103-03</v>
      </c>
      <c r="CN283" s="19" t="str">
        <f t="shared" si="250"/>
        <v>K103-04</v>
      </c>
      <c r="CO283" s="19" t="str">
        <f t="shared" si="251"/>
        <v>K103-01</v>
      </c>
      <c r="CP283" s="19" t="str">
        <f t="shared" si="252"/>
        <v>K103-08</v>
      </c>
      <c r="CQ283" s="19" t="str">
        <f t="shared" si="253"/>
        <v>K103-02</v>
      </c>
      <c r="CR283" s="19" t="str">
        <f t="shared" si="254"/>
        <v>K103-09</v>
      </c>
      <c r="CS283" s="19" t="str">
        <f t="shared" si="255"/>
        <v>K103-05</v>
      </c>
      <c r="CT283" s="19" t="str">
        <f t="shared" si="256"/>
        <v>K103-11</v>
      </c>
      <c r="CU283" s="19" t="str">
        <f t="shared" si="257"/>
        <v>F0-M103-A9</v>
      </c>
      <c r="CV283" s="19" t="str">
        <f t="shared" si="258"/>
        <v>F0-M103-A7</v>
      </c>
      <c r="CW283" s="19" t="str">
        <f t="shared" si="259"/>
        <v>F0-M103-A8</v>
      </c>
      <c r="CX283" s="19" t="str">
        <f t="shared" si="260"/>
        <v>F0-M103-A6</v>
      </c>
      <c r="CY283" s="19" t="str">
        <f t="shared" si="261"/>
        <v>F0-M103-A30</v>
      </c>
      <c r="CZ283" s="19" t="str">
        <f t="shared" si="262"/>
        <v>F0-M103-N</v>
      </c>
      <c r="DA283" s="19" t="str">
        <f>CONCATENATE($T283,"-A220-M",U283)</f>
        <v>F0-A220-M103</v>
      </c>
      <c r="DB283" s="19" t="str">
        <f t="shared" si="263"/>
        <v>F0-M103-XM01</v>
      </c>
      <c r="DC283" s="19" t="str">
        <f t="shared" si="264"/>
        <v>F0-M103-A1</v>
      </c>
      <c r="DD283" s="19" t="str">
        <f t="shared" si="265"/>
        <v>F0-M103-A5</v>
      </c>
      <c r="DE283" s="19" t="str">
        <f t="shared" si="266"/>
        <v>F0-M103-A11</v>
      </c>
      <c r="DF283" s="19" t="str">
        <f t="shared" si="267"/>
        <v>F0-M103-A12</v>
      </c>
      <c r="DG283" s="19" t="str">
        <f t="shared" si="268"/>
        <v>F0-M103-A19</v>
      </c>
      <c r="DH283" s="19" t="str">
        <f t="shared" si="269"/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8" ht="15.75" thickBot="1" x14ac:dyDescent="0.3">
      <c r="A284" t="s">
        <v>2514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2168</v>
      </c>
      <c r="W284" s="18"/>
      <c r="X284" s="19"/>
      <c r="Y284" s="19"/>
      <c r="Z284" s="19"/>
      <c r="AA284" s="19"/>
      <c r="AB284" s="19"/>
      <c r="AC284" t="str">
        <f t="shared" si="276"/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SUM(IF(ISNUMBER(FIND("TmDi",$BE$1:$AAQ$1)),IF(IFERROR(ISNUMBER(VALUE(SUBSTITUTE($BE284:$AAQ284,"B",""))),FALSE),IF(ISNUMBER(VALUE(SUBSTITUTE($BE284:$AAQ284,"B",""))),1,0),0)))</f>
        <v>5</v>
      </c>
      <c r="AF284" t="str">
        <f t="shared" si="270"/>
        <v>C7</v>
      </c>
      <c r="AG284" t="str">
        <f t="shared" si="271"/>
        <v>B7</v>
      </c>
      <c r="AH284" t="str">
        <f t="shared" si="272"/>
        <v>A6.10</v>
      </c>
      <c r="AI284" s="57">
        <f t="array" ref="AI284">IF(COUNTIFS(AH$2:AH284,AH284)=1,"1",VALUE(SUBSTITUTE(INDEX(AI:AI,_xlfn.XMATCH(AH284,AH$1:AH283,0,-1)),"A",""))+INDEX(AJ:AJ,_xlfn.XMATCH(AH284,AH$1:AH283,0,-1))+1)</f>
        <v>4</v>
      </c>
      <c r="AJ284" s="57">
        <f t="array" ref="AJ284">SUM(IF(ISNUMBER(FIND("TmDo",$BE$1:$AAQ$1)),IF(IFERROR(ISNUMBER(VALUE(SUBSTITUTE($BE284:$AAQ284,"B",""))),FALSE),IF(ISNUMBER(VALUE(SUBSTITUTE($BE284:$AAQ284,"B",""))),1,0),0)))</f>
        <v>2</v>
      </c>
      <c r="AK284" s="19" t="str">
        <f>CONCATENATE($AI284,"A")</f>
        <v>4A</v>
      </c>
      <c r="AL284" s="19" t="str">
        <f>CONCATENATE($AI284,"B")</f>
        <v>4B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CONCATENATE(REPLACE(AK284,LEN(AK284),1,"")+1,"A")</f>
        <v>5A</v>
      </c>
      <c r="BQ284" s="19" t="str">
        <f>CONCATENATE(REPLACE(AL284,LEN(AL284),1,"")+1,"B")</f>
        <v>5B</v>
      </c>
      <c r="BR284" s="19" t="str">
        <f>CONCATENATE(REPLACE(BP284,LEN(BP284),1,"")+1,"A")</f>
        <v>6A</v>
      </c>
      <c r="BS284" s="19" t="str">
        <f>CONCATENATE(REPLACE(BQ284,LEN(BQ284),1,"")+1,"B")</f>
        <v>6B</v>
      </c>
      <c r="BT284" s="19" t="str">
        <f t="shared" si="287"/>
        <v>DI18-C7</v>
      </c>
      <c r="BU284" s="19" t="str">
        <f t="shared" si="287"/>
        <v>DI18-B7</v>
      </c>
      <c r="BV284" s="19" t="str">
        <f t="shared" si="288"/>
        <v>DI18-C8</v>
      </c>
      <c r="BW284" s="19" t="str">
        <f t="shared" si="288"/>
        <v>DI18-B8</v>
      </c>
      <c r="BX284" s="19" t="str">
        <f t="shared" si="288"/>
        <v>DI18-C9</v>
      </c>
      <c r="BY284" s="19" t="str">
        <f t="shared" si="288"/>
        <v>DI18-B9</v>
      </c>
      <c r="BZ284" s="19" t="str">
        <f t="shared" si="288"/>
        <v>DI18-C10</v>
      </c>
      <c r="CA284" s="19" t="str">
        <f t="shared" si="288"/>
        <v>DI18-B10</v>
      </c>
      <c r="CB284" s="19" t="str">
        <f t="shared" si="288"/>
        <v>DI18-C11</v>
      </c>
      <c r="CC284" s="19" t="str">
        <f t="shared" si="288"/>
        <v>DI18-B11</v>
      </c>
      <c r="CD284" s="19" t="str">
        <f t="shared" si="288"/>
        <v>DI18-C12</v>
      </c>
      <c r="CE284" s="19" t="str">
        <f t="shared" si="288"/>
        <v>DI18-B12</v>
      </c>
      <c r="CF284" s="19" t="str">
        <f t="shared" si="289"/>
        <v>DO10-4A</v>
      </c>
      <c r="CG284" s="19" t="str">
        <f t="shared" si="289"/>
        <v>DO10-4B</v>
      </c>
      <c r="CH284" s="19" t="str">
        <f t="shared" si="290"/>
        <v>DO10-5A</v>
      </c>
      <c r="CI284" s="19" t="str">
        <f t="shared" si="290"/>
        <v>DO10-5B</v>
      </c>
      <c r="CJ284" s="19" t="str">
        <f t="shared" si="290"/>
        <v>DO10-6A</v>
      </c>
      <c r="CK284" s="19" t="str">
        <f t="shared" si="290"/>
        <v>DO10-6B</v>
      </c>
      <c r="CL284" s="19" t="str">
        <f t="shared" si="248"/>
        <v>K104-10</v>
      </c>
      <c r="CM284" s="19" t="str">
        <f t="shared" si="249"/>
        <v>K104-03</v>
      </c>
      <c r="CN284" s="19" t="str">
        <f t="shared" si="250"/>
        <v>K104-04</v>
      </c>
      <c r="CO284" s="19" t="str">
        <f t="shared" si="251"/>
        <v>K104-01</v>
      </c>
      <c r="CP284" s="19" t="str">
        <f t="shared" si="252"/>
        <v>K104-08</v>
      </c>
      <c r="CQ284" s="19" t="str">
        <f t="shared" si="253"/>
        <v>K104-02</v>
      </c>
      <c r="CR284" s="19" t="str">
        <f t="shared" si="254"/>
        <v>K104-09</v>
      </c>
      <c r="CS284" s="19" t="str">
        <f t="shared" si="255"/>
        <v>K104-05</v>
      </c>
      <c r="CT284" s="19" t="str">
        <f t="shared" si="256"/>
        <v>K104-11</v>
      </c>
      <c r="CU284" s="19" t="str">
        <f t="shared" si="257"/>
        <v>F0-M104-A9</v>
      </c>
      <c r="CV284" s="19" t="str">
        <f t="shared" si="258"/>
        <v>F0-M104-A7</v>
      </c>
      <c r="CW284" s="19" t="str">
        <f t="shared" si="259"/>
        <v>F0-M104-A8</v>
      </c>
      <c r="CX284" s="19" t="str">
        <f t="shared" si="260"/>
        <v>F0-M104-A6</v>
      </c>
      <c r="CY284" s="19" t="str">
        <f t="shared" si="261"/>
        <v>F0-M104-A30</v>
      </c>
      <c r="CZ284" s="19" t="str">
        <f t="shared" si="262"/>
        <v>F0-M104-N</v>
      </c>
      <c r="DA284" s="19" t="str">
        <f>CONCATENATE($T284,"-A220-M",U284)</f>
        <v>F0-A220-M104</v>
      </c>
      <c r="DB284" s="19" t="str">
        <f t="shared" si="263"/>
        <v>F0-M104-XM01</v>
      </c>
      <c r="DC284" s="19" t="str">
        <f t="shared" si="264"/>
        <v>F0-M104-A1</v>
      </c>
      <c r="DD284" s="19" t="str">
        <f t="shared" si="265"/>
        <v>F0-M104-A5</v>
      </c>
      <c r="DE284" s="19" t="str">
        <f t="shared" si="266"/>
        <v>F0-M104-A11</v>
      </c>
      <c r="DF284" s="19" t="str">
        <f t="shared" si="267"/>
        <v>F0-M104-A12</v>
      </c>
      <c r="DG284" s="19" t="str">
        <f t="shared" si="268"/>
        <v>F0-M104-A19</v>
      </c>
      <c r="DH284" s="19" t="str">
        <f t="shared" si="269"/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8" ht="15.75" thickBot="1" x14ac:dyDescent="0.3">
      <c r="A285" t="s">
        <v>2491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2169</v>
      </c>
      <c r="W285" s="18"/>
      <c r="X285" s="19"/>
      <c r="Y285" s="19"/>
      <c r="Z285" s="19"/>
      <c r="AA285" s="19"/>
      <c r="AB285" s="19"/>
      <c r="AC285" t="str">
        <f t="shared" ref="AC285:AC294" si="291"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SUM(IF(ISNUMBER(FIND("TmDi",$BE$1:$AAQ$1)),IF(IFERROR(ISNUMBER(VALUE(SUBSTITUTE($BE285:$AAQ285,"B",""))),FALSE),IF(ISNUMBER(VALUE(SUBSTITUTE($BE285:$AAQ285,"B",""))),1,0),0)))</f>
        <v>5</v>
      </c>
      <c r="AF285" t="str">
        <f t="shared" si="270"/>
        <v>C13</v>
      </c>
      <c r="AG285" t="str">
        <f t="shared" si="271"/>
        <v>B13</v>
      </c>
      <c r="AH285" t="str">
        <f>IF(AI284+AJ284&gt;31,REPLACE(AH284,LEN(AH284),1,VALUE(RIGHT(AH284,1))+1),AH284)</f>
        <v>A6.10</v>
      </c>
      <c r="AI285" s="57">
        <f t="array" ref="AI285">IF(COUNTIFS(AH$2:AH285,AH285)=1,"1",VALUE(SUBSTITUTE(INDEX(AI:AI,_xlfn.XMATCH(AH285,AH$1:AH284,0,-1)),"A",""))+INDEX(AJ:AJ,_xlfn.XMATCH(AH285,AH$1:AH284,0,-1))+1)</f>
        <v>7</v>
      </c>
      <c r="AJ285" s="57">
        <f t="array" ref="AJ285">SUM(IF(ISNUMBER(FIND("TmDo",$BE$1:$AAQ$1)),IF(IFERROR(ISNUMBER(VALUE(SUBSTITUTE($BE285:$AAQ285,"B",""))),FALSE),IF(ISNUMBER(VALUE(SUBSTITUTE($BE285:$AAQ285,"B",""))),1,0),0)))</f>
        <v>2</v>
      </c>
      <c r="AK285" s="19" t="str">
        <f>CONCATENATE($AI285,"A")</f>
        <v>7A</v>
      </c>
      <c r="AL285" s="19" t="str">
        <f>CONCATENATE($AI285,"B")</f>
        <v>7B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CONCATENATE(REPLACE(AK285,LEN(AK285),1,"")+1,"A")</f>
        <v>8A</v>
      </c>
      <c r="BQ285" s="19" t="str">
        <f>CONCATENATE(REPLACE(AL285,LEN(AL285),1,"")+1,"B")</f>
        <v>8B</v>
      </c>
      <c r="BR285" s="19" t="str">
        <f>CONCATENATE(REPLACE(BP285,LEN(BP285),1,"")+1,"A")</f>
        <v>9A</v>
      </c>
      <c r="BS285" s="19" t="str">
        <f>CONCATENATE(REPLACE(BQ285,LEN(BQ285),1,"")+1,"B")</f>
        <v>9B</v>
      </c>
      <c r="BT285" s="19" t="str">
        <f t="shared" si="287"/>
        <v>DI18-C13</v>
      </c>
      <c r="BU285" s="19" t="str">
        <f t="shared" si="287"/>
        <v>DI18-B13</v>
      </c>
      <c r="BV285" s="19" t="str">
        <f t="shared" si="288"/>
        <v>DI18-C14</v>
      </c>
      <c r="BW285" s="19" t="str">
        <f t="shared" si="288"/>
        <v>DI18-B14</v>
      </c>
      <c r="BX285" s="19" t="str">
        <f t="shared" si="288"/>
        <v>DI18-C15</v>
      </c>
      <c r="BY285" s="19" t="str">
        <f t="shared" si="288"/>
        <v>DI18-B15</v>
      </c>
      <c r="BZ285" s="19" t="str">
        <f t="shared" si="288"/>
        <v>DI18-C16</v>
      </c>
      <c r="CA285" s="19" t="str">
        <f t="shared" si="288"/>
        <v>DI18-B16</v>
      </c>
      <c r="CB285" s="19" t="str">
        <f t="shared" si="288"/>
        <v>DI18-C17</v>
      </c>
      <c r="CC285" s="19" t="str">
        <f t="shared" si="288"/>
        <v>DI18-B17</v>
      </c>
      <c r="CD285" s="19" t="str">
        <f t="shared" si="288"/>
        <v>DI18-C18</v>
      </c>
      <c r="CE285" s="19" t="str">
        <f t="shared" si="288"/>
        <v>DI18-B18</v>
      </c>
      <c r="CF285" s="19" t="str">
        <f t="shared" si="289"/>
        <v>DO10-7A</v>
      </c>
      <c r="CG285" s="19" t="str">
        <f t="shared" si="289"/>
        <v>DO10-7B</v>
      </c>
      <c r="CH285" s="19" t="str">
        <f t="shared" si="290"/>
        <v>DO10-8A</v>
      </c>
      <c r="CI285" s="19" t="str">
        <f t="shared" si="290"/>
        <v>DO10-8B</v>
      </c>
      <c r="CJ285" s="19" t="str">
        <f t="shared" si="290"/>
        <v>DO10-9A</v>
      </c>
      <c r="CK285" s="19" t="str">
        <f t="shared" si="290"/>
        <v>DO10-9B</v>
      </c>
      <c r="CL285" s="19" t="str">
        <f t="shared" si="248"/>
        <v>K105-10</v>
      </c>
      <c r="CM285" s="19" t="str">
        <f t="shared" si="249"/>
        <v>K105-03</v>
      </c>
      <c r="CN285" s="19" t="str">
        <f t="shared" si="250"/>
        <v>K105-04</v>
      </c>
      <c r="CO285" s="19" t="str">
        <f t="shared" si="251"/>
        <v>K105-01</v>
      </c>
      <c r="CP285" s="19" t="str">
        <f t="shared" si="252"/>
        <v>K105-08</v>
      </c>
      <c r="CQ285" s="19" t="str">
        <f t="shared" si="253"/>
        <v>K105-02</v>
      </c>
      <c r="CR285" s="19" t="str">
        <f t="shared" si="254"/>
        <v>K105-09</v>
      </c>
      <c r="CS285" s="19" t="str">
        <f t="shared" si="255"/>
        <v>K105-05</v>
      </c>
      <c r="CT285" s="19" t="str">
        <f t="shared" si="256"/>
        <v>K105-11</v>
      </c>
      <c r="CU285" s="19" t="str">
        <f t="shared" si="257"/>
        <v>F0-M105-A9</v>
      </c>
      <c r="CV285" s="19" t="str">
        <f t="shared" si="258"/>
        <v>F0-M105-A7</v>
      </c>
      <c r="CW285" s="19" t="str">
        <f t="shared" si="259"/>
        <v>F0-M105-A8</v>
      </c>
      <c r="CX285" s="19" t="str">
        <f t="shared" si="260"/>
        <v>F0-M105-A6</v>
      </c>
      <c r="CY285" s="19" t="str">
        <f t="shared" si="261"/>
        <v>F0-M105-A30</v>
      </c>
      <c r="CZ285" s="19" t="str">
        <f t="shared" si="262"/>
        <v>F0-M105-N</v>
      </c>
      <c r="DA285" s="19" t="str">
        <f>CONCATENATE($T285,"-A220-M",U285)</f>
        <v>F0-A220-M105</v>
      </c>
      <c r="DB285" s="19" t="str">
        <f t="shared" si="263"/>
        <v>F0-M105-XM01</v>
      </c>
      <c r="DC285" s="19" t="str">
        <f t="shared" si="264"/>
        <v>F0-M105-A1</v>
      </c>
      <c r="DD285" s="19" t="str">
        <f t="shared" si="265"/>
        <v>F0-M105-A5</v>
      </c>
      <c r="DE285" s="19" t="str">
        <f t="shared" si="266"/>
        <v>F0-M105-A11</v>
      </c>
      <c r="DF285" s="19" t="str">
        <f t="shared" si="267"/>
        <v>F0-M105-A12</v>
      </c>
      <c r="DG285" s="19" t="str">
        <f t="shared" si="268"/>
        <v>F0-M105-A19</v>
      </c>
      <c r="DH285" s="19" t="str">
        <f t="shared" si="269"/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8" x14ac:dyDescent="0.25">
      <c r="A286" t="s">
        <v>2492</v>
      </c>
      <c r="B286" t="s">
        <v>2173</v>
      </c>
      <c r="P286" t="s">
        <v>1873</v>
      </c>
      <c r="T286" s="25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SUM(IF(ISNUMBER(FIND("TmDi",$BE$1:$AAQ$1)),IF(IFERROR(ISNUMBER(VALUE(SUBSTITUTE($BE286:$AAQ286,"B",""))),FALSE),IF(ISNUMBER(VALUE(SUBSTITUTE($BE286:$AAQ286,"B",""))),1,0),0)))</f>
        <v>0</v>
      </c>
      <c r="AF286" t="str">
        <f t="shared" si="270"/>
        <v>C1</v>
      </c>
      <c r="AG286" t="str">
        <f t="shared" si="271"/>
        <v>B1</v>
      </c>
      <c r="AP286" t="s">
        <v>137</v>
      </c>
      <c r="AT286" t="s">
        <v>854</v>
      </c>
      <c r="AU286" t="s">
        <v>1399</v>
      </c>
      <c r="LZ286" s="25" t="str">
        <f>CONCATENATE("DI",REPLACE($AC286,1,3,""),"-",$AF286)</f>
        <v>DI19-C1</v>
      </c>
      <c r="MA286" s="12" t="str">
        <f>CONCATENATE("DI",REPLACE($AC286,1,3,""),"-",$AG286)</f>
        <v>DI19-B1</v>
      </c>
      <c r="MB286" s="12" t="s">
        <v>1884</v>
      </c>
      <c r="MC286" s="12" t="s">
        <v>1883</v>
      </c>
      <c r="MD286" s="12">
        <v>11</v>
      </c>
      <c r="ME286" s="12">
        <v>14</v>
      </c>
      <c r="MF286" s="12" t="s">
        <v>142</v>
      </c>
      <c r="MG286" s="12" t="s">
        <v>143</v>
      </c>
      <c r="MH286" s="12" t="s">
        <v>488</v>
      </c>
      <c r="MI286" s="12" t="s">
        <v>487</v>
      </c>
      <c r="MJ286" s="12" t="s">
        <v>414</v>
      </c>
      <c r="MK286" s="12" t="s">
        <v>413</v>
      </c>
      <c r="ML286" s="12"/>
      <c r="MM286" s="12"/>
      <c r="MN286" s="12"/>
      <c r="MO286" s="12"/>
      <c r="MP286" s="12"/>
      <c r="MQ286" s="12"/>
      <c r="MR286" s="12">
        <v>1</v>
      </c>
      <c r="MS286" s="13">
        <v>2</v>
      </c>
      <c r="MT286" s="27"/>
    </row>
    <row r="287" spans="1:358" x14ac:dyDescent="0.25">
      <c r="A287" t="s">
        <v>2493</v>
      </c>
      <c r="B287" t="s">
        <v>2174</v>
      </c>
      <c r="P287" t="s">
        <v>1873</v>
      </c>
      <c r="T287" s="27" t="s">
        <v>554</v>
      </c>
      <c r="AC287" t="str">
        <f t="shared" si="291"/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SUM(IF(ISNUMBER(FIND("TmDi",$BE$1:$AAQ$1)),IF(IFERROR(ISNUMBER(VALUE(SUBSTITUTE($BE287:$AAQ287,"B",""))),FALSE),IF(ISNUMBER(VALUE(SUBSTITUTE($BE287:$AAQ287,"B",""))),1,0),0)))</f>
        <v>0</v>
      </c>
      <c r="AF287" t="str">
        <f t="shared" si="270"/>
        <v>C2</v>
      </c>
      <c r="AG287" t="str">
        <f t="shared" si="271"/>
        <v>B2</v>
      </c>
      <c r="AP287" t="s">
        <v>137</v>
      </c>
      <c r="AT287" t="s">
        <v>854</v>
      </c>
      <c r="AU287" t="s">
        <v>1399</v>
      </c>
      <c r="LZ287" s="27" t="str">
        <f>CONCATENATE("DI",REPLACE($AC287,1,3,""),"-",$AF287)</f>
        <v>DI19-C2</v>
      </c>
      <c r="MA287" t="str">
        <f t="shared" ref="MA287:MA315" si="292">CONCATENATE("DI",REPLACE($AC287,1,3,""),"-",$AG287)</f>
        <v>DI19-B2</v>
      </c>
      <c r="MB287" t="s">
        <v>1885</v>
      </c>
      <c r="MC287" t="s">
        <v>1886</v>
      </c>
      <c r="MD287">
        <f t="shared" ref="MD287:MK287" si="293">MD286</f>
        <v>11</v>
      </c>
      <c r="ME287">
        <f t="shared" si="293"/>
        <v>14</v>
      </c>
      <c r="MF287" t="str">
        <f t="shared" si="293"/>
        <v>A1</v>
      </c>
      <c r="MG287" t="str">
        <f t="shared" si="293"/>
        <v>A2</v>
      </c>
      <c r="MH287" t="str">
        <f t="shared" si="293"/>
        <v>0v3</v>
      </c>
      <c r="MI287" t="str">
        <f t="shared" si="293"/>
        <v>24v3</v>
      </c>
      <c r="MJ287" t="str">
        <f t="shared" si="293"/>
        <v>0v6</v>
      </c>
      <c r="MK287" t="str">
        <f t="shared" si="293"/>
        <v>24v6</v>
      </c>
      <c r="MR287">
        <f>MR286</f>
        <v>1</v>
      </c>
      <c r="MS287" s="16">
        <f>MS286</f>
        <v>2</v>
      </c>
    </row>
    <row r="288" spans="1:358" x14ac:dyDescent="0.25">
      <c r="A288" t="s">
        <v>2494</v>
      </c>
      <c r="B288" t="s">
        <v>2175</v>
      </c>
      <c r="P288" t="s">
        <v>1873</v>
      </c>
      <c r="T288" s="27" t="s">
        <v>554</v>
      </c>
      <c r="AC288" t="str">
        <f t="shared" si="291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SUM(IF(ISNUMBER(FIND("TmDi",$BE$1:$AAQ$1)),IF(IFERROR(ISNUMBER(VALUE(SUBSTITUTE($BE288:$AAQ288,"B",""))),FALSE),IF(ISNUMBER(VALUE(SUBSTITUTE($BE288:$AAQ288,"B",""))),1,0),0)))</f>
        <v>0</v>
      </c>
      <c r="AF288" t="str">
        <f t="shared" si="270"/>
        <v>C3</v>
      </c>
      <c r="AG288" t="str">
        <f t="shared" si="271"/>
        <v>B3</v>
      </c>
      <c r="AP288" t="s">
        <v>137</v>
      </c>
      <c r="AT288" t="s">
        <v>854</v>
      </c>
      <c r="AU288" t="s">
        <v>1399</v>
      </c>
      <c r="LZ288" s="27" t="str">
        <f t="shared" ref="LZ288:LZ294" si="294">CONCATENATE("DI",REPLACE($AC288,1,3,""),"-",$AF288)</f>
        <v>DI19-C3</v>
      </c>
      <c r="MA288" t="str">
        <f t="shared" si="292"/>
        <v>DI19-B3</v>
      </c>
      <c r="MB288" t="s">
        <v>1887</v>
      </c>
      <c r="MC288" t="s">
        <v>1888</v>
      </c>
      <c r="MD288">
        <f t="shared" ref="MD288:MD294" si="295">MD287</f>
        <v>11</v>
      </c>
      <c r="ME288">
        <f t="shared" ref="ME288:ME294" si="296">ME287</f>
        <v>14</v>
      </c>
      <c r="MF288" t="str">
        <f t="shared" ref="MF288:MF294" si="297">MF287</f>
        <v>A1</v>
      </c>
      <c r="MG288" t="str">
        <f t="shared" ref="MG288:MG294" si="298">MG287</f>
        <v>A2</v>
      </c>
      <c r="MH288" t="str">
        <f t="shared" ref="MH288:MH294" si="299">MH287</f>
        <v>0v3</v>
      </c>
      <c r="MI288" t="str">
        <f t="shared" ref="MI288:MI294" si="300">MI287</f>
        <v>24v3</v>
      </c>
      <c r="MJ288" t="str">
        <f t="shared" ref="MJ288:MJ294" si="301">MJ287</f>
        <v>0v6</v>
      </c>
      <c r="MK288" t="str">
        <f t="shared" ref="MK288:MK294" si="302">MK287</f>
        <v>24v6</v>
      </c>
      <c r="MR288">
        <f t="shared" ref="MR288:MR294" si="303">MR287</f>
        <v>1</v>
      </c>
      <c r="MS288" s="16">
        <f t="shared" ref="MS288:MS294" si="304">MS287</f>
        <v>2</v>
      </c>
    </row>
    <row r="289" spans="1:358" x14ac:dyDescent="0.25">
      <c r="A289" t="s">
        <v>2495</v>
      </c>
      <c r="B289" t="s">
        <v>2176</v>
      </c>
      <c r="P289" t="s">
        <v>1873</v>
      </c>
      <c r="T289" s="27" t="s">
        <v>554</v>
      </c>
      <c r="AC289" t="str">
        <f t="shared" si="291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SUM(IF(ISNUMBER(FIND("TmDi",$BE$1:$AAQ$1)),IF(IFERROR(ISNUMBER(VALUE(SUBSTITUTE($BE289:$AAQ289,"B",""))),FALSE),IF(ISNUMBER(VALUE(SUBSTITUTE($BE289:$AAQ289,"B",""))),1,0),0)))</f>
        <v>0</v>
      </c>
      <c r="AF289" t="str">
        <f t="shared" si="270"/>
        <v>C4</v>
      </c>
      <c r="AG289" t="str">
        <f t="shared" si="271"/>
        <v>B4</v>
      </c>
      <c r="AP289" t="s">
        <v>137</v>
      </c>
      <c r="AT289" t="s">
        <v>854</v>
      </c>
      <c r="AU289" t="s">
        <v>1399</v>
      </c>
      <c r="LZ289" s="27" t="str">
        <f t="shared" si="294"/>
        <v>DI19-C4</v>
      </c>
      <c r="MA289" t="str">
        <f t="shared" si="292"/>
        <v>DI19-B4</v>
      </c>
      <c r="MB289" t="s">
        <v>1889</v>
      </c>
      <c r="MC289" t="s">
        <v>1890</v>
      </c>
      <c r="MD289">
        <f t="shared" si="295"/>
        <v>11</v>
      </c>
      <c r="ME289">
        <f t="shared" si="296"/>
        <v>14</v>
      </c>
      <c r="MF289" t="str">
        <f t="shared" si="297"/>
        <v>A1</v>
      </c>
      <c r="MG289" t="str">
        <f t="shared" si="298"/>
        <v>A2</v>
      </c>
      <c r="MH289" t="str">
        <f t="shared" si="299"/>
        <v>0v3</v>
      </c>
      <c r="MI289" t="str">
        <f t="shared" si="300"/>
        <v>24v3</v>
      </c>
      <c r="MJ289" t="str">
        <f t="shared" si="301"/>
        <v>0v6</v>
      </c>
      <c r="MK289" t="str">
        <f t="shared" si="302"/>
        <v>24v6</v>
      </c>
      <c r="MR289">
        <f t="shared" si="303"/>
        <v>1</v>
      </c>
      <c r="MS289" s="16">
        <f t="shared" si="304"/>
        <v>2</v>
      </c>
    </row>
    <row r="290" spans="1:358" x14ac:dyDescent="0.25">
      <c r="A290" t="s">
        <v>2496</v>
      </c>
      <c r="B290" t="s">
        <v>2177</v>
      </c>
      <c r="P290" t="s">
        <v>1873</v>
      </c>
      <c r="T290" s="27" t="s">
        <v>554</v>
      </c>
      <c r="AC290" t="str">
        <f t="shared" si="291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SUM(IF(ISNUMBER(FIND("TmDi",$BE$1:$AAQ$1)),IF(IFERROR(ISNUMBER(VALUE(SUBSTITUTE($BE290:$AAQ290,"B",""))),FALSE),IF(ISNUMBER(VALUE(SUBSTITUTE($BE290:$AAQ290,"B",""))),1,0),0)))</f>
        <v>0</v>
      </c>
      <c r="AF290" t="str">
        <f t="shared" si="270"/>
        <v>C5</v>
      </c>
      <c r="AG290" t="str">
        <f t="shared" si="271"/>
        <v>B5</v>
      </c>
      <c r="AP290" t="s">
        <v>137</v>
      </c>
      <c r="AT290" t="s">
        <v>854</v>
      </c>
      <c r="AU290" t="s">
        <v>1399</v>
      </c>
      <c r="LZ290" s="27" t="str">
        <f t="shared" si="294"/>
        <v>DI19-C5</v>
      </c>
      <c r="MA290" t="str">
        <f t="shared" si="292"/>
        <v>DI19-B5</v>
      </c>
      <c r="MB290" t="s">
        <v>1891</v>
      </c>
      <c r="MC290" t="s">
        <v>1892</v>
      </c>
      <c r="MD290">
        <f t="shared" si="295"/>
        <v>11</v>
      </c>
      <c r="ME290">
        <f t="shared" si="296"/>
        <v>14</v>
      </c>
      <c r="MF290" t="str">
        <f t="shared" si="297"/>
        <v>A1</v>
      </c>
      <c r="MG290" t="str">
        <f t="shared" si="298"/>
        <v>A2</v>
      </c>
      <c r="MH290" t="str">
        <f t="shared" si="299"/>
        <v>0v3</v>
      </c>
      <c r="MI290" t="str">
        <f t="shared" si="300"/>
        <v>24v3</v>
      </c>
      <c r="MJ290" t="str">
        <f t="shared" si="301"/>
        <v>0v6</v>
      </c>
      <c r="MK290" t="str">
        <f t="shared" si="302"/>
        <v>24v6</v>
      </c>
      <c r="MR290">
        <f t="shared" si="303"/>
        <v>1</v>
      </c>
      <c r="MS290" s="16">
        <f t="shared" si="304"/>
        <v>2</v>
      </c>
    </row>
    <row r="291" spans="1:358" x14ac:dyDescent="0.25">
      <c r="A291" t="s">
        <v>2497</v>
      </c>
      <c r="B291" t="s">
        <v>2211</v>
      </c>
      <c r="P291" t="s">
        <v>1873</v>
      </c>
      <c r="T291" s="27" t="s">
        <v>554</v>
      </c>
      <c r="AC291" t="str">
        <f t="shared" si="291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SUM(IF(ISNUMBER(FIND("TmDi",$BE$1:$AAQ$1)),IF(IFERROR(ISNUMBER(VALUE(SUBSTITUTE($BE291:$AAQ291,"B",""))),FALSE),IF(ISNUMBER(VALUE(SUBSTITUTE($BE291:$AAQ291,"B",""))),1,0),0)))</f>
        <v>0</v>
      </c>
      <c r="AF291" t="str">
        <f t="shared" si="270"/>
        <v>C6</v>
      </c>
      <c r="AG291" t="str">
        <f t="shared" si="271"/>
        <v>B6</v>
      </c>
      <c r="AP291" t="s">
        <v>137</v>
      </c>
      <c r="AT291" t="s">
        <v>854</v>
      </c>
      <c r="AU291" t="s">
        <v>1399</v>
      </c>
      <c r="LZ291" s="27" t="str">
        <f t="shared" si="294"/>
        <v>DI19-C6</v>
      </c>
      <c r="MA291" t="str">
        <f t="shared" si="292"/>
        <v>DI19-B6</v>
      </c>
      <c r="MB291" t="s">
        <v>1893</v>
      </c>
      <c r="MC291" t="s">
        <v>1894</v>
      </c>
      <c r="MD291">
        <f t="shared" si="295"/>
        <v>11</v>
      </c>
      <c r="ME291">
        <f t="shared" si="296"/>
        <v>14</v>
      </c>
      <c r="MF291" t="str">
        <f t="shared" si="297"/>
        <v>A1</v>
      </c>
      <c r="MG291" t="str">
        <f t="shared" si="298"/>
        <v>A2</v>
      </c>
      <c r="MH291" t="str">
        <f t="shared" si="299"/>
        <v>0v3</v>
      </c>
      <c r="MI291" t="str">
        <f t="shared" si="300"/>
        <v>24v3</v>
      </c>
      <c r="MJ291" t="str">
        <f t="shared" si="301"/>
        <v>0v6</v>
      </c>
      <c r="MK291" t="str">
        <f t="shared" si="302"/>
        <v>24v6</v>
      </c>
      <c r="MR291">
        <f t="shared" si="303"/>
        <v>1</v>
      </c>
      <c r="MS291" s="16">
        <f t="shared" si="304"/>
        <v>2</v>
      </c>
    </row>
    <row r="292" spans="1:358" x14ac:dyDescent="0.25">
      <c r="A292" t="s">
        <v>2498</v>
      </c>
      <c r="B292" t="s">
        <v>2212</v>
      </c>
      <c r="P292" t="s">
        <v>1873</v>
      </c>
      <c r="T292" s="27" t="s">
        <v>554</v>
      </c>
      <c r="AC292" t="str">
        <f t="shared" si="291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SUM(IF(ISNUMBER(FIND("TmDi",$BE$1:$AAQ$1)),IF(IFERROR(ISNUMBER(VALUE(SUBSTITUTE($BE292:$AAQ292,"B",""))),FALSE),IF(ISNUMBER(VALUE(SUBSTITUTE($BE292:$AAQ292,"B",""))),1,0),0)))</f>
        <v>0</v>
      </c>
      <c r="AF292" t="str">
        <f t="shared" si="270"/>
        <v>C7</v>
      </c>
      <c r="AG292" t="str">
        <f t="shared" si="271"/>
        <v>B7</v>
      </c>
      <c r="AP292" t="s">
        <v>137</v>
      </c>
      <c r="AT292" t="s">
        <v>854</v>
      </c>
      <c r="AU292" t="s">
        <v>1399</v>
      </c>
      <c r="LZ292" s="27" t="str">
        <f t="shared" si="294"/>
        <v>DI19-C7</v>
      </c>
      <c r="MA292" t="str">
        <f t="shared" si="292"/>
        <v>DI19-B7</v>
      </c>
      <c r="MB292" t="s">
        <v>1895</v>
      </c>
      <c r="MC292" t="s">
        <v>1896</v>
      </c>
      <c r="MD292">
        <f t="shared" si="295"/>
        <v>11</v>
      </c>
      <c r="ME292">
        <f t="shared" si="296"/>
        <v>14</v>
      </c>
      <c r="MF292" t="str">
        <f t="shared" si="297"/>
        <v>A1</v>
      </c>
      <c r="MG292" t="str">
        <f t="shared" si="298"/>
        <v>A2</v>
      </c>
      <c r="MH292" t="str">
        <f t="shared" si="299"/>
        <v>0v3</v>
      </c>
      <c r="MI292" t="str">
        <f t="shared" si="300"/>
        <v>24v3</v>
      </c>
      <c r="MJ292" t="str">
        <f t="shared" si="301"/>
        <v>0v6</v>
      </c>
      <c r="MK292" t="str">
        <f t="shared" si="302"/>
        <v>24v6</v>
      </c>
      <c r="MR292">
        <f t="shared" si="303"/>
        <v>1</v>
      </c>
      <c r="MS292" s="16">
        <f t="shared" si="304"/>
        <v>2</v>
      </c>
    </row>
    <row r="293" spans="1:358" x14ac:dyDescent="0.25">
      <c r="A293" t="s">
        <v>2499</v>
      </c>
      <c r="B293" t="s">
        <v>2178</v>
      </c>
      <c r="P293" t="s">
        <v>1873</v>
      </c>
      <c r="T293" s="27" t="s">
        <v>554</v>
      </c>
      <c r="AC293" t="str">
        <f t="shared" si="291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SUM(IF(ISNUMBER(FIND("TmDi",$BE$1:$AAQ$1)),IF(IFERROR(ISNUMBER(VALUE(SUBSTITUTE($BE293:$AAQ293,"B",""))),FALSE),IF(ISNUMBER(VALUE(SUBSTITUTE($BE293:$AAQ293,"B",""))),1,0),0)))</f>
        <v>0</v>
      </c>
      <c r="AF293" t="str">
        <f t="shared" si="270"/>
        <v>C8</v>
      </c>
      <c r="AG293" t="str">
        <f t="shared" si="271"/>
        <v>B8</v>
      </c>
      <c r="AP293" t="s">
        <v>137</v>
      </c>
      <c r="AT293" t="s">
        <v>854</v>
      </c>
      <c r="AU293" t="s">
        <v>1399</v>
      </c>
      <c r="LZ293" s="27" t="str">
        <f t="shared" si="294"/>
        <v>DI19-C8</v>
      </c>
      <c r="MA293" t="str">
        <f t="shared" si="292"/>
        <v>DI19-B8</v>
      </c>
      <c r="MB293" t="s">
        <v>1897</v>
      </c>
      <c r="MC293" t="s">
        <v>1898</v>
      </c>
      <c r="MD293">
        <f t="shared" si="295"/>
        <v>11</v>
      </c>
      <c r="ME293">
        <f t="shared" si="296"/>
        <v>14</v>
      </c>
      <c r="MF293" t="str">
        <f t="shared" si="297"/>
        <v>A1</v>
      </c>
      <c r="MG293" t="str">
        <f t="shared" si="298"/>
        <v>A2</v>
      </c>
      <c r="MH293" t="str">
        <f t="shared" si="299"/>
        <v>0v3</v>
      </c>
      <c r="MI293" t="str">
        <f t="shared" si="300"/>
        <v>24v3</v>
      </c>
      <c r="MJ293" t="str">
        <f t="shared" si="301"/>
        <v>0v6</v>
      </c>
      <c r="MK293" t="str">
        <f t="shared" si="302"/>
        <v>24v6</v>
      </c>
      <c r="MR293">
        <f t="shared" si="303"/>
        <v>1</v>
      </c>
      <c r="MS293" s="16">
        <f t="shared" si="304"/>
        <v>2</v>
      </c>
    </row>
    <row r="294" spans="1:358" ht="15.75" thickBot="1" x14ac:dyDescent="0.3">
      <c r="A294" s="33" t="s">
        <v>2500</v>
      </c>
      <c r="B294" s="33" t="s">
        <v>2179</v>
      </c>
      <c r="P294" t="s">
        <v>1873</v>
      </c>
      <c r="T294" s="27" t="s">
        <v>554</v>
      </c>
      <c r="AC294" t="str">
        <f t="shared" si="291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SUM(IF(ISNUMBER(FIND("TmDi",$BE$1:$AAQ$1)),IF(IFERROR(ISNUMBER(VALUE(SUBSTITUTE($BE294:$AAQ294,"B",""))),FALSE),IF(ISNUMBER(VALUE(SUBSTITUTE($BE294:$AAQ294,"B",""))),1,0),0)))</f>
        <v>0</v>
      </c>
      <c r="AF294" t="str">
        <f t="shared" si="270"/>
        <v>C9</v>
      </c>
      <c r="AG294" t="str">
        <f t="shared" si="271"/>
        <v>B9</v>
      </c>
      <c r="AP294" t="s">
        <v>137</v>
      </c>
      <c r="AT294" t="s">
        <v>854</v>
      </c>
      <c r="AU294" t="s">
        <v>1399</v>
      </c>
      <c r="LZ294" s="27" t="str">
        <f t="shared" si="294"/>
        <v>DI19-C9</v>
      </c>
      <c r="MA294" t="str">
        <f t="shared" si="292"/>
        <v>DI19-B9</v>
      </c>
      <c r="MB294" t="s">
        <v>1899</v>
      </c>
      <c r="MC294" t="s">
        <v>1900</v>
      </c>
      <c r="MD294">
        <f t="shared" si="295"/>
        <v>11</v>
      </c>
      <c r="ME294">
        <f t="shared" si="296"/>
        <v>14</v>
      </c>
      <c r="MF294" t="str">
        <f t="shared" si="297"/>
        <v>A1</v>
      </c>
      <c r="MG294" t="str">
        <f t="shared" si="298"/>
        <v>A2</v>
      </c>
      <c r="MH294" t="str">
        <f t="shared" si="299"/>
        <v>0v3</v>
      </c>
      <c r="MI294" t="str">
        <f t="shared" si="300"/>
        <v>24v3</v>
      </c>
      <c r="MJ294" t="str">
        <f t="shared" si="301"/>
        <v>0v6</v>
      </c>
      <c r="MK294" t="str">
        <f t="shared" si="302"/>
        <v>24v6</v>
      </c>
      <c r="MR294">
        <f t="shared" si="303"/>
        <v>1</v>
      </c>
      <c r="MS294" s="16">
        <f t="shared" si="304"/>
        <v>2</v>
      </c>
    </row>
    <row r="295" spans="1:358" x14ac:dyDescent="0.25">
      <c r="A295" t="s">
        <v>2501</v>
      </c>
      <c r="B295" t="s">
        <v>2180</v>
      </c>
      <c r="P295" t="s">
        <v>1873</v>
      </c>
      <c r="T295" s="27" t="s">
        <v>2172</v>
      </c>
      <c r="AC295" t="s">
        <v>1865</v>
      </c>
      <c r="AD295" s="43">
        <f t="array" ref="AD295">IF(COUNTIFS(AC$2:AC295,AC295)=1,"1",VALUE(SUBSTITUTE(INDEX(AD:AD,_xlfn.XMATCH(AC295,AC$1:AC294,0,-1)),"A",""))+INDEX(AE:AE,_xlfn.XMATCH(AC295,AC$1:AC294,0,-1))+1)</f>
        <v>10</v>
      </c>
      <c r="AE295" s="43">
        <f t="array" ref="AE295">SUM(IF(ISNUMBER(FIND("TmDi",$BE$1:$AAQ$1)),IF(IFERROR(ISNUMBER(VALUE(SUBSTITUTE($BE295:$AAQ295,"B",""))),FALSE),IF(ISNUMBER(VALUE(SUBSTITUTE($BE295:$AAQ295,"B",""))),1,0),0)))</f>
        <v>0</v>
      </c>
      <c r="AF295" t="str">
        <f t="shared" si="270"/>
        <v>C10</v>
      </c>
      <c r="AG295" t="str">
        <f t="shared" si="271"/>
        <v>B10</v>
      </c>
      <c r="AP295" t="s">
        <v>137</v>
      </c>
      <c r="AT295" t="s">
        <v>854</v>
      </c>
      <c r="AU295" t="s">
        <v>1399</v>
      </c>
      <c r="LZ295" s="25" t="str">
        <f t="shared" ref="LZ295:LZ306" si="305">CONCATENATE("DI",REPLACE($AC295,1,3,""),"-",$AF295)</f>
        <v>DI19-C10</v>
      </c>
      <c r="MA295" s="12" t="str">
        <f t="shared" si="292"/>
        <v>DI19-B10</v>
      </c>
      <c r="MB295" s="12" t="s">
        <v>1884</v>
      </c>
      <c r="MC295" s="12" t="s">
        <v>1883</v>
      </c>
      <c r="MD295" s="12">
        <v>11</v>
      </c>
      <c r="ME295" s="12">
        <v>14</v>
      </c>
      <c r="MF295" s="12" t="s">
        <v>142</v>
      </c>
      <c r="MG295" s="12" t="s">
        <v>143</v>
      </c>
      <c r="MH295" s="12" t="s">
        <v>488</v>
      </c>
      <c r="MI295" s="12" t="s">
        <v>487</v>
      </c>
      <c r="MJ295" s="12" t="s">
        <v>414</v>
      </c>
      <c r="MK295" s="12" t="s">
        <v>413</v>
      </c>
      <c r="ML295" s="12"/>
      <c r="MM295" s="12"/>
      <c r="MN295" s="12"/>
      <c r="MO295" s="12"/>
      <c r="MP295" s="12"/>
      <c r="MQ295" s="12"/>
      <c r="MR295" s="12">
        <v>1</v>
      </c>
      <c r="MS295" s="13">
        <v>2</v>
      </c>
      <c r="MT295" s="27"/>
    </row>
    <row r="296" spans="1:358" x14ac:dyDescent="0.25">
      <c r="A296" t="s">
        <v>2502</v>
      </c>
      <c r="B296" t="s">
        <v>2181</v>
      </c>
      <c r="P296" t="s">
        <v>1873</v>
      </c>
      <c r="T296" s="27" t="s">
        <v>2172</v>
      </c>
      <c r="AC296" t="str">
        <f>IF(AD295+AE295&gt;31,REPLACE(AC295,LEN(AC295),1,VALUE(RIGHT(AC295,1))+1),AC295)</f>
        <v>A5.19</v>
      </c>
      <c r="AD296" s="43">
        <f t="array" ref="AD296">IF(COUNTIFS(AC$2:AC296,AC296)=1,"1",VALUE(SUBSTITUTE(INDEX(AD:AD,_xlfn.XMATCH(AC296,AC$1:AC295,0,-1)),"A",""))+INDEX(AE:AE,_xlfn.XMATCH(AC296,AC$1:AC295,0,-1))+1)</f>
        <v>11</v>
      </c>
      <c r="AE296" s="43">
        <f t="array" ref="AE296">SUM(IF(ISNUMBER(FIND("TmDi",$BE$1:$AAQ$1)),IF(IFERROR(ISNUMBER(VALUE(SUBSTITUTE($BE296:$AAQ296,"B",""))),FALSE),IF(ISNUMBER(VALUE(SUBSTITUTE($BE296:$AAQ296,"B",""))),1,0),0)))</f>
        <v>0</v>
      </c>
      <c r="AF296" t="str">
        <f t="shared" si="270"/>
        <v>C11</v>
      </c>
      <c r="AG296" t="str">
        <f t="shared" si="271"/>
        <v>B11</v>
      </c>
      <c r="AP296" t="s">
        <v>137</v>
      </c>
      <c r="AT296" t="s">
        <v>854</v>
      </c>
      <c r="AU296" t="s">
        <v>1399</v>
      </c>
      <c r="LZ296" s="27" t="str">
        <f t="shared" si="305"/>
        <v>DI19-C11</v>
      </c>
      <c r="MA296" t="str">
        <f t="shared" si="292"/>
        <v>DI19-B11</v>
      </c>
      <c r="MB296" t="s">
        <v>1885</v>
      </c>
      <c r="MC296" t="s">
        <v>1886</v>
      </c>
      <c r="MD296">
        <f t="shared" ref="MD296:MK300" si="306">MD295</f>
        <v>11</v>
      </c>
      <c r="ME296">
        <f t="shared" si="306"/>
        <v>14</v>
      </c>
      <c r="MF296" t="str">
        <f t="shared" si="306"/>
        <v>A1</v>
      </c>
      <c r="MG296" t="str">
        <f t="shared" si="306"/>
        <v>A2</v>
      </c>
      <c r="MH296" t="str">
        <f t="shared" si="306"/>
        <v>0v3</v>
      </c>
      <c r="MI296" t="str">
        <f t="shared" si="306"/>
        <v>24v3</v>
      </c>
      <c r="MJ296" t="str">
        <f t="shared" si="306"/>
        <v>0v6</v>
      </c>
      <c r="MK296" t="str">
        <f t="shared" si="306"/>
        <v>24v6</v>
      </c>
      <c r="MR296">
        <f>MR295</f>
        <v>1</v>
      </c>
      <c r="MS296" s="16">
        <f>MS295</f>
        <v>2</v>
      </c>
    </row>
    <row r="297" spans="1:358" x14ac:dyDescent="0.25">
      <c r="A297" t="s">
        <v>2503</v>
      </c>
      <c r="B297" t="s">
        <v>2182</v>
      </c>
      <c r="P297" t="s">
        <v>1873</v>
      </c>
      <c r="T297" s="27" t="s">
        <v>2172</v>
      </c>
      <c r="AC297" t="str">
        <f>IF(AD296+AE296&gt;31,REPLACE(AC296,LEN(AC296),1,VALUE(RIGHT(AC296,1))+1),AC296)</f>
        <v>A5.19</v>
      </c>
      <c r="AD297" s="43">
        <f t="array" ref="AD297">IF(COUNTIFS(AC$2:AC297,AC297)=1,"1",VALUE(SUBSTITUTE(INDEX(AD:AD,_xlfn.XMATCH(AC297,AC$1:AC296,0,-1)),"A",""))+INDEX(AE:AE,_xlfn.XMATCH(AC297,AC$1:AC296,0,-1))+1)</f>
        <v>12</v>
      </c>
      <c r="AE297" s="43">
        <f t="array" ref="AE297">SUM(IF(ISNUMBER(FIND("TmDi",$BE$1:$AAQ$1)),IF(IFERROR(ISNUMBER(VALUE(SUBSTITUTE($BE297:$AAQ297,"B",""))),FALSE),IF(ISNUMBER(VALUE(SUBSTITUTE($BE297:$AAQ297,"B",""))),1,0),0)))</f>
        <v>0</v>
      </c>
      <c r="AF297" t="str">
        <f t="shared" si="270"/>
        <v>C12</v>
      </c>
      <c r="AG297" t="str">
        <f t="shared" si="271"/>
        <v>B12</v>
      </c>
      <c r="AP297" t="s">
        <v>137</v>
      </c>
      <c r="AT297" t="s">
        <v>854</v>
      </c>
      <c r="AU297" t="s">
        <v>1399</v>
      </c>
      <c r="LZ297" s="27" t="str">
        <f t="shared" si="305"/>
        <v>DI19-C12</v>
      </c>
      <c r="MA297" t="str">
        <f t="shared" si="292"/>
        <v>DI19-B12</v>
      </c>
      <c r="MB297" t="s">
        <v>1887</v>
      </c>
      <c r="MC297" t="s">
        <v>1888</v>
      </c>
      <c r="MD297">
        <f t="shared" si="306"/>
        <v>11</v>
      </c>
      <c r="ME297">
        <f t="shared" si="306"/>
        <v>14</v>
      </c>
      <c r="MF297" t="str">
        <f t="shared" si="306"/>
        <v>A1</v>
      </c>
      <c r="MG297" t="str">
        <f t="shared" si="306"/>
        <v>A2</v>
      </c>
      <c r="MH297" t="str">
        <f t="shared" si="306"/>
        <v>0v3</v>
      </c>
      <c r="MI297" t="str">
        <f t="shared" si="306"/>
        <v>24v3</v>
      </c>
      <c r="MJ297" t="str">
        <f t="shared" si="306"/>
        <v>0v6</v>
      </c>
      <c r="MK297" t="str">
        <f t="shared" si="306"/>
        <v>24v6</v>
      </c>
      <c r="MR297">
        <f t="shared" ref="MR297:MS300" si="307">MR296</f>
        <v>1</v>
      </c>
      <c r="MS297" s="16">
        <f t="shared" si="307"/>
        <v>2</v>
      </c>
    </row>
    <row r="298" spans="1:358" x14ac:dyDescent="0.25">
      <c r="A298" t="s">
        <v>2504</v>
      </c>
      <c r="B298" t="s">
        <v>2183</v>
      </c>
      <c r="P298" t="s">
        <v>1873</v>
      </c>
      <c r="T298" s="27" t="s">
        <v>2172</v>
      </c>
      <c r="AC298" t="str">
        <f>IF(AD297+AE297&gt;31,REPLACE(AC297,LEN(AC297),1,VALUE(RIGHT(AC297,1))+1),AC297)</f>
        <v>A5.19</v>
      </c>
      <c r="AD298" s="43">
        <f t="array" ref="AD298">IF(COUNTIFS(AC$2:AC298,AC298)=1,"1",VALUE(SUBSTITUTE(INDEX(AD:AD,_xlfn.XMATCH(AC298,AC$1:AC297,0,-1)),"A",""))+INDEX(AE:AE,_xlfn.XMATCH(AC298,AC$1:AC297,0,-1))+1)</f>
        <v>13</v>
      </c>
      <c r="AE298" s="43">
        <f t="array" ref="AE298">SUM(IF(ISNUMBER(FIND("TmDi",$BE$1:$AAQ$1)),IF(IFERROR(ISNUMBER(VALUE(SUBSTITUTE($BE298:$AAQ298,"B",""))),FALSE),IF(ISNUMBER(VALUE(SUBSTITUTE($BE298:$AAQ298,"B",""))),1,0),0)))</f>
        <v>0</v>
      </c>
      <c r="AF298" t="str">
        <f t="shared" si="270"/>
        <v>C13</v>
      </c>
      <c r="AG298" t="str">
        <f t="shared" si="271"/>
        <v>B13</v>
      </c>
      <c r="AP298" t="s">
        <v>137</v>
      </c>
      <c r="AT298" t="s">
        <v>854</v>
      </c>
      <c r="AU298" t="s">
        <v>1399</v>
      </c>
      <c r="LZ298" s="27" t="str">
        <f t="shared" si="305"/>
        <v>DI19-C13</v>
      </c>
      <c r="MA298" t="str">
        <f t="shared" si="292"/>
        <v>DI19-B13</v>
      </c>
      <c r="MB298" t="s">
        <v>1889</v>
      </c>
      <c r="MC298" t="s">
        <v>1890</v>
      </c>
      <c r="MD298">
        <f t="shared" si="306"/>
        <v>11</v>
      </c>
      <c r="ME298">
        <f t="shared" si="306"/>
        <v>14</v>
      </c>
      <c r="MF298" t="str">
        <f t="shared" si="306"/>
        <v>A1</v>
      </c>
      <c r="MG298" t="str">
        <f t="shared" si="306"/>
        <v>A2</v>
      </c>
      <c r="MH298" t="str">
        <f t="shared" si="306"/>
        <v>0v3</v>
      </c>
      <c r="MI298" t="str">
        <f t="shared" si="306"/>
        <v>24v3</v>
      </c>
      <c r="MJ298" t="str">
        <f t="shared" si="306"/>
        <v>0v6</v>
      </c>
      <c r="MK298" t="str">
        <f t="shared" si="306"/>
        <v>24v6</v>
      </c>
      <c r="MR298">
        <f t="shared" si="307"/>
        <v>1</v>
      </c>
      <c r="MS298" s="16">
        <f t="shared" si="307"/>
        <v>2</v>
      </c>
    </row>
    <row r="299" spans="1:358" x14ac:dyDescent="0.25">
      <c r="A299" t="s">
        <v>2505</v>
      </c>
      <c r="B299" t="s">
        <v>2184</v>
      </c>
      <c r="P299" t="s">
        <v>1873</v>
      </c>
      <c r="T299" s="27" t="s">
        <v>2172</v>
      </c>
      <c r="AC299" t="str">
        <f>IF(AD298+AE298&gt;31,REPLACE(AC298,LEN(AC298),1,VALUE(RIGHT(AC298,1))+1),AC298)</f>
        <v>A5.19</v>
      </c>
      <c r="AD299" s="43">
        <f t="array" ref="AD299">IF(COUNTIFS(AC$2:AC299,AC299)=1,"1",VALUE(SUBSTITUTE(INDEX(AD:AD,_xlfn.XMATCH(AC299,AC$1:AC298,0,-1)),"A",""))+INDEX(AE:AE,_xlfn.XMATCH(AC299,AC$1:AC298,0,-1))+1)</f>
        <v>14</v>
      </c>
      <c r="AE299" s="43">
        <f t="array" ref="AE299">SUM(IF(ISNUMBER(FIND("TmDi",$BE$1:$AAQ$1)),IF(IFERROR(ISNUMBER(VALUE(SUBSTITUTE($BE299:$AAQ299,"B",""))),FALSE),IF(ISNUMBER(VALUE(SUBSTITUTE($BE299:$AAQ299,"B",""))),1,0),0)))</f>
        <v>0</v>
      </c>
      <c r="AF299" t="str">
        <f t="shared" si="270"/>
        <v>C14</v>
      </c>
      <c r="AG299" t="str">
        <f t="shared" si="271"/>
        <v>B14</v>
      </c>
      <c r="AP299" t="s">
        <v>137</v>
      </c>
      <c r="AT299" t="s">
        <v>854</v>
      </c>
      <c r="AU299" t="s">
        <v>1399</v>
      </c>
      <c r="LZ299" s="27" t="str">
        <f t="shared" si="305"/>
        <v>DI19-C14</v>
      </c>
      <c r="MA299" t="str">
        <f t="shared" si="292"/>
        <v>DI19-B14</v>
      </c>
      <c r="MB299" t="s">
        <v>1891</v>
      </c>
      <c r="MC299" t="s">
        <v>1892</v>
      </c>
      <c r="MD299">
        <f t="shared" si="306"/>
        <v>11</v>
      </c>
      <c r="ME299">
        <f t="shared" si="306"/>
        <v>14</v>
      </c>
      <c r="MF299" t="str">
        <f t="shared" si="306"/>
        <v>A1</v>
      </c>
      <c r="MG299" t="str">
        <f t="shared" si="306"/>
        <v>A2</v>
      </c>
      <c r="MH299" t="str">
        <f t="shared" si="306"/>
        <v>0v3</v>
      </c>
      <c r="MI299" t="str">
        <f t="shared" si="306"/>
        <v>24v3</v>
      </c>
      <c r="MJ299" t="str">
        <f t="shared" si="306"/>
        <v>0v6</v>
      </c>
      <c r="MK299" t="str">
        <f t="shared" si="306"/>
        <v>24v6</v>
      </c>
      <c r="MR299">
        <f t="shared" si="307"/>
        <v>1</v>
      </c>
      <c r="MS299" s="16">
        <f t="shared" si="307"/>
        <v>2</v>
      </c>
    </row>
    <row r="300" spans="1:358" ht="15.75" thickBot="1" x14ac:dyDescent="0.3">
      <c r="A300" s="33" t="s">
        <v>2506</v>
      </c>
      <c r="B300" s="33" t="s">
        <v>2185</v>
      </c>
      <c r="P300" t="s">
        <v>1873</v>
      </c>
      <c r="T300" s="27" t="s">
        <v>2172</v>
      </c>
      <c r="AC300" t="str">
        <f>IF(AD299+AE299&gt;31,REPLACE(AC299,LEN(AC299),1,VALUE(RIGHT(AC299,1))+1),AC299)</f>
        <v>A5.19</v>
      </c>
      <c r="AD300" s="43">
        <f t="array" ref="AD300">IF(COUNTIFS(AC$2:AC300,AC300)=1,"1",VALUE(SUBSTITUTE(INDEX(AD:AD,_xlfn.XMATCH(AC300,AC$1:AC299,0,-1)),"A",""))+INDEX(AE:AE,_xlfn.XMATCH(AC300,AC$1:AC299,0,-1))+1)</f>
        <v>15</v>
      </c>
      <c r="AE300" s="43">
        <f t="array" ref="AE300">SUM(IF(ISNUMBER(FIND("TmDi",$BE$1:$AAQ$1)),IF(IFERROR(ISNUMBER(VALUE(SUBSTITUTE($BE300:$AAQ300,"B",""))),FALSE),IF(ISNUMBER(VALUE(SUBSTITUTE($BE300:$AAQ300,"B",""))),1,0),0)))</f>
        <v>0</v>
      </c>
      <c r="AF300" t="str">
        <f t="shared" si="270"/>
        <v>C15</v>
      </c>
      <c r="AG300" t="str">
        <f t="shared" si="271"/>
        <v>B15</v>
      </c>
      <c r="AP300" t="s">
        <v>137</v>
      </c>
      <c r="AT300" t="s">
        <v>854</v>
      </c>
      <c r="AU300" t="s">
        <v>1399</v>
      </c>
      <c r="LZ300" s="27" t="str">
        <f t="shared" si="305"/>
        <v>DI19-C15</v>
      </c>
      <c r="MA300" t="str">
        <f t="shared" si="292"/>
        <v>DI19-B15</v>
      </c>
      <c r="MB300" t="s">
        <v>1891</v>
      </c>
      <c r="MC300" t="s">
        <v>1892</v>
      </c>
      <c r="MD300">
        <f t="shared" si="306"/>
        <v>11</v>
      </c>
      <c r="ME300">
        <f t="shared" si="306"/>
        <v>14</v>
      </c>
      <c r="MF300" t="str">
        <f t="shared" si="306"/>
        <v>A1</v>
      </c>
      <c r="MG300" t="str">
        <f t="shared" si="306"/>
        <v>A2</v>
      </c>
      <c r="MH300" t="str">
        <f t="shared" si="306"/>
        <v>0v3</v>
      </c>
      <c r="MI300" t="str">
        <f t="shared" si="306"/>
        <v>24v3</v>
      </c>
      <c r="MJ300" t="str">
        <f t="shared" si="306"/>
        <v>0v6</v>
      </c>
      <c r="MK300" t="str">
        <f t="shared" si="306"/>
        <v>24v6</v>
      </c>
      <c r="MR300">
        <f t="shared" si="307"/>
        <v>1</v>
      </c>
      <c r="MS300" s="16">
        <f t="shared" si="307"/>
        <v>2</v>
      </c>
    </row>
    <row r="301" spans="1:358" x14ac:dyDescent="0.25">
      <c r="A301" t="s">
        <v>2507</v>
      </c>
      <c r="B301" t="s">
        <v>2186</v>
      </c>
      <c r="P301" t="s">
        <v>1873</v>
      </c>
      <c r="T301" s="27" t="s">
        <v>2172</v>
      </c>
      <c r="AC301" t="s">
        <v>1865</v>
      </c>
      <c r="AD301" s="43">
        <f t="array" ref="AD301">IF(COUNTIFS(AC$2:AC301,AC301)=1,"1",VALUE(SUBSTITUTE(INDEX(AD:AD,_xlfn.XMATCH(AC301,AC$1:AC300,0,-1)),"A",""))+INDEX(AE:AE,_xlfn.XMATCH(AC301,AC$1:AC300,0,-1))+1)</f>
        <v>16</v>
      </c>
      <c r="AE301" s="43">
        <f t="array" ref="AE301">SUM(IF(ISNUMBER(FIND("TmDi",$BE$1:$AAQ$1)),IF(IFERROR(ISNUMBER(VALUE(SUBSTITUTE($BE301:$AAQ301,"B",""))),FALSE),IF(ISNUMBER(VALUE(SUBSTITUTE($BE301:$AAQ301,"B",""))),1,0),0)))</f>
        <v>0</v>
      </c>
      <c r="AF301" t="str">
        <f t="shared" si="270"/>
        <v>C16</v>
      </c>
      <c r="AG301" t="str">
        <f t="shared" si="271"/>
        <v>B16</v>
      </c>
      <c r="AP301" t="s">
        <v>137</v>
      </c>
      <c r="AT301" t="s">
        <v>854</v>
      </c>
      <c r="AU301" t="s">
        <v>1399</v>
      </c>
      <c r="LZ301" s="25" t="str">
        <f t="shared" si="305"/>
        <v>DI19-C16</v>
      </c>
      <c r="MA301" s="12" t="str">
        <f t="shared" si="292"/>
        <v>DI19-B16</v>
      </c>
      <c r="MB301" s="12" t="s">
        <v>1884</v>
      </c>
      <c r="MC301" s="12" t="s">
        <v>1883</v>
      </c>
      <c r="MD301" s="12">
        <v>11</v>
      </c>
      <c r="ME301" s="12">
        <v>14</v>
      </c>
      <c r="MF301" s="12" t="s">
        <v>142</v>
      </c>
      <c r="MG301" s="12" t="s">
        <v>143</v>
      </c>
      <c r="MH301" s="12" t="s">
        <v>488</v>
      </c>
      <c r="MI301" s="12" t="s">
        <v>487</v>
      </c>
      <c r="MJ301" s="12" t="s">
        <v>414</v>
      </c>
      <c r="MK301" s="12" t="s">
        <v>413</v>
      </c>
      <c r="ML301" s="12"/>
      <c r="MM301" s="12"/>
      <c r="MN301" s="12"/>
      <c r="MO301" s="12"/>
      <c r="MP301" s="12"/>
      <c r="MQ301" s="12"/>
      <c r="MR301" s="12">
        <v>1</v>
      </c>
      <c r="MS301" s="13">
        <v>2</v>
      </c>
      <c r="MT301" s="27"/>
    </row>
    <row r="302" spans="1:358" x14ac:dyDescent="0.25">
      <c r="A302" t="s">
        <v>2508</v>
      </c>
      <c r="B302" t="s">
        <v>2187</v>
      </c>
      <c r="P302" t="s">
        <v>1873</v>
      </c>
      <c r="T302" s="27" t="s">
        <v>2172</v>
      </c>
      <c r="AC302" t="str">
        <f>IF(AD301+AE301&gt;31,REPLACE(AC301,LEN(AC301),1,VALUE(RIGHT(AC301,1))+1),AC301)</f>
        <v>A5.19</v>
      </c>
      <c r="AD302" s="43">
        <f t="array" ref="AD302">IF(COUNTIFS(AC$2:AC302,AC302)=1,"1",VALUE(SUBSTITUTE(INDEX(AD:AD,_xlfn.XMATCH(AC302,AC$1:AC301,0,-1)),"A",""))+INDEX(AE:AE,_xlfn.XMATCH(AC302,AC$1:AC301,0,-1))+1)</f>
        <v>17</v>
      </c>
      <c r="AE302" s="43">
        <f t="array" ref="AE302">SUM(IF(ISNUMBER(FIND("TmDi",$BE$1:$AAQ$1)),IF(IFERROR(ISNUMBER(VALUE(SUBSTITUTE($BE302:$AAQ302,"B",""))),FALSE),IF(ISNUMBER(VALUE(SUBSTITUTE($BE302:$AAQ302,"B",""))),1,0),0)))</f>
        <v>0</v>
      </c>
      <c r="AF302" t="str">
        <f t="shared" si="270"/>
        <v>C17</v>
      </c>
      <c r="AG302" t="str">
        <f t="shared" si="271"/>
        <v>B17</v>
      </c>
      <c r="AP302" t="s">
        <v>137</v>
      </c>
      <c r="AT302" t="s">
        <v>854</v>
      </c>
      <c r="AU302" t="s">
        <v>1399</v>
      </c>
      <c r="LZ302" s="27" t="str">
        <f t="shared" si="305"/>
        <v>DI19-C17</v>
      </c>
      <c r="MA302" t="str">
        <f t="shared" si="292"/>
        <v>DI19-B17</v>
      </c>
      <c r="MB302" t="s">
        <v>1885</v>
      </c>
      <c r="MC302" t="s">
        <v>1886</v>
      </c>
      <c r="MD302">
        <f t="shared" ref="MD302:MK302" si="308">MD301</f>
        <v>11</v>
      </c>
      <c r="ME302">
        <f t="shared" si="308"/>
        <v>14</v>
      </c>
      <c r="MF302" t="str">
        <f t="shared" si="308"/>
        <v>A1</v>
      </c>
      <c r="MG302" t="str">
        <f t="shared" si="308"/>
        <v>A2</v>
      </c>
      <c r="MH302" t="str">
        <f t="shared" si="308"/>
        <v>0v3</v>
      </c>
      <c r="MI302" t="str">
        <f t="shared" si="308"/>
        <v>24v3</v>
      </c>
      <c r="MJ302" t="str">
        <f t="shared" si="308"/>
        <v>0v6</v>
      </c>
      <c r="MK302" t="str">
        <f t="shared" si="308"/>
        <v>24v6</v>
      </c>
      <c r="MR302">
        <f t="shared" ref="MR302:MS306" si="309">MR301</f>
        <v>1</v>
      </c>
      <c r="MS302" s="16">
        <f t="shared" si="309"/>
        <v>2</v>
      </c>
    </row>
    <row r="303" spans="1:358" x14ac:dyDescent="0.25">
      <c r="A303" t="s">
        <v>2509</v>
      </c>
      <c r="B303" t="s">
        <v>2188</v>
      </c>
      <c r="P303" t="s">
        <v>1873</v>
      </c>
      <c r="T303" s="27" t="s">
        <v>2172</v>
      </c>
      <c r="AC303" t="str">
        <f>IF(AD302+AE302&gt;31,REPLACE(AC302,LEN(AC302),1,VALUE(RIGHT(AC302,1))+1),AC302)</f>
        <v>A5.19</v>
      </c>
      <c r="AD303" s="43">
        <f t="array" ref="AD303">IF(COUNTIFS(AC$2:AC303,AC303)=1,"1",VALUE(SUBSTITUTE(INDEX(AD:AD,_xlfn.XMATCH(AC303,AC$1:AC302,0,-1)),"A",""))+INDEX(AE:AE,_xlfn.XMATCH(AC303,AC$1:AC302,0,-1))+1)</f>
        <v>18</v>
      </c>
      <c r="AE303" s="43">
        <f t="array" ref="AE303">SUM(IF(ISNUMBER(FIND("TmDi",$BE$1:$AAQ$1)),IF(IFERROR(ISNUMBER(VALUE(SUBSTITUTE($BE303:$AAQ303,"B",""))),FALSE),IF(ISNUMBER(VALUE(SUBSTITUTE($BE303:$AAQ303,"B",""))),1,0),0)))</f>
        <v>0</v>
      </c>
      <c r="AF303" t="str">
        <f t="shared" si="270"/>
        <v>C18</v>
      </c>
      <c r="AG303" t="str">
        <f t="shared" si="271"/>
        <v>B18</v>
      </c>
      <c r="AP303" t="s">
        <v>137</v>
      </c>
      <c r="AT303" t="s">
        <v>854</v>
      </c>
      <c r="AU303" t="s">
        <v>1399</v>
      </c>
      <c r="LZ303" s="27" t="str">
        <f t="shared" si="305"/>
        <v>DI19-C18</v>
      </c>
      <c r="MA303" t="str">
        <f t="shared" si="292"/>
        <v>DI19-B18</v>
      </c>
      <c r="MB303" t="s">
        <v>1887</v>
      </c>
      <c r="MC303" t="s">
        <v>1888</v>
      </c>
      <c r="MD303">
        <f t="shared" ref="MD303:MK303" si="310">MD302</f>
        <v>11</v>
      </c>
      <c r="ME303">
        <f t="shared" si="310"/>
        <v>14</v>
      </c>
      <c r="MF303" t="str">
        <f t="shared" si="310"/>
        <v>A1</v>
      </c>
      <c r="MG303" t="str">
        <f t="shared" si="310"/>
        <v>A2</v>
      </c>
      <c r="MH303" t="str">
        <f t="shared" si="310"/>
        <v>0v3</v>
      </c>
      <c r="MI303" t="str">
        <f t="shared" si="310"/>
        <v>24v3</v>
      </c>
      <c r="MJ303" t="str">
        <f t="shared" si="310"/>
        <v>0v6</v>
      </c>
      <c r="MK303" t="str">
        <f t="shared" si="310"/>
        <v>24v6</v>
      </c>
      <c r="MR303">
        <f t="shared" si="309"/>
        <v>1</v>
      </c>
      <c r="MS303" s="16">
        <f t="shared" si="309"/>
        <v>2</v>
      </c>
    </row>
    <row r="304" spans="1:358" x14ac:dyDescent="0.25">
      <c r="A304" t="s">
        <v>2510</v>
      </c>
      <c r="B304" t="s">
        <v>2189</v>
      </c>
      <c r="P304" t="s">
        <v>1873</v>
      </c>
      <c r="T304" s="27" t="s">
        <v>2172</v>
      </c>
      <c r="AC304" t="str">
        <f>IF(AD303+AE303&gt;31,REPLACE(AC303,LEN(AC303),1,VALUE(RIGHT(AC303,1))+1),AC303)</f>
        <v>A5.19</v>
      </c>
      <c r="AD304" s="43">
        <f t="array" ref="AD304">IF(COUNTIFS(AC$2:AC304,AC304)=1,"1",VALUE(SUBSTITUTE(INDEX(AD:AD,_xlfn.XMATCH(AC304,AC$1:AC303,0,-1)),"A",""))+INDEX(AE:AE,_xlfn.XMATCH(AC304,AC$1:AC303,0,-1))+1)</f>
        <v>19</v>
      </c>
      <c r="AE304" s="43">
        <f t="array" ref="AE304">SUM(IF(ISNUMBER(FIND("TmDi",$BE$1:$AAQ$1)),IF(IFERROR(ISNUMBER(VALUE(SUBSTITUTE($BE304:$AAQ304,"B",""))),FALSE),IF(ISNUMBER(VALUE(SUBSTITUTE($BE304:$AAQ304,"B",""))),1,0),0)))</f>
        <v>0</v>
      </c>
      <c r="AF304" t="str">
        <f t="shared" si="270"/>
        <v>C19</v>
      </c>
      <c r="AG304" t="str">
        <f t="shared" si="271"/>
        <v>B19</v>
      </c>
      <c r="AP304" t="s">
        <v>137</v>
      </c>
      <c r="AT304" t="s">
        <v>854</v>
      </c>
      <c r="AU304" t="s">
        <v>1399</v>
      </c>
      <c r="LZ304" s="27" t="str">
        <f t="shared" si="305"/>
        <v>DI19-C19</v>
      </c>
      <c r="MA304" t="str">
        <f t="shared" si="292"/>
        <v>DI19-B19</v>
      </c>
      <c r="MB304" t="s">
        <v>1889</v>
      </c>
      <c r="MC304" t="s">
        <v>1890</v>
      </c>
      <c r="MD304">
        <f t="shared" ref="MD304:MK304" si="311">MD303</f>
        <v>11</v>
      </c>
      <c r="ME304">
        <f t="shared" si="311"/>
        <v>14</v>
      </c>
      <c r="MF304" t="str">
        <f t="shared" si="311"/>
        <v>A1</v>
      </c>
      <c r="MG304" t="str">
        <f t="shared" si="311"/>
        <v>A2</v>
      </c>
      <c r="MH304" t="str">
        <f t="shared" si="311"/>
        <v>0v3</v>
      </c>
      <c r="MI304" t="str">
        <f t="shared" si="311"/>
        <v>24v3</v>
      </c>
      <c r="MJ304" t="str">
        <f t="shared" si="311"/>
        <v>0v6</v>
      </c>
      <c r="MK304" t="str">
        <f t="shared" si="311"/>
        <v>24v6</v>
      </c>
      <c r="MR304">
        <f t="shared" si="309"/>
        <v>1</v>
      </c>
      <c r="MS304" s="16">
        <f t="shared" si="309"/>
        <v>2</v>
      </c>
    </row>
    <row r="305" spans="1:555" x14ac:dyDescent="0.25">
      <c r="A305" t="s">
        <v>2511</v>
      </c>
      <c r="B305" t="s">
        <v>2190</v>
      </c>
      <c r="P305" t="s">
        <v>1873</v>
      </c>
      <c r="T305" s="27" t="s">
        <v>2172</v>
      </c>
      <c r="AC305" t="str">
        <f>IF(AD304+AE304&gt;31,REPLACE(AC304,LEN(AC304),1,VALUE(RIGHT(AC304,1))+1),AC304)</f>
        <v>A5.19</v>
      </c>
      <c r="AD305" s="43">
        <f t="array" ref="AD305">IF(COUNTIFS(AC$2:AC305,AC305)=1,"1",VALUE(SUBSTITUTE(INDEX(AD:AD,_xlfn.XMATCH(AC305,AC$1:AC304,0,-1)),"A",""))+INDEX(AE:AE,_xlfn.XMATCH(AC305,AC$1:AC304,0,-1))+1)</f>
        <v>20</v>
      </c>
      <c r="AE305" s="43">
        <f t="array" ref="AE305">SUM(IF(ISNUMBER(FIND("TmDi",$BE$1:$AAQ$1)),IF(IFERROR(ISNUMBER(VALUE(SUBSTITUTE($BE305:$AAQ305,"B",""))),FALSE),IF(ISNUMBER(VALUE(SUBSTITUTE($BE305:$AAQ305,"B",""))),1,0),0)))</f>
        <v>0</v>
      </c>
      <c r="AF305" t="str">
        <f t="shared" si="270"/>
        <v>C20</v>
      </c>
      <c r="AG305" t="str">
        <f t="shared" si="271"/>
        <v>B20</v>
      </c>
      <c r="AP305" t="s">
        <v>137</v>
      </c>
      <c r="AT305" t="s">
        <v>854</v>
      </c>
      <c r="AU305" t="s">
        <v>1399</v>
      </c>
      <c r="LZ305" s="27" t="str">
        <f t="shared" si="305"/>
        <v>DI19-C20</v>
      </c>
      <c r="MA305" t="str">
        <f t="shared" si="292"/>
        <v>DI19-B20</v>
      </c>
      <c r="MB305" t="s">
        <v>1891</v>
      </c>
      <c r="MC305" t="s">
        <v>1892</v>
      </c>
      <c r="MD305">
        <f t="shared" ref="MD305:MK305" si="312">MD304</f>
        <v>11</v>
      </c>
      <c r="ME305">
        <f t="shared" si="312"/>
        <v>14</v>
      </c>
      <c r="MF305" t="str">
        <f t="shared" si="312"/>
        <v>A1</v>
      </c>
      <c r="MG305" t="str">
        <f t="shared" si="312"/>
        <v>A2</v>
      </c>
      <c r="MH305" t="str">
        <f t="shared" si="312"/>
        <v>0v3</v>
      </c>
      <c r="MI305" t="str">
        <f t="shared" si="312"/>
        <v>24v3</v>
      </c>
      <c r="MJ305" t="str">
        <f t="shared" si="312"/>
        <v>0v6</v>
      </c>
      <c r="MK305" t="str">
        <f t="shared" si="312"/>
        <v>24v6</v>
      </c>
      <c r="MR305">
        <f t="shared" si="309"/>
        <v>1</v>
      </c>
      <c r="MS305" s="16">
        <f t="shared" si="309"/>
        <v>2</v>
      </c>
    </row>
    <row r="306" spans="1:555" x14ac:dyDescent="0.25">
      <c r="A306" s="33" t="s">
        <v>2512</v>
      </c>
      <c r="B306" s="33" t="s">
        <v>2191</v>
      </c>
      <c r="P306" t="s">
        <v>1873</v>
      </c>
      <c r="T306" s="27" t="s">
        <v>2172</v>
      </c>
      <c r="AC306" t="str">
        <f>IF(AD305+AE305&gt;31,REPLACE(AC305,LEN(AC305),1,VALUE(RIGHT(AC305,1))+1),AC305)</f>
        <v>A5.19</v>
      </c>
      <c r="AD306" s="43">
        <f t="array" ref="AD306">IF(COUNTIFS(AC$2:AC306,AC306)=1,"1",VALUE(SUBSTITUTE(INDEX(AD:AD,_xlfn.XMATCH(AC306,AC$1:AC305,0,-1)),"A",""))+INDEX(AE:AE,_xlfn.XMATCH(AC306,AC$1:AC305,0,-1))+1)</f>
        <v>21</v>
      </c>
      <c r="AE306" s="43">
        <f t="array" ref="AE306">SUM(IF(ISNUMBER(FIND("TmDi",$BE$1:$AAQ$1)),IF(IFERROR(ISNUMBER(VALUE(SUBSTITUTE($BE306:$AAQ306,"B",""))),FALSE),IF(ISNUMBER(VALUE(SUBSTITUTE($BE306:$AAQ306,"B",""))),1,0),0)))</f>
        <v>0</v>
      </c>
      <c r="AF306" t="str">
        <f t="shared" si="270"/>
        <v>C21</v>
      </c>
      <c r="AG306" t="str">
        <f t="shared" si="271"/>
        <v>B21</v>
      </c>
      <c r="AP306" t="s">
        <v>137</v>
      </c>
      <c r="AT306" t="s">
        <v>854</v>
      </c>
      <c r="AU306" t="s">
        <v>1399</v>
      </c>
      <c r="LZ306" s="27" t="str">
        <f t="shared" si="305"/>
        <v>DI19-C21</v>
      </c>
      <c r="MA306" t="str">
        <f t="shared" si="292"/>
        <v>DI19-B21</v>
      </c>
      <c r="MB306" t="s">
        <v>1891</v>
      </c>
      <c r="MC306" t="s">
        <v>1892</v>
      </c>
      <c r="MD306">
        <f t="shared" ref="MD306:MK306" si="313">MD305</f>
        <v>11</v>
      </c>
      <c r="ME306">
        <f t="shared" si="313"/>
        <v>14</v>
      </c>
      <c r="MF306" t="str">
        <f t="shared" si="313"/>
        <v>A1</v>
      </c>
      <c r="MG306" t="str">
        <f t="shared" si="313"/>
        <v>A2</v>
      </c>
      <c r="MH306" t="str">
        <f t="shared" si="313"/>
        <v>0v3</v>
      </c>
      <c r="MI306" t="str">
        <f t="shared" si="313"/>
        <v>24v3</v>
      </c>
      <c r="MJ306" t="str">
        <f t="shared" si="313"/>
        <v>0v6</v>
      </c>
      <c r="MK306" t="str">
        <f t="shared" si="313"/>
        <v>24v6</v>
      </c>
      <c r="MR306">
        <f t="shared" si="309"/>
        <v>1</v>
      </c>
      <c r="MS306" s="16">
        <f t="shared" si="309"/>
        <v>2</v>
      </c>
    </row>
    <row r="307" spans="1:555" ht="30" x14ac:dyDescent="0.25">
      <c r="A307" t="s">
        <v>1922</v>
      </c>
      <c r="B307" t="s">
        <v>1930</v>
      </c>
      <c r="P307" t="s">
        <v>1939</v>
      </c>
      <c r="T307" s="27" t="s">
        <v>554</v>
      </c>
      <c r="U307">
        <v>107</v>
      </c>
      <c r="V307" t="s">
        <v>2093</v>
      </c>
      <c r="AP307" t="s">
        <v>137</v>
      </c>
      <c r="AQ307" t="s">
        <v>1005</v>
      </c>
      <c r="MA307" t="str">
        <f t="shared" si="292"/>
        <v>DI-</v>
      </c>
      <c r="TX307" s="29" t="s">
        <v>2202</v>
      </c>
      <c r="TY307" t="s">
        <v>1948</v>
      </c>
      <c r="TZ307" t="s">
        <v>1949</v>
      </c>
      <c r="UA307" t="s">
        <v>1950</v>
      </c>
      <c r="UB307" t="s">
        <v>1951</v>
      </c>
      <c r="UC307" t="s">
        <v>1952</v>
      </c>
      <c r="UD307" t="s">
        <v>1953</v>
      </c>
      <c r="UE307" t="s">
        <v>1954</v>
      </c>
      <c r="UF307" t="str">
        <f>CONCATENATE("XT",$U307)</f>
        <v>XT107</v>
      </c>
      <c r="UG307">
        <v>1</v>
      </c>
      <c r="UH307">
        <f t="shared" ref="UH307:UI315" si="314">UG307+1</f>
        <v>2</v>
      </c>
      <c r="UI307">
        <f t="shared" si="314"/>
        <v>3</v>
      </c>
    </row>
    <row r="308" spans="1:555" ht="30" x14ac:dyDescent="0.25">
      <c r="A308" t="s">
        <v>1924</v>
      </c>
      <c r="B308" t="s">
        <v>1931</v>
      </c>
      <c r="P308" t="s">
        <v>1939</v>
      </c>
      <c r="T308" s="27" t="s">
        <v>554</v>
      </c>
      <c r="U308">
        <v>107</v>
      </c>
      <c r="V308" t="s">
        <v>2087</v>
      </c>
      <c r="AQ308" t="s">
        <v>1248</v>
      </c>
      <c r="MA308" t="str">
        <f t="shared" si="292"/>
        <v>DI-</v>
      </c>
      <c r="TX308" s="29" t="s">
        <v>2203</v>
      </c>
      <c r="TY308" t="s">
        <v>1948</v>
      </c>
      <c r="TZ308" t="s">
        <v>1949</v>
      </c>
      <c r="UA308" t="s">
        <v>1950</v>
      </c>
      <c r="UB308" t="s">
        <v>1951</v>
      </c>
      <c r="UC308" t="s">
        <v>1955</v>
      </c>
      <c r="UD308" t="s">
        <v>1956</v>
      </c>
      <c r="UE308" t="s">
        <v>1957</v>
      </c>
      <c r="UF308" t="str">
        <f t="shared" ref="UF308:UF315" si="315">CONCATENATE("XT",$U308)</f>
        <v>XT107</v>
      </c>
      <c r="UG308">
        <f t="shared" ref="UG308:UG315" si="316">UG307+3</f>
        <v>4</v>
      </c>
      <c r="UH308">
        <f t="shared" si="314"/>
        <v>5</v>
      </c>
      <c r="UI308">
        <f t="shared" si="314"/>
        <v>6</v>
      </c>
    </row>
    <row r="309" spans="1:555" ht="30" x14ac:dyDescent="0.25">
      <c r="A309" t="s">
        <v>1925</v>
      </c>
      <c r="B309" t="s">
        <v>1932</v>
      </c>
      <c r="P309" t="s">
        <v>1939</v>
      </c>
      <c r="T309" s="27" t="s">
        <v>554</v>
      </c>
      <c r="U309">
        <v>107</v>
      </c>
      <c r="V309" t="s">
        <v>2088</v>
      </c>
      <c r="AQ309" t="s">
        <v>1258</v>
      </c>
      <c r="MA309" t="str">
        <f t="shared" si="292"/>
        <v>DI-</v>
      </c>
      <c r="TX309" s="29" t="s">
        <v>2204</v>
      </c>
      <c r="TY309" t="s">
        <v>1948</v>
      </c>
      <c r="TZ309" t="s">
        <v>1949</v>
      </c>
      <c r="UA309" t="s">
        <v>1950</v>
      </c>
      <c r="UB309" t="s">
        <v>1951</v>
      </c>
      <c r="UC309" t="s">
        <v>1961</v>
      </c>
      <c r="UD309" t="s">
        <v>1963</v>
      </c>
      <c r="UE309" t="s">
        <v>1965</v>
      </c>
      <c r="UF309" t="str">
        <f t="shared" si="315"/>
        <v>XT107</v>
      </c>
      <c r="UG309">
        <f t="shared" si="316"/>
        <v>7</v>
      </c>
      <c r="UH309">
        <f t="shared" si="314"/>
        <v>8</v>
      </c>
      <c r="UI309">
        <f t="shared" si="314"/>
        <v>9</v>
      </c>
    </row>
    <row r="310" spans="1:555" ht="30" x14ac:dyDescent="0.25">
      <c r="A310" t="s">
        <v>1926</v>
      </c>
      <c r="B310" t="s">
        <v>1933</v>
      </c>
      <c r="P310" t="s">
        <v>1939</v>
      </c>
      <c r="T310" s="27" t="s">
        <v>554</v>
      </c>
      <c r="U310">
        <v>107</v>
      </c>
      <c r="V310" t="s">
        <v>2089</v>
      </c>
      <c r="AQ310" t="s">
        <v>1269</v>
      </c>
      <c r="MA310" t="str">
        <f t="shared" si="292"/>
        <v>DI-</v>
      </c>
      <c r="TX310" s="29" t="s">
        <v>2205</v>
      </c>
      <c r="TY310" t="s">
        <v>1948</v>
      </c>
      <c r="TZ310" t="s">
        <v>1949</v>
      </c>
      <c r="UA310" t="s">
        <v>1950</v>
      </c>
      <c r="UB310" t="s">
        <v>1951</v>
      </c>
      <c r="UC310" t="s">
        <v>1962</v>
      </c>
      <c r="UD310" t="s">
        <v>1964</v>
      </c>
      <c r="UE310" t="s">
        <v>1966</v>
      </c>
      <c r="UF310" t="str">
        <f t="shared" si="315"/>
        <v>XT107</v>
      </c>
      <c r="UG310">
        <f t="shared" si="316"/>
        <v>10</v>
      </c>
      <c r="UH310">
        <f t="shared" si="314"/>
        <v>11</v>
      </c>
      <c r="UI310">
        <f t="shared" si="314"/>
        <v>12</v>
      </c>
    </row>
    <row r="311" spans="1:555" ht="30" x14ac:dyDescent="0.25">
      <c r="A311" t="s">
        <v>1927</v>
      </c>
      <c r="B311" t="s">
        <v>1934</v>
      </c>
      <c r="P311" t="s">
        <v>1939</v>
      </c>
      <c r="T311" s="27" t="s">
        <v>554</v>
      </c>
      <c r="U311">
        <v>107</v>
      </c>
      <c r="V311" t="s">
        <v>2090</v>
      </c>
      <c r="AQ311" t="s">
        <v>1289</v>
      </c>
      <c r="MA311" t="str">
        <f t="shared" si="292"/>
        <v>DI-</v>
      </c>
      <c r="TX311" s="29" t="s">
        <v>2206</v>
      </c>
      <c r="TY311" t="s">
        <v>1948</v>
      </c>
      <c r="TZ311" t="s">
        <v>1949</v>
      </c>
      <c r="UA311" t="s">
        <v>1950</v>
      </c>
      <c r="UB311" t="s">
        <v>1951</v>
      </c>
      <c r="UC311" t="s">
        <v>1952</v>
      </c>
      <c r="UD311" t="s">
        <v>1953</v>
      </c>
      <c r="UE311" t="s">
        <v>1954</v>
      </c>
      <c r="UF311" t="str">
        <f>CONCATENATE("XT",$U311)</f>
        <v>XT107</v>
      </c>
      <c r="UG311">
        <f t="shared" si="316"/>
        <v>13</v>
      </c>
      <c r="UH311">
        <f t="shared" si="314"/>
        <v>14</v>
      </c>
      <c r="UI311">
        <f t="shared" si="314"/>
        <v>15</v>
      </c>
    </row>
    <row r="312" spans="1:555" ht="30" x14ac:dyDescent="0.25">
      <c r="A312" t="s">
        <v>1928</v>
      </c>
      <c r="B312" t="s">
        <v>1935</v>
      </c>
      <c r="P312" t="s">
        <v>1939</v>
      </c>
      <c r="T312" s="27" t="s">
        <v>554</v>
      </c>
      <c r="U312">
        <v>107</v>
      </c>
      <c r="V312" t="s">
        <v>2091</v>
      </c>
      <c r="AQ312" t="s">
        <v>1300</v>
      </c>
      <c r="MA312" t="str">
        <f t="shared" si="292"/>
        <v>DI-</v>
      </c>
      <c r="TX312" s="29" t="s">
        <v>2207</v>
      </c>
      <c r="TY312" t="s">
        <v>1948</v>
      </c>
      <c r="TZ312" t="s">
        <v>1949</v>
      </c>
      <c r="UA312" t="s">
        <v>1950</v>
      </c>
      <c r="UB312" t="s">
        <v>1951</v>
      </c>
      <c r="UC312" t="s">
        <v>1955</v>
      </c>
      <c r="UD312" t="s">
        <v>1956</v>
      </c>
      <c r="UE312" t="s">
        <v>1957</v>
      </c>
      <c r="UF312" t="str">
        <f t="shared" si="315"/>
        <v>XT107</v>
      </c>
      <c r="UG312">
        <f t="shared" si="316"/>
        <v>16</v>
      </c>
      <c r="UH312">
        <f t="shared" si="314"/>
        <v>17</v>
      </c>
      <c r="UI312">
        <f t="shared" si="314"/>
        <v>18</v>
      </c>
    </row>
    <row r="313" spans="1:555" ht="30" x14ac:dyDescent="0.25">
      <c r="A313" t="s">
        <v>1929</v>
      </c>
      <c r="B313" t="s">
        <v>1936</v>
      </c>
      <c r="P313" t="s">
        <v>1939</v>
      </c>
      <c r="T313" s="27" t="s">
        <v>554</v>
      </c>
      <c r="U313">
        <v>107</v>
      </c>
      <c r="V313" t="s">
        <v>2092</v>
      </c>
      <c r="AQ313" t="s">
        <v>1302</v>
      </c>
      <c r="MA313" t="str">
        <f t="shared" si="292"/>
        <v>DI-</v>
      </c>
      <c r="TX313" s="29" t="s">
        <v>2208</v>
      </c>
      <c r="TY313" t="s">
        <v>1948</v>
      </c>
      <c r="TZ313" t="s">
        <v>1949</v>
      </c>
      <c r="UA313" t="s">
        <v>1950</v>
      </c>
      <c r="UB313" t="s">
        <v>1951</v>
      </c>
      <c r="UC313" t="s">
        <v>1961</v>
      </c>
      <c r="UD313" t="s">
        <v>1963</v>
      </c>
      <c r="UE313" t="s">
        <v>1965</v>
      </c>
      <c r="UF313" t="str">
        <f t="shared" si="315"/>
        <v>XT107</v>
      </c>
      <c r="UG313">
        <f t="shared" si="316"/>
        <v>19</v>
      </c>
      <c r="UH313">
        <f t="shared" si="314"/>
        <v>20</v>
      </c>
      <c r="UI313">
        <f t="shared" si="314"/>
        <v>21</v>
      </c>
    </row>
    <row r="314" spans="1:555" ht="30" x14ac:dyDescent="0.25">
      <c r="A314" t="s">
        <v>1923</v>
      </c>
      <c r="B314" t="s">
        <v>1937</v>
      </c>
      <c r="P314" t="s">
        <v>1939</v>
      </c>
      <c r="T314" s="27" t="s">
        <v>554</v>
      </c>
      <c r="U314">
        <v>107</v>
      </c>
      <c r="V314" t="s">
        <v>2170</v>
      </c>
      <c r="AQ314" t="s">
        <v>1400</v>
      </c>
      <c r="MA314" t="str">
        <f t="shared" si="292"/>
        <v>DI-</v>
      </c>
      <c r="TX314" s="29" t="s">
        <v>2209</v>
      </c>
      <c r="TY314" t="s">
        <v>1948</v>
      </c>
      <c r="TZ314" t="s">
        <v>1949</v>
      </c>
      <c r="UA314" t="s">
        <v>1950</v>
      </c>
      <c r="UB314" t="s">
        <v>1951</v>
      </c>
      <c r="UC314" t="s">
        <v>1962</v>
      </c>
      <c r="UD314" t="s">
        <v>1964</v>
      </c>
      <c r="UE314" t="s">
        <v>1966</v>
      </c>
      <c r="UF314" t="str">
        <f t="shared" si="315"/>
        <v>XT107</v>
      </c>
      <c r="UG314">
        <f t="shared" si="316"/>
        <v>22</v>
      </c>
      <c r="UH314">
        <f t="shared" si="314"/>
        <v>23</v>
      </c>
      <c r="UI314">
        <f t="shared" si="314"/>
        <v>24</v>
      </c>
    </row>
    <row r="315" spans="1:555" s="19" customFormat="1" ht="30.75" thickBot="1" x14ac:dyDescent="0.3">
      <c r="A315" s="19" t="s">
        <v>1921</v>
      </c>
      <c r="B315" s="19" t="s">
        <v>1938</v>
      </c>
      <c r="P315" s="19" t="s">
        <v>1939</v>
      </c>
      <c r="T315" s="28" t="s">
        <v>554</v>
      </c>
      <c r="U315" s="19">
        <v>107</v>
      </c>
      <c r="V315" s="19" t="s">
        <v>2171</v>
      </c>
      <c r="AI315" s="62"/>
      <c r="AJ315" s="62"/>
      <c r="AQ315" s="19" t="s">
        <v>1778</v>
      </c>
      <c r="MA315" s="19" t="str">
        <f t="shared" si="292"/>
        <v>DI-</v>
      </c>
      <c r="TX315" s="56" t="s">
        <v>2210</v>
      </c>
      <c r="TY315" s="19" t="s">
        <v>1948</v>
      </c>
      <c r="TZ315" s="19" t="s">
        <v>1949</v>
      </c>
      <c r="UA315" s="19" t="s">
        <v>1950</v>
      </c>
      <c r="UB315" s="19" t="s">
        <v>1951</v>
      </c>
      <c r="UC315" s="19" t="s">
        <v>1972</v>
      </c>
      <c r="UD315" s="19" t="s">
        <v>1973</v>
      </c>
      <c r="UE315" s="19" t="s">
        <v>1974</v>
      </c>
      <c r="UF315" s="19" t="str">
        <f t="shared" si="315"/>
        <v>XT107</v>
      </c>
      <c r="UG315" s="19">
        <f t="shared" si="316"/>
        <v>25</v>
      </c>
      <c r="UH315" s="19">
        <f t="shared" si="314"/>
        <v>26</v>
      </c>
      <c r="UI315" s="19">
        <f t="shared" si="314"/>
        <v>27</v>
      </c>
    </row>
  </sheetData>
  <autoFilter ref="P1:P315" xr:uid="{00000000-0009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6E3C2895-6790-4E2F-9E48-2FF391AC9CA7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2223F02C-808B-4456-A59D-D0784DA82044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93CF5860-0F46-4E0D-87B0-F5D9B7C30F73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44954F85-7475-46EF-9FFE-9A0C682CB8A6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6FB36A21-597A-4668-BF1C-6FA5ED6BA060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9EA37336-5FC8-44F7-9AD9-281C5C0CE72A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C6B02687-D52E-4935-8B6C-682BDF0B069A}"/>
    </customSheetView>
  </customSheetViews>
  <phoneticPr fontId="3" type="noConversion"/>
  <conditionalFormatting sqref="A1:A32">
    <cfRule type="duplicateValues" dxfId="30" priority="44"/>
  </conditionalFormatting>
  <conditionalFormatting sqref="A221:A224 A1:A32 A226:A227 A283:A1048576">
    <cfRule type="duplicateValues" dxfId="29" priority="147"/>
  </conditionalFormatting>
  <conditionalFormatting sqref="A283:A285">
    <cfRule type="duplicateValues" dxfId="28" priority="34"/>
  </conditionalFormatting>
  <conditionalFormatting sqref="B1:B56 B221:B229 B267:B1048576">
    <cfRule type="duplicateValues" dxfId="27" priority="153"/>
  </conditionalFormatting>
  <conditionalFormatting sqref="V221:V222 W223:W224">
    <cfRule type="duplicateValues" dxfId="26" priority="7"/>
  </conditionalFormatting>
  <conditionalFormatting sqref="V231 V225:W230 V232:W315">
    <cfRule type="duplicateValues" dxfId="25" priority="130"/>
  </conditionalFormatting>
  <conditionalFormatting sqref="V316:V1048576 V187 V192 V197 V202 W34 W43:W55 V1:V182 W183:W220">
    <cfRule type="duplicateValues" dxfId="24" priority="158"/>
  </conditionalFormatting>
  <conditionalFormatting sqref="V221:W224">
    <cfRule type="duplicateValues" dxfId="23" priority="6"/>
  </conditionalFormatting>
  <conditionalFormatting sqref="V316:W1048576 V1:W220">
    <cfRule type="duplicateValues" dxfId="22" priority="168"/>
  </conditionalFormatting>
  <conditionalFormatting sqref="W225:W229 V267:W267 V268 V269:W269 V271:W271 V273:W273 V275:W275 V277:W277 V279:W279 V281:W281 V270 V272 V274 V276 V278 V280 V225:V266 V282:V315">
    <cfRule type="duplicateValues" dxfId="21" priority="111"/>
  </conditionalFormatting>
  <conditionalFormatting sqref="Y1:Y1048576">
    <cfRule type="cellIs" dxfId="20" priority="8" operator="greaterThan">
      <formula>8</formula>
    </cfRule>
    <cfRule type="cellIs" dxfId="19" priority="40" operator="equal">
      <formula>"Y:Y+Z:Z&gt;8"</formula>
    </cfRule>
  </conditionalFormatting>
  <conditionalFormatting sqref="AD1:AD2 AD267:AD306">
    <cfRule type="cellIs" dxfId="18" priority="38" operator="equal">
      <formula>"Y:Y+Z:Z&gt;8"</formula>
    </cfRule>
  </conditionalFormatting>
  <conditionalFormatting sqref="AI1">
    <cfRule type="cellIs" dxfId="17" priority="35" operator="equal">
      <formula>"Y:Y+Z:Z&gt;8"</formula>
    </cfRule>
  </conditionalFormatting>
  <conditionalFormatting sqref="AI267:AI285">
    <cfRule type="cellIs" dxfId="16" priority="36" operator="equal">
      <formula>"Y:Y+Z:Z&gt;8"</formula>
    </cfRule>
  </conditionalFormatting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1940</v>
      </c>
      <c r="TR1" s="42" t="s">
        <v>1941</v>
      </c>
      <c r="TS1" s="42" t="s">
        <v>1942</v>
      </c>
      <c r="TT1" s="42" t="s">
        <v>1975</v>
      </c>
      <c r="TU1" s="42" t="s">
        <v>1943</v>
      </c>
      <c r="TV1" s="42" t="s">
        <v>1944</v>
      </c>
      <c r="TW1" s="42" t="s">
        <v>1945</v>
      </c>
      <c r="TX1" s="42" t="s">
        <v>1946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SUM(IF(ISNUMBER(FIND("TmAi",$BE$1:$AAD$1)),IF(IFERROR(ISODD(SUBSTITUTE($BE71:$AAD71,"A","")),FALSE),IF(ISODD(SUBSTITUTE($BE71:$AAD71,"A","")),1,0),0)))</f>
        <v>0</v>
      </c>
      <c r="AA71" t="str">
        <f>CONCATENATE($Y71*2-1,"B")</f>
        <v>11B</v>
      </c>
      <c r="AB71" t="str">
        <f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SUM(IF(ISNUMBER(FIND("TmAi",$BE$1:$AAD$1)),IF(IFERROR(ISODD(SUBSTITUTE($BE72:$AAD72,"A","")),FALSE),IF(ISODD(SUBSTITUTE($BE72:$AAD72,"A","")),1,0),0)))</f>
        <v>0</v>
      </c>
      <c r="AA72" t="str">
        <f>CONCATENATE($Y72*2-1,"B")</f>
        <v>13B</v>
      </c>
      <c r="AB72" t="str">
        <f>CONCATENATE($Y72*2,"B")</f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SUM(IF(ISNUMBER(FIND("TmAi",$BE$1:$AAD$1)),IF(IFERROR(ISODD(SUBSTITUTE($BE73:$AAD73,"A","")),FALSE),IF(ISODD(SUBSTITUTE($BE73:$AAD73,"A","")),1,0),0)))</f>
        <v>0</v>
      </c>
      <c r="AA73" t="str">
        <f>CONCATENATE($Y73*2-1,"B")</f>
        <v>15B</v>
      </c>
      <c r="AB73" t="str">
        <f>CONCATENATE($Y73*2,"B")</f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SUM(IF(ISNUMBER(FIND("TmAi",$BE$1:$AAD$1)),IF(IFERROR(ISODD(SUBSTITUTE($BE74:$AAD74,"A","")),FALSE),IF(ISODD(SUBSTITUTE($BE74:$AAD74,"A","")),1,0),0)))</f>
        <v>0</v>
      </c>
      <c r="AA74" t="str">
        <f>CONCATENATE($Y74*2-1,"B")</f>
        <v>1B</v>
      </c>
      <c r="AB74" t="str">
        <f>CONCATENATE($Y74*2,"B")</f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SUM(IF(ISNUMBER(FIND("TmAi",$BE$1:$AAD$1)),IF(IFERROR(ISODD(SUBSTITUTE($BE75:$AAD75,"A","")),FALSE),IF(ISODD(SUBSTITUTE($BE75:$AAD75,"A","")),1,0),0)))</f>
        <v>0</v>
      </c>
      <c r="AA75" t="str">
        <f>CONCATENATE($Y75*2-1,"B")</f>
        <v>3B</v>
      </c>
      <c r="AB75" t="str">
        <f>CONCATENATE($Y75*2,"B")</f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SUM(IF(ISNUMBER(FIND("TmAi",$BE$1:$AAD$1)),IF(IFERROR(ISODD(SUBSTITUTE($BE78:$AAD78,"A","")),FALSE),IF(ISODD(SUBSTITUTE($BE78:$AAD78,"A","")),1,0),0)))</f>
        <v>0</v>
      </c>
      <c r="AA78" t="str">
        <f t="shared" si="120"/>
        <v>9B</v>
      </c>
      <c r="AB78" t="str">
        <f t="shared" si="121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SUM(IF(ISNUMBER(FIND("TmAi",$BE$1:$AAD$1)),IF(IFERROR(ISODD(SUBSTITUTE($BE79:$AAD79,"A","")),FALSE),IF(ISODD(SUBSTITUTE($BE79:$AAD79,"A","")),1,0),0)))</f>
        <v>0</v>
      </c>
      <c r="AA79" t="str">
        <f t="shared" si="120"/>
        <v>11B</v>
      </c>
      <c r="AB79" t="str">
        <f t="shared" si="121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SUM(IF(ISNUMBER(FIND("TmAi",$BE$1:$AAD$1)),IF(IFERROR(ISODD(SUBSTITUTE($BE80:$AAD80,"A","")),FALSE),IF(ISODD(SUBSTITUTE($BE80:$AAD80,"A","")),1,0),0)))</f>
        <v>0</v>
      </c>
      <c r="AA80" t="str">
        <f t="shared" si="120"/>
        <v>13B</v>
      </c>
      <c r="AB80" t="str">
        <f t="shared" si="121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SUM(IF(ISNUMBER(FIND("TmAi",$BE$1:$AAD$1)),IF(IFERROR(ISODD(SUBSTITUTE($BE81:$AAD81,"A","")),FALSE),IF(ISODD(SUBSTITUTE($BE81:$AAD81,"A","")),1,0),0)))</f>
        <v>0</v>
      </c>
      <c r="AA81" t="str">
        <f t="shared" si="120"/>
        <v>15B</v>
      </c>
      <c r="AB81" t="str">
        <f t="shared" si="121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SUM(IF(ISNUMBER(FIND("TmAi",$BE$1:$AAD$1)),IF(IFERROR(ISODD(SUBSTITUTE($BE82:$AAD82,"A","")),FALSE),IF(ISODD(SUBSTITUTE($BE82:$AAD82,"A","")),1,0),0)))</f>
        <v>0</v>
      </c>
      <c r="AA82" t="str">
        <f t="shared" si="120"/>
        <v>1B</v>
      </c>
      <c r="AB82" t="str">
        <f t="shared" si="121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SUM(IF(ISNUMBER(FIND("TmAi",$BE$1:$AAD$1)),IF(IFERROR(ISODD(SUBSTITUTE($BE83:$AAD83,"A","")),FALSE),IF(ISODD(SUBSTITUTE($BE83:$AAD83,"A","")),1,0),0)))</f>
        <v>0</v>
      </c>
      <c r="AA83" t="str">
        <f t="shared" si="120"/>
        <v>3B</v>
      </c>
      <c r="AB83" t="str">
        <f t="shared" si="121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SUM(IF(ISNUMBER(FIND("TmAi",$BE$1:$AAD$1)),IF(IFERROR(ISODD(SUBSTITUTE($BE84:$AAD84,"A","")),FALSE),IF(ISODD(SUBSTITUTE($BE84:$AAD84,"A","")),1,0),0)))</f>
        <v>0</v>
      </c>
      <c r="AA84" t="str">
        <f t="shared" si="120"/>
        <v>5B</v>
      </c>
      <c r="AB84" t="str">
        <f t="shared" si="121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SUM(IF(ISNUMBER(FIND("TmAi",$BE$1:$AAD$1)),IF(IFERROR(ISODD(SUBSTITUTE($BE85:$AAD85,"A","")),FALSE),IF(ISODD(SUBSTITUTE($BE85:$AAD85,"A","")),1,0),0)))</f>
        <v>0</v>
      </c>
      <c r="AA85" t="str">
        <f t="shared" si="120"/>
        <v>7B</v>
      </c>
      <c r="AB85" t="str">
        <f t="shared" si="121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SUM(IF(ISNUMBER(FIND("TmAi",$BE$1:$AAD$1)),IF(IFERROR(ISODD(SUBSTITUTE($BE86:$AAD86,"A","")),FALSE),IF(ISODD(SUBSTITUTE($BE86:$AAD86,"A","")),1,0),0)))</f>
        <v>0</v>
      </c>
      <c r="AA86" t="str">
        <f t="shared" si="120"/>
        <v>9B</v>
      </c>
      <c r="AB86" t="str">
        <f t="shared" si="121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>
        <f t="array" ref="KI86">IF(COUNTIFS($U$2:$U86,$U86)=1,1,INDEX(KI:KI,_xlfn.XMATCH(U86,U$1:U85,0,-1))+COUNT(KI85:KM85))</f>
        <v>97</v>
      </c>
      <c r="KJ86">
        <f t="shared" ref="KJ86:KM101" si="122">KI86+1</f>
        <v>98</v>
      </c>
      <c r="KK86">
        <f t="shared" si="122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SUM(IF(ISNUMBER(FIND("TmAi",$BE$1:$AAD$1)),IF(IFERROR(ISODD(SUBSTITUTE($BE87:$AAD87,"A","")),FALSE),IF(ISODD(SUBSTITUTE($BE87:$AAD87,"A","")),1,0),0)))</f>
        <v>0</v>
      </c>
      <c r="AA87" t="str">
        <f t="shared" si="120"/>
        <v>11B</v>
      </c>
      <c r="AB87" t="str">
        <f t="shared" si="121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>
        <f t="array" ref="KI87">IF(COUNTIFS($U$2:$U87,$U87)=1,1,INDEX(KI:KI,_xlfn.XMATCH(U87,U$1:U86,0,-1))+COUNT(KI86:KM86))</f>
        <v>100</v>
      </c>
      <c r="KJ87">
        <f t="shared" si="122"/>
        <v>101</v>
      </c>
      <c r="KK87">
        <f t="shared" si="122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SUM(IF(ISNUMBER(FIND("TmAi",$BE$1:$AAD$1)),IF(IFERROR(ISODD(SUBSTITUTE($BE88:$AAD88,"A","")),FALSE),IF(ISODD(SUBSTITUTE($BE88:$AAD88,"A","")),1,0),0)))</f>
        <v>0</v>
      </c>
      <c r="AA88" t="str">
        <f t="shared" si="120"/>
        <v>13B</v>
      </c>
      <c r="AB88" t="str">
        <f t="shared" si="121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>
        <f t="array" ref="KI88">IF(COUNTIFS($U$2:$U88,$U88)=1,1,INDEX(KI:KI,_xlfn.XMATCH(U88,U$1:U87,0,-1))+COUNT(KI87:KM87))</f>
        <v>103</v>
      </c>
      <c r="KJ88">
        <f t="shared" si="122"/>
        <v>104</v>
      </c>
      <c r="KK88">
        <f t="shared" si="122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22"/>
        <v>107</v>
      </c>
      <c r="KK89">
        <f t="shared" si="122"/>
        <v>108</v>
      </c>
      <c r="KL89">
        <f t="shared" si="122"/>
        <v>109</v>
      </c>
      <c r="KM89">
        <f t="shared" si="122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>
        <f t="array" ref="KI90">IF(COUNTIFS($U$2:$U90,$U90)=1,1,INDEX(KI:KI,_xlfn.XMATCH(U90,U$1:U89,0,-1))+COUNT(KI89:KM89))</f>
        <v>111</v>
      </c>
      <c r="KJ90">
        <f t="shared" si="122"/>
        <v>112</v>
      </c>
      <c r="KK90">
        <f t="shared" si="122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SUM(IF(ISNUMBER(FIND("TmAi",$BE$1:$AAD$1)),IF(IFERROR(ISODD(SUBSTITUTE($BE91:$AAD91,"A","")),FALSE),IF(ISODD(SUBSTITUTE($BE91:$AAD91,"A","")),1,0),0)))</f>
        <v>0</v>
      </c>
      <c r="AA91" t="str">
        <f t="shared" si="123"/>
        <v>3B</v>
      </c>
      <c r="AB91" t="str">
        <f t="shared" si="124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>
        <f t="array" ref="KI91">IF(COUNTIFS($U$2:$U91,$U91)=1,1,INDEX(KI:KI,_xlfn.XMATCH(U91,U$1:U90,0,-1))+COUNT(KI90:KM90))</f>
        <v>114</v>
      </c>
      <c r="KJ91">
        <f t="shared" si="122"/>
        <v>115</v>
      </c>
      <c r="KK91">
        <f t="shared" si="122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SUM(IF(ISNUMBER(FIND("TmAi",$BE$1:$AAD$1)),IF(IFERROR(ISODD(SUBSTITUTE($BE92:$AAD92,"A","")),FALSE),IF(ISODD(SUBSTITUTE($BE92:$AAD92,"A","")),1,0),0)))</f>
        <v>0</v>
      </c>
      <c r="AA92" t="str">
        <f t="shared" si="123"/>
        <v>5B</v>
      </c>
      <c r="AB92" t="str">
        <f t="shared" si="124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>
        <f t="array" ref="KI92">IF(COUNTIFS($U$2:$U92,$U92)=1,1,INDEX(KI:KI,_xlfn.XMATCH(U92,U$1:U91,0,-1))+COUNT(KI91:KM91))</f>
        <v>117</v>
      </c>
      <c r="KJ92">
        <f t="shared" si="122"/>
        <v>118</v>
      </c>
      <c r="KK92">
        <f t="shared" si="122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SUM(IF(ISNUMBER(FIND("TmAi",$BE$1:$AAD$1)),IF(IFERROR(ISODD(SUBSTITUTE($BE93:$AAD93,"A","")),FALSE),IF(ISODD(SUBSTITUTE($BE93:$AAD93,"A","")),1,0),0)))</f>
        <v>0</v>
      </c>
      <c r="AA93" t="str">
        <f t="shared" si="123"/>
        <v>7B</v>
      </c>
      <c r="AB93" t="str">
        <f t="shared" si="124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>
        <f t="array" ref="KI93">IF(COUNTIFS($U$2:$U93,$U93)=1,1,INDEX(KI:KI,_xlfn.XMATCH(U93,U$1:U92,0,-1))+COUNT(KI92:KM92))</f>
        <v>120</v>
      </c>
      <c r="KJ93">
        <f t="shared" si="122"/>
        <v>121</v>
      </c>
      <c r="KK93">
        <f t="shared" si="122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SUM(IF(ISNUMBER(FIND("TmAi",$BE$1:$AAD$1)),IF(IFERROR(ISODD(SUBSTITUTE($BE94:$AAD94,"A","")),FALSE),IF(ISODD(SUBSTITUTE($BE94:$AAD94,"A","")),1,0),0)))</f>
        <v>0</v>
      </c>
      <c r="AA94" t="str">
        <f t="shared" si="123"/>
        <v>9B</v>
      </c>
      <c r="AB94" t="str">
        <f t="shared" si="124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>
        <f t="array" ref="KI94">IF(COUNTIFS($U$2:$U94,$U94)=1,1,INDEX(KI:KI,_xlfn.XMATCH(U94,U$1:U93,0,-1))+COUNT(KI93:KM93))</f>
        <v>123</v>
      </c>
      <c r="KJ94">
        <f t="shared" si="122"/>
        <v>124</v>
      </c>
      <c r="KK94">
        <f t="shared" si="122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SUM(IF(ISNUMBER(FIND("TmAi",$BE$1:$AAD$1)),IF(IFERROR(ISODD(SUBSTITUTE($BE95:$AAD95,"A","")),FALSE),IF(ISODD(SUBSTITUTE($BE95:$AAD95,"A","")),1,0),0)))</f>
        <v>0</v>
      </c>
      <c r="AA95" t="str">
        <f t="shared" si="123"/>
        <v>11B</v>
      </c>
      <c r="AB95" t="str">
        <f t="shared" si="124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>
        <f t="array" ref="KI95">IF(COUNTIFS($U$2:$U95,$U95)=1,1,INDEX(KI:KI,_xlfn.XMATCH(U95,U$1:U94,0,-1))+COUNT(KI94:KM94))</f>
        <v>126</v>
      </c>
      <c r="KJ95">
        <f t="shared" si="122"/>
        <v>127</v>
      </c>
      <c r="KK95">
        <f t="shared" si="122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SUM(IF(ISNUMBER(FIND("TmAi",$BE$1:$AAD$1)),IF(IFERROR(ISODD(SUBSTITUTE($BE96:$AAD96,"A","")),FALSE),IF(ISODD(SUBSTITUTE($BE96:$AAD96,"A","")),1,0),0)))</f>
        <v>0</v>
      </c>
      <c r="AA96" t="str">
        <f t="shared" si="123"/>
        <v>13B</v>
      </c>
      <c r="AB96" t="str">
        <f t="shared" si="124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>
        <f t="array" ref="KI96">IF(COUNTIFS($U$2:$U96,$U96)=1,1,INDEX(KI:KI,_xlfn.XMATCH(U96,U$1:U95,0,-1))+COUNT(KI95:KM95))</f>
        <v>129</v>
      </c>
      <c r="KJ96">
        <f t="shared" si="122"/>
        <v>130</v>
      </c>
      <c r="KK96">
        <f t="shared" si="122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SUM(IF(ISNUMBER(FIND("TmAi",$BE$1:$AAD$1)),IF(IFERROR(ISODD(SUBSTITUTE($BE97:$AAD97,"A","")),FALSE),IF(ISODD(SUBSTITUTE($BE97:$AAD97,"A","")),1,0),0)))</f>
        <v>0</v>
      </c>
      <c r="AA97" t="str">
        <f t="shared" si="123"/>
        <v>15B</v>
      </c>
      <c r="AB97" t="str">
        <f t="shared" si="124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>
        <f t="array" ref="KI97">IF(COUNTIFS($U$2:$U97,$U97)=1,1,INDEX(KI:KI,_xlfn.XMATCH(U97,U$1:U96,0,-1))+COUNT(KI96:KM96))</f>
        <v>132</v>
      </c>
      <c r="KJ97">
        <f t="shared" si="122"/>
        <v>133</v>
      </c>
      <c r="KK97">
        <f t="shared" si="122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SUM(IF(ISNUMBER(FIND("TmAi",$BE$1:$AAD$1)),IF(IFERROR(ISODD(SUBSTITUTE($BE98:$AAD98,"A","")),FALSE),IF(ISODD(SUBSTITUTE($BE98:$AAD98,"A","")),1,0),0)))</f>
        <v>0</v>
      </c>
      <c r="AA98" t="str">
        <f t="shared" si="123"/>
        <v>1B</v>
      </c>
      <c r="AB98" t="str">
        <f t="shared" si="124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>
        <f t="array" ref="KI98">IF(COUNTIFS($U$2:$U98,$U98)=1,1,INDEX(KI:KI,_xlfn.XMATCH(U98,U$1:U97,0,-1))+COUNT(KI97:KM97))</f>
        <v>135</v>
      </c>
      <c r="KJ98">
        <f t="shared" si="122"/>
        <v>136</v>
      </c>
      <c r="KK98">
        <f t="shared" si="122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SUM(IF(ISNUMBER(FIND("TmAi",$BE$1:$AAD$1)),IF(IFERROR(ISODD(SUBSTITUTE($BE99:$AAD99,"A","")),FALSE),IF(ISODD(SUBSTITUTE($BE99:$AAD99,"A","")),1,0),0)))</f>
        <v>0</v>
      </c>
      <c r="AA99" t="str">
        <f t="shared" si="123"/>
        <v>3B</v>
      </c>
      <c r="AB99" t="str">
        <f t="shared" si="124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>
        <f t="array" ref="KI99">IF(COUNTIFS($U$2:$U99,$U99)=1,1,INDEX(KI:KI,_xlfn.XMATCH(U99,U$1:U98,0,-1))+COUNT(KI98:KM98))</f>
        <v>138</v>
      </c>
      <c r="KJ99">
        <f t="shared" si="122"/>
        <v>139</v>
      </c>
      <c r="KK99">
        <f t="shared" si="122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SUM(IF(ISNUMBER(FIND("TmAi",$BE$1:$AAD$1)),IF(IFERROR(ISODD(SUBSTITUTE($BE100:$AAD100,"A","")),FALSE),IF(ISODD(SUBSTITUTE($BE100:$AAD100,"A","")),1,0),0)))</f>
        <v>0</v>
      </c>
      <c r="AA100" t="str">
        <f t="shared" si="123"/>
        <v>5B</v>
      </c>
      <c r="AB100" t="str">
        <f t="shared" si="124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>
        <f t="array" ref="KI100">IF(COUNTIFS($U$2:$U100,$U100)=1,1,INDEX(KI:KI,_xlfn.XMATCH(U100,U$1:U99,0,-1))+COUNT(KI99:KM99))</f>
        <v>141</v>
      </c>
      <c r="KJ100">
        <f t="shared" si="122"/>
        <v>142</v>
      </c>
      <c r="KK100">
        <f t="shared" si="122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SUM(IF(ISNUMBER(FIND("TmAi",$BE$1:$AAD$1)),IF(IFERROR(ISODD(SUBSTITUTE($BE101:$AAD101,"A","")),FALSE),IF(ISODD(SUBSTITUTE($BE101:$AAD101,"A","")),1,0),0)))</f>
        <v>0</v>
      </c>
      <c r="AA101" t="str">
        <f t="shared" si="123"/>
        <v>7B</v>
      </c>
      <c r="AB101" t="str">
        <f t="shared" si="124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>
        <f t="array" ref="KI101">IF(COUNTIFS($U$2:$U101,$U101)=1,1,INDEX(KI:KI,_xlfn.XMATCH(U101,U$1:U100,0,-1))+COUNT(KI100:KM100))</f>
        <v>144</v>
      </c>
      <c r="KJ101">
        <f t="shared" si="122"/>
        <v>145</v>
      </c>
      <c r="KK101">
        <f t="shared" si="122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SUM(IF(ISNUMBER(FIND("TmAi",$BE$1:$AAD$1)),IF(IFERROR(ISODD(SUBSTITUTE($BE102:$AAD102,"A","")),FALSE),IF(ISODD(SUBSTITUTE($BE102:$AAD102,"A","")),1,0),0)))</f>
        <v>0</v>
      </c>
      <c r="AA102" t="str">
        <f t="shared" si="123"/>
        <v>9B</v>
      </c>
      <c r="AB102" t="str">
        <f t="shared" si="124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>
        <f t="array" ref="KI102">IF(COUNTIFS($U$2:$U102,$U102)=1,1,INDEX(KI:KI,_xlfn.XMATCH(U102,U$1:U101,0,-1))+COUNT(KI101:KM101))</f>
        <v>147</v>
      </c>
      <c r="KJ102">
        <f t="shared" ref="KJ102:KK122" si="125">KI102+1</f>
        <v>148</v>
      </c>
      <c r="KK102">
        <f t="shared" si="125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SUM(IF(ISNUMBER(FIND("TmAi",$BE$1:$AAD$1)),IF(IFERROR(ISODD(SUBSTITUTE($BE103:$AAD103,"A","")),FALSE),IF(ISODD(SUBSTITUTE($BE103:$AAD103,"A","")),1,0),0)))</f>
        <v>0</v>
      </c>
      <c r="AA103" t="str">
        <f t="shared" si="123"/>
        <v>11B</v>
      </c>
      <c r="AB103" t="str">
        <f t="shared" si="124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>
        <f t="array" ref="KI103">IF(COUNTIFS($U$2:$U103,$U103)=1,1,INDEX(KI:KI,_xlfn.XMATCH(U103,U$1:U102,0,-1))+COUNT(KI102:KM102))</f>
        <v>150</v>
      </c>
      <c r="KJ103">
        <f t="shared" si="125"/>
        <v>151</v>
      </c>
      <c r="KK103">
        <f t="shared" si="125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SUM(IF(ISNUMBER(FIND("TmAi",$BE$1:$AAD$1)),IF(IFERROR(ISODD(SUBSTITUTE($BE104:$AAD104,"A","")),FALSE),IF(ISODD(SUBSTITUTE($BE104:$AAD104,"A","")),1,0),0)))</f>
        <v>0</v>
      </c>
      <c r="AA104" t="str">
        <f t="shared" si="123"/>
        <v>13B</v>
      </c>
      <c r="AB104" t="str">
        <f t="shared" si="124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>
        <f t="array" ref="KI104">IF(COUNTIFS($U$2:$U104,$U104)=1,1,INDEX(KI:KI,_xlfn.XMATCH(U104,U$1:U103,0,-1))+COUNT(KI103:KM103))</f>
        <v>153</v>
      </c>
      <c r="KJ104">
        <f t="shared" si="125"/>
        <v>154</v>
      </c>
      <c r="KK104">
        <f t="shared" si="125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SUM(IF(ISNUMBER(FIND("TmAi",$BE$1:$AAD$1)),IF(IFERROR(ISODD(SUBSTITUTE($BE105:$AAD105,"A","")),FALSE),IF(ISODD(SUBSTITUTE($BE105:$AAD105,"A","")),1,0),0)))</f>
        <v>0</v>
      </c>
      <c r="AA105" t="str">
        <f t="shared" si="123"/>
        <v>15B</v>
      </c>
      <c r="AB105" t="str">
        <f t="shared" si="124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>
        <f t="array" ref="KI105">IF(COUNTIFS($U$2:$U105,$U105)=1,1,INDEX(KI:KI,_xlfn.XMATCH(U105,U$1:U104,0,-1))+COUNT(KI104:KM104))</f>
        <v>156</v>
      </c>
      <c r="KJ105">
        <f t="shared" si="125"/>
        <v>157</v>
      </c>
      <c r="KK105">
        <f t="shared" si="125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SUM(IF(ISNUMBER(FIND("TmAi",$BE$1:$AAD$1)),IF(IFERROR(ISODD(SUBSTITUTE($BE106:$AAD106,"A","")),FALSE),IF(ISODD(SUBSTITUTE($BE106:$AAD106,"A","")),1,0),0)))</f>
        <v>0</v>
      </c>
      <c r="AA106" t="str">
        <f t="shared" si="123"/>
        <v>1B</v>
      </c>
      <c r="AB106" t="str">
        <f t="shared" si="124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>
        <f t="array" ref="KI106">IF(COUNTIFS($U$2:$U106,$U106)=1,1,INDEX(KI:KI,_xlfn.XMATCH(U106,U$1:U105,0,-1))+COUNT(KI105:KM105))</f>
        <v>159</v>
      </c>
      <c r="KJ106">
        <f t="shared" si="125"/>
        <v>160</v>
      </c>
      <c r="KK106">
        <f t="shared" si="125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SUM(IF(ISNUMBER(FIND("TmAi",$BE$1:$AAD$1)),IF(IFERROR(ISODD(SUBSTITUTE($BE107:$AAD107,"A","")),FALSE),IF(ISODD(SUBSTITUTE($BE107:$AAD107,"A","")),1,0),0)))</f>
        <v>0</v>
      </c>
      <c r="AA107" t="str">
        <f t="shared" si="123"/>
        <v>3B</v>
      </c>
      <c r="AB107" t="str">
        <f t="shared" si="124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>
        <f t="array" ref="KI107">IF(COUNTIFS($U$2:$U107,$U107)=1,1,INDEX(KI:KI,_xlfn.XMATCH(U107,U$1:U106,0,-1))+COUNT(KI106:KM106))</f>
        <v>162</v>
      </c>
      <c r="KJ107">
        <f t="shared" si="125"/>
        <v>163</v>
      </c>
      <c r="KK107">
        <f t="shared" si="125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SUM(IF(ISNUMBER(FIND("TmAi",$BE$1:$AAD$1)),IF(IFERROR(ISODD(SUBSTITUTE($BE108:$AAD108,"A","")),FALSE),IF(ISODD(SUBSTITUTE($BE108:$AAD108,"A","")),1,0),0)))</f>
        <v>0</v>
      </c>
      <c r="AA108" t="str">
        <f t="shared" si="123"/>
        <v>5B</v>
      </c>
      <c r="AB108" t="str">
        <f t="shared" si="124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>
        <f t="array" ref="KI108">IF(COUNTIFS($U$2:$U108,$U108)=1,1,INDEX(KI:KI,_xlfn.XMATCH(U108,U$1:U107,0,-1))+COUNT(KI107:KM107))</f>
        <v>165</v>
      </c>
      <c r="KJ108">
        <f t="shared" si="125"/>
        <v>166</v>
      </c>
      <c r="KK108">
        <f t="shared" si="125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SUM(IF(ISNUMBER(FIND("TmAi",$BE$1:$AAD$1)),IF(IFERROR(ISODD(SUBSTITUTE($BE109:$AAD109,"A","")),FALSE),IF(ISODD(SUBSTITUTE($BE109:$AAD109,"A","")),1,0),0)))</f>
        <v>0</v>
      </c>
      <c r="AA109" t="str">
        <f t="shared" si="123"/>
        <v>7B</v>
      </c>
      <c r="AB109" t="str">
        <f t="shared" si="124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>
        <f t="array" ref="KI109">IF(COUNTIFS($U$2:$U109,$U109)=1,1,INDEX(KI:KI,_xlfn.XMATCH(U109,U$1:U108,0,-1))+COUNT(KI108:KM108))</f>
        <v>168</v>
      </c>
      <c r="KJ109">
        <f t="shared" si="125"/>
        <v>169</v>
      </c>
      <c r="KK109">
        <f t="shared" si="125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SUM(IF(ISNUMBER(FIND("TmAi",$BE$1:$AAD$1)),IF(IFERROR(ISODD(SUBSTITUTE($BE110:$AAD110,"A","")),FALSE),IF(ISODD(SUBSTITUTE($BE110:$AAD110,"A","")),1,0),0)))</f>
        <v>0</v>
      </c>
      <c r="AA110" t="str">
        <f t="shared" si="123"/>
        <v>9B</v>
      </c>
      <c r="AB110" t="str">
        <f t="shared" si="124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>
        <f t="array" ref="KI110">IF(COUNTIFS($U$2:$U110,$U110)=1,1,INDEX(KI:KI,_xlfn.XMATCH(U110,U$1:U109,0,-1))+COUNT(KI109:KM109))</f>
        <v>171</v>
      </c>
      <c r="KJ110">
        <f t="shared" si="125"/>
        <v>172</v>
      </c>
      <c r="KK110">
        <f t="shared" si="125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SUM(IF(ISNUMBER(FIND("TmAi",$BE$1:$AAD$1)),IF(IFERROR(ISODD(SUBSTITUTE($BE111:$AAD111,"A","")),FALSE),IF(ISODD(SUBSTITUTE($BE111:$AAD111,"A","")),1,0),0)))</f>
        <v>0</v>
      </c>
      <c r="AA111" t="str">
        <f t="shared" si="123"/>
        <v>11B</v>
      </c>
      <c r="AB111" t="str">
        <f t="shared" si="124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>
        <f t="array" ref="KI111">IF(COUNTIFS($U$2:$U111,$U111)=1,1,INDEX(KI:KI,_xlfn.XMATCH(U111,U$1:U110,0,-1))+COUNT(KI110:KM110))</f>
        <v>174</v>
      </c>
      <c r="KJ111">
        <f t="shared" si="125"/>
        <v>175</v>
      </c>
      <c r="KK111">
        <f t="shared" si="125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SUM(IF(ISNUMBER(FIND("TmAi",$BE$1:$AAD$1)),IF(IFERROR(ISODD(SUBSTITUTE($BE112:$AAD112,"A","")),FALSE),IF(ISODD(SUBSTITUTE($BE112:$AAD112,"A","")),1,0),0)))</f>
        <v>0</v>
      </c>
      <c r="AA112" t="str">
        <f t="shared" si="123"/>
        <v>13B</v>
      </c>
      <c r="AB112" t="str">
        <f t="shared" si="124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>
        <f t="array" ref="KI112">IF(COUNTIFS($U$2:$U112,$U112)=1,1,INDEX(KI:KI,_xlfn.XMATCH(U112,U$1:U111,0,-1))+COUNT(KI111:KM111))</f>
        <v>177</v>
      </c>
      <c r="KJ112">
        <f t="shared" si="125"/>
        <v>178</v>
      </c>
      <c r="KK112">
        <f t="shared" si="125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SUM(IF(ISNUMBER(FIND("TmAi",$BE$1:$AAD$1)),IF(IFERROR(ISODD(SUBSTITUTE($BE113:$AAD113,"A","")),FALSE),IF(ISODD(SUBSTITUTE($BE113:$AAD113,"A","")),1,0),0)))</f>
        <v>0</v>
      </c>
      <c r="AA113" t="str">
        <f t="shared" si="123"/>
        <v>15B</v>
      </c>
      <c r="AB113" t="str">
        <f t="shared" si="124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>
        <f t="array" ref="KI113">IF(COUNTIFS($U$2:$U113,$U113)=1,1,INDEX(KI:KI,_xlfn.XMATCH(U113,U$1:U112,0,-1))+COUNT(KI112:KM112))</f>
        <v>180</v>
      </c>
      <c r="KJ113">
        <f t="shared" si="125"/>
        <v>181</v>
      </c>
      <c r="KK113">
        <f t="shared" si="125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SUM(IF(ISNUMBER(FIND("TmAi",$BE$1:$AAD$1)),IF(IFERROR(ISODD(SUBSTITUTE($BE114:$AAD114,"A","")),FALSE),IF(ISODD(SUBSTITUTE($BE114:$AAD114,"A","")),1,0),0)))</f>
        <v>0</v>
      </c>
      <c r="AA114" t="str">
        <f t="shared" si="123"/>
        <v>1B</v>
      </c>
      <c r="AB114" t="str">
        <f t="shared" si="124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>
        <f t="array" ref="KI114">IF(COUNTIFS($U$2:$U114,$U114)=1,1,INDEX(KI:KI,_xlfn.XMATCH(U114,U$1:U113,0,-1))+COUNT(KI113:KM113))</f>
        <v>183</v>
      </c>
      <c r="KJ114">
        <f t="shared" si="125"/>
        <v>184</v>
      </c>
      <c r="KK114">
        <f t="shared" si="125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SUM(IF(ISNUMBER(FIND("TmAi",$BE$1:$AAD$1)),IF(IFERROR(ISODD(SUBSTITUTE($BE115:$AAD115,"A","")),FALSE),IF(ISODD(SUBSTITUTE($BE115:$AAD115,"A","")),1,0),0)))</f>
        <v>0</v>
      </c>
      <c r="AA115" t="str">
        <f t="shared" si="123"/>
        <v>3B</v>
      </c>
      <c r="AB115" t="str">
        <f t="shared" si="124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>
        <f t="array" ref="KI115">IF(COUNTIFS($U$2:$U115,$U115)=1,1,INDEX(KI:KI,_xlfn.XMATCH(U115,U$1:U114,0,-1))+COUNT(KI114:KM114))</f>
        <v>186</v>
      </c>
      <c r="KJ115">
        <f t="shared" si="125"/>
        <v>187</v>
      </c>
      <c r="KK115">
        <f t="shared" si="125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SUM(IF(ISNUMBER(FIND("TmAi",$BE$1:$AAD$1)),IF(IFERROR(ISODD(SUBSTITUTE($BE116:$AAD116,"A","")),FALSE),IF(ISODD(SUBSTITUTE($BE116:$AAD116,"A","")),1,0),0)))</f>
        <v>0</v>
      </c>
      <c r="AA116" t="str">
        <f t="shared" si="123"/>
        <v>5B</v>
      </c>
      <c r="AB116" t="str">
        <f t="shared" si="124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>
        <f t="array" ref="KI116">IF(COUNTIFS($U$2:$U116,$U116)=1,1,INDEX(KI:KI,_xlfn.XMATCH(U116,U$1:U115,0,-1))+COUNT(KI115:KM115))</f>
        <v>189</v>
      </c>
      <c r="KJ116">
        <f t="shared" si="125"/>
        <v>190</v>
      </c>
      <c r="KK116">
        <f t="shared" si="125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SUM(IF(ISNUMBER(FIND("TmAi",$BE$1:$AAD$1)),IF(IFERROR(ISODD(SUBSTITUTE($BE117:$AAD117,"A","")),FALSE),IF(ISODD(SUBSTITUTE($BE117:$AAD117,"A","")),1,0),0)))</f>
        <v>0</v>
      </c>
      <c r="AA117" t="str">
        <f t="shared" si="123"/>
        <v>7B</v>
      </c>
      <c r="AB117" t="str">
        <f t="shared" si="124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>
        <f t="array" ref="KI117">IF(COUNTIFS($U$2:$U117,$U117)=1,1,INDEX(KI:KI,_xlfn.XMATCH(U117,U$1:U116,0,-1))+COUNT(KI116:KM116))</f>
        <v>192</v>
      </c>
      <c r="KJ117">
        <f t="shared" si="125"/>
        <v>193</v>
      </c>
      <c r="KK117">
        <f t="shared" si="125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SUM(IF(ISNUMBER(FIND("TmAi",$BE$1:$AAD$1)),IF(IFERROR(ISODD(SUBSTITUTE($BE118:$AAD118,"A","")),FALSE),IF(ISODD(SUBSTITUTE($BE118:$AAD118,"A","")),1,0),0)))</f>
        <v>0</v>
      </c>
      <c r="AA118" t="str">
        <f t="shared" si="123"/>
        <v>9B</v>
      </c>
      <c r="AB118" t="str">
        <f t="shared" si="124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>
        <f t="array" ref="KI118">IF(COUNTIFS($U$2:$U118,$U118)=1,1,INDEX(KI:KI,_xlfn.XMATCH(U118,U$1:U117,0,-1))+COUNT(KI117:KM117))</f>
        <v>195</v>
      </c>
      <c r="KJ118">
        <f t="shared" si="125"/>
        <v>196</v>
      </c>
      <c r="KK118">
        <f t="shared" si="125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SUM(IF(ISNUMBER(FIND("TmAi",$BE$1:$AAD$1)),IF(IFERROR(ISODD(SUBSTITUTE($BE119:$AAD119,"A","")),FALSE),IF(ISODD(SUBSTITUTE($BE119:$AAD119,"A","")),1,0),0)))</f>
        <v>0</v>
      </c>
      <c r="AA119" t="str">
        <f t="shared" si="123"/>
        <v>11B</v>
      </c>
      <c r="AB119" t="str">
        <f t="shared" si="124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>
        <f t="array" ref="KI119">IF(COUNTIFS($U$2:$U119,$U119)=1,1,INDEX(KI:KI,_xlfn.XMATCH(U119,U$1:U118,0,-1))+COUNT(KI118:KM118))</f>
        <v>198</v>
      </c>
      <c r="KJ119">
        <f t="shared" si="125"/>
        <v>199</v>
      </c>
      <c r="KK119">
        <f t="shared" si="125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SUM(IF(ISNUMBER(FIND("TmAi",$BE$1:$AAD$1)),IF(IFERROR(ISODD(SUBSTITUTE($BE120:$AAD120,"A","")),FALSE),IF(ISODD(SUBSTITUTE($BE120:$AAD120,"A","")),1,0),0)))</f>
        <v>0</v>
      </c>
      <c r="AA120" t="str">
        <f t="shared" si="123"/>
        <v>13B</v>
      </c>
      <c r="AB120" t="str">
        <f t="shared" si="124"/>
        <v>14B</v>
      </c>
      <c r="AP120" t="s">
        <v>137</v>
      </c>
      <c r="AS120" t="s">
        <v>396</v>
      </c>
      <c r="JZ120" s="27" t="str">
        <f t="shared" ref="JZ120:JZ168" si="126">CONCATENATE("XT",U120)</f>
        <v>XT55</v>
      </c>
      <c r="KC120" t="str">
        <f t="shared" ref="KC120:KC168" si="127">CONCATENATE(T120,"-AI",REPLACE($X120,1,3,""),"-",AA120)</f>
        <v>F0-AI10-13B</v>
      </c>
      <c r="KD120" t="str">
        <f t="shared" ref="KD120:KD168" si="128">CONCATENATE(T120,"-AI",REPLACE($X120,1,3,""),"-",AB120)</f>
        <v>F0-AI10-14B</v>
      </c>
      <c r="KI120">
        <f t="array" ref="KI120">IF(COUNTIFS($U$2:$U120,$U120)=1,1,INDEX(KI:KI,_xlfn.XMATCH(U120,U$1:U119,0,-1))+COUNT(KI119:KM119))</f>
        <v>201</v>
      </c>
      <c r="KJ120">
        <f t="shared" si="125"/>
        <v>202</v>
      </c>
      <c r="KK120">
        <f t="shared" si="125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SUM(IF(ISNUMBER(FIND("TmAi",$BE$1:$AAD$1)),IF(IFERROR(ISODD(SUBSTITUTE($BE121:$AAD121,"A","")),FALSE),IF(ISODD(SUBSTITUTE($BE121:$AAD121,"A","")),1,0),0)))</f>
        <v>0</v>
      </c>
      <c r="AA121" t="str">
        <f t="shared" si="123"/>
        <v>15B</v>
      </c>
      <c r="AB121" t="str">
        <f t="shared" si="124"/>
        <v>16B</v>
      </c>
      <c r="AP121" t="s">
        <v>137</v>
      </c>
      <c r="AS121" t="s">
        <v>396</v>
      </c>
      <c r="JZ121" s="27" t="str">
        <f t="shared" si="126"/>
        <v>XT55</v>
      </c>
      <c r="KC121" t="str">
        <f t="shared" si="127"/>
        <v>F0-AI10-15B</v>
      </c>
      <c r="KD121" t="str">
        <f t="shared" si="128"/>
        <v>F0-AI10-16B</v>
      </c>
      <c r="KI121">
        <f t="array" ref="KI121">IF(COUNTIFS($U$2:$U121,$U121)=1,1,INDEX(KI:KI,_xlfn.XMATCH(U121,U$1:U120,0,-1))+COUNT(KI120:KM120))</f>
        <v>204</v>
      </c>
      <c r="KJ121">
        <f t="shared" si="125"/>
        <v>205</v>
      </c>
      <c r="KK121">
        <f t="shared" si="125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SUM(IF(ISNUMBER(FIND("TmAi",$BE$1:$AAD$1)),IF(IFERROR(ISODD(SUBSTITUTE($BE122:$AAD122,"A","")),FALSE),IF(ISODD(SUBSTITUTE($BE122:$AAD122,"A","")),1,0),0)))</f>
        <v>0</v>
      </c>
      <c r="AA122" t="str">
        <f t="shared" si="123"/>
        <v>1B</v>
      </c>
      <c r="AB122" t="str">
        <f t="shared" si="124"/>
        <v>2B</v>
      </c>
      <c r="AP122" t="s">
        <v>137</v>
      </c>
      <c r="AS122" t="s">
        <v>396</v>
      </c>
      <c r="JZ122" s="27" t="str">
        <f t="shared" si="126"/>
        <v>XT55</v>
      </c>
      <c r="KC122" t="str">
        <f t="shared" si="127"/>
        <v>F0-AI11-1B</v>
      </c>
      <c r="KD122" t="str">
        <f t="shared" si="128"/>
        <v>F0-AI11-2B</v>
      </c>
      <c r="KI122">
        <f t="array" ref="KI122">IF(COUNTIFS($U$2:$U122,$U122)=1,1,INDEX(KI:KI,_xlfn.XMATCH(U122,U$1:U121,0,-1))+COUNT(KI121:KM121))</f>
        <v>207</v>
      </c>
      <c r="KJ122">
        <f t="shared" si="125"/>
        <v>208</v>
      </c>
      <c r="KK122">
        <f t="shared" si="125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SUM(IF(ISNUMBER(FIND("TmAi",$BE$1:$AAD$1)),IF(IFERROR(ISODD(SUBSTITUTE($BE123:$AAD123,"A","")),FALSE),IF(ISODD(SUBSTITUTE($BE123:$AAD123,"A","")),1,0),0)))</f>
        <v>0</v>
      </c>
      <c r="AA123" t="str">
        <f t="shared" si="123"/>
        <v>3B</v>
      </c>
      <c r="AB123" t="str">
        <f t="shared" si="124"/>
        <v>4B</v>
      </c>
      <c r="AP123" t="s">
        <v>137</v>
      </c>
      <c r="AS123" t="s">
        <v>396</v>
      </c>
      <c r="JZ123" s="27" t="str">
        <f t="shared" si="126"/>
        <v>XT55</v>
      </c>
      <c r="KC123" t="str">
        <f t="shared" si="127"/>
        <v>F0-AI11-3B</v>
      </c>
      <c r="KD123" t="str">
        <f t="shared" si="128"/>
        <v>F0-AI11-4B</v>
      </c>
      <c r="KI123">
        <f t="array" ref="KI123">IF(COUNTIFS($U$2:$U123,$U123)=1,1,INDEX(KI:KI,_xlfn.XMATCH(U123,U$1:U122,0,-1))+COUNT(KI122:KM122))</f>
        <v>210</v>
      </c>
      <c r="KJ123">
        <f t="shared" ref="KJ123:KK161" si="129">KI123+1</f>
        <v>211</v>
      </c>
      <c r="KK123">
        <f t="shared" si="129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SUM(IF(ISNUMBER(FIND("TmAi",$BE$1:$AAD$1)),IF(IFERROR(ISODD(SUBSTITUTE($BE124:$AAD124,"A","")),FALSE),IF(ISODD(SUBSTITUTE($BE124:$AAD124,"A","")),1,0),0)))</f>
        <v>0</v>
      </c>
      <c r="AA124" t="str">
        <f t="shared" si="123"/>
        <v>5B</v>
      </c>
      <c r="AB124" t="str">
        <f t="shared" si="124"/>
        <v>6B</v>
      </c>
      <c r="AP124" t="s">
        <v>137</v>
      </c>
      <c r="AS124" t="s">
        <v>396</v>
      </c>
      <c r="JZ124" s="27" t="str">
        <f t="shared" si="126"/>
        <v>XT55</v>
      </c>
      <c r="KC124" t="str">
        <f t="shared" si="127"/>
        <v>F0-AI11-5B</v>
      </c>
      <c r="KD124" t="str">
        <f t="shared" si="128"/>
        <v>F0-AI11-6B</v>
      </c>
      <c r="KI124">
        <f t="array" ref="KI124">IF(COUNTIFS($U$2:$U124,$U124)=1,1,INDEX(KI:KI,_xlfn.XMATCH(U124,U$1:U123,0,-1))+COUNT(KI123:KM123))</f>
        <v>213</v>
      </c>
      <c r="KJ124">
        <f t="shared" si="129"/>
        <v>214</v>
      </c>
      <c r="KK124">
        <f t="shared" si="129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SUM(IF(ISNUMBER(FIND("TmAi",$BE$1:$AAD$1)),IF(IFERROR(ISODD(SUBSTITUTE($BE125:$AAD125,"A","")),FALSE),IF(ISODD(SUBSTITUTE($BE125:$AAD125,"A","")),1,0),0)))</f>
        <v>0</v>
      </c>
      <c r="AA125" t="str">
        <f t="shared" si="123"/>
        <v>7B</v>
      </c>
      <c r="AB125" t="str">
        <f t="shared" si="124"/>
        <v>8B</v>
      </c>
      <c r="AP125" t="s">
        <v>137</v>
      </c>
      <c r="AS125" t="s">
        <v>396</v>
      </c>
      <c r="JZ125" s="27" t="str">
        <f t="shared" si="126"/>
        <v>XT55</v>
      </c>
      <c r="KC125" t="str">
        <f t="shared" si="127"/>
        <v>F0-AI11-7B</v>
      </c>
      <c r="KD125" t="str">
        <f t="shared" si="128"/>
        <v>F0-AI11-8B</v>
      </c>
      <c r="KI125">
        <f t="array" ref="KI125">IF(COUNTIFS($U$2:$U125,$U125)=1,1,INDEX(KI:KI,_xlfn.XMATCH(U125,U$1:U124,0,-1))+COUNT(KI124:KM124))</f>
        <v>216</v>
      </c>
      <c r="KJ125">
        <f t="shared" si="129"/>
        <v>217</v>
      </c>
      <c r="KK125">
        <f t="shared" si="129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SUM(IF(ISNUMBER(FIND("TmAi",$BE$1:$AAD$1)),IF(IFERROR(ISODD(SUBSTITUTE($BE126:$AAD126,"A","")),FALSE),IF(ISODD(SUBSTITUTE($BE126:$AAD126,"A","")),1,0),0)))</f>
        <v>0</v>
      </c>
      <c r="AA126" t="str">
        <f t="shared" si="123"/>
        <v>9B</v>
      </c>
      <c r="AB126" t="str">
        <f t="shared" si="124"/>
        <v>10B</v>
      </c>
      <c r="AP126" t="s">
        <v>137</v>
      </c>
      <c r="AS126" t="s">
        <v>396</v>
      </c>
      <c r="JZ126" s="27" t="str">
        <f t="shared" si="126"/>
        <v>XT55</v>
      </c>
      <c r="KC126" t="str">
        <f t="shared" si="127"/>
        <v>F0-AI11-9B</v>
      </c>
      <c r="KD126" t="str">
        <f t="shared" si="128"/>
        <v>F0-AI11-10B</v>
      </c>
      <c r="KI126">
        <f t="array" ref="KI126">IF(COUNTIFS($U$2:$U126,$U126)=1,1,INDEX(KI:KI,_xlfn.XMATCH(U126,U$1:U125,0,-1))+COUNT(KI125:KM125))</f>
        <v>219</v>
      </c>
      <c r="KJ126">
        <f t="shared" si="129"/>
        <v>220</v>
      </c>
      <c r="KK126">
        <f t="shared" si="129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SUM(IF(ISNUMBER(FIND("TmAi",$BE$1:$AAD$1)),IF(IFERROR(ISODD(SUBSTITUTE($BE127:$AAD127,"A","")),FALSE),IF(ISODD(SUBSTITUTE($BE127:$AAD127,"A","")),1,0),0)))</f>
        <v>0</v>
      </c>
      <c r="AA127" t="str">
        <f t="shared" si="123"/>
        <v>11B</v>
      </c>
      <c r="AB127" t="str">
        <f t="shared" si="124"/>
        <v>12B</v>
      </c>
      <c r="AP127" t="s">
        <v>137</v>
      </c>
      <c r="AS127" t="s">
        <v>396</v>
      </c>
      <c r="JZ127" s="27" t="str">
        <f t="shared" si="126"/>
        <v>XT55</v>
      </c>
      <c r="KC127" t="str">
        <f t="shared" si="127"/>
        <v>F0-AI11-11B</v>
      </c>
      <c r="KD127" t="str">
        <f t="shared" si="128"/>
        <v>F0-AI11-12B</v>
      </c>
      <c r="KI127">
        <f t="array" ref="KI127">IF(COUNTIFS($U$2:$U127,$U127)=1,1,INDEX(KI:KI,_xlfn.XMATCH(U127,U$1:U126,0,-1))+COUNT(KI126:KM126))</f>
        <v>222</v>
      </c>
      <c r="KJ127">
        <f t="shared" si="129"/>
        <v>223</v>
      </c>
      <c r="KK127">
        <f t="shared" si="129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SUM(IF(ISNUMBER(FIND("TmAi",$BE$1:$AAD$1)),IF(IFERROR(ISODD(SUBSTITUTE($BE128:$AAD128,"A","")),FALSE),IF(ISODD(SUBSTITUTE($BE128:$AAD128,"A","")),1,0),0)))</f>
        <v>0</v>
      </c>
      <c r="AA128" t="str">
        <f t="shared" si="123"/>
        <v>13B</v>
      </c>
      <c r="AB128" t="str">
        <f t="shared" si="124"/>
        <v>14B</v>
      </c>
      <c r="AP128" t="s">
        <v>137</v>
      </c>
      <c r="AS128" t="s">
        <v>396</v>
      </c>
      <c r="JZ128" s="27" t="str">
        <f t="shared" si="126"/>
        <v>XT55</v>
      </c>
      <c r="KC128" t="str">
        <f t="shared" si="127"/>
        <v>F0-AI11-13B</v>
      </c>
      <c r="KD128" t="str">
        <f t="shared" si="128"/>
        <v>F0-AI11-14B</v>
      </c>
      <c r="KI128">
        <f t="array" ref="KI128">IF(COUNTIFS($U$2:$U128,$U128)=1,1,INDEX(KI:KI,_xlfn.XMATCH(U128,U$1:U127,0,-1))+COUNT(KI127:KM127))</f>
        <v>225</v>
      </c>
      <c r="KJ128">
        <f t="shared" si="129"/>
        <v>226</v>
      </c>
      <c r="KK128">
        <f t="shared" si="129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SUM(IF(ISNUMBER(FIND("TmAi",$BE$1:$AAD$1)),IF(IFERROR(ISODD(SUBSTITUTE($BE129:$AAD129,"A","")),FALSE),IF(ISODD(SUBSTITUTE($BE129:$AAD129,"A","")),1,0),0)))</f>
        <v>0</v>
      </c>
      <c r="AA129" t="str">
        <f t="shared" si="123"/>
        <v>15B</v>
      </c>
      <c r="AB129" t="str">
        <f t="shared" si="124"/>
        <v>16B</v>
      </c>
      <c r="AP129" t="s">
        <v>137</v>
      </c>
      <c r="AS129" t="s">
        <v>396</v>
      </c>
      <c r="JZ129" s="27" t="str">
        <f t="shared" si="126"/>
        <v>XT55</v>
      </c>
      <c r="KC129" t="str">
        <f t="shared" si="127"/>
        <v>F0-AI11-15B</v>
      </c>
      <c r="KD129" t="str">
        <f t="shared" si="128"/>
        <v>F0-AI11-16B</v>
      </c>
      <c r="KI129">
        <f t="array" ref="KI129">IF(COUNTIFS($U$2:$U129,$U129)=1,1,INDEX(KI:KI,_xlfn.XMATCH(U129,U$1:U128,0,-1))+COUNT(KI128:KM128))</f>
        <v>228</v>
      </c>
      <c r="KJ129">
        <f t="shared" si="129"/>
        <v>229</v>
      </c>
      <c r="KK129">
        <f t="shared" si="129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SUM(IF(ISNUMBER(FIND("TmAi",$BE$1:$AAD$1)),IF(IFERROR(ISODD(SUBSTITUTE($BE130:$AAD130,"A","")),FALSE),IF(ISODD(SUBSTITUTE($BE130:$AAD130,"A","")),1,0),0)))</f>
        <v>0</v>
      </c>
      <c r="AA130" t="str">
        <f t="shared" si="123"/>
        <v>1B</v>
      </c>
      <c r="AB130" t="str">
        <f t="shared" si="124"/>
        <v>2B</v>
      </c>
      <c r="AP130" t="s">
        <v>137</v>
      </c>
      <c r="AS130" t="s">
        <v>396</v>
      </c>
      <c r="JZ130" s="27" t="str">
        <f t="shared" si="126"/>
        <v>XT55</v>
      </c>
      <c r="KC130" t="str">
        <f t="shared" si="127"/>
        <v>F0-AI12-1B</v>
      </c>
      <c r="KD130" t="str">
        <f t="shared" si="128"/>
        <v>F0-AI12-2B</v>
      </c>
      <c r="KI130">
        <f t="array" ref="KI130">IF(COUNTIFS($U$2:$U130,$U130)=1,1,INDEX(KI:KI,_xlfn.XMATCH(U130,U$1:U129,0,-1))+COUNT(KI129:KM129))</f>
        <v>231</v>
      </c>
      <c r="KJ130">
        <f t="shared" si="129"/>
        <v>232</v>
      </c>
      <c r="KK130">
        <f t="shared" si="129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SUM(IF(ISNUMBER(FIND("TmAi",$BE$1:$AAD$1)),IF(IFERROR(ISODD(SUBSTITUTE($BE131:$AAD131,"A","")),FALSE),IF(ISODD(SUBSTITUTE($BE131:$AAD131,"A","")),1,0),0)))</f>
        <v>0</v>
      </c>
      <c r="AA131" t="str">
        <f t="shared" si="123"/>
        <v>3B</v>
      </c>
      <c r="AB131" t="str">
        <f t="shared" si="124"/>
        <v>4B</v>
      </c>
      <c r="AP131" t="s">
        <v>137</v>
      </c>
      <c r="AS131" t="s">
        <v>396</v>
      </c>
      <c r="JZ131" s="27" t="str">
        <f t="shared" si="126"/>
        <v>XT55</v>
      </c>
      <c r="KC131" t="str">
        <f t="shared" si="127"/>
        <v>F0-AI12-3B</v>
      </c>
      <c r="KD131" t="str">
        <f t="shared" si="128"/>
        <v>F0-AI12-4B</v>
      </c>
      <c r="KI131">
        <f t="array" ref="KI131">IF(COUNTIFS($U$2:$U131,$U131)=1,1,INDEX(KI:KI,_xlfn.XMATCH(U131,U$1:U130,0,-1))+COUNT(KI130:KM130))</f>
        <v>234</v>
      </c>
      <c r="KJ131">
        <f t="shared" si="129"/>
        <v>235</v>
      </c>
      <c r="KK131">
        <f t="shared" si="129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SUM(IF(ISNUMBER(FIND("TmAi",$BE$1:$AAD$1)),IF(IFERROR(ISODD(SUBSTITUTE($BE132:$AAD132,"A","")),FALSE),IF(ISODD(SUBSTITUTE($BE132:$AAD132,"A","")),1,0),0)))</f>
        <v>0</v>
      </c>
      <c r="AA132" t="str">
        <f t="shared" si="123"/>
        <v>5B</v>
      </c>
      <c r="AB132" t="str">
        <f t="shared" si="124"/>
        <v>6B</v>
      </c>
      <c r="AP132" t="s">
        <v>137</v>
      </c>
      <c r="AS132" t="s">
        <v>396</v>
      </c>
      <c r="JZ132" s="27" t="str">
        <f t="shared" si="126"/>
        <v>XT55</v>
      </c>
      <c r="KC132" t="str">
        <f t="shared" si="127"/>
        <v>F0-AI12-5B</v>
      </c>
      <c r="KD132" t="str">
        <f t="shared" si="128"/>
        <v>F0-AI12-6B</v>
      </c>
      <c r="KI132">
        <f t="array" ref="KI132">IF(COUNTIFS($U$2:$U132,$U132)=1,1,INDEX(KI:KI,_xlfn.XMATCH(U132,U$1:U131,0,-1))+COUNT(KI131:KM131))</f>
        <v>237</v>
      </c>
      <c r="KJ132">
        <f t="shared" si="129"/>
        <v>238</v>
      </c>
      <c r="KK132">
        <f t="shared" si="129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SUM(IF(ISNUMBER(FIND("TmAi",$BE$1:$AAD$1)),IF(IFERROR(ISODD(SUBSTITUTE($BE133:$AAD133,"A","")),FALSE),IF(ISODD(SUBSTITUTE($BE133:$AAD133,"A","")),1,0),0)))</f>
        <v>0</v>
      </c>
      <c r="AA133" t="str">
        <f t="shared" si="123"/>
        <v>7B</v>
      </c>
      <c r="AB133" t="str">
        <f t="shared" si="124"/>
        <v>8B</v>
      </c>
      <c r="AP133" t="s">
        <v>137</v>
      </c>
      <c r="AS133" t="s">
        <v>396</v>
      </c>
      <c r="JZ133" s="27" t="str">
        <f t="shared" si="126"/>
        <v>XT55</v>
      </c>
      <c r="KC133" t="str">
        <f t="shared" si="127"/>
        <v>F0-AI12-7B</v>
      </c>
      <c r="KD133" t="str">
        <f t="shared" si="128"/>
        <v>F0-AI12-8B</v>
      </c>
      <c r="KI133">
        <f t="array" ref="KI133">IF(COUNTIFS($U$2:$U133,$U133)=1,1,INDEX(KI:KI,_xlfn.XMATCH(U133,U$1:U132,0,-1))+COUNT(KI132:KM132))</f>
        <v>240</v>
      </c>
      <c r="KJ133">
        <f t="shared" si="129"/>
        <v>241</v>
      </c>
      <c r="KK133">
        <f t="shared" si="129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SUM(IF(ISNUMBER(FIND("TmAi",$BE$1:$AAD$1)),IF(IFERROR(ISODD(SUBSTITUTE($BE134:$AAD134,"A","")),FALSE),IF(ISODD(SUBSTITUTE($BE134:$AAD134,"A","")),1,0),0)))</f>
        <v>0</v>
      </c>
      <c r="AA134" t="str">
        <f t="shared" si="123"/>
        <v>9B</v>
      </c>
      <c r="AB134" t="str">
        <f t="shared" si="124"/>
        <v>10B</v>
      </c>
      <c r="AP134" t="s">
        <v>137</v>
      </c>
      <c r="AS134" t="s">
        <v>396</v>
      </c>
      <c r="JZ134" s="27" t="str">
        <f t="shared" si="126"/>
        <v>XT55</v>
      </c>
      <c r="KC134" t="str">
        <f t="shared" si="127"/>
        <v>F0-AI12-9B</v>
      </c>
      <c r="KD134" t="str">
        <f t="shared" si="128"/>
        <v>F0-AI12-10B</v>
      </c>
      <c r="KI134">
        <f t="array" ref="KI134">IF(COUNTIFS($U$2:$U134,$U134)=1,1,INDEX(KI:KI,_xlfn.XMATCH(U134,U$1:U133,0,-1))+COUNT(KI133:KM133))</f>
        <v>243</v>
      </c>
      <c r="KJ134">
        <f t="shared" si="129"/>
        <v>244</v>
      </c>
      <c r="KK134">
        <f t="shared" si="129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SUM(IF(ISNUMBER(FIND("TmAi",$BE$1:$AAD$1)),IF(IFERROR(ISODD(SUBSTITUTE($BE135:$AAD135,"A","")),FALSE),IF(ISODD(SUBSTITUTE($BE135:$AAD135,"A","")),1,0),0)))</f>
        <v>0</v>
      </c>
      <c r="AA135" t="str">
        <f t="shared" si="123"/>
        <v>11B</v>
      </c>
      <c r="AB135" t="str">
        <f t="shared" si="124"/>
        <v>12B</v>
      </c>
      <c r="AP135" t="s">
        <v>137</v>
      </c>
      <c r="AS135" t="s">
        <v>396</v>
      </c>
      <c r="JZ135" s="27" t="str">
        <f t="shared" si="126"/>
        <v>XT55</v>
      </c>
      <c r="KC135" t="str">
        <f t="shared" si="127"/>
        <v>F0-AI12-11B</v>
      </c>
      <c r="KD135" t="str">
        <f t="shared" si="128"/>
        <v>F0-AI12-12B</v>
      </c>
      <c r="KI135">
        <f t="array" ref="KI135">IF(COUNTIFS($U$2:$U135,$U135)=1,1,INDEX(KI:KI,_xlfn.XMATCH(U135,U$1:U134,0,-1))+COUNT(KI134:KM134))</f>
        <v>246</v>
      </c>
      <c r="KJ135">
        <f t="shared" si="129"/>
        <v>247</v>
      </c>
      <c r="KK135">
        <f t="shared" si="129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SUM(IF(ISNUMBER(FIND("TmAi",$BE$1:$AAD$1)),IF(IFERROR(ISODD(SUBSTITUTE($BE136:$AAD136,"A","")),FALSE),IF(ISODD(SUBSTITUTE($BE136:$AAD136,"A","")),1,0),0)))</f>
        <v>0</v>
      </c>
      <c r="AA136" t="str">
        <f t="shared" si="123"/>
        <v>13B</v>
      </c>
      <c r="AB136" t="str">
        <f t="shared" si="124"/>
        <v>14B</v>
      </c>
      <c r="AP136" t="s">
        <v>137</v>
      </c>
      <c r="AS136" t="s">
        <v>396</v>
      </c>
      <c r="JZ136" s="27" t="str">
        <f t="shared" si="126"/>
        <v>XT55</v>
      </c>
      <c r="KC136" t="str">
        <f t="shared" si="127"/>
        <v>F0-AI12-13B</v>
      </c>
      <c r="KD136" t="str">
        <f t="shared" si="128"/>
        <v>F0-AI12-14B</v>
      </c>
      <c r="KI136">
        <f t="array" ref="KI136">IF(COUNTIFS($U$2:$U136,$U136)=1,1,INDEX(KI:KI,_xlfn.XMATCH(U136,U$1:U135,0,-1))+COUNT(KI135:KM135))</f>
        <v>249</v>
      </c>
      <c r="KJ136">
        <f t="shared" si="129"/>
        <v>250</v>
      </c>
      <c r="KK136">
        <f t="shared" si="129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SUM(IF(ISNUMBER(FIND("TmAi",$BE$1:$AAD$1)),IF(IFERROR(ISODD(SUBSTITUTE($BE137:$AAD137,"A","")),FALSE),IF(ISODD(SUBSTITUTE($BE137:$AAD137,"A","")),1,0),0)))</f>
        <v>0</v>
      </c>
      <c r="AA137" t="str">
        <f t="shared" si="123"/>
        <v>15B</v>
      </c>
      <c r="AB137" t="str">
        <f t="shared" si="124"/>
        <v>16B</v>
      </c>
      <c r="AP137" t="s">
        <v>137</v>
      </c>
      <c r="AS137" t="s">
        <v>396</v>
      </c>
      <c r="JZ137" s="27" t="str">
        <f t="shared" si="126"/>
        <v>XT55</v>
      </c>
      <c r="KC137" t="str">
        <f t="shared" si="127"/>
        <v>F0-AI12-15B</v>
      </c>
      <c r="KD137" t="str">
        <f t="shared" si="128"/>
        <v>F0-AI12-16B</v>
      </c>
      <c r="KI137">
        <f t="array" ref="KI137">IF(COUNTIFS($U$2:$U137,$U137)=1,1,INDEX(KI:KI,_xlfn.XMATCH(U137,U$1:U136,0,-1))+COUNT(KI136:KM136))</f>
        <v>252</v>
      </c>
      <c r="KJ137">
        <f t="shared" si="129"/>
        <v>253</v>
      </c>
      <c r="KK137">
        <f t="shared" si="129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SUM(IF(ISNUMBER(FIND("TmAi",$BE$1:$AAD$1)),IF(IFERROR(ISODD(SUBSTITUTE($BE138:$AAD138,"A","")),FALSE),IF(ISODD(SUBSTITUTE($BE138:$AAD138,"A","")),1,0),0)))</f>
        <v>0</v>
      </c>
      <c r="AA138" t="str">
        <f t="shared" si="123"/>
        <v>1B</v>
      </c>
      <c r="AB138" t="str">
        <f t="shared" si="124"/>
        <v>2B</v>
      </c>
      <c r="AP138" t="s">
        <v>137</v>
      </c>
      <c r="AS138" t="s">
        <v>396</v>
      </c>
      <c r="JZ138" s="27" t="str">
        <f t="shared" si="126"/>
        <v>XT55</v>
      </c>
      <c r="KC138" t="str">
        <f t="shared" si="127"/>
        <v>F0-AI13-1B</v>
      </c>
      <c r="KD138" t="str">
        <f t="shared" si="128"/>
        <v>F0-AI13-2B</v>
      </c>
      <c r="KI138">
        <f t="array" ref="KI138">IF(COUNTIFS($U$2:$U138,$U138)=1,1,INDEX(KI:KI,_xlfn.XMATCH(U138,U$1:U137,0,-1))+COUNT(KI137:KM137))</f>
        <v>255</v>
      </c>
      <c r="KJ138">
        <f t="shared" si="129"/>
        <v>256</v>
      </c>
      <c r="KK138">
        <f t="shared" si="129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SUM(IF(ISNUMBER(FIND("TmAi",$BE$1:$AAD$1)),IF(IFERROR(ISODD(SUBSTITUTE($BE139:$AAD139,"A","")),FALSE),IF(ISODD(SUBSTITUTE($BE139:$AAD139,"A","")),1,0),0)))</f>
        <v>0</v>
      </c>
      <c r="AA139" t="str">
        <f t="shared" si="123"/>
        <v>3B</v>
      </c>
      <c r="AB139" t="str">
        <f t="shared" si="124"/>
        <v>4B</v>
      </c>
      <c r="AP139" t="s">
        <v>137</v>
      </c>
      <c r="AS139" t="s">
        <v>396</v>
      </c>
      <c r="JZ139" s="27" t="str">
        <f t="shared" si="126"/>
        <v>XT55</v>
      </c>
      <c r="KC139" t="str">
        <f t="shared" si="127"/>
        <v>F0-AI13-3B</v>
      </c>
      <c r="KD139" t="str">
        <f t="shared" si="128"/>
        <v>F0-AI13-4B</v>
      </c>
      <c r="KI139">
        <f t="array" ref="KI139">IF(COUNTIFS($U$2:$U139,$U139)=1,1,INDEX(KI:KI,_xlfn.XMATCH(U139,U$1:U138,0,-1))+COUNT(KI138:KM138))</f>
        <v>258</v>
      </c>
      <c r="KJ139">
        <f t="shared" si="129"/>
        <v>259</v>
      </c>
      <c r="KK139">
        <f t="shared" si="129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SUM(IF(ISNUMBER(FIND("TmAi",$BE$1:$AAD$1)),IF(IFERROR(ISODD(SUBSTITUTE($BE140:$AAD140,"A","")),FALSE),IF(ISODD(SUBSTITUTE($BE140:$AAD140,"A","")),1,0),0)))</f>
        <v>0</v>
      </c>
      <c r="AA140" t="str">
        <f t="shared" si="123"/>
        <v>5B</v>
      </c>
      <c r="AB140" t="str">
        <f t="shared" si="124"/>
        <v>6B</v>
      </c>
      <c r="AP140" t="s">
        <v>137</v>
      </c>
      <c r="AS140" t="s">
        <v>396</v>
      </c>
      <c r="JZ140" s="27" t="str">
        <f t="shared" si="126"/>
        <v>XT55</v>
      </c>
      <c r="KC140" t="str">
        <f t="shared" si="127"/>
        <v>F0-AI13-5B</v>
      </c>
      <c r="KD140" t="str">
        <f t="shared" si="128"/>
        <v>F0-AI13-6B</v>
      </c>
      <c r="KI140">
        <f t="array" ref="KI140">IF(COUNTIFS($U$2:$U140,$U140)=1,1,INDEX(KI:KI,_xlfn.XMATCH(U140,U$1:U139,0,-1))+COUNT(KI139:KM139))</f>
        <v>261</v>
      </c>
      <c r="KJ140">
        <f t="shared" si="129"/>
        <v>262</v>
      </c>
      <c r="KK140">
        <f t="shared" si="129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SUM(IF(ISNUMBER(FIND("TmAi",$BE$1:$AAD$1)),IF(IFERROR(ISODD(SUBSTITUTE($BE141:$AAD141,"A","")),FALSE),IF(ISODD(SUBSTITUTE($BE141:$AAD141,"A","")),1,0),0)))</f>
        <v>0</v>
      </c>
      <c r="AA141" t="str">
        <f t="shared" si="123"/>
        <v>7B</v>
      </c>
      <c r="AB141" t="str">
        <f t="shared" si="124"/>
        <v>8B</v>
      </c>
      <c r="AP141" t="s">
        <v>137</v>
      </c>
      <c r="AS141" t="s">
        <v>396</v>
      </c>
      <c r="JZ141" s="27" t="str">
        <f t="shared" si="126"/>
        <v>XT55</v>
      </c>
      <c r="KC141" t="str">
        <f t="shared" si="127"/>
        <v>F0-AI13-7B</v>
      </c>
      <c r="KD141" t="str">
        <f t="shared" si="128"/>
        <v>F0-AI13-8B</v>
      </c>
      <c r="KI141">
        <f t="array" ref="KI141">IF(COUNTIFS($U$2:$U141,$U141)=1,1,INDEX(KI:KI,_xlfn.XMATCH(U141,U$1:U140,0,-1))+COUNT(KI140:KM140))</f>
        <v>264</v>
      </c>
      <c r="KJ141">
        <f t="shared" si="129"/>
        <v>265</v>
      </c>
      <c r="KK141">
        <f t="shared" si="129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SUM(IF(ISNUMBER(FIND("TmAi",$BE$1:$AAD$1)),IF(IFERROR(ISODD(SUBSTITUTE($BE142:$AAD142,"A","")),FALSE),IF(ISODD(SUBSTITUTE($BE142:$AAD142,"A","")),1,0),0)))</f>
        <v>0</v>
      </c>
      <c r="AA142" t="str">
        <f t="shared" si="123"/>
        <v>9B</v>
      </c>
      <c r="AB142" t="str">
        <f t="shared" si="124"/>
        <v>10B</v>
      </c>
      <c r="AP142" t="s">
        <v>137</v>
      </c>
      <c r="AS142" t="s">
        <v>396</v>
      </c>
      <c r="JZ142" s="27" t="str">
        <f t="shared" si="126"/>
        <v>XT55</v>
      </c>
      <c r="KC142" t="str">
        <f t="shared" si="127"/>
        <v>F0-AI13-9B</v>
      </c>
      <c r="KD142" t="str">
        <f t="shared" si="128"/>
        <v>F0-AI13-10B</v>
      </c>
      <c r="KI142">
        <f t="array" ref="KI142">IF(COUNTIFS($U$2:$U142,$U142)=1,1,INDEX(KI:KI,_xlfn.XMATCH(U142,U$1:U141,0,-1))+COUNT(KI141:KM141))</f>
        <v>267</v>
      </c>
      <c r="KJ142">
        <f t="shared" si="129"/>
        <v>268</v>
      </c>
      <c r="KK142">
        <f t="shared" si="129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SUM(IF(ISNUMBER(FIND("TmAi",$BE$1:$AAD$1)),IF(IFERROR(ISODD(SUBSTITUTE($BE143:$AAD143,"A","")),FALSE),IF(ISODD(SUBSTITUTE($BE143:$AAD143,"A","")),1,0),0)))</f>
        <v>0</v>
      </c>
      <c r="AA143" t="str">
        <f t="shared" si="123"/>
        <v>11B</v>
      </c>
      <c r="AB143" t="str">
        <f t="shared" si="124"/>
        <v>12B</v>
      </c>
      <c r="AP143" t="s">
        <v>137</v>
      </c>
      <c r="AS143" t="s">
        <v>396</v>
      </c>
      <c r="JZ143" s="27" t="str">
        <f t="shared" si="126"/>
        <v>XT55</v>
      </c>
      <c r="KC143" t="str">
        <f t="shared" si="127"/>
        <v>F0-AI13-11B</v>
      </c>
      <c r="KD143" t="str">
        <f t="shared" si="128"/>
        <v>F0-AI13-12B</v>
      </c>
      <c r="KI143">
        <f t="array" ref="KI143">IF(COUNTIFS($U$2:$U143,$U143)=1,1,INDEX(KI:KI,_xlfn.XMATCH(U143,U$1:U142,0,-1))+COUNT(KI142:KM142))</f>
        <v>270</v>
      </c>
      <c r="KJ143">
        <f t="shared" si="129"/>
        <v>271</v>
      </c>
      <c r="KK143">
        <f t="shared" si="129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SUM(IF(ISNUMBER(FIND("TmAi",$BE$1:$AAD$1)),IF(IFERROR(ISODD(SUBSTITUTE($BE144:$AAD144,"A","")),FALSE),IF(ISODD(SUBSTITUTE($BE144:$AAD144,"A","")),1,0),0)))</f>
        <v>0</v>
      </c>
      <c r="AA144" t="str">
        <f t="shared" si="123"/>
        <v>13B</v>
      </c>
      <c r="AB144" t="str">
        <f t="shared" si="124"/>
        <v>14B</v>
      </c>
      <c r="AP144" t="s">
        <v>137</v>
      </c>
      <c r="AS144" t="s">
        <v>396</v>
      </c>
      <c r="JZ144" s="27" t="str">
        <f t="shared" si="126"/>
        <v>XT55</v>
      </c>
      <c r="KC144" t="str">
        <f t="shared" si="127"/>
        <v>F0-AI13-13B</v>
      </c>
      <c r="KD144" t="str">
        <f t="shared" si="128"/>
        <v>F0-AI13-14B</v>
      </c>
      <c r="KI144">
        <f t="array" ref="KI144">IF(COUNTIFS($U$2:$U144,$U144)=1,1,INDEX(KI:KI,_xlfn.XMATCH(U144,U$1:U143,0,-1))+COUNT(KI143:KM143))</f>
        <v>273</v>
      </c>
      <c r="KJ144">
        <f t="shared" si="129"/>
        <v>274</v>
      </c>
      <c r="KK144">
        <f t="shared" si="129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SUM(IF(ISNUMBER(FIND("TmAi",$BE$1:$AAD$1)),IF(IFERROR(ISODD(SUBSTITUTE($BE145:$AAD145,"A","")),FALSE),IF(ISODD(SUBSTITUTE($BE145:$AAD145,"A","")),1,0),0)))</f>
        <v>0</v>
      </c>
      <c r="AA145" t="str">
        <f t="shared" si="123"/>
        <v>15B</v>
      </c>
      <c r="AB145" t="str">
        <f t="shared" si="124"/>
        <v>16B</v>
      </c>
      <c r="AP145" t="s">
        <v>137</v>
      </c>
      <c r="AS145" t="s">
        <v>396</v>
      </c>
      <c r="JZ145" s="27" t="str">
        <f t="shared" si="126"/>
        <v>XT55</v>
      </c>
      <c r="KC145" t="str">
        <f t="shared" si="127"/>
        <v>F0-AI13-15B</v>
      </c>
      <c r="KD145" t="str">
        <f t="shared" si="128"/>
        <v>F0-AI13-16B</v>
      </c>
      <c r="KI145">
        <f t="array" ref="KI145">IF(COUNTIFS($U$2:$U145,$U145)=1,1,INDEX(KI:KI,_xlfn.XMATCH(U145,U$1:U144,0,-1))+COUNT(KI144:KM144))</f>
        <v>276</v>
      </c>
      <c r="KJ145">
        <f t="shared" si="129"/>
        <v>277</v>
      </c>
      <c r="KK145">
        <f t="shared" si="129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SUM(IF(ISNUMBER(FIND("TmAi",$BE$1:$AAD$1)),IF(IFERROR(ISODD(SUBSTITUTE($BE146:$AAD146,"A","")),FALSE),IF(ISODD(SUBSTITUTE($BE146:$AAD146,"A","")),1,0),0)))</f>
        <v>0</v>
      </c>
      <c r="AA146" t="str">
        <f t="shared" si="123"/>
        <v>1B</v>
      </c>
      <c r="AB146" t="str">
        <f t="shared" si="124"/>
        <v>2B</v>
      </c>
      <c r="AP146" t="s">
        <v>137</v>
      </c>
      <c r="AS146" t="s">
        <v>396</v>
      </c>
      <c r="JZ146" s="27" t="str">
        <f t="shared" si="126"/>
        <v>XT55</v>
      </c>
      <c r="KC146" t="str">
        <f t="shared" si="127"/>
        <v>F0-AI14-1B</v>
      </c>
      <c r="KD146" t="str">
        <f t="shared" si="128"/>
        <v>F0-AI14-2B</v>
      </c>
      <c r="KI146">
        <f t="array" ref="KI146">IF(COUNTIFS($U$2:$U146,$U146)=1,1,INDEX(KI:KI,_xlfn.XMATCH(U146,U$1:U145,0,-1))+COUNT(KI145:KM145))</f>
        <v>279</v>
      </c>
      <c r="KJ146">
        <f t="shared" si="129"/>
        <v>280</v>
      </c>
      <c r="KK146">
        <f t="shared" si="129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SUM(IF(ISNUMBER(FIND("TmAi",$BE$1:$AAD$1)),IF(IFERROR(ISODD(SUBSTITUTE($BE147:$AAD147,"A","")),FALSE),IF(ISODD(SUBSTITUTE($BE147:$AAD147,"A","")),1,0),0)))</f>
        <v>0</v>
      </c>
      <c r="AA147" t="str">
        <f t="shared" si="123"/>
        <v>3B</v>
      </c>
      <c r="AB147" t="str">
        <f t="shared" si="124"/>
        <v>4B</v>
      </c>
      <c r="AP147" t="s">
        <v>137</v>
      </c>
      <c r="AS147" t="s">
        <v>396</v>
      </c>
      <c r="JZ147" s="27" t="str">
        <f t="shared" si="126"/>
        <v>XT55</v>
      </c>
      <c r="KC147" t="str">
        <f t="shared" si="127"/>
        <v>F0-AI14-3B</v>
      </c>
      <c r="KD147" t="str">
        <f t="shared" si="128"/>
        <v>F0-AI14-4B</v>
      </c>
      <c r="KI147">
        <f t="array" ref="KI147">IF(COUNTIFS($U$2:$U147,$U147)=1,1,INDEX(KI:KI,_xlfn.XMATCH(U147,U$1:U146,0,-1))+COUNT(KI146:KM146))</f>
        <v>282</v>
      </c>
      <c r="KJ147">
        <f t="shared" si="129"/>
        <v>283</v>
      </c>
      <c r="KK147">
        <f t="shared" si="129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SUM(IF(ISNUMBER(FIND("TmAi",$BE$1:$AAD$1)),IF(IFERROR(ISODD(SUBSTITUTE($BE148:$AAD148,"A","")),FALSE),IF(ISODD(SUBSTITUTE($BE148:$AAD148,"A","")),1,0),0)))</f>
        <v>0</v>
      </c>
      <c r="AA148" t="str">
        <f t="shared" si="123"/>
        <v>5B</v>
      </c>
      <c r="AB148" t="str">
        <f t="shared" si="124"/>
        <v>6B</v>
      </c>
      <c r="AP148" t="s">
        <v>137</v>
      </c>
      <c r="AS148" t="s">
        <v>396</v>
      </c>
      <c r="JZ148" s="27" t="str">
        <f t="shared" si="126"/>
        <v>XT55</v>
      </c>
      <c r="KC148" t="str">
        <f t="shared" si="127"/>
        <v>F0-AI14-5B</v>
      </c>
      <c r="KD148" t="str">
        <f t="shared" si="128"/>
        <v>F0-AI14-6B</v>
      </c>
      <c r="KI148">
        <f t="array" ref="KI148">IF(COUNTIFS($U$2:$U148,$U148)=1,1,INDEX(KI:KI,_xlfn.XMATCH(U148,U$1:U147,0,-1))+COUNT(KI147:KM147))</f>
        <v>285</v>
      </c>
      <c r="KJ148">
        <f t="shared" si="129"/>
        <v>286</v>
      </c>
      <c r="KK148">
        <f t="shared" si="129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SUM(IF(ISNUMBER(FIND("TmAi",$BE$1:$AAD$1)),IF(IFERROR(ISODD(SUBSTITUTE($BE149:$AAD149,"A","")),FALSE),IF(ISODD(SUBSTITUTE($BE149:$AAD149,"A","")),1,0),0)))</f>
        <v>0</v>
      </c>
      <c r="AA149" t="str">
        <f t="shared" si="123"/>
        <v>7B</v>
      </c>
      <c r="AB149" t="str">
        <f t="shared" si="124"/>
        <v>8B</v>
      </c>
      <c r="AP149" t="s">
        <v>137</v>
      </c>
      <c r="AS149" t="s">
        <v>396</v>
      </c>
      <c r="JZ149" s="27" t="str">
        <f t="shared" si="126"/>
        <v>XT55</v>
      </c>
      <c r="KC149" t="str">
        <f t="shared" si="127"/>
        <v>F0-AI14-7B</v>
      </c>
      <c r="KD149" t="str">
        <f t="shared" si="128"/>
        <v>F0-AI14-8B</v>
      </c>
      <c r="KI149">
        <f t="array" ref="KI149">IF(COUNTIFS($U$2:$U149,$U149)=1,1,INDEX(KI:KI,_xlfn.XMATCH(U149,U$1:U148,0,-1))+COUNT(KI148:KM148))</f>
        <v>288</v>
      </c>
      <c r="KJ149">
        <f t="shared" si="129"/>
        <v>289</v>
      </c>
      <c r="KK149">
        <f t="shared" si="129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SUM(IF(ISNUMBER(FIND("TmAi",$BE$1:$AAD$1)),IF(IFERROR(ISODD(SUBSTITUTE($BE150:$AAD150,"A","")),FALSE),IF(ISODD(SUBSTITUTE($BE150:$AAD150,"A","")),1,0),0)))</f>
        <v>0</v>
      </c>
      <c r="AA150" t="str">
        <f t="shared" si="123"/>
        <v>9B</v>
      </c>
      <c r="AB150" t="str">
        <f t="shared" si="124"/>
        <v>10B</v>
      </c>
      <c r="AP150" t="s">
        <v>137</v>
      </c>
      <c r="AS150" t="s">
        <v>396</v>
      </c>
      <c r="JZ150" s="27" t="str">
        <f t="shared" si="126"/>
        <v>XT55</v>
      </c>
      <c r="KC150" t="str">
        <f t="shared" si="127"/>
        <v>F0-AI14-9B</v>
      </c>
      <c r="KD150" t="str">
        <f t="shared" si="128"/>
        <v>F0-AI14-10B</v>
      </c>
      <c r="KI150">
        <f t="array" ref="KI150">IF(COUNTIFS($U$2:$U150,$U150)=1,1,INDEX(KI:KI,_xlfn.XMATCH(U150,U$1:U149,0,-1))+COUNT(KI149:KM149))</f>
        <v>291</v>
      </c>
      <c r="KJ150">
        <f t="shared" si="129"/>
        <v>292</v>
      </c>
      <c r="KK150">
        <f t="shared" si="129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SUM(IF(ISNUMBER(FIND("TmAi",$BE$1:$AAD$1)),IF(IFERROR(ISODD(SUBSTITUTE($BE151:$AAD151,"A","")),FALSE),IF(ISODD(SUBSTITUTE($BE151:$AAD151,"A","")),1,0),0)))</f>
        <v>0</v>
      </c>
      <c r="AA151" t="str">
        <f t="shared" si="123"/>
        <v>11B</v>
      </c>
      <c r="AB151" t="str">
        <f t="shared" si="124"/>
        <v>12B</v>
      </c>
      <c r="AP151" t="s">
        <v>137</v>
      </c>
      <c r="AS151" t="s">
        <v>396</v>
      </c>
      <c r="JZ151" s="27" t="str">
        <f t="shared" si="126"/>
        <v>XT55</v>
      </c>
      <c r="KC151" t="str">
        <f t="shared" si="127"/>
        <v>F0-AI14-11B</v>
      </c>
      <c r="KD151" t="str">
        <f t="shared" si="128"/>
        <v>F0-AI14-12B</v>
      </c>
      <c r="KI151">
        <f t="array" ref="KI151">IF(COUNTIFS($U$2:$U151,$U151)=1,1,INDEX(KI:KI,_xlfn.XMATCH(U151,U$1:U150,0,-1))+COUNT(KI150:KM150))</f>
        <v>294</v>
      </c>
      <c r="KJ151">
        <f t="shared" si="129"/>
        <v>295</v>
      </c>
      <c r="KK151">
        <f t="shared" si="129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SUM(IF(ISNUMBER(FIND("TmAi",$BE$1:$AAD$1)),IF(IFERROR(ISODD(SUBSTITUTE($BE152:$AAD152,"A","")),FALSE),IF(ISODD(SUBSTITUTE($BE152:$AAD152,"A","")),1,0),0)))</f>
        <v>0</v>
      </c>
      <c r="AA152" t="str">
        <f t="shared" si="123"/>
        <v>13B</v>
      </c>
      <c r="AB152" t="str">
        <f t="shared" si="124"/>
        <v>14B</v>
      </c>
      <c r="AP152" t="s">
        <v>137</v>
      </c>
      <c r="AS152" t="s">
        <v>396</v>
      </c>
      <c r="JZ152" s="27" t="str">
        <f t="shared" si="126"/>
        <v>XT55</v>
      </c>
      <c r="KC152" t="str">
        <f t="shared" si="127"/>
        <v>F0-AI14-13B</v>
      </c>
      <c r="KD152" t="str">
        <f t="shared" si="128"/>
        <v>F0-AI14-14B</v>
      </c>
      <c r="KI152">
        <f t="array" ref="KI152">IF(COUNTIFS($U$2:$U152,$U152)=1,1,INDEX(KI:KI,_xlfn.XMATCH(U152,U$1:U151,0,-1))+COUNT(KI151:KM151))</f>
        <v>297</v>
      </c>
      <c r="KJ152">
        <f t="shared" si="129"/>
        <v>298</v>
      </c>
      <c r="KK152">
        <f t="shared" si="129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SUM(IF(ISNUMBER(FIND("TmAi",$BE$1:$AAD$1)),IF(IFERROR(ISODD(SUBSTITUTE($BE153:$AAD153,"A","")),FALSE),IF(ISODD(SUBSTITUTE($BE153:$AAD153,"A","")),1,0),0)))</f>
        <v>0</v>
      </c>
      <c r="AA153" t="str">
        <f t="shared" si="123"/>
        <v>15B</v>
      </c>
      <c r="AB153" t="str">
        <f t="shared" si="124"/>
        <v>16B</v>
      </c>
      <c r="AP153" t="s">
        <v>137</v>
      </c>
      <c r="AS153" t="s">
        <v>396</v>
      </c>
      <c r="JZ153" s="27" t="str">
        <f t="shared" si="126"/>
        <v>XT55</v>
      </c>
      <c r="KC153" t="str">
        <f t="shared" si="127"/>
        <v>F0-AI14-15B</v>
      </c>
      <c r="KD153" t="str">
        <f t="shared" si="128"/>
        <v>F0-AI14-16B</v>
      </c>
      <c r="KI153">
        <f t="array" ref="KI153">IF(COUNTIFS($U$2:$U153,$U153)=1,1,INDEX(KI:KI,_xlfn.XMATCH(U153,U$1:U152,0,-1))+COUNT(KI152:KM152))</f>
        <v>300</v>
      </c>
      <c r="KJ153">
        <f t="shared" si="129"/>
        <v>301</v>
      </c>
      <c r="KK153">
        <f t="shared" si="129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P154" t="s">
        <v>137</v>
      </c>
      <c r="AS154" t="s">
        <v>396</v>
      </c>
      <c r="JZ154" s="27" t="str">
        <f t="shared" si="126"/>
        <v>XT55</v>
      </c>
      <c r="KC154" t="str">
        <f t="shared" si="127"/>
        <v>F0-AI15-1B</v>
      </c>
      <c r="KD154" t="str">
        <f t="shared" si="128"/>
        <v>F0-AI15-2B</v>
      </c>
      <c r="KI154">
        <f t="array" ref="KI154">IF(COUNTIFS($U$2:$U154,$U154)=1,1,INDEX(KI:KI,_xlfn.XMATCH(U154,U$1:U153,0,-1))+COUNT(KI153:KM153))</f>
        <v>303</v>
      </c>
      <c r="KJ154">
        <f t="shared" si="129"/>
        <v>304</v>
      </c>
      <c r="KK154">
        <f t="shared" si="129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SUM(IF(ISNUMBER(FIND("TmAi",$BE$1:$AAD$1)),IF(IFERROR(ISODD(SUBSTITUTE($BE155:$AAD155,"A","")),FALSE),IF(ISODD(SUBSTITUTE($BE155:$AAD155,"A","")),1,0),0)))</f>
        <v>0</v>
      </c>
      <c r="AA155" t="str">
        <f t="shared" si="130"/>
        <v>3B</v>
      </c>
      <c r="AB155" t="str">
        <f t="shared" si="131"/>
        <v>4B</v>
      </c>
      <c r="AP155" t="s">
        <v>137</v>
      </c>
      <c r="AS155" t="s">
        <v>396</v>
      </c>
      <c r="JZ155" s="27" t="str">
        <f t="shared" si="126"/>
        <v>XT55</v>
      </c>
      <c r="KC155" t="str">
        <f t="shared" si="127"/>
        <v>F0-AI15-3B</v>
      </c>
      <c r="KD155" t="str">
        <f t="shared" si="128"/>
        <v>F0-AI15-4B</v>
      </c>
      <c r="KI155">
        <f t="array" ref="KI155">IF(COUNTIFS($U$2:$U155,$U155)=1,1,INDEX(KI:KI,_xlfn.XMATCH(U155,U$1:U154,0,-1))+COUNT(KI154:KM154))</f>
        <v>306</v>
      </c>
      <c r="KJ155">
        <f t="shared" si="129"/>
        <v>307</v>
      </c>
      <c r="KK155">
        <f t="shared" si="129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SUM(IF(ISNUMBER(FIND("TmAi",$BE$1:$AAD$1)),IF(IFERROR(ISODD(SUBSTITUTE($BE156:$AAD156,"A","")),FALSE),IF(ISODD(SUBSTITUTE($BE156:$AAD156,"A","")),1,0),0)))</f>
        <v>0</v>
      </c>
      <c r="AA156" t="str">
        <f t="shared" si="130"/>
        <v>5B</v>
      </c>
      <c r="AB156" t="str">
        <f t="shared" si="131"/>
        <v>6B</v>
      </c>
      <c r="AP156" t="s">
        <v>137</v>
      </c>
      <c r="AS156" t="s">
        <v>396</v>
      </c>
      <c r="JZ156" s="27" t="str">
        <f t="shared" si="126"/>
        <v>XT55</v>
      </c>
      <c r="KC156" t="str">
        <f t="shared" si="127"/>
        <v>F0-AI15-5B</v>
      </c>
      <c r="KD156" t="str">
        <f t="shared" si="128"/>
        <v>F0-AI15-6B</v>
      </c>
      <c r="KI156">
        <f t="array" ref="KI156">IF(COUNTIFS($U$2:$U156,$U156)=1,1,INDEX(KI:KI,_xlfn.XMATCH(U156,U$1:U155,0,-1))+COUNT(KI155:KM155))</f>
        <v>309</v>
      </c>
      <c r="KJ156">
        <f t="shared" si="129"/>
        <v>310</v>
      </c>
      <c r="KK156">
        <f t="shared" si="129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SUM(IF(ISNUMBER(FIND("TmAi",$BE$1:$AAD$1)),IF(IFERROR(ISODD(SUBSTITUTE($BE157:$AAD157,"A","")),FALSE),IF(ISODD(SUBSTITUTE($BE157:$AAD157,"A","")),1,0),0)))</f>
        <v>0</v>
      </c>
      <c r="AA157" t="str">
        <f t="shared" si="130"/>
        <v>7B</v>
      </c>
      <c r="AB157" t="str">
        <f t="shared" si="131"/>
        <v>8B</v>
      </c>
      <c r="AP157" t="s">
        <v>137</v>
      </c>
      <c r="AS157" t="s">
        <v>396</v>
      </c>
      <c r="JZ157" s="27" t="str">
        <f t="shared" si="126"/>
        <v>XT55</v>
      </c>
      <c r="KC157" t="str">
        <f t="shared" si="127"/>
        <v>F0-AI15-7B</v>
      </c>
      <c r="KD157" t="str">
        <f t="shared" si="128"/>
        <v>F0-AI15-8B</v>
      </c>
      <c r="KI157">
        <f t="array" ref="KI157">IF(COUNTIFS($U$2:$U157,$U157)=1,1,INDEX(KI:KI,_xlfn.XMATCH(U157,U$1:U156,0,-1))+COUNT(KI156:KM156))</f>
        <v>312</v>
      </c>
      <c r="KJ157">
        <f t="shared" si="129"/>
        <v>313</v>
      </c>
      <c r="KK157">
        <f t="shared" si="129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SUM(IF(ISNUMBER(FIND("TmAi",$BE$1:$AAD$1)),IF(IFERROR(ISODD(SUBSTITUTE($BE158:$AAD158,"A","")),FALSE),IF(ISODD(SUBSTITUTE($BE158:$AAD158,"A","")),1,0),0)))</f>
        <v>0</v>
      </c>
      <c r="AA158" t="str">
        <f t="shared" si="130"/>
        <v>9B</v>
      </c>
      <c r="AB158" t="str">
        <f t="shared" si="131"/>
        <v>10B</v>
      </c>
      <c r="AP158" t="s">
        <v>137</v>
      </c>
      <c r="AS158" t="s">
        <v>396</v>
      </c>
      <c r="JZ158" s="27" t="str">
        <f t="shared" si="126"/>
        <v>XT55</v>
      </c>
      <c r="KC158" t="str">
        <f t="shared" si="127"/>
        <v>F0-AI15-9B</v>
      </c>
      <c r="KD158" t="str">
        <f t="shared" si="128"/>
        <v>F0-AI15-10B</v>
      </c>
      <c r="KI158">
        <f t="array" ref="KI158">IF(COUNTIFS($U$2:$U158,$U158)=1,1,INDEX(KI:KI,_xlfn.XMATCH(U158,U$1:U157,0,-1))+COUNT(KI157:KM157))</f>
        <v>315</v>
      </c>
      <c r="KJ158">
        <f t="shared" si="129"/>
        <v>316</v>
      </c>
      <c r="KK158">
        <f t="shared" si="129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SUM(IF(ISNUMBER(FIND("TmAi",$BE$1:$AAD$1)),IF(IFERROR(ISODD(SUBSTITUTE($BE159:$AAD159,"A","")),FALSE),IF(ISODD(SUBSTITUTE($BE159:$AAD159,"A","")),1,0),0)))</f>
        <v>0</v>
      </c>
      <c r="AA159" t="str">
        <f t="shared" si="130"/>
        <v>11B</v>
      </c>
      <c r="AB159" t="str">
        <f t="shared" si="131"/>
        <v>12B</v>
      </c>
      <c r="AP159" t="s">
        <v>137</v>
      </c>
      <c r="AS159" t="s">
        <v>396</v>
      </c>
      <c r="JZ159" s="27" t="str">
        <f t="shared" si="126"/>
        <v>XT55</v>
      </c>
      <c r="KC159" t="str">
        <f t="shared" si="127"/>
        <v>F0-AI15-11B</v>
      </c>
      <c r="KD159" t="str">
        <f t="shared" si="128"/>
        <v>F0-AI15-12B</v>
      </c>
      <c r="KI159">
        <f t="array" ref="KI159">IF(COUNTIFS($U$2:$U159,$U159)=1,1,INDEX(KI:KI,_xlfn.XMATCH(U159,U$1:U158,0,-1))+COUNT(KI158:KM158))</f>
        <v>318</v>
      </c>
      <c r="KJ159">
        <f t="shared" si="129"/>
        <v>319</v>
      </c>
      <c r="KK159">
        <f t="shared" si="129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SUM(IF(ISNUMBER(FIND("TmAi",$BE$1:$AAD$1)),IF(IFERROR(ISODD(SUBSTITUTE($BE160:$AAD160,"A","")),FALSE),IF(ISODD(SUBSTITUTE($BE160:$AAD160,"A","")),1,0),0)))</f>
        <v>0</v>
      </c>
      <c r="AA160" t="str">
        <f t="shared" si="130"/>
        <v>13B</v>
      </c>
      <c r="AB160" t="str">
        <f t="shared" si="131"/>
        <v>14B</v>
      </c>
      <c r="AP160" t="s">
        <v>137</v>
      </c>
      <c r="AS160" t="s">
        <v>396</v>
      </c>
      <c r="JZ160" s="27" t="str">
        <f t="shared" si="126"/>
        <v>XT55</v>
      </c>
      <c r="KC160" t="str">
        <f t="shared" si="127"/>
        <v>F0-AI15-13B</v>
      </c>
      <c r="KD160" t="str">
        <f t="shared" si="128"/>
        <v>F0-AI15-14B</v>
      </c>
      <c r="KI160">
        <f t="array" ref="KI160">IF(COUNTIFS($U$2:$U160,$U160)=1,1,INDEX(KI:KI,_xlfn.XMATCH(U160,U$1:U159,0,-1))+COUNT(KI159:KM159))</f>
        <v>321</v>
      </c>
      <c r="KJ160">
        <f t="shared" si="129"/>
        <v>322</v>
      </c>
      <c r="KK160">
        <f t="shared" si="129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SUM(IF(ISNUMBER(FIND("TmAi",$BE$1:$AAD$1)),IF(IFERROR(ISODD(SUBSTITUTE($BE161:$AAD161,"A","")),FALSE),IF(ISODD(SUBSTITUTE($BE161:$AAD161,"A","")),1,0),0)))</f>
        <v>0</v>
      </c>
      <c r="AA161" t="str">
        <f t="shared" si="130"/>
        <v>15B</v>
      </c>
      <c r="AB161" t="str">
        <f t="shared" si="131"/>
        <v>16B</v>
      </c>
      <c r="AP161" t="s">
        <v>137</v>
      </c>
      <c r="AS161" t="s">
        <v>396</v>
      </c>
      <c r="JZ161" s="27" t="str">
        <f t="shared" si="126"/>
        <v>XT55</v>
      </c>
      <c r="KC161" t="str">
        <f t="shared" si="127"/>
        <v>F0-AI15-15B</v>
      </c>
      <c r="KD161" t="str">
        <f t="shared" si="128"/>
        <v>F0-AI15-16B</v>
      </c>
      <c r="KI161">
        <f t="array" ref="KI161">IF(COUNTIFS($U$2:$U161,$U161)=1,1,INDEX(KI:KI,_xlfn.XMATCH(U161,U$1:U160,0,-1))+COUNT(KI160:KM160))</f>
        <v>324</v>
      </c>
      <c r="KJ161">
        <f t="shared" si="129"/>
        <v>325</v>
      </c>
      <c r="KK161">
        <f t="shared" si="129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SUM(IF(ISNUMBER(FIND("TmAi",$BE$1:$AAD$1)),IF(IFERROR(ISODD(SUBSTITUTE($BE162:$AAD162,"A","")),FALSE),IF(ISODD(SUBSTITUTE($BE162:$AAD162,"A","")),1,0),0)))</f>
        <v>0</v>
      </c>
      <c r="AA162" t="str">
        <f t="shared" si="130"/>
        <v>1B</v>
      </c>
      <c r="AB162" t="str">
        <f t="shared" si="131"/>
        <v>2B</v>
      </c>
      <c r="AP162" t="s">
        <v>137</v>
      </c>
      <c r="AS162" t="s">
        <v>396</v>
      </c>
      <c r="JZ162" s="27" t="str">
        <f t="shared" si="126"/>
        <v>XT55</v>
      </c>
      <c r="KC162" t="str">
        <f t="shared" si="127"/>
        <v>F0-AI16-1B</v>
      </c>
      <c r="KD162" t="str">
        <f t="shared" si="128"/>
        <v>F0-AI16-2B</v>
      </c>
      <c r="KI162">
        <f t="array" ref="KI162">IF(COUNTIFS($U$2:$U162,$U162)=1,1,INDEX(KI:KI,_xlfn.XMATCH(U162,U$1:U161,0,-1))+COUNT(KI161:KM161))</f>
        <v>327</v>
      </c>
      <c r="KJ162">
        <f t="shared" ref="KJ162:KL168" si="132">KI162+1</f>
        <v>328</v>
      </c>
      <c r="KK162">
        <f t="shared" si="132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SUM(IF(ISNUMBER(FIND("TmAi",$BE$1:$AAD$1)),IF(IFERROR(ISODD(SUBSTITUTE($BE163:$AAD163,"A","")),FALSE),IF(ISODD(SUBSTITUTE($BE163:$AAD163,"A","")),1,0),0)))</f>
        <v>0</v>
      </c>
      <c r="AA163" t="str">
        <f t="shared" si="130"/>
        <v>3B</v>
      </c>
      <c r="AB163" t="str">
        <f t="shared" si="131"/>
        <v>4B</v>
      </c>
      <c r="AP163" t="s">
        <v>137</v>
      </c>
      <c r="AS163" t="s">
        <v>396</v>
      </c>
      <c r="JZ163" s="27" t="str">
        <f t="shared" si="126"/>
        <v>XT55</v>
      </c>
      <c r="KC163" t="str">
        <f t="shared" si="127"/>
        <v>F0-AI16-3B</v>
      </c>
      <c r="KD163" t="str">
        <f t="shared" si="128"/>
        <v>F0-AI16-4B</v>
      </c>
      <c r="KI163">
        <f t="array" ref="KI163">IF(COUNTIFS($U$2:$U163,$U163)=1,1,INDEX(KI:KI,_xlfn.XMATCH(U163,U$1:U162,0,-1))+COUNT(KI162:KM162))</f>
        <v>330</v>
      </c>
      <c r="KJ163">
        <f t="shared" si="132"/>
        <v>331</v>
      </c>
      <c r="KK163">
        <f t="shared" si="132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SUM(IF(ISNUMBER(FIND("TmAi",$BE$1:$AAD$1)),IF(IFERROR(ISODD(SUBSTITUTE($BE164:$AAD164,"A","")),FALSE),IF(ISODD(SUBSTITUTE($BE164:$AAD164,"A","")),1,0),0)))</f>
        <v>0</v>
      </c>
      <c r="AA164" t="str">
        <f t="shared" si="130"/>
        <v>5B</v>
      </c>
      <c r="AB164" t="str">
        <f t="shared" si="131"/>
        <v>6B</v>
      </c>
      <c r="AP164" t="s">
        <v>137</v>
      </c>
      <c r="AS164" t="s">
        <v>396</v>
      </c>
      <c r="JZ164" s="27" t="str">
        <f t="shared" si="126"/>
        <v>XT55</v>
      </c>
      <c r="KC164" t="str">
        <f t="shared" si="127"/>
        <v>F0-AI16-5B</v>
      </c>
      <c r="KD164" t="str">
        <f t="shared" si="128"/>
        <v>F0-AI16-6B</v>
      </c>
      <c r="KI164">
        <f t="array" ref="KI164">IF(COUNTIFS($U$2:$U164,$U164)=1,1,INDEX(KI:KI,_xlfn.XMATCH(U164,U$1:U163,0,-1))+COUNT(KI163:KM163))</f>
        <v>333</v>
      </c>
      <c r="KJ164">
        <f t="shared" si="132"/>
        <v>334</v>
      </c>
      <c r="KK164">
        <f t="shared" si="132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SUM(IF(ISNUMBER(FIND("TmAi",$BE$1:$AAD$1)),IF(IFERROR(ISODD(SUBSTITUTE($BE165:$AAD165,"A","")),FALSE),IF(ISODD(SUBSTITUTE($BE165:$AAD165,"A","")),1,0),0)))</f>
        <v>0</v>
      </c>
      <c r="AA165" t="str">
        <f t="shared" si="130"/>
        <v>7B</v>
      </c>
      <c r="AB165" t="str">
        <f t="shared" si="131"/>
        <v>8B</v>
      </c>
      <c r="AP165" t="s">
        <v>137</v>
      </c>
      <c r="AS165" t="s">
        <v>396</v>
      </c>
      <c r="JZ165" s="27" t="str">
        <f t="shared" si="126"/>
        <v>XT55</v>
      </c>
      <c r="KC165" t="str">
        <f t="shared" si="127"/>
        <v>F0-AI16-7B</v>
      </c>
      <c r="KD165" t="str">
        <f t="shared" si="128"/>
        <v>F0-AI16-8B</v>
      </c>
      <c r="KI165">
        <f t="array" ref="KI165">IF(COUNTIFS($U$2:$U165,$U165)=1,1,INDEX(KI:KI,_xlfn.XMATCH(U165,U$1:U164,0,-1))+COUNT(KI164:KM164))</f>
        <v>336</v>
      </c>
      <c r="KJ165">
        <f t="shared" si="132"/>
        <v>337</v>
      </c>
      <c r="KK165">
        <f t="shared" si="132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SUM(IF(ISNUMBER(FIND("TmAi",$BE$1:$AAD$1)),IF(IFERROR(ISODD(SUBSTITUTE($BE166:$AAD166,"A","")),FALSE),IF(ISODD(SUBSTITUTE($BE166:$AAD166,"A","")),1,0),0)))</f>
        <v>0</v>
      </c>
      <c r="AA166" t="str">
        <f>CONCATENATE($Y166*2-1,"A")</f>
        <v>5A</v>
      </c>
      <c r="AB166" t="str">
        <f>CONCATENATE($Y166*2-1,"B")</f>
        <v>5B</v>
      </c>
      <c r="AP166" t="s">
        <v>137</v>
      </c>
      <c r="AS166" t="s">
        <v>396</v>
      </c>
      <c r="JZ166" s="27" t="str">
        <f t="shared" si="126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7"/>
        <v>F0-AI34-5A</v>
      </c>
      <c r="KD166" t="str">
        <f t="shared" si="128"/>
        <v>F0-AI34-5B</v>
      </c>
      <c r="KE166" t="str">
        <f t="shared" ref="KE166:KF168" si="133">CONCATENATE($T166,"-AI",REPLACE($X166,1,3,""),"-",KA166)</f>
        <v>F0-AI34-6A</v>
      </c>
      <c r="KF166" t="str">
        <f t="shared" si="133"/>
        <v>F0-AI34-6B</v>
      </c>
      <c r="KI166">
        <f t="array" ref="KI166">IF(COUNTIFS($U$2:$U166,$U166)=1,1,INDEX(KI:KI,_xlfn.XMATCH(U166,U$1:U165,0,-1))+COUNT(KI165:KM165))</f>
        <v>339</v>
      </c>
      <c r="KJ166">
        <f t="shared" si="132"/>
        <v>340</v>
      </c>
      <c r="KK166">
        <f t="shared" si="13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SUM(IF(ISNUMBER(FIND("TmAi",$BE$1:$AAD$1)),IF(IFERROR(ISODD(SUBSTITUTE($BE167:$AAD167,"A","")),FALSE),IF(ISODD(SUBSTITUTE($BE167:$AAD167,"A","")),1,0),0)))</f>
        <v>0</v>
      </c>
      <c r="AA167" t="str">
        <f>CONCATENATE($Y167*2-1,"A")</f>
        <v>7A</v>
      </c>
      <c r="AB167" t="str">
        <f>CONCATENATE($Y167*2-1,"B")</f>
        <v>7B</v>
      </c>
      <c r="AP167" t="s">
        <v>137</v>
      </c>
      <c r="AS167" t="s">
        <v>396</v>
      </c>
      <c r="JZ167" s="27" t="str">
        <f t="shared" si="126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7"/>
        <v>F0-AI34-7A</v>
      </c>
      <c r="KD167" t="str">
        <f t="shared" si="128"/>
        <v>F0-AI34-7B</v>
      </c>
      <c r="KE167" t="str">
        <f t="shared" si="133"/>
        <v>F0-AI34-8A</v>
      </c>
      <c r="KF167" t="str">
        <f t="shared" si="133"/>
        <v>F0-AI34-8B</v>
      </c>
      <c r="KI167">
        <f t="array" ref="KI167">IF(COUNTIFS($U$2:$U167,$U167)=1,1,INDEX(KI:KI,_xlfn.XMATCH(U167,U$1:U166,0,-1))+COUNT(KI166:KM166))</f>
        <v>343</v>
      </c>
      <c r="KJ167">
        <f t="shared" si="132"/>
        <v>344</v>
      </c>
      <c r="KK167">
        <f t="shared" si="132"/>
        <v>345</v>
      </c>
      <c r="KL167">
        <f t="shared" si="132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SUM(IF(ISNUMBER(FIND("TmAi",$BE$1:$AAD$1)),IF(IFERROR(ISODD(SUBSTITUTE($BE168:$AAD168,"A","")),FALSE),IF(ISODD(SUBSTITUTE($BE168:$AAD168,"A","")),1,0),0)))</f>
        <v>0</v>
      </c>
      <c r="AA168" t="str">
        <f>CONCATENATE($Y168*2-1,"A")</f>
        <v>9A</v>
      </c>
      <c r="AB168" t="str">
        <f>CONCATENATE($Y168*2-1,"B")</f>
        <v>9B</v>
      </c>
      <c r="AP168" t="s">
        <v>137</v>
      </c>
      <c r="AS168" t="s">
        <v>396</v>
      </c>
      <c r="JZ168" s="28" t="str">
        <f t="shared" si="126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7"/>
        <v>F0-AI34-9A</v>
      </c>
      <c r="KD168" s="19" t="str">
        <f t="shared" si="128"/>
        <v>F0-AI34-9B</v>
      </c>
      <c r="KE168" s="19" t="str">
        <f t="shared" si="133"/>
        <v>F0-AI34-10A</v>
      </c>
      <c r="KF168" s="19" t="str">
        <f t="shared" si="133"/>
        <v>F0-AI34-10B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32"/>
        <v>348</v>
      </c>
      <c r="KK168" s="19">
        <f t="shared" si="132"/>
        <v>349</v>
      </c>
      <c r="KL168" s="19">
        <f t="shared" si="132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36">CONCATENATE("XT",U170)</f>
        <v>XT57</v>
      </c>
      <c r="LO170" s="12" t="str">
        <f t="shared" ref="LO170:LO176" si="137">CONCATENATE(T170,"-AI",REPLACE($X170,1,3,""),"-",AA170)</f>
        <v>F0-AI16-9A</v>
      </c>
      <c r="LP170" s="12" t="str">
        <f t="shared" ref="LP170:LP176" si="138">CONCATENATE(T170,"-AI",REPLACE($X170,1,3,""),"-",AB170)</f>
        <v>F0-AI16-9B</v>
      </c>
      <c r="LQ170" s="12">
        <v>1</v>
      </c>
      <c r="LR170" s="12">
        <f t="shared" ref="LR170:LS176" si="139">LQ170+1</f>
        <v>2</v>
      </c>
      <c r="LS170" s="12">
        <f t="shared" si="139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SUM(IF(ISNUMBER(FIND("TmAi",$BE$1:$AAD$1)),IF(IFERROR(ISODD(SUBSTITUTE($BE171:$AAD171,"A","")),FALSE),IF(ISODD(SUBSTITUTE($BE171:$AAD171,"A","")),1,0),0)))</f>
        <v>0</v>
      </c>
      <c r="AA171" t="str">
        <f t="shared" si="134"/>
        <v>11A</v>
      </c>
      <c r="AB171" t="str">
        <f t="shared" si="135"/>
        <v>11B</v>
      </c>
      <c r="AP171" t="s">
        <v>137</v>
      </c>
      <c r="AQ171" t="s">
        <v>873</v>
      </c>
      <c r="AS171" t="s">
        <v>396</v>
      </c>
      <c r="LN171" s="27" t="str">
        <f t="shared" si="136"/>
        <v>XT57</v>
      </c>
      <c r="LO171" t="str">
        <f t="shared" si="137"/>
        <v>F0-AI16-11A</v>
      </c>
      <c r="LP171" t="str">
        <f t="shared" si="138"/>
        <v>F0-AI16-11B</v>
      </c>
      <c r="LQ171">
        <f t="shared" ref="LQ171:LQ176" si="140">LQ170+3</f>
        <v>4</v>
      </c>
      <c r="LR171">
        <f t="shared" si="139"/>
        <v>5</v>
      </c>
      <c r="LS171">
        <f t="shared" si="139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SUM(IF(ISNUMBER(FIND("TmAi",$BE$1:$AAD$1)),IF(IFERROR(ISODD(SUBSTITUTE($BE172:$AAD172,"A","")),FALSE),IF(ISODD(SUBSTITUTE($BE172:$AAD172,"A","")),1,0),0)))</f>
        <v>0</v>
      </c>
      <c r="AA172" t="str">
        <f t="shared" si="134"/>
        <v>13A</v>
      </c>
      <c r="AB172" t="str">
        <f t="shared" si="135"/>
        <v>13B</v>
      </c>
      <c r="AP172" t="s">
        <v>137</v>
      </c>
      <c r="AQ172" t="s">
        <v>873</v>
      </c>
      <c r="AS172" t="s">
        <v>396</v>
      </c>
      <c r="LN172" s="27" t="str">
        <f t="shared" si="136"/>
        <v>XT57</v>
      </c>
      <c r="LO172" t="str">
        <f t="shared" si="137"/>
        <v>F0-AI16-13A</v>
      </c>
      <c r="LP172" t="str">
        <f t="shared" si="138"/>
        <v>F0-AI16-13B</v>
      </c>
      <c r="LQ172">
        <f t="shared" si="140"/>
        <v>7</v>
      </c>
      <c r="LR172">
        <f t="shared" si="139"/>
        <v>8</v>
      </c>
      <c r="LS172">
        <f t="shared" si="139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SUM(IF(ISNUMBER(FIND("TmAi",$BE$1:$AAD$1)),IF(IFERROR(ISODD(SUBSTITUTE($BE173:$AAD173,"A","")),FALSE),IF(ISODD(SUBSTITUTE($BE173:$AAD173,"A","")),1,0),0)))</f>
        <v>0</v>
      </c>
      <c r="AA173" t="str">
        <f t="shared" si="134"/>
        <v>15A</v>
      </c>
      <c r="AB173" t="str">
        <f t="shared" si="135"/>
        <v>15B</v>
      </c>
      <c r="AP173" t="s">
        <v>137</v>
      </c>
      <c r="AQ173" t="s">
        <v>873</v>
      </c>
      <c r="AS173" t="s">
        <v>396</v>
      </c>
      <c r="LN173" s="27" t="str">
        <f t="shared" si="136"/>
        <v>XT57</v>
      </c>
      <c r="LO173" t="str">
        <f t="shared" si="137"/>
        <v>F0-AI16-15A</v>
      </c>
      <c r="LP173" t="str">
        <f t="shared" si="138"/>
        <v>F0-AI16-15B</v>
      </c>
      <c r="LQ173">
        <f t="shared" si="140"/>
        <v>10</v>
      </c>
      <c r="LR173">
        <f t="shared" si="139"/>
        <v>11</v>
      </c>
      <c r="LS173">
        <f t="shared" si="139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SUM(IF(ISNUMBER(FIND("TmAi",$BE$1:$AAD$1)),IF(IFERROR(ISODD(SUBSTITUTE($BE174:$AAD174,"A","")),FALSE),IF(ISODD(SUBSTITUTE($BE174:$AAD174,"A","")),1,0),0)))</f>
        <v>0</v>
      </c>
      <c r="AA174" t="str">
        <f t="shared" si="134"/>
        <v>1A</v>
      </c>
      <c r="AB174" t="str">
        <f t="shared" si="135"/>
        <v>1B</v>
      </c>
      <c r="AP174" t="s">
        <v>137</v>
      </c>
      <c r="AQ174" t="s">
        <v>873</v>
      </c>
      <c r="AS174" t="s">
        <v>396</v>
      </c>
      <c r="LN174" s="27" t="str">
        <f t="shared" si="136"/>
        <v>XT57</v>
      </c>
      <c r="LO174" t="str">
        <f t="shared" si="137"/>
        <v>F0-AI17-1A</v>
      </c>
      <c r="LP174" t="str">
        <f t="shared" si="138"/>
        <v>F0-AI17-1B</v>
      </c>
      <c r="LQ174">
        <f t="shared" si="140"/>
        <v>13</v>
      </c>
      <c r="LR174">
        <f t="shared" si="139"/>
        <v>14</v>
      </c>
      <c r="LS174">
        <f t="shared" si="139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SUM(IF(ISNUMBER(FIND("TmAi",$BE$1:$AAD$1)),IF(IFERROR(ISODD(SUBSTITUTE($BE175:$AAD175,"A","")),FALSE),IF(ISODD(SUBSTITUTE($BE175:$AAD175,"A","")),1,0),0)))</f>
        <v>0</v>
      </c>
      <c r="AA175" t="str">
        <f t="shared" si="134"/>
        <v>3A</v>
      </c>
      <c r="AB175" t="str">
        <f t="shared" si="135"/>
        <v>3B</v>
      </c>
      <c r="AP175" t="s">
        <v>137</v>
      </c>
      <c r="AQ175" t="s">
        <v>873</v>
      </c>
      <c r="AS175" t="s">
        <v>396</v>
      </c>
      <c r="LN175" s="27" t="str">
        <f t="shared" si="136"/>
        <v>XT57</v>
      </c>
      <c r="LO175" t="str">
        <f t="shared" si="137"/>
        <v>F0-AI17-3A</v>
      </c>
      <c r="LP175" t="str">
        <f t="shared" si="138"/>
        <v>F0-AI17-3B</v>
      </c>
      <c r="LQ175">
        <f t="shared" si="140"/>
        <v>16</v>
      </c>
      <c r="LR175">
        <f t="shared" si="139"/>
        <v>17</v>
      </c>
      <c r="LS175">
        <f t="shared" si="139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SUM(IF(ISNUMBER(FIND("TmAi",$BE$1:$AAD$1)),IF(IFERROR(ISODD(SUBSTITUTE($BE176:$AAD176,"A","")),FALSE),IF(ISODD(SUBSTITUTE($BE176:$AAD176,"A","")),1,0),0)))</f>
        <v>0</v>
      </c>
      <c r="AA176" t="str">
        <f t="shared" si="134"/>
        <v>5A</v>
      </c>
      <c r="AB176" t="str">
        <f t="shared" si="135"/>
        <v>5B</v>
      </c>
      <c r="AP176" t="s">
        <v>137</v>
      </c>
      <c r="AQ176" t="s">
        <v>873</v>
      </c>
      <c r="AS176" t="s">
        <v>396</v>
      </c>
      <c r="LN176" s="27" t="str">
        <f t="shared" si="136"/>
        <v>XT57</v>
      </c>
      <c r="LO176" t="str">
        <f t="shared" si="137"/>
        <v>F0-AI17-5A</v>
      </c>
      <c r="LP176" t="str">
        <f t="shared" si="138"/>
        <v>F0-AI17-5B</v>
      </c>
      <c r="LQ176">
        <f t="shared" si="140"/>
        <v>19</v>
      </c>
      <c r="LR176">
        <f t="shared" si="139"/>
        <v>20</v>
      </c>
      <c r="LS176">
        <f t="shared" si="139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1">MI177+1</f>
        <v>5</v>
      </c>
      <c r="MK177" s="12">
        <f t="shared" si="141"/>
        <v>6</v>
      </c>
      <c r="ML177" s="12">
        <f t="shared" si="141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1"/>
        <v>9</v>
      </c>
      <c r="MK178">
        <f t="shared" si="141"/>
        <v>10</v>
      </c>
      <c r="ML178">
        <f t="shared" si="141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SUM(IF(ISNUMBER(FIND("TmAi",$BE$1:$AAD$1)),IF(IFERROR(ISODD(SUBSTITUTE($BE180:$AAD180,"A","")),FALSE),IF(ISODD(SUBSTITUTE($BE180:$AAD180,"A","")),1,0),0)))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SUM(IF(ISNUMBER(FIND("TmAi",$BE$1:$AAD$1)),IF(IFERROR(ISODD(SUBSTITUTE($BE181:$AAD181,"A","")),FALSE),IF(ISODD(SUBSTITUTE($BE181:$AAD181,"A","")),1,0),0)))</f>
        <v>0</v>
      </c>
      <c r="AA181" t="str">
        <f t="shared" si="142"/>
        <v>13A</v>
      </c>
      <c r="AB181" t="str">
        <f t="shared" si="143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44">KI181+1</f>
        <v>352</v>
      </c>
      <c r="KK181">
        <f t="shared" si="144"/>
        <v>353</v>
      </c>
      <c r="KL181">
        <f t="shared" si="144"/>
        <v>354</v>
      </c>
      <c r="KM181">
        <f t="shared" si="144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SUM(IF(ISNUMBER(FIND("TmAi",$BE$1:$AAD$1)),IF(IFERROR(ISODD(SUBSTITUTE($BE182:$AAD182,"A","")),FALSE),IF(ISODD(SUBSTITUTE($BE182:$AAD182,"A","")),1,0),0)))</f>
        <v>0</v>
      </c>
      <c r="AA182" t="str">
        <f t="shared" si="142"/>
        <v>15A</v>
      </c>
      <c r="AB182" t="str">
        <f t="shared" si="143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44"/>
        <v>357</v>
      </c>
      <c r="KK182">
        <f t="shared" si="144"/>
        <v>358</v>
      </c>
      <c r="KL182">
        <f t="shared" si="144"/>
        <v>359</v>
      </c>
      <c r="KM182">
        <f t="shared" si="144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SUM(IF(ISNUMBER(FIND("TmAi",$BE$1:$AAD$1)),IF(IFERROR(ISODD(SUBSTITUTE($BE183:$AAD183,"A","")),FALSE),IF(ISODD(SUBSTITUTE($BE183:$AAD183,"A","")),1,0),0)))</f>
        <v>1</v>
      </c>
      <c r="AA183" t="str">
        <f t="shared" si="142"/>
        <v>1A</v>
      </c>
      <c r="AB183" t="str">
        <f t="shared" si="143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5">CONCATENATE(REPLACE(OK183,LEN(OK183),1,"")+1,RIGHT(OK183))</f>
        <v>3B</v>
      </c>
      <c r="ON183" s="12" t="str">
        <f t="shared" si="145"/>
        <v>4A</v>
      </c>
      <c r="OO183" s="12" t="str">
        <f t="shared" si="145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46">CONCATENATE($T183,"-AI",REPLACE($X183,1,3,""),"-",OJ183)</f>
        <v>F0-AI35-2A</v>
      </c>
      <c r="OW183" s="12" t="str">
        <f t="shared" si="146"/>
        <v>F0-AI35-2B</v>
      </c>
      <c r="OX183" s="12" t="str">
        <f t="shared" si="146"/>
        <v>F0-AI35-3A</v>
      </c>
      <c r="OY183" s="12" t="str">
        <f t="shared" si="146"/>
        <v>F0-AI35-3B</v>
      </c>
      <c r="OZ183" s="12" t="str">
        <f t="shared" si="146"/>
        <v>F0-AI35-4A</v>
      </c>
      <c r="PA183" s="12" t="str">
        <f t="shared" si="146"/>
        <v>F0-AI35-4B</v>
      </c>
      <c r="PB183" s="12"/>
      <c r="PC183" s="12"/>
      <c r="PD183" s="12"/>
      <c r="PE183" s="12"/>
      <c r="PF183" s="12">
        <f t="array" ref="PF183">IF(COUNTIFS($U$2:$U183,$U183)=1,1,INDEX(PF:PF,_xlfn.XMATCH($U183,$U$1:EF182,0,-1))+COUNT(PF182:PK182))</f>
        <v>1</v>
      </c>
      <c r="PG183" s="12">
        <f t="shared" ref="PG183:PN185" si="147">PF183+1</f>
        <v>2</v>
      </c>
      <c r="PH183" s="12">
        <f t="shared" si="147"/>
        <v>3</v>
      </c>
      <c r="PI183" s="12">
        <f>PH183+1</f>
        <v>4</v>
      </c>
      <c r="PJ183" s="12">
        <f>PI183+1</f>
        <v>5</v>
      </c>
      <c r="PK183" s="12">
        <f>PJ183+1</f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SUM(IF(ISNUMBER(FIND("TmAi",$BE$1:$AAD$1)),IF(IFERROR(ISODD(SUBSTITUTE($BE184:$AAD184,"A","")),FALSE),IF(ISODD(SUBSTITUTE($BE184:$AAD184,"A","")),1,0),0)))</f>
        <v>1</v>
      </c>
      <c r="AA184" t="str">
        <f t="shared" si="142"/>
        <v>5A</v>
      </c>
      <c r="AB184" t="str">
        <f t="shared" si="143"/>
        <v>5B</v>
      </c>
      <c r="AP184" t="s">
        <v>137</v>
      </c>
      <c r="AR184" t="s">
        <v>1023</v>
      </c>
      <c r="AS184" t="s">
        <v>396</v>
      </c>
      <c r="OE184" s="27" t="str">
        <f>CONCATENATE("XT",$U184)</f>
        <v>XT59</v>
      </c>
      <c r="OF184" t="s">
        <v>1030</v>
      </c>
      <c r="OG184" t="s">
        <v>1026</v>
      </c>
      <c r="OJ184" t="str">
        <f>CONCATENATE(REPLACE($AA184,LEN($AA184),1,"")+1,RIGHT($AA184))</f>
        <v>6A</v>
      </c>
      <c r="OK184" t="str">
        <f>CONCATENATE(REPLACE($AB184,LEN($AB184),1,"")+1,RIGHT($AB184))</f>
        <v>6B</v>
      </c>
      <c r="OL184" t="str">
        <f>CONCATENATE(REPLACE(OJ184,LEN(OJ184),1,"")+1,RIGHT(OJ184))</f>
        <v>7A</v>
      </c>
      <c r="OM184" t="str">
        <f t="shared" si="145"/>
        <v>7B</v>
      </c>
      <c r="ON184" t="str">
        <f t="shared" si="145"/>
        <v>8A</v>
      </c>
      <c r="OO184" t="str">
        <f t="shared" si="145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46"/>
        <v>F0-AI35-6A</v>
      </c>
      <c r="OW184" t="str">
        <f t="shared" si="146"/>
        <v>F0-AI35-6B</v>
      </c>
      <c r="OX184" t="str">
        <f t="shared" si="146"/>
        <v>F0-AI35-7A</v>
      </c>
      <c r="OY184" t="str">
        <f t="shared" si="146"/>
        <v>F0-AI35-7B</v>
      </c>
      <c r="OZ184" t="str">
        <f t="shared" si="146"/>
        <v>F0-AI35-8A</v>
      </c>
      <c r="PA184" t="str">
        <f t="shared" si="146"/>
        <v>F0-AI35-8B</v>
      </c>
      <c r="PF184">
        <f t="array" ref="PF184">IF(COUNTIFS($U$2:$U184,$U184)=1,1,INDEX(PF:PF,_xlfn.XMATCH($U184,$U$1:$U183,0,-1))+COUNT(PF183:PK183))</f>
        <v>7</v>
      </c>
      <c r="PG184">
        <f t="shared" si="147"/>
        <v>8</v>
      </c>
      <c r="PH184">
        <f t="shared" si="147"/>
        <v>9</v>
      </c>
      <c r="PI184">
        <f t="shared" si="147"/>
        <v>10</v>
      </c>
      <c r="PJ184">
        <f t="shared" si="147"/>
        <v>11</v>
      </c>
      <c r="PK184">
        <f t="shared" si="147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SUM(IF(ISNUMBER(FIND("TmAi",$BE$1:$AAD$1)),IF(IFERROR(ISODD(SUBSTITUTE($BE185:$AAD185,"A","")),FALSE),IF(ISODD(SUBSTITUTE($BE185:$AAD185,"A","")),1,0),0)))</f>
        <v>2</v>
      </c>
      <c r="AA185" t="str">
        <f t="shared" si="142"/>
        <v>9A</v>
      </c>
      <c r="AB185" t="str">
        <f t="shared" si="143"/>
        <v>9B</v>
      </c>
      <c r="AP185" t="s">
        <v>137</v>
      </c>
      <c r="AR185" t="s">
        <v>1048</v>
      </c>
      <c r="AS185" t="s">
        <v>396</v>
      </c>
      <c r="OE185" s="27" t="str">
        <f>CONCATENATE("XT",$U185)</f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>CONCATENATE(REPLACE($AA185,LEN($AA185),1,"")+1,RIGHT($AA185))</f>
        <v>10A</v>
      </c>
      <c r="OK185" t="str">
        <f>CONCATENATE(REPLACE($AB185,LEN($AB185),1,"")+1,RIGHT($AB185))</f>
        <v>10B</v>
      </c>
      <c r="OL185" t="str">
        <f>CONCATENATE(REPLACE(OJ185,LEN(OJ185),1,"")+1,RIGHT(OJ185))</f>
        <v>11A</v>
      </c>
      <c r="OM185" t="str">
        <f t="shared" si="145"/>
        <v>11B</v>
      </c>
      <c r="ON185" t="str">
        <f t="shared" si="145"/>
        <v>12A</v>
      </c>
      <c r="OO185" t="str">
        <f t="shared" si="145"/>
        <v>12B</v>
      </c>
      <c r="OP185" t="str">
        <f t="shared" si="145"/>
        <v>13A</v>
      </c>
      <c r="OQ185" t="str">
        <f t="shared" si="145"/>
        <v>13B</v>
      </c>
      <c r="OR185" t="str">
        <f t="shared" si="145"/>
        <v>14A</v>
      </c>
      <c r="OS185" t="str">
        <f t="shared" si="145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46"/>
        <v>F0-AI35-10A</v>
      </c>
      <c r="OW185" t="str">
        <f t="shared" si="146"/>
        <v>F0-AI35-10B</v>
      </c>
      <c r="OX185" t="str">
        <f t="shared" si="146"/>
        <v>F0-AI35-11A</v>
      </c>
      <c r="OY185" t="str">
        <f t="shared" si="146"/>
        <v>F0-AI35-11B</v>
      </c>
      <c r="OZ185" t="str">
        <f t="shared" si="146"/>
        <v>F0-AI35-12A</v>
      </c>
      <c r="PA185" t="str">
        <f t="shared" si="146"/>
        <v>F0-AI35-12B</v>
      </c>
      <c r="PB185" t="str">
        <f t="shared" si="146"/>
        <v>F0-AI35-13A</v>
      </c>
      <c r="PC185" t="str">
        <f t="shared" si="146"/>
        <v>F0-AI35-13B</v>
      </c>
      <c r="PD185" t="str">
        <f t="shared" si="146"/>
        <v>F0-AI35-14A</v>
      </c>
      <c r="PE185" t="str">
        <f t="shared" si="146"/>
        <v>F0-AI35-14B</v>
      </c>
      <c r="PF185">
        <f t="array" ref="PF185">IF(COUNTIFS($U$2:$U185,$U185)=1,1,INDEX(PF:PF,_xlfn.XMATCH($U185,$U$1:$U184,0,-1))+COUNT(PF184:PK184))</f>
        <v>13</v>
      </c>
      <c r="PG185">
        <f t="shared" si="147"/>
        <v>14</v>
      </c>
      <c r="PH185">
        <f t="shared" si="147"/>
        <v>15</v>
      </c>
      <c r="PI185">
        <f t="shared" si="147"/>
        <v>16</v>
      </c>
      <c r="PJ185">
        <f t="shared" si="147"/>
        <v>17</v>
      </c>
      <c r="PK185">
        <f t="shared" si="147"/>
        <v>18</v>
      </c>
      <c r="PL185">
        <f t="shared" si="147"/>
        <v>19</v>
      </c>
      <c r="PM185">
        <f t="shared" si="147"/>
        <v>20</v>
      </c>
      <c r="PN185">
        <f t="shared" si="147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SUM(IF(ISNUMBER(FIND("TmAi",$BE$1:$AAD$1)),IF(IFERROR(ISODD(SUBSTITUTE($BE186:$AAD186,"A","")),FALSE),IF(ISODD(SUBSTITUTE($BE186:$AAD186,"A","")),1,0),0)))</f>
        <v>0</v>
      </c>
      <c r="AA186" t="str">
        <f>CONCATENATE($Y186*2-1,"B")</f>
        <v>1B</v>
      </c>
      <c r="AB186" t="str">
        <f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SUM(IF(ISNUMBER(FIND("TmAi",$BE$1:$AAD$1)),IF(IFERROR(ISODD(SUBSTITUTE($BE187:$AAD187,"A","")),FALSE),IF(ISODD(SUBSTITUTE($BE187:$AAD187,"A","")),1,0),0)))</f>
        <v>11</v>
      </c>
      <c r="AA187" t="str">
        <f>CONCATENATE($Y187*2-1,"A")</f>
        <v>3A</v>
      </c>
      <c r="AB187" t="str">
        <f>CONCATENATE($Y187*2-1,"B")</f>
        <v>3B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>CONCATENATE(VALUE(SUBSTITUTE(QA187,"B",""))+2,"B")</f>
        <v>9B</v>
      </c>
      <c r="QD187" s="12" t="str">
        <f>CONCATENATE(VALUE(SUBSTITUTE(QB187,"A",""))+2,"A")</f>
        <v>9A</v>
      </c>
      <c r="QE187" s="12" t="str">
        <f>CONCATENATE(VALUE(SUBSTITUTE(QC187,"B",""))+2,"B")</f>
        <v>11B</v>
      </c>
      <c r="QF187" s="12" t="str">
        <f>CONCATENATE(VALUE(SUBSTITUTE(QD187,"A",""))+2,"A")</f>
        <v>11A</v>
      </c>
      <c r="QG187" s="12" t="str">
        <f>CONCATENATE(VALUE(SUBSTITUTE(QE187,"B",""))+2,"B")</f>
        <v>13B</v>
      </c>
      <c r="QH187" s="12" t="str">
        <f>CONCATENATE(VALUE(SUBSTITUTE(QF187,"A",""))+2,"A")</f>
        <v>13A</v>
      </c>
      <c r="QI187" s="12" t="s">
        <v>135</v>
      </c>
      <c r="QJ187" s="12" t="s">
        <v>136</v>
      </c>
      <c r="QK187" s="12" t="str">
        <f>CONCATENATE(VALUE(SUBSTITUTE(QI187,"B",""))+2,"B")</f>
        <v>3B</v>
      </c>
      <c r="QL187" s="12" t="str">
        <f>CONCATENATE(VALUE(SUBSTITUTE(QJ187,"A",""))+2,"A")</f>
        <v>3A</v>
      </c>
      <c r="QM187" s="12" t="str">
        <f>CONCATENATE(VALUE(SUBSTITUTE(QK187,"B",""))+2,"B")</f>
        <v>5B</v>
      </c>
      <c r="QN187" s="12" t="str">
        <f>CONCATENATE(VALUE(SUBSTITUTE(QL187,"A",""))+2,"A")</f>
        <v>5A</v>
      </c>
      <c r="QO187" s="12" t="str">
        <f>CONCATENATE(VALUE(SUBSTITUTE(QM187,"B",""))+2,"B")</f>
        <v>7B</v>
      </c>
      <c r="QP187" s="12" t="str">
        <f>CONCATENATE(VALUE(SUBSTITUTE(QN187,"A",""))+2,"A")</f>
        <v>7A</v>
      </c>
      <c r="QQ187" s="12" t="str">
        <f>CONCATENATE(VALUE(SUBSTITUTE(QO187,"B",""))+2,"B")</f>
        <v>9B</v>
      </c>
      <c r="QR187" s="12" t="str">
        <f>CONCATENATE(VALUE(SUBSTITUTE(QP187,"A",""))+2,"A")</f>
        <v>9A</v>
      </c>
      <c r="QS187" s="12" t="str">
        <f>CONCATENATE(VALUE(SUBSTITUTE(QQ187,"B",""))+2,"B")</f>
        <v>11B</v>
      </c>
      <c r="QT187" s="12" t="str">
        <f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48">CONCATENATE($T187,"-AI",REPLACE($X187,1,3,""),"-",QA187)</f>
        <v>F0-AI18-7B</v>
      </c>
      <c r="QZ187" s="12" t="str">
        <f t="shared" si="148"/>
        <v>F0-AI18-7A</v>
      </c>
      <c r="RA187" s="12" t="str">
        <f t="shared" si="148"/>
        <v>F0-AI18-9B</v>
      </c>
      <c r="RB187" s="12" t="str">
        <f t="shared" si="148"/>
        <v>F0-AI18-9A</v>
      </c>
      <c r="RC187" s="12" t="str">
        <f t="shared" si="148"/>
        <v>F0-AI18-11B</v>
      </c>
      <c r="RD187" s="12" t="str">
        <f t="shared" si="148"/>
        <v>F0-AI18-11A</v>
      </c>
      <c r="RE187" s="12" t="str">
        <f t="shared" si="148"/>
        <v>F0-AI18-13B</v>
      </c>
      <c r="RF187" s="12" t="str">
        <f t="shared" si="148"/>
        <v>F0-AI18-13A</v>
      </c>
      <c r="RG187" s="12" t="str">
        <f t="shared" ref="RG187:RR187" si="149">CONCATENATE($T187,"-AI",REPLACE($PX187,1,3,""),"-",QI187)</f>
        <v>F0-AI19-1B</v>
      </c>
      <c r="RH187" s="12" t="str">
        <f t="shared" si="149"/>
        <v>F0-AI19-1A</v>
      </c>
      <c r="RI187" s="12" t="str">
        <f t="shared" si="149"/>
        <v>F0-AI19-3B</v>
      </c>
      <c r="RJ187" s="12" t="str">
        <f t="shared" si="149"/>
        <v>F0-AI19-3A</v>
      </c>
      <c r="RK187" s="12" t="str">
        <f t="shared" si="149"/>
        <v>F0-AI19-5B</v>
      </c>
      <c r="RL187" s="12" t="str">
        <f t="shared" si="149"/>
        <v>F0-AI19-5A</v>
      </c>
      <c r="RM187" s="12" t="str">
        <f t="shared" si="149"/>
        <v>F0-AI19-7B</v>
      </c>
      <c r="RN187" s="12" t="str">
        <f t="shared" si="149"/>
        <v>F0-AI19-7A</v>
      </c>
      <c r="RO187" s="12" t="str">
        <f t="shared" si="149"/>
        <v>F0-AI19-9B</v>
      </c>
      <c r="RP187" s="12" t="str">
        <f t="shared" si="149"/>
        <v>F0-AI19-9A</v>
      </c>
      <c r="RQ187" s="12" t="str">
        <f t="shared" si="149"/>
        <v>F0-AI19-11B</v>
      </c>
      <c r="RR187" s="12" t="str">
        <f t="shared" si="149"/>
        <v>F0-AI19-11A</v>
      </c>
      <c r="RS187" s="12" t="str">
        <f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SUM(IF(ISNUMBER(FIND("TmAi",$BE$1:$AAD$1)),IF(IFERROR(ISODD(SUBSTITUTE($BE188:$AAD188,"A","")),FALSE),IF(ISODD(SUBSTITUTE($BE188:$AAD188,"A","")),1,0),0)))</f>
        <v>1</v>
      </c>
      <c r="AA188" t="str">
        <f>CONCATENATE($Y188*2-1,"A")</f>
        <v>1A</v>
      </c>
      <c r="AB188" t="str">
        <f>CONCATENATE($Y188*2-1,"B")</f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50">CONCATENATE(REPLACE(OK188,LEN(OK188),1,"")+1,RIGHT(OK188))</f>
        <v>3B</v>
      </c>
      <c r="ON188" s="12" t="str">
        <f t="shared" si="150"/>
        <v>4A</v>
      </c>
      <c r="OO188" s="12" t="str">
        <f t="shared" si="150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51">CONCATENATE($T188,"-AI",REPLACE($X188,1,3,""),"-",OJ188)</f>
        <v>F0-AI36-2A</v>
      </c>
      <c r="OW188" s="12" t="str">
        <f t="shared" si="151"/>
        <v>F0-AI36-2B</v>
      </c>
      <c r="OX188" s="12" t="str">
        <f t="shared" si="151"/>
        <v>F0-AI36-3A</v>
      </c>
      <c r="OY188" s="12" t="str">
        <f t="shared" si="151"/>
        <v>F0-AI36-3B</v>
      </c>
      <c r="OZ188" s="12" t="str">
        <f t="shared" si="151"/>
        <v>F0-AI36-4A</v>
      </c>
      <c r="PA188" s="12" t="str">
        <f t="shared" si="151"/>
        <v>F0-AI36-4B</v>
      </c>
      <c r="PB188" s="12"/>
      <c r="PC188" s="12"/>
      <c r="PD188" s="12"/>
      <c r="PE188" s="12"/>
      <c r="PF188" s="12">
        <f t="array" ref="PF188">IF(COUNTIFS($U$2:$U188,$U188)=1,1,INDEX(PF:PF,_xlfn.XMATCH($U188,$U$1:EF187,0,-1))+COUNT(PF187:PK187))</f>
        <v>1</v>
      </c>
      <c r="PG188" s="12">
        <f t="shared" ref="PG188:PI190" si="152">PF188+1</f>
        <v>2</v>
      </c>
      <c r="PH188" s="12">
        <f t="shared" si="152"/>
        <v>3</v>
      </c>
      <c r="PI188" s="12">
        <f>PH188+1</f>
        <v>4</v>
      </c>
      <c r="PJ188" s="12">
        <f t="shared" ref="PJ188:PN190" si="153">PI188+1</f>
        <v>5</v>
      </c>
      <c r="PK188" s="12">
        <f t="shared" si="153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SUM(IF(ISNUMBER(FIND("TmAi",$BE$1:$AAD$1)),IF(IFERROR(ISODD(SUBSTITUTE($BE189:$AAD189,"A","")),FALSE),IF(ISODD(SUBSTITUTE($BE189:$AAD189,"A","")),1,0),0)))</f>
        <v>1</v>
      </c>
      <c r="AA189" t="str">
        <f>CONCATENATE($Y189*2-1,"A")</f>
        <v>5A</v>
      </c>
      <c r="AB189" t="str">
        <f>CONCATENATE($Y189*2-1,"B")</f>
        <v>5B</v>
      </c>
      <c r="AP189" t="s">
        <v>137</v>
      </c>
      <c r="AR189" t="s">
        <v>1152</v>
      </c>
      <c r="AS189" t="s">
        <v>396</v>
      </c>
      <c r="OE189" s="27" t="str">
        <f>CONCATENATE("XT",$U189)</f>
        <v>XT60</v>
      </c>
      <c r="OF189" t="s">
        <v>1175</v>
      </c>
      <c r="OG189" t="s">
        <v>1181</v>
      </c>
      <c r="OJ189" t="str">
        <f>CONCATENATE(REPLACE($AA189,LEN($AA189),1,"")+1,RIGHT($AA189))</f>
        <v>6A</v>
      </c>
      <c r="OK189" t="str">
        <f>CONCATENATE(REPLACE($AB189,LEN($AB189),1,"")+1,RIGHT($AB189))</f>
        <v>6B</v>
      </c>
      <c r="OL189" t="str">
        <f>CONCATENATE(REPLACE(OJ189,LEN(OJ189),1,"")+1,RIGHT(OJ189))</f>
        <v>7A</v>
      </c>
      <c r="OM189" t="str">
        <f t="shared" si="150"/>
        <v>7B</v>
      </c>
      <c r="ON189" t="str">
        <f t="shared" si="150"/>
        <v>8A</v>
      </c>
      <c r="OO189" t="str">
        <f t="shared" si="150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51"/>
        <v>F0-AI36-6A</v>
      </c>
      <c r="OW189" t="str">
        <f t="shared" si="151"/>
        <v>F0-AI36-6B</v>
      </c>
      <c r="OX189" t="str">
        <f t="shared" si="151"/>
        <v>F0-AI36-7A</v>
      </c>
      <c r="OY189" t="str">
        <f t="shared" si="151"/>
        <v>F0-AI36-7B</v>
      </c>
      <c r="OZ189" t="str">
        <f t="shared" si="151"/>
        <v>F0-AI36-8A</v>
      </c>
      <c r="PA189" t="str">
        <f t="shared" si="151"/>
        <v>F0-AI36-8B</v>
      </c>
      <c r="PF189">
        <f t="array" ref="PF189">IF(COUNTIFS($U$2:$U189,$U189)=1,1,INDEX(PF:PF,_xlfn.XMATCH($U189,$U$1:$U188,0,-1))+COUNT(PF188:PK188))</f>
        <v>7</v>
      </c>
      <c r="PG189">
        <f t="shared" si="152"/>
        <v>8</v>
      </c>
      <c r="PH189">
        <f t="shared" si="152"/>
        <v>9</v>
      </c>
      <c r="PI189">
        <f t="shared" si="152"/>
        <v>10</v>
      </c>
      <c r="PJ189">
        <f t="shared" si="153"/>
        <v>11</v>
      </c>
      <c r="PK189">
        <f t="shared" si="153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SUM(IF(ISNUMBER(FIND("TmAi",$BE$1:$AAD$1)),IF(IFERROR(ISODD(SUBSTITUTE($BE190:$AAD190,"A","")),FALSE),IF(ISODD(SUBSTITUTE($BE190:$AAD190,"A","")),1,0),0)))</f>
        <v>2</v>
      </c>
      <c r="AA190" t="str">
        <f>CONCATENATE($Y190*2-1,"A")</f>
        <v>9A</v>
      </c>
      <c r="AB190" t="str">
        <f>CONCATENATE($Y190*2-1,"B")</f>
        <v>9B</v>
      </c>
      <c r="AP190" t="s">
        <v>137</v>
      </c>
      <c r="AR190" t="s">
        <v>1153</v>
      </c>
      <c r="AS190" t="s">
        <v>396</v>
      </c>
      <c r="OE190" s="27" t="str">
        <f>CONCATENATE("XT",$U190)</f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>CONCATENATE(REPLACE($AA190,LEN($AA190),1,"")+1,RIGHT($AA190))</f>
        <v>10A</v>
      </c>
      <c r="OK190" t="str">
        <f>CONCATENATE(REPLACE($AB190,LEN($AB190),1,"")+1,RIGHT($AB190))</f>
        <v>10B</v>
      </c>
      <c r="OL190" t="str">
        <f>CONCATENATE(REPLACE(OJ190,LEN(OJ190),1,"")+1,RIGHT(OJ190))</f>
        <v>11A</v>
      </c>
      <c r="OM190" t="str">
        <f t="shared" si="150"/>
        <v>11B</v>
      </c>
      <c r="ON190" t="str">
        <f t="shared" si="150"/>
        <v>12A</v>
      </c>
      <c r="OO190" t="str">
        <f t="shared" si="150"/>
        <v>12B</v>
      </c>
      <c r="OP190" t="str">
        <f t="shared" si="150"/>
        <v>13A</v>
      </c>
      <c r="OQ190" t="str">
        <f t="shared" si="150"/>
        <v>13B</v>
      </c>
      <c r="OR190" t="str">
        <f t="shared" si="150"/>
        <v>14A</v>
      </c>
      <c r="OS190" t="str">
        <f t="shared" si="150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51"/>
        <v>F0-AI36-10A</v>
      </c>
      <c r="OW190" t="str">
        <f t="shared" si="151"/>
        <v>F0-AI36-10B</v>
      </c>
      <c r="OX190" t="str">
        <f t="shared" si="151"/>
        <v>F0-AI36-11A</v>
      </c>
      <c r="OY190" t="str">
        <f t="shared" si="151"/>
        <v>F0-AI36-11B</v>
      </c>
      <c r="OZ190" t="str">
        <f t="shared" si="151"/>
        <v>F0-AI36-12A</v>
      </c>
      <c r="PA190" t="str">
        <f t="shared" si="151"/>
        <v>F0-AI36-12B</v>
      </c>
      <c r="PB190" t="str">
        <f t="shared" si="151"/>
        <v>F0-AI36-13A</v>
      </c>
      <c r="PC190" t="str">
        <f t="shared" si="151"/>
        <v>F0-AI36-13B</v>
      </c>
      <c r="PD190" t="str">
        <f t="shared" si="151"/>
        <v>F0-AI36-14A</v>
      </c>
      <c r="PE190" t="str">
        <f t="shared" si="151"/>
        <v>F0-AI36-14B</v>
      </c>
      <c r="PF190">
        <f t="array" ref="PF190">IF(COUNTIFS($U$2:$U190,$U190)=1,1,INDEX(PF:PF,_xlfn.XMATCH($U190,$U$1:$U189,0,-1))+COUNT(PF189:PK189))</f>
        <v>13</v>
      </c>
      <c r="PG190">
        <f t="shared" si="152"/>
        <v>14</v>
      </c>
      <c r="PH190">
        <f t="shared" si="152"/>
        <v>15</v>
      </c>
      <c r="PI190">
        <f t="shared" si="152"/>
        <v>16</v>
      </c>
      <c r="PJ190">
        <f t="shared" si="153"/>
        <v>17</v>
      </c>
      <c r="PK190">
        <f t="shared" si="153"/>
        <v>18</v>
      </c>
      <c r="PL190">
        <f t="shared" si="153"/>
        <v>19</v>
      </c>
      <c r="PM190">
        <f t="shared" si="153"/>
        <v>20</v>
      </c>
      <c r="PN190">
        <f t="shared" si="153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SUM(IF(ISNUMBER(FIND("TmAi",$BE$1:$AAD$1)),IF(IFERROR(ISODD(SUBSTITUTE($BE191:$AAD191,"A","")),FALSE),IF(ISODD(SUBSTITUTE($BE191:$AAD191,"A","")),1,0),0)))</f>
        <v>0</v>
      </c>
      <c r="AA191" t="str">
        <f>CONCATENATE($Y191*2-1,"B")</f>
        <v>1B</v>
      </c>
      <c r="AB191" t="str">
        <f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SUM(IF(ISNUMBER(FIND("TmAi",$BE$1:$AAD$1)),IF(IFERROR(ISODD(SUBSTITUTE($BE192:$AAD192,"A","")),FALSE),IF(ISODD(SUBSTITUTE($BE192:$AAD192,"A","")),1,0),0)))</f>
        <v>11</v>
      </c>
      <c r="AA192" t="str">
        <f>CONCATENATE($Y192*2-1,"A")</f>
        <v>3A</v>
      </c>
      <c r="AB192" t="str">
        <f>CONCATENATE($Y192*2-1,"B")</f>
        <v>3B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>CONCATENATE(VALUE(SUBSTITUTE(QA192,"B",""))+2,"B")</f>
        <v>9B</v>
      </c>
      <c r="QD192" s="12" t="str">
        <f>CONCATENATE(VALUE(SUBSTITUTE(QB192,"A",""))+2,"A")</f>
        <v>9A</v>
      </c>
      <c r="QE192" s="12" t="str">
        <f>CONCATENATE(VALUE(SUBSTITUTE(QC192,"B",""))+2,"B")</f>
        <v>11B</v>
      </c>
      <c r="QF192" s="12" t="str">
        <f>CONCATENATE(VALUE(SUBSTITUTE(QD192,"A",""))+2,"A")</f>
        <v>11A</v>
      </c>
      <c r="QG192" s="12" t="str">
        <f>CONCATENATE(VALUE(SUBSTITUTE(QE192,"B",""))+2,"B")</f>
        <v>13B</v>
      </c>
      <c r="QH192" s="12" t="str">
        <f>CONCATENATE(VALUE(SUBSTITUTE(QF192,"A",""))+2,"A")</f>
        <v>13A</v>
      </c>
      <c r="QI192" s="12" t="s">
        <v>135</v>
      </c>
      <c r="QJ192" s="12" t="s">
        <v>136</v>
      </c>
      <c r="QK192" s="12" t="str">
        <f>CONCATENATE(VALUE(SUBSTITUTE(QI192,"B",""))+2,"B")</f>
        <v>3B</v>
      </c>
      <c r="QL192" s="12" t="str">
        <f>CONCATENATE(VALUE(SUBSTITUTE(QJ192,"A",""))+2,"A")</f>
        <v>3A</v>
      </c>
      <c r="QM192" s="12" t="str">
        <f>CONCATENATE(VALUE(SUBSTITUTE(QK192,"B",""))+2,"B")</f>
        <v>5B</v>
      </c>
      <c r="QN192" s="12" t="str">
        <f>CONCATENATE(VALUE(SUBSTITUTE(QL192,"A",""))+2,"A")</f>
        <v>5A</v>
      </c>
      <c r="QO192" s="12" t="str">
        <f>CONCATENATE(VALUE(SUBSTITUTE(QM192,"B",""))+2,"B")</f>
        <v>7B</v>
      </c>
      <c r="QP192" s="12" t="str">
        <f>CONCATENATE(VALUE(SUBSTITUTE(QN192,"A",""))+2,"A")</f>
        <v>7A</v>
      </c>
      <c r="QQ192" s="12" t="str">
        <f>CONCATENATE(VALUE(SUBSTITUTE(QO192,"B",""))+2,"B")</f>
        <v>9B</v>
      </c>
      <c r="QR192" s="12" t="str">
        <f>CONCATENATE(VALUE(SUBSTITUTE(QP192,"A",""))+2,"A")</f>
        <v>9A</v>
      </c>
      <c r="QS192" s="12" t="str">
        <f>CONCATENATE(VALUE(SUBSTITUTE(QQ192,"B",""))+2,"B")</f>
        <v>11B</v>
      </c>
      <c r="QT192" s="12" t="str">
        <f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154">CONCATENATE($T192,"-AI",REPLACE($X192,1,3,""),"-",QA192)</f>
        <v>F0-AI20-7B</v>
      </c>
      <c r="QZ192" s="12" t="str">
        <f t="shared" si="154"/>
        <v>F0-AI20-7A</v>
      </c>
      <c r="RA192" s="12" t="str">
        <f t="shared" si="154"/>
        <v>F0-AI20-9B</v>
      </c>
      <c r="RB192" s="12" t="str">
        <f t="shared" si="154"/>
        <v>F0-AI20-9A</v>
      </c>
      <c r="RC192" s="12" t="str">
        <f t="shared" si="154"/>
        <v>F0-AI20-11B</v>
      </c>
      <c r="RD192" s="12" t="str">
        <f t="shared" si="154"/>
        <v>F0-AI20-11A</v>
      </c>
      <c r="RE192" s="12" t="str">
        <f t="shared" si="154"/>
        <v>F0-AI20-13B</v>
      </c>
      <c r="RF192" s="12" t="str">
        <f t="shared" si="154"/>
        <v>F0-AI20-13A</v>
      </c>
      <c r="RG192" s="12" t="str">
        <f t="shared" ref="RG192:RR192" si="155">CONCATENATE($T192,"-AI",REPLACE($PX192,1,3,""),"-",QI192)</f>
        <v>F0-AI21-1B</v>
      </c>
      <c r="RH192" s="12" t="str">
        <f t="shared" si="155"/>
        <v>F0-AI21-1A</v>
      </c>
      <c r="RI192" s="12" t="str">
        <f t="shared" si="155"/>
        <v>F0-AI21-3B</v>
      </c>
      <c r="RJ192" s="12" t="str">
        <f t="shared" si="155"/>
        <v>F0-AI21-3A</v>
      </c>
      <c r="RK192" s="12" t="str">
        <f t="shared" si="155"/>
        <v>F0-AI21-5B</v>
      </c>
      <c r="RL192" s="12" t="str">
        <f t="shared" si="155"/>
        <v>F0-AI21-5A</v>
      </c>
      <c r="RM192" s="12" t="str">
        <f t="shared" si="155"/>
        <v>F0-AI21-7B</v>
      </c>
      <c r="RN192" s="12" t="str">
        <f t="shared" si="155"/>
        <v>F0-AI21-7A</v>
      </c>
      <c r="RO192" s="12" t="str">
        <f t="shared" si="155"/>
        <v>F0-AI21-9B</v>
      </c>
      <c r="RP192" s="12" t="str">
        <f t="shared" si="155"/>
        <v>F0-AI21-9A</v>
      </c>
      <c r="RQ192" s="12" t="str">
        <f t="shared" si="155"/>
        <v>F0-AI21-11B</v>
      </c>
      <c r="RR192" s="12" t="str">
        <f t="shared" si="155"/>
        <v>F0-AI21-11A</v>
      </c>
      <c r="RS192" s="12" t="str">
        <f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SUM(IF(ISNUMBER(FIND("TmAi",$BE$1:$AAD$1)),IF(IFERROR(ISODD(SUBSTITUTE($BE193:$AAD193,"A","")),FALSE),IF(ISODD(SUBSTITUTE($BE193:$AAD193,"A","")),1,0),0)))</f>
        <v>1</v>
      </c>
      <c r="AA193" t="str">
        <f>CONCATENATE($Y193*2-1,"A")</f>
        <v>1A</v>
      </c>
      <c r="AB193" t="str">
        <f>CONCATENATE($Y193*2-1,"B")</f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156">CONCATENATE(REPLACE(OK193,LEN(OK193),1,"")+1,RIGHT(OK193))</f>
        <v>3B</v>
      </c>
      <c r="ON193" s="12" t="str">
        <f t="shared" si="156"/>
        <v>4A</v>
      </c>
      <c r="OO193" s="12" t="str">
        <f t="shared" si="156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157">CONCATENATE($T193,"-AI",REPLACE($X193,1,3,""),"-",OJ193)</f>
        <v>F0-AI37-2A</v>
      </c>
      <c r="OW193" s="12" t="str">
        <f t="shared" si="157"/>
        <v>F0-AI37-2B</v>
      </c>
      <c r="OX193" s="12" t="str">
        <f t="shared" si="157"/>
        <v>F0-AI37-3A</v>
      </c>
      <c r="OY193" s="12" t="str">
        <f t="shared" si="157"/>
        <v>F0-AI37-3B</v>
      </c>
      <c r="OZ193" s="12" t="str">
        <f t="shared" si="157"/>
        <v>F0-AI37-4A</v>
      </c>
      <c r="PA193" s="12" t="str">
        <f t="shared" si="157"/>
        <v>F0-AI37-4B</v>
      </c>
      <c r="PB193" s="12"/>
      <c r="PC193" s="12"/>
      <c r="PD193" s="12"/>
      <c r="PE193" s="12"/>
      <c r="PF193" s="12">
        <f t="array" ref="PF193">IF(COUNTIFS($U$2:$U193,$U193)=1,1,INDEX(PF:PF,_xlfn.XMATCH($U193,$U$1:EF192,0,-1))+COUNT(PF192:PK192))</f>
        <v>1</v>
      </c>
      <c r="PG193" s="12">
        <f t="shared" ref="PG193:PI195" si="158">PF193+1</f>
        <v>2</v>
      </c>
      <c r="PH193" s="12">
        <f t="shared" si="158"/>
        <v>3</v>
      </c>
      <c r="PI193" s="12">
        <f>PH193+1</f>
        <v>4</v>
      </c>
      <c r="PJ193" s="12">
        <f t="shared" ref="PJ193:PN195" si="159">PI193+1</f>
        <v>5</v>
      </c>
      <c r="PK193" s="12">
        <f t="shared" si="159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SUM(IF(ISNUMBER(FIND("TmAi",$BE$1:$AAD$1)),IF(IFERROR(ISODD(SUBSTITUTE($BE194:$AAD194,"A","")),FALSE),IF(ISODD(SUBSTITUTE($BE194:$AAD194,"A","")),1,0),0)))</f>
        <v>1</v>
      </c>
      <c r="AA194" t="str">
        <f>CONCATENATE($Y194*2-1,"A")</f>
        <v>5A</v>
      </c>
      <c r="AB194" t="str">
        <f>CONCATENATE($Y194*2-1,"B")</f>
        <v>5B</v>
      </c>
      <c r="AP194" t="s">
        <v>137</v>
      </c>
      <c r="AR194" t="s">
        <v>1207</v>
      </c>
      <c r="AS194" t="s">
        <v>396</v>
      </c>
      <c r="OE194" s="27" t="str">
        <f>CONCATENATE("XT",$U194)</f>
        <v>XT61</v>
      </c>
      <c r="OF194" t="s">
        <v>1189</v>
      </c>
      <c r="OG194" t="s">
        <v>1324</v>
      </c>
      <c r="OJ194" t="str">
        <f>CONCATENATE(REPLACE($AA194,LEN($AA194),1,"")+1,RIGHT($AA194))</f>
        <v>6A</v>
      </c>
      <c r="OK194" t="str">
        <f>CONCATENATE(REPLACE($AB194,LEN($AB194),1,"")+1,RIGHT($AB194))</f>
        <v>6B</v>
      </c>
      <c r="OL194" t="str">
        <f>CONCATENATE(REPLACE(OJ194,LEN(OJ194),1,"")+1,RIGHT(OJ194))</f>
        <v>7A</v>
      </c>
      <c r="OM194" t="str">
        <f t="shared" si="156"/>
        <v>7B</v>
      </c>
      <c r="ON194" t="str">
        <f t="shared" si="156"/>
        <v>8A</v>
      </c>
      <c r="OO194" t="str">
        <f t="shared" si="156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157"/>
        <v>F0-AI37-6A</v>
      </c>
      <c r="OW194" t="str">
        <f t="shared" si="157"/>
        <v>F0-AI37-6B</v>
      </c>
      <c r="OX194" t="str">
        <f t="shared" si="157"/>
        <v>F0-AI37-7A</v>
      </c>
      <c r="OY194" t="str">
        <f t="shared" si="157"/>
        <v>F0-AI37-7B</v>
      </c>
      <c r="OZ194" t="str">
        <f t="shared" si="157"/>
        <v>F0-AI37-8A</v>
      </c>
      <c r="PA194" t="str">
        <f t="shared" si="157"/>
        <v>F0-AI37-8B</v>
      </c>
      <c r="PF194">
        <f t="array" ref="PF194">IF(COUNTIFS($U$2:$U194,$U194)=1,1,INDEX(PF:PF,_xlfn.XMATCH($U194,$U$1:$U193,0,-1))+COUNT(PF193:PK193))</f>
        <v>7</v>
      </c>
      <c r="PG194">
        <f t="shared" si="158"/>
        <v>8</v>
      </c>
      <c r="PH194">
        <f t="shared" si="158"/>
        <v>9</v>
      </c>
      <c r="PI194">
        <f t="shared" si="158"/>
        <v>10</v>
      </c>
      <c r="PJ194">
        <f t="shared" si="159"/>
        <v>11</v>
      </c>
      <c r="PK194">
        <f t="shared" si="159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SUM(IF(ISNUMBER(FIND("TmAi",$BE$1:$AAD$1)),IF(IFERROR(ISODD(SUBSTITUTE($BE195:$AAD195,"A","")),FALSE),IF(ISODD(SUBSTITUTE($BE195:$AAD195,"A","")),1,0),0)))</f>
        <v>2</v>
      </c>
      <c r="AA195" t="str">
        <f>CONCATENATE($Y195*2-1,"A")</f>
        <v>9A</v>
      </c>
      <c r="AB195" t="str">
        <f>CONCATENATE($Y195*2-1,"B")</f>
        <v>9B</v>
      </c>
      <c r="AP195" t="s">
        <v>137</v>
      </c>
      <c r="AR195" t="s">
        <v>1210</v>
      </c>
      <c r="AS195" t="s">
        <v>396</v>
      </c>
      <c r="OE195" s="27" t="str">
        <f>CONCATENATE("XT",$U195)</f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>CONCATENATE(REPLACE($AA195,LEN($AA195),1,"")+1,RIGHT($AA195))</f>
        <v>10A</v>
      </c>
      <c r="OK195" t="str">
        <f>CONCATENATE(REPLACE($AB195,LEN($AB195),1,"")+1,RIGHT($AB195))</f>
        <v>10B</v>
      </c>
      <c r="OL195" t="str">
        <f>CONCATENATE(REPLACE(OJ195,LEN(OJ195),1,"")+1,RIGHT(OJ195))</f>
        <v>11A</v>
      </c>
      <c r="OM195" t="str">
        <f t="shared" si="156"/>
        <v>11B</v>
      </c>
      <c r="ON195" t="str">
        <f t="shared" si="156"/>
        <v>12A</v>
      </c>
      <c r="OO195" t="str">
        <f t="shared" si="156"/>
        <v>12B</v>
      </c>
      <c r="OP195" t="str">
        <f t="shared" si="156"/>
        <v>13A</v>
      </c>
      <c r="OQ195" t="str">
        <f t="shared" si="156"/>
        <v>13B</v>
      </c>
      <c r="OR195" t="str">
        <f t="shared" si="156"/>
        <v>14A</v>
      </c>
      <c r="OS195" t="str">
        <f t="shared" si="156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157"/>
        <v>F0-AI37-10A</v>
      </c>
      <c r="OW195" t="str">
        <f t="shared" si="157"/>
        <v>F0-AI37-10B</v>
      </c>
      <c r="OX195" t="str">
        <f t="shared" si="157"/>
        <v>F0-AI37-11A</v>
      </c>
      <c r="OY195" t="str">
        <f t="shared" si="157"/>
        <v>F0-AI37-11B</v>
      </c>
      <c r="OZ195" t="str">
        <f t="shared" si="157"/>
        <v>F0-AI37-12A</v>
      </c>
      <c r="PA195" t="str">
        <f t="shared" si="157"/>
        <v>F0-AI37-12B</v>
      </c>
      <c r="PB195" t="str">
        <f t="shared" si="157"/>
        <v>F0-AI37-13A</v>
      </c>
      <c r="PC195" t="str">
        <f t="shared" si="157"/>
        <v>F0-AI37-13B</v>
      </c>
      <c r="PD195" t="str">
        <f t="shared" si="157"/>
        <v>F0-AI37-14A</v>
      </c>
      <c r="PE195" t="str">
        <f t="shared" si="157"/>
        <v>F0-AI37-14B</v>
      </c>
      <c r="PF195">
        <f t="array" ref="PF195">IF(COUNTIFS($U$2:$U195,$U195)=1,1,INDEX(PF:PF,_xlfn.XMATCH($U195,$U$1:$U194,0,-1))+COUNT(PF194:PK194))</f>
        <v>13</v>
      </c>
      <c r="PG195">
        <f t="shared" si="158"/>
        <v>14</v>
      </c>
      <c r="PH195">
        <f t="shared" si="158"/>
        <v>15</v>
      </c>
      <c r="PI195">
        <f t="shared" si="158"/>
        <v>16</v>
      </c>
      <c r="PJ195">
        <f t="shared" si="159"/>
        <v>17</v>
      </c>
      <c r="PK195">
        <f t="shared" si="159"/>
        <v>18</v>
      </c>
      <c r="PL195">
        <f t="shared" si="159"/>
        <v>19</v>
      </c>
      <c r="PM195">
        <f t="shared" si="159"/>
        <v>20</v>
      </c>
      <c r="PN195">
        <f t="shared" si="159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SUM(IF(ISNUMBER(FIND("TmAi",$BE$1:$AAD$1)),IF(IFERROR(ISODD(SUBSTITUTE($BE196:$AAD196,"A","")),FALSE),IF(ISODD(SUBSTITUTE($BE196:$AAD196,"A","")),1,0),0)))</f>
        <v>0</v>
      </c>
      <c r="AA196" t="str">
        <f>CONCATENATE($Y196*2-1,"B")</f>
        <v>1B</v>
      </c>
      <c r="AB196" t="str">
        <f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SUM(IF(ISNUMBER(FIND("TmAi",$BE$1:$AAD$1)),IF(IFERROR(ISODD(SUBSTITUTE($BE197:$AAD197,"A","")),FALSE),IF(ISODD(SUBSTITUTE($BE197:$AAD197,"A","")),1,0),0)))</f>
        <v>11</v>
      </c>
      <c r="AA197" t="str">
        <f>CONCATENATE($Y197*2-1,"A")</f>
        <v>3A</v>
      </c>
      <c r="AB197" t="str">
        <f>CONCATENATE($Y197*2-1,"B")</f>
        <v>3B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>CONCATENATE(VALUE(SUBSTITUTE(QA197,"B",""))+2,"B")</f>
        <v>9B</v>
      </c>
      <c r="QD197" s="12" t="str">
        <f>CONCATENATE(VALUE(SUBSTITUTE(QB197,"A",""))+2,"A")</f>
        <v>9A</v>
      </c>
      <c r="QE197" s="12" t="str">
        <f>CONCATENATE(VALUE(SUBSTITUTE(QC197,"B",""))+2,"B")</f>
        <v>11B</v>
      </c>
      <c r="QF197" s="12" t="str">
        <f>CONCATENATE(VALUE(SUBSTITUTE(QD197,"A",""))+2,"A")</f>
        <v>11A</v>
      </c>
      <c r="QG197" s="12" t="str">
        <f>CONCATENATE(VALUE(SUBSTITUTE(QE197,"B",""))+2,"B")</f>
        <v>13B</v>
      </c>
      <c r="QH197" s="12" t="str">
        <f>CONCATENATE(VALUE(SUBSTITUTE(QF197,"A",""))+2,"A")</f>
        <v>13A</v>
      </c>
      <c r="QI197" s="12" t="s">
        <v>135</v>
      </c>
      <c r="QJ197" s="12" t="s">
        <v>136</v>
      </c>
      <c r="QK197" s="12" t="str">
        <f>CONCATENATE(VALUE(SUBSTITUTE(QI197,"B",""))+2,"B")</f>
        <v>3B</v>
      </c>
      <c r="QL197" s="12" t="str">
        <f>CONCATENATE(VALUE(SUBSTITUTE(QJ197,"A",""))+2,"A")</f>
        <v>3A</v>
      </c>
      <c r="QM197" s="12" t="str">
        <f>CONCATENATE(VALUE(SUBSTITUTE(QK197,"B",""))+2,"B")</f>
        <v>5B</v>
      </c>
      <c r="QN197" s="12" t="str">
        <f>CONCATENATE(VALUE(SUBSTITUTE(QL197,"A",""))+2,"A")</f>
        <v>5A</v>
      </c>
      <c r="QO197" s="12" t="str">
        <f>CONCATENATE(VALUE(SUBSTITUTE(QM197,"B",""))+2,"B")</f>
        <v>7B</v>
      </c>
      <c r="QP197" s="12" t="str">
        <f>CONCATENATE(VALUE(SUBSTITUTE(QN197,"A",""))+2,"A")</f>
        <v>7A</v>
      </c>
      <c r="QQ197" s="12" t="str">
        <f>CONCATENATE(VALUE(SUBSTITUTE(QO197,"B",""))+2,"B")</f>
        <v>9B</v>
      </c>
      <c r="QR197" s="12" t="str">
        <f>CONCATENATE(VALUE(SUBSTITUTE(QP197,"A",""))+2,"A")</f>
        <v>9A</v>
      </c>
      <c r="QS197" s="12" t="str">
        <f>CONCATENATE(VALUE(SUBSTITUTE(QQ197,"B",""))+2,"B")</f>
        <v>11B</v>
      </c>
      <c r="QT197" s="12" t="str">
        <f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160">CONCATENATE($T197,"-AI",REPLACE($X197,1,3,""),"-",QA197)</f>
        <v>F0-AI22-7B</v>
      </c>
      <c r="QZ197" s="12" t="str">
        <f t="shared" si="160"/>
        <v>F0-AI22-7A</v>
      </c>
      <c r="RA197" s="12" t="str">
        <f t="shared" si="160"/>
        <v>F0-AI22-9B</v>
      </c>
      <c r="RB197" s="12" t="str">
        <f t="shared" si="160"/>
        <v>F0-AI22-9A</v>
      </c>
      <c r="RC197" s="12" t="str">
        <f t="shared" si="160"/>
        <v>F0-AI22-11B</v>
      </c>
      <c r="RD197" s="12" t="str">
        <f t="shared" si="160"/>
        <v>F0-AI22-11A</v>
      </c>
      <c r="RE197" s="12" t="str">
        <f t="shared" si="160"/>
        <v>F0-AI22-13B</v>
      </c>
      <c r="RF197" s="12" t="str">
        <f t="shared" si="160"/>
        <v>F0-AI22-13A</v>
      </c>
      <c r="RG197" s="12" t="str">
        <f t="shared" ref="RG197:RR197" si="161">CONCATENATE($T197,"-AI",REPLACE($PX197,1,3,""),"-",QI197)</f>
        <v>F0-AI23-1B</v>
      </c>
      <c r="RH197" s="12" t="str">
        <f t="shared" si="161"/>
        <v>F0-AI23-1A</v>
      </c>
      <c r="RI197" s="12" t="str">
        <f t="shared" si="161"/>
        <v>F0-AI23-3B</v>
      </c>
      <c r="RJ197" s="12" t="str">
        <f t="shared" si="161"/>
        <v>F0-AI23-3A</v>
      </c>
      <c r="RK197" s="12" t="str">
        <f t="shared" si="161"/>
        <v>F0-AI23-5B</v>
      </c>
      <c r="RL197" s="12" t="str">
        <f t="shared" si="161"/>
        <v>F0-AI23-5A</v>
      </c>
      <c r="RM197" s="12" t="str">
        <f t="shared" si="161"/>
        <v>F0-AI23-7B</v>
      </c>
      <c r="RN197" s="12" t="str">
        <f t="shared" si="161"/>
        <v>F0-AI23-7A</v>
      </c>
      <c r="RO197" s="12" t="str">
        <f t="shared" si="161"/>
        <v>F0-AI23-9B</v>
      </c>
      <c r="RP197" s="12" t="str">
        <f t="shared" si="161"/>
        <v>F0-AI23-9A</v>
      </c>
      <c r="RQ197" s="12" t="str">
        <f t="shared" si="161"/>
        <v>F0-AI23-11B</v>
      </c>
      <c r="RR197" s="12" t="str">
        <f t="shared" si="161"/>
        <v>F0-AI23-11A</v>
      </c>
      <c r="RS197" s="12" t="str">
        <f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SUM(IF(ISNUMBER(FIND("TmAi",$BE$1:$AAD$1)),IF(IFERROR(ISODD(SUBSTITUTE($BE198:$AAD198,"A","")),FALSE),IF(ISODD(SUBSTITUTE($BE198:$AAD198,"A","")),1,0),0)))</f>
        <v>1</v>
      </c>
      <c r="AA198" t="str">
        <f>CONCATENATE($Y198*2-1,"A")</f>
        <v>1A</v>
      </c>
      <c r="AB198" t="str">
        <f>CONCATENATE($Y198*2-1,"B")</f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162">CONCATENATE(REPLACE(OK198,LEN(OK198),1,"")+1,RIGHT(OK198))</f>
        <v>3B</v>
      </c>
      <c r="ON198" s="12" t="str">
        <f t="shared" si="162"/>
        <v>4A</v>
      </c>
      <c r="OO198" s="12" t="str">
        <f t="shared" si="162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163">CONCATENATE($T198,"-AI",REPLACE($X198,1,3,""),"-",OJ198)</f>
        <v>F0-AI38-2A</v>
      </c>
      <c r="OW198" s="12" t="str">
        <f t="shared" si="163"/>
        <v>F0-AI38-2B</v>
      </c>
      <c r="OX198" s="12" t="str">
        <f t="shared" si="163"/>
        <v>F0-AI38-3A</v>
      </c>
      <c r="OY198" s="12" t="str">
        <f t="shared" si="163"/>
        <v>F0-AI38-3B</v>
      </c>
      <c r="OZ198" s="12" t="str">
        <f t="shared" si="163"/>
        <v>F0-AI38-4A</v>
      </c>
      <c r="PA198" s="12" t="str">
        <f t="shared" si="163"/>
        <v>F0-AI38-4B</v>
      </c>
      <c r="PB198" s="12"/>
      <c r="PC198" s="12"/>
      <c r="PD198" s="12"/>
      <c r="PE198" s="12"/>
      <c r="PF198" s="12">
        <f t="array" ref="PF198">IF(COUNTIFS($U$2:$U198,$U198)=1,1,INDEX(PF:PF,_xlfn.XMATCH($U198,$U$1:EF197,0,-1))+COUNT(PF197:PK197))</f>
        <v>1</v>
      </c>
      <c r="PG198" s="12">
        <f t="shared" ref="PG198:PI200" si="164">PF198+1</f>
        <v>2</v>
      </c>
      <c r="PH198" s="12">
        <f t="shared" si="164"/>
        <v>3</v>
      </c>
      <c r="PI198" s="12">
        <f>PH198+1</f>
        <v>4</v>
      </c>
      <c r="PJ198" s="12">
        <f t="shared" ref="PJ198:PN200" si="165">PI198+1</f>
        <v>5</v>
      </c>
      <c r="PK198" s="12">
        <f t="shared" si="165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SUM(IF(ISNUMBER(FIND("TmAi",$BE$1:$AAD$1)),IF(IFERROR(ISODD(SUBSTITUTE($BE199:$AAD199,"A","")),FALSE),IF(ISODD(SUBSTITUTE($BE199:$AAD199,"A","")),1,0),0)))</f>
        <v>1</v>
      </c>
      <c r="AA199" t="str">
        <f>CONCATENATE($Y199*2-1,"A")</f>
        <v>5A</v>
      </c>
      <c r="AB199" t="str">
        <f>CONCATENATE($Y199*2-1,"B")</f>
        <v>5B</v>
      </c>
      <c r="AP199" t="s">
        <v>137</v>
      </c>
      <c r="AR199" t="s">
        <v>1216</v>
      </c>
      <c r="AS199" t="s">
        <v>396</v>
      </c>
      <c r="OE199" s="27" t="str">
        <f>CONCATENATE("XT",$U199)</f>
        <v>XT62</v>
      </c>
      <c r="OF199" t="s">
        <v>1226</v>
      </c>
      <c r="OG199" t="s">
        <v>1328</v>
      </c>
      <c r="OJ199" t="str">
        <f>CONCATENATE(REPLACE($AA199,LEN($AA199),1,"")+1,RIGHT($AA199))</f>
        <v>6A</v>
      </c>
      <c r="OK199" t="str">
        <f>CONCATENATE(REPLACE($AB199,LEN($AB199),1,"")+1,RIGHT($AB199))</f>
        <v>6B</v>
      </c>
      <c r="OL199" t="str">
        <f>CONCATENATE(REPLACE(OJ199,LEN(OJ199),1,"")+1,RIGHT(OJ199))</f>
        <v>7A</v>
      </c>
      <c r="OM199" t="str">
        <f t="shared" si="162"/>
        <v>7B</v>
      </c>
      <c r="ON199" t="str">
        <f t="shared" si="162"/>
        <v>8A</v>
      </c>
      <c r="OO199" t="str">
        <f t="shared" si="162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163"/>
        <v>F0-AI38-6A</v>
      </c>
      <c r="OW199" t="str">
        <f t="shared" si="163"/>
        <v>F0-AI38-6B</v>
      </c>
      <c r="OX199" t="str">
        <f t="shared" si="163"/>
        <v>F0-AI38-7A</v>
      </c>
      <c r="OY199" t="str">
        <f t="shared" si="163"/>
        <v>F0-AI38-7B</v>
      </c>
      <c r="OZ199" t="str">
        <f t="shared" si="163"/>
        <v>F0-AI38-8A</v>
      </c>
      <c r="PA199" t="str">
        <f t="shared" si="163"/>
        <v>F0-AI38-8B</v>
      </c>
      <c r="PF199">
        <f t="array" ref="PF199">IF(COUNTIFS($U$2:$U199,$U199)=1,1,INDEX(PF:PF,_xlfn.XMATCH($U199,$U$1:$U198,0,-1))+COUNT(PF198:PK198))</f>
        <v>7</v>
      </c>
      <c r="PG199">
        <f t="shared" si="164"/>
        <v>8</v>
      </c>
      <c r="PH199">
        <f t="shared" si="164"/>
        <v>9</v>
      </c>
      <c r="PI199">
        <f t="shared" si="164"/>
        <v>10</v>
      </c>
      <c r="PJ199">
        <f t="shared" si="165"/>
        <v>11</v>
      </c>
      <c r="PK199">
        <f t="shared" si="165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SUM(IF(ISNUMBER(FIND("TmAi",$BE$1:$AAD$1)),IF(IFERROR(ISODD(SUBSTITUTE($BE200:$AAD200,"A","")),FALSE),IF(ISODD(SUBSTITUTE($BE200:$AAD200,"A","")),1,0),0)))</f>
        <v>2</v>
      </c>
      <c r="AA200" t="str">
        <f>CONCATENATE($Y200*2-1,"A")</f>
        <v>9A</v>
      </c>
      <c r="AB200" t="str">
        <f>CONCATENATE($Y200*2-1,"B")</f>
        <v>9B</v>
      </c>
      <c r="AP200" t="s">
        <v>137</v>
      </c>
      <c r="AR200" t="s">
        <v>1219</v>
      </c>
      <c r="AS200" t="s">
        <v>396</v>
      </c>
      <c r="OE200" s="27" t="str">
        <f>CONCATENATE("XT",$U200)</f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>CONCATENATE(REPLACE($AA200,LEN($AA200),1,"")+1,RIGHT($AA200))</f>
        <v>10A</v>
      </c>
      <c r="OK200" t="str">
        <f>CONCATENATE(REPLACE($AB200,LEN($AB200),1,"")+1,RIGHT($AB200))</f>
        <v>10B</v>
      </c>
      <c r="OL200" t="str">
        <f>CONCATENATE(REPLACE(OJ200,LEN(OJ200),1,"")+1,RIGHT(OJ200))</f>
        <v>11A</v>
      </c>
      <c r="OM200" t="str">
        <f t="shared" si="162"/>
        <v>11B</v>
      </c>
      <c r="ON200" t="str">
        <f t="shared" si="162"/>
        <v>12A</v>
      </c>
      <c r="OO200" t="str">
        <f t="shared" si="162"/>
        <v>12B</v>
      </c>
      <c r="OP200" t="str">
        <f t="shared" si="162"/>
        <v>13A</v>
      </c>
      <c r="OQ200" t="str">
        <f t="shared" si="162"/>
        <v>13B</v>
      </c>
      <c r="OR200" t="str">
        <f t="shared" si="162"/>
        <v>14A</v>
      </c>
      <c r="OS200" t="str">
        <f t="shared" si="162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163"/>
        <v>F0-AI38-10A</v>
      </c>
      <c r="OW200" t="str">
        <f t="shared" si="163"/>
        <v>F0-AI38-10B</v>
      </c>
      <c r="OX200" t="str">
        <f t="shared" si="163"/>
        <v>F0-AI38-11A</v>
      </c>
      <c r="OY200" t="str">
        <f t="shared" si="163"/>
        <v>F0-AI38-11B</v>
      </c>
      <c r="OZ200" t="str">
        <f t="shared" si="163"/>
        <v>F0-AI38-12A</v>
      </c>
      <c r="PA200" t="str">
        <f t="shared" si="163"/>
        <v>F0-AI38-12B</v>
      </c>
      <c r="PB200" t="str">
        <f t="shared" si="163"/>
        <v>F0-AI38-13A</v>
      </c>
      <c r="PC200" t="str">
        <f t="shared" si="163"/>
        <v>F0-AI38-13B</v>
      </c>
      <c r="PD200" t="str">
        <f t="shared" si="163"/>
        <v>F0-AI38-14A</v>
      </c>
      <c r="PE200" t="str">
        <f t="shared" si="163"/>
        <v>F0-AI38-14B</v>
      </c>
      <c r="PF200">
        <f t="array" ref="PF200">IF(COUNTIFS($U$2:$U200,$U200)=1,1,INDEX(PF:PF,_xlfn.XMATCH($U200,$U$1:$U199,0,-1))+COUNT(PF199:PK199))</f>
        <v>13</v>
      </c>
      <c r="PG200">
        <f t="shared" si="164"/>
        <v>14</v>
      </c>
      <c r="PH200">
        <f t="shared" si="164"/>
        <v>15</v>
      </c>
      <c r="PI200">
        <f t="shared" si="164"/>
        <v>16</v>
      </c>
      <c r="PJ200">
        <f t="shared" si="165"/>
        <v>17</v>
      </c>
      <c r="PK200">
        <f t="shared" si="165"/>
        <v>18</v>
      </c>
      <c r="PL200">
        <f t="shared" si="165"/>
        <v>19</v>
      </c>
      <c r="PM200">
        <f t="shared" si="165"/>
        <v>20</v>
      </c>
      <c r="PN200">
        <f t="shared" si="165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SUM(IF(ISNUMBER(FIND("TmAi",$BE$1:$AAD$1)),IF(IFERROR(ISODD(SUBSTITUTE($BE201:$AAD201,"A","")),FALSE),IF(ISODD(SUBSTITUTE($BE201:$AAD201,"A","")),1,0),0)))</f>
        <v>0</v>
      </c>
      <c r="AA201" t="str">
        <f>CONCATENATE($Y201*2-1,"B")</f>
        <v>1B</v>
      </c>
      <c r="AB201" t="str">
        <f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SUM(IF(ISNUMBER(FIND("TmAi",$BE$1:$AAD$1)),IF(IFERROR(ISODD(SUBSTITUTE($BE202:$AAD202,"A","")),FALSE),IF(ISODD(SUBSTITUTE($BE202:$AAD202,"A","")),1,0),0)))</f>
        <v>11</v>
      </c>
      <c r="AA202" t="str">
        <f>CONCATENATE($Y202*2-1,"A")</f>
        <v>3A</v>
      </c>
      <c r="AB202" t="str">
        <f>CONCATENATE($Y202*2-1,"B")</f>
        <v>3B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>CONCATENATE(VALUE(SUBSTITUTE(QA202,"B",""))+2,"B")</f>
        <v>9B</v>
      </c>
      <c r="QD202" s="12" t="str">
        <f>CONCATENATE(VALUE(SUBSTITUTE(QB202,"A",""))+2,"A")</f>
        <v>9A</v>
      </c>
      <c r="QE202" s="12" t="str">
        <f>CONCATENATE(VALUE(SUBSTITUTE(QC202,"B",""))+2,"B")</f>
        <v>11B</v>
      </c>
      <c r="QF202" s="12" t="str">
        <f>CONCATENATE(VALUE(SUBSTITUTE(QD202,"A",""))+2,"A")</f>
        <v>11A</v>
      </c>
      <c r="QG202" s="12" t="str">
        <f>CONCATENATE(VALUE(SUBSTITUTE(QE202,"B",""))+2,"B")</f>
        <v>13B</v>
      </c>
      <c r="QH202" s="12" t="str">
        <f>CONCATENATE(VALUE(SUBSTITUTE(QF202,"A",""))+2,"A")</f>
        <v>13A</v>
      </c>
      <c r="QI202" s="12" t="s">
        <v>135</v>
      </c>
      <c r="QJ202" s="12" t="s">
        <v>136</v>
      </c>
      <c r="QK202" s="12" t="str">
        <f>CONCATENATE(VALUE(SUBSTITUTE(QI202,"B",""))+2,"B")</f>
        <v>3B</v>
      </c>
      <c r="QL202" s="12" t="str">
        <f>CONCATENATE(VALUE(SUBSTITUTE(QJ202,"A",""))+2,"A")</f>
        <v>3A</v>
      </c>
      <c r="QM202" s="12" t="str">
        <f>CONCATENATE(VALUE(SUBSTITUTE(QK202,"B",""))+2,"B")</f>
        <v>5B</v>
      </c>
      <c r="QN202" s="12" t="str">
        <f>CONCATENATE(VALUE(SUBSTITUTE(QL202,"A",""))+2,"A")</f>
        <v>5A</v>
      </c>
      <c r="QO202" s="12" t="str">
        <f>CONCATENATE(VALUE(SUBSTITUTE(QM202,"B",""))+2,"B")</f>
        <v>7B</v>
      </c>
      <c r="QP202" s="12" t="str">
        <f>CONCATENATE(VALUE(SUBSTITUTE(QN202,"A",""))+2,"A")</f>
        <v>7A</v>
      </c>
      <c r="QQ202" s="12" t="str">
        <f>CONCATENATE(VALUE(SUBSTITUTE(QO202,"B",""))+2,"B")</f>
        <v>9B</v>
      </c>
      <c r="QR202" s="12" t="str">
        <f>CONCATENATE(VALUE(SUBSTITUTE(QP202,"A",""))+2,"A")</f>
        <v>9A</v>
      </c>
      <c r="QS202" s="12" t="str">
        <f>CONCATENATE(VALUE(SUBSTITUTE(QQ202,"B",""))+2,"B")</f>
        <v>11B</v>
      </c>
      <c r="QT202" s="12" t="str">
        <f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166">CONCATENATE($T202,"-AI",REPLACE($X202,1,3,""),"-",QA202)</f>
        <v>F0-AI24-7B</v>
      </c>
      <c r="QZ202" s="12" t="str">
        <f t="shared" si="166"/>
        <v>F0-AI24-7A</v>
      </c>
      <c r="RA202" s="12" t="str">
        <f t="shared" si="166"/>
        <v>F0-AI24-9B</v>
      </c>
      <c r="RB202" s="12" t="str">
        <f t="shared" si="166"/>
        <v>F0-AI24-9A</v>
      </c>
      <c r="RC202" s="12" t="str">
        <f t="shared" si="166"/>
        <v>F0-AI24-11B</v>
      </c>
      <c r="RD202" s="12" t="str">
        <f t="shared" si="166"/>
        <v>F0-AI24-11A</v>
      </c>
      <c r="RE202" s="12" t="str">
        <f t="shared" si="166"/>
        <v>F0-AI24-13B</v>
      </c>
      <c r="RF202" s="12" t="str">
        <f t="shared" si="166"/>
        <v>F0-AI24-13A</v>
      </c>
      <c r="RG202" s="12" t="str">
        <f t="shared" ref="RG202:RR202" si="167">CONCATENATE($T202,"-AI",REPLACE($PX202,1,3,""),"-",QI202)</f>
        <v>F0-AI25-1B</v>
      </c>
      <c r="RH202" s="12" t="str">
        <f t="shared" si="167"/>
        <v>F0-AI25-1A</v>
      </c>
      <c r="RI202" s="12" t="str">
        <f t="shared" si="167"/>
        <v>F0-AI25-3B</v>
      </c>
      <c r="RJ202" s="12" t="str">
        <f t="shared" si="167"/>
        <v>F0-AI25-3A</v>
      </c>
      <c r="RK202" s="12" t="str">
        <f t="shared" si="167"/>
        <v>F0-AI25-5B</v>
      </c>
      <c r="RL202" s="12" t="str">
        <f t="shared" si="167"/>
        <v>F0-AI25-5A</v>
      </c>
      <c r="RM202" s="12" t="str">
        <f t="shared" si="167"/>
        <v>F0-AI25-7B</v>
      </c>
      <c r="RN202" s="12" t="str">
        <f t="shared" si="167"/>
        <v>F0-AI25-7A</v>
      </c>
      <c r="RO202" s="12" t="str">
        <f t="shared" si="167"/>
        <v>F0-AI25-9B</v>
      </c>
      <c r="RP202" s="12" t="str">
        <f t="shared" si="167"/>
        <v>F0-AI25-9A</v>
      </c>
      <c r="RQ202" s="12" t="str">
        <f t="shared" si="167"/>
        <v>F0-AI25-11B</v>
      </c>
      <c r="RR202" s="12" t="str">
        <f t="shared" si="167"/>
        <v>F0-AI25-11A</v>
      </c>
      <c r="RS202" s="12" t="str">
        <f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1976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SUM(IF(ISNUMBER(FIND("TmAi",$BE$1:$AAD$1)),IF(IFERROR(ISODD(SUBSTITUTE($BE203:$AAD203,"A","")),FALSE),IF(ISODD(SUBSTITUTE($BE203:$AAD203,"A","")),1,0),0)))</f>
        <v>1</v>
      </c>
      <c r="AA203" t="str">
        <f>CONCATENATE($Y203*2-1,"A")</f>
        <v>1A</v>
      </c>
      <c r="AB203" t="str">
        <f>CONCATENATE($Y203*2-1,"B")</f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>CONCATENATE(REPLACE(OK203,LEN(OK203),1,"")+1,RIGHT(OK203))</f>
        <v>3B</v>
      </c>
      <c r="ON203" s="12" t="str">
        <f>CONCATENATE(REPLACE(OL203,LEN(OL203),1,"")+1,RIGHT(OL203))</f>
        <v>4A</v>
      </c>
      <c r="OO203" s="12" t="str">
        <f>CONCATENATE(REPLACE(OM203,LEN(OM203),1,"")+1,RIGHT(OM203))</f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168">CONCATENATE($T203,"-AI",REPLACE($X203,1,3,""),"-",OJ203)</f>
        <v>F0-AI39-2A</v>
      </c>
      <c r="OW203" s="12" t="str">
        <f t="shared" si="168"/>
        <v>F0-AI39-2B</v>
      </c>
      <c r="OX203" s="12" t="str">
        <f t="shared" si="168"/>
        <v>F0-AI39-3A</v>
      </c>
      <c r="OY203" s="12" t="str">
        <f t="shared" si="168"/>
        <v>F0-AI39-3B</v>
      </c>
      <c r="OZ203" s="12" t="str">
        <f t="shared" si="168"/>
        <v>F0-AI39-4A</v>
      </c>
      <c r="PA203" s="12" t="str">
        <f t="shared" si="168"/>
        <v>F0-AI39-4B</v>
      </c>
      <c r="PB203" s="12"/>
      <c r="PC203" s="12"/>
      <c r="PD203" s="12"/>
      <c r="PE203" s="12"/>
      <c r="PF203" s="12">
        <f t="array" ref="PF203">IF(COUNTIFS($U$2:$U203,$U203)=1,1,INDEX(PF:PF,_xlfn.XMATCH($U203,$U$1:EF202,0,-1))+COUNT(PF202:PK202))</f>
        <v>1</v>
      </c>
      <c r="PG203" s="12">
        <f>PF203+1</f>
        <v>2</v>
      </c>
      <c r="PH203" s="12">
        <f>PG203+1</f>
        <v>3</v>
      </c>
      <c r="PI203" s="12">
        <f>PH203+1</f>
        <v>4</v>
      </c>
      <c r="PJ203" s="12">
        <f>PI203+1</f>
        <v>5</v>
      </c>
      <c r="PK203" s="12">
        <f>PJ203+1</f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SUM(IF(ISNUMBER(FIND("TmAi",$BE$1:$AAD$1)),IF(IFERROR(ISODD(SUBSTITUTE($BE204:$AAD204,"A","")),FALSE),IF(ISODD(SUBSTITUTE($BE204:$AAD204,"A","")),1,0),0)))</f>
        <v>0</v>
      </c>
      <c r="AA204" t="str">
        <f>CONCATENATE($Y204*2-1,"B")</f>
        <v>1B</v>
      </c>
      <c r="AB204" t="str">
        <f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1976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SUM(IF(ISNUMBER(FIND("TmAi",$BE$1:$AAD$1)),IF(IFERROR(ISODD(SUBSTITUTE($BE205:$AAD205,"A","")),FALSE),IF(ISODD(SUBSTITUTE($BE205:$AAD205,"A","")),1,0),0)))</f>
        <v>1</v>
      </c>
      <c r="AA205" t="str">
        <f>CONCATENATE($Y205*2-1,"A")</f>
        <v>5A</v>
      </c>
      <c r="AB205" t="str">
        <f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>CONCATENATE(REPLACE(OK205,LEN(OK205),1,"")+1,RIGHT(OK205))</f>
        <v>7B</v>
      </c>
      <c r="ON205" s="12" t="str">
        <f>CONCATENATE(REPLACE(OL205,LEN(OL205),1,"")+1,RIGHT(OL205))</f>
        <v>8A</v>
      </c>
      <c r="OO205" s="12" t="str">
        <f>CONCATENATE(REPLACE(OM205,LEN(OM205),1,"")+1,RIGHT(OM205))</f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169">CONCATENATE($T205,"-AI",REPLACE($X205,1,3,""),"-",OJ205)</f>
        <v>F0-AI39-6A</v>
      </c>
      <c r="OW205" s="12" t="str">
        <f t="shared" si="169"/>
        <v>F0-AI39-6B</v>
      </c>
      <c r="OX205" s="12" t="str">
        <f t="shared" si="169"/>
        <v>F0-AI39-7A</v>
      </c>
      <c r="OY205" s="12" t="str">
        <f t="shared" si="169"/>
        <v>F0-AI39-7B</v>
      </c>
      <c r="OZ205" s="12" t="str">
        <f t="shared" si="169"/>
        <v>F0-AI39-8A</v>
      </c>
      <c r="PA205" s="12" t="str">
        <f t="shared" si="169"/>
        <v>F0-AI39-8B</v>
      </c>
      <c r="PB205" s="12"/>
      <c r="PC205" s="12"/>
      <c r="PD205" s="12"/>
      <c r="PE205" s="12"/>
      <c r="PF205" s="12">
        <f t="array" ref="PF205">IF(COUNTIFS($U$2:$U205,$U205)=1,1,INDEX(PF:PF,_xlfn.XMATCH($U205,$U$1:EF204,0,-1))+COUNT(PF204:PK204))</f>
        <v>1</v>
      </c>
      <c r="PG205" s="12">
        <f>PF205+1</f>
        <v>2</v>
      </c>
      <c r="PH205" s="12">
        <f>PG205+1</f>
        <v>3</v>
      </c>
      <c r="PI205" s="12">
        <f>PH205+1</f>
        <v>4</v>
      </c>
      <c r="PJ205" s="12">
        <f>PI205+1</f>
        <v>5</v>
      </c>
      <c r="PK205" s="12">
        <f>PJ205+1</f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SUM(IF(ISNUMBER(FIND("TmAi",$BE$1:$AAD$1)),IF(IFERROR(ISODD(SUBSTITUTE($BE206:$AAD206,"A","")),FALSE),IF(ISODD(SUBSTITUTE($BE206:$AAD206,"A","")),1,0),0)))</f>
        <v>0</v>
      </c>
      <c r="AA206" t="str">
        <f>CONCATENATE($Y206*2-1,"B")</f>
        <v>3B</v>
      </c>
      <c r="AB206" t="str">
        <f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1977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SUM(IF(ISNUMBER(FIND("TmAi",$BE$1:$AAD$1)),IF(IFERROR(ISODD(SUBSTITUTE($BE207:$AAD207,"A","")),FALSE),IF(ISODD(SUBSTITUTE($BE207:$AAD207,"A","")),1,0),0)))</f>
        <v>1</v>
      </c>
      <c r="AA207" t="str">
        <f>CONCATENATE($Y207*2-1,"A")</f>
        <v>1A</v>
      </c>
      <c r="AB207" t="str">
        <f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>CONCATENATE(REPLACE(OK207,LEN(OK207),1,"")+1,RIGHT(OK207))</f>
        <v>3B</v>
      </c>
      <c r="ON207" s="12" t="str">
        <f>CONCATENATE(REPLACE(OL207,LEN(OL207),1,"")+1,RIGHT(OL207))</f>
        <v>4A</v>
      </c>
      <c r="OO207" s="12" t="str">
        <f>CONCATENATE(REPLACE(OM207,LEN(OM207),1,"")+1,RIGHT(OM207))</f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170">CONCATENATE($T207,"-AI",REPLACE($X207,1,3,""),"-",OJ207)</f>
        <v>F0-AI40-2A</v>
      </c>
      <c r="OW207" s="12" t="str">
        <f t="shared" si="170"/>
        <v>F0-AI40-2B</v>
      </c>
      <c r="OX207" s="12" t="str">
        <f t="shared" si="170"/>
        <v>F0-AI40-3A</v>
      </c>
      <c r="OY207" s="12" t="str">
        <f t="shared" si="170"/>
        <v>F0-AI40-3B</v>
      </c>
      <c r="OZ207" s="12" t="str">
        <f t="shared" si="170"/>
        <v>F0-AI40-4A</v>
      </c>
      <c r="PA207" s="12" t="str">
        <f t="shared" si="170"/>
        <v>F0-AI40-4B</v>
      </c>
      <c r="PB207" s="12"/>
      <c r="PC207" s="12"/>
      <c r="PD207" s="12"/>
      <c r="PE207" s="12"/>
      <c r="PF207" s="12">
        <f t="array" ref="PF207">IF(COUNTIFS($U$2:$U207,$U207)=1,1,INDEX(PF:PF,_xlfn.XMATCH($U207,$U$1:EF206,0,-1))+COUNT(PF206:PK206))</f>
        <v>1</v>
      </c>
      <c r="PG207" s="12">
        <f>PF207+1</f>
        <v>2</v>
      </c>
      <c r="PH207" s="12">
        <f>PG207+1</f>
        <v>3</v>
      </c>
      <c r="PI207" s="12">
        <f>PH207+1</f>
        <v>4</v>
      </c>
      <c r="PJ207" s="12">
        <f>PI207+1</f>
        <v>5</v>
      </c>
      <c r="PK207" s="12">
        <f>PJ207+1</f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SUM(IF(ISNUMBER(FIND("TmAi",$BE$1:$AAD$1)),IF(IFERROR(ISODD(SUBSTITUTE($BE208:$AAD208,"A","")),FALSE),IF(ISODD(SUBSTITUTE($BE208:$AAD208,"A","")),1,0),0)))</f>
        <v>0</v>
      </c>
      <c r="AA208" t="str">
        <f>CONCATENATE($Y208*2-1,"B")</f>
        <v>5B</v>
      </c>
      <c r="AB208" t="str">
        <f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1977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SUM(IF(ISNUMBER(FIND("TmAi",$BE$1:$AAD$1)),IF(IFERROR(ISODD(SUBSTITUTE($BE209:$AAD209,"A","")),FALSE),IF(ISODD(SUBSTITUTE($BE209:$AAD209,"A","")),1,0),0)))</f>
        <v>1</v>
      </c>
      <c r="AA209" t="str">
        <f>CONCATENATE($Y209*2-1,"A")</f>
        <v>5A</v>
      </c>
      <c r="AB209" t="str">
        <f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>CONCATENATE(REPLACE(OK209,LEN(OK209),1,"")+1,RIGHT(OK209))</f>
        <v>7B</v>
      </c>
      <c r="ON209" s="12" t="str">
        <f>CONCATENATE(REPLACE(OL209,LEN(OL209),1,"")+1,RIGHT(OL209))</f>
        <v>8A</v>
      </c>
      <c r="OO209" s="12" t="str">
        <f>CONCATENATE(REPLACE(OM209,LEN(OM209),1,"")+1,RIGHT(OM209))</f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171">CONCATENATE($T209,"-AI",REPLACE($X209,1,3,""),"-",OJ209)</f>
        <v>F0-AI40-6A</v>
      </c>
      <c r="OW209" s="12" t="str">
        <f t="shared" si="171"/>
        <v>F0-AI40-6B</v>
      </c>
      <c r="OX209" s="12" t="str">
        <f t="shared" si="171"/>
        <v>F0-AI40-7A</v>
      </c>
      <c r="OY209" s="12" t="str">
        <f t="shared" si="171"/>
        <v>F0-AI40-7B</v>
      </c>
      <c r="OZ209" s="12" t="str">
        <f t="shared" si="171"/>
        <v>F0-AI40-8A</v>
      </c>
      <c r="PA209" s="12" t="str">
        <f t="shared" si="171"/>
        <v>F0-AI40-8B</v>
      </c>
      <c r="PB209" s="12"/>
      <c r="PC209" s="12"/>
      <c r="PD209" s="12"/>
      <c r="PE209" s="12"/>
      <c r="PF209" s="12">
        <f t="array" ref="PF209">IF(COUNTIFS($U$2:$U209,$U209)=1,1,INDEX(PF:PF,_xlfn.XMATCH($U209,$U$1:EF208,0,-1))+COUNT(PF208:PK208))</f>
        <v>1</v>
      </c>
      <c r="PG209" s="12">
        <f>PF209+1</f>
        <v>2</v>
      </c>
      <c r="PH209" s="12">
        <f>PG209+1</f>
        <v>3</v>
      </c>
      <c r="PI209" s="12">
        <f>PH209+1</f>
        <v>4</v>
      </c>
      <c r="PJ209" s="12">
        <f>PI209+1</f>
        <v>5</v>
      </c>
      <c r="PK209" s="12">
        <f>PJ209+1</f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SUM(IF(ISNUMBER(FIND("TmAi",$BE$1:$AAD$1)),IF(IFERROR(ISODD(SUBSTITUTE($BE210:$AAD210,"A","")),FALSE),IF(ISODD(SUBSTITUTE($BE210:$AAD210,"A","")),1,0),0)))</f>
        <v>0</v>
      </c>
      <c r="AA210" t="str">
        <f>CONCATENATE($Y210*2-1,"B")</f>
        <v>7B</v>
      </c>
      <c r="AB210" t="str">
        <f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1977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SUM(IF(ISNUMBER(FIND("TmAi",$BE$1:$AAD$1)),IF(IFERROR(ISODD(SUBSTITUTE($BE211:$AAD211,"A","")),FALSE),IF(ISODD(SUBSTITUTE($BE211:$AAD211,"A","")),1,0),0)))</f>
        <v>1</v>
      </c>
      <c r="AA211" t="str">
        <f>CONCATENATE($Y211*2-1,"A")</f>
        <v>9A</v>
      </c>
      <c r="AB211" t="str">
        <f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>CONCATENATE(REPLACE(OK211,LEN(OK211),1,"")+1,RIGHT(OK211))</f>
        <v>11B</v>
      </c>
      <c r="ON211" s="12" t="str">
        <f>CONCATENATE(REPLACE(OL211,LEN(OL211),1,"")+1,RIGHT(OL211))</f>
        <v>12A</v>
      </c>
      <c r="OO211" s="12" t="str">
        <f>CONCATENATE(REPLACE(OM211,LEN(OM211),1,"")+1,RIGHT(OM211))</f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172">CONCATENATE($T211,"-AI",REPLACE($X211,1,3,""),"-",OJ211)</f>
        <v>F0-AI40-10A</v>
      </c>
      <c r="OW211" s="12" t="str">
        <f t="shared" si="172"/>
        <v>F0-AI40-10B</v>
      </c>
      <c r="OX211" s="12" t="str">
        <f t="shared" si="172"/>
        <v>F0-AI40-11A</v>
      </c>
      <c r="OY211" s="12" t="str">
        <f t="shared" si="172"/>
        <v>F0-AI40-11B</v>
      </c>
      <c r="OZ211" s="12" t="str">
        <f t="shared" si="172"/>
        <v>F0-AI40-12A</v>
      </c>
      <c r="PA211" s="12" t="str">
        <f t="shared" si="172"/>
        <v>F0-AI40-12B</v>
      </c>
      <c r="PB211" s="12"/>
      <c r="PC211" s="12"/>
      <c r="PD211" s="12"/>
      <c r="PE211" s="12"/>
      <c r="PF211" s="12">
        <f t="array" ref="PF211">IF(COUNTIFS($U$2:$U211,$U211)=1,1,INDEX(PF:PF,_xlfn.XMATCH($U211,$U$1:EF210,0,-1))+COUNT(PF210:PK210))</f>
        <v>1</v>
      </c>
      <c r="PG211" s="12">
        <f>PF211+1</f>
        <v>2</v>
      </c>
      <c r="PH211" s="12">
        <f>PG211+1</f>
        <v>3</v>
      </c>
      <c r="PI211" s="12">
        <f>PH211+1</f>
        <v>4</v>
      </c>
      <c r="PJ211" s="12">
        <f>PI211+1</f>
        <v>5</v>
      </c>
      <c r="PK211" s="12">
        <f>PJ211+1</f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SUM(IF(ISNUMBER(FIND("TmAi",$BE$1:$AAD$1)),IF(IFERROR(ISODD(SUBSTITUTE($BE212:$AAD212,"A","")),FALSE),IF(ISODD(SUBSTITUTE($BE212:$AAD212,"A","")),1,0),0)))</f>
        <v>0</v>
      </c>
      <c r="AA212" t="str">
        <f>CONCATENATE($Y212*2-1,"B")</f>
        <v>9B</v>
      </c>
      <c r="AB212" t="str">
        <f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1978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SUM(IF(ISNUMBER(FIND("TmAi",$BE$1:$AAD$1)),IF(IFERROR(ISODD(SUBSTITUTE($BE213:$AAD213,"A","")),FALSE),IF(ISODD(SUBSTITUTE($BE213:$AAD213,"A","")),1,0),0)))</f>
        <v>1</v>
      </c>
      <c r="AA213" t="str">
        <f>CONCATENATE($Y213*2-1,"A")</f>
        <v>1A</v>
      </c>
      <c r="AB213" t="str">
        <f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>CONCATENATE(REPLACE(OK213,LEN(OK213),1,"")+1,RIGHT(OK213))</f>
        <v>3B</v>
      </c>
      <c r="ON213" s="12" t="str">
        <f>CONCATENATE(REPLACE(OL213,LEN(OL213),1,"")+1,RIGHT(OL213))</f>
        <v>4A</v>
      </c>
      <c r="OO213" s="12" t="str">
        <f>CONCATENATE(REPLACE(OM213,LEN(OM213),1,"")+1,RIGHT(OM213))</f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173">CONCATENATE($T213,"-AI",REPLACE($X213,1,3,""),"-",OJ213)</f>
        <v>F0-AI41-2A</v>
      </c>
      <c r="OW213" s="12" t="str">
        <f t="shared" si="173"/>
        <v>F0-AI41-2B</v>
      </c>
      <c r="OX213" s="12" t="str">
        <f t="shared" si="173"/>
        <v>F0-AI41-3A</v>
      </c>
      <c r="OY213" s="12" t="str">
        <f t="shared" si="173"/>
        <v>F0-AI41-3B</v>
      </c>
      <c r="OZ213" s="12" t="str">
        <f t="shared" si="173"/>
        <v>F0-AI41-4A</v>
      </c>
      <c r="PA213" s="12" t="str">
        <f t="shared" si="173"/>
        <v>F0-AI41-4B</v>
      </c>
      <c r="PB213" s="12"/>
      <c r="PC213" s="12"/>
      <c r="PD213" s="12"/>
      <c r="PE213" s="12"/>
      <c r="PF213" s="12">
        <f t="array" ref="PF213">IF(COUNTIFS($U$2:$U213,$U213)=1,1,INDEX(PF:PF,_xlfn.XMATCH($U213,$U$1:EF212,0,-1))+COUNT(PF212:PK212))</f>
        <v>1</v>
      </c>
      <c r="PG213" s="12">
        <f>PF213+1</f>
        <v>2</v>
      </c>
      <c r="PH213" s="12">
        <f>PG213+1</f>
        <v>3</v>
      </c>
      <c r="PI213" s="12">
        <f>PH213+1</f>
        <v>4</v>
      </c>
      <c r="PJ213" s="12">
        <f>PI213+1</f>
        <v>5</v>
      </c>
      <c r="PK213" s="12">
        <f>PJ213+1</f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SUM(IF(ISNUMBER(FIND("TmAi",$BE$1:$AAD$1)),IF(IFERROR(ISODD(SUBSTITUTE($BE214:$AAD214,"A","")),FALSE),IF(ISODD(SUBSTITUTE($BE214:$AAD214,"A","")),1,0),0)))</f>
        <v>0</v>
      </c>
      <c r="AA214" t="str">
        <f>CONCATENATE($Y214*2-1,"B")</f>
        <v>11B</v>
      </c>
      <c r="AB214" t="str">
        <f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1978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SUM(IF(ISNUMBER(FIND("TmAi",$BE$1:$AAD$1)),IF(IFERROR(ISODD(SUBSTITUTE($BE215:$AAD215,"A","")),FALSE),IF(ISODD(SUBSTITUTE($BE215:$AAD215,"A","")),1,0),0)))</f>
        <v>1</v>
      </c>
      <c r="AA215" t="str">
        <f>CONCATENATE($Y215*2-1,"A")</f>
        <v>5A</v>
      </c>
      <c r="AB215" t="str">
        <f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>CONCATENATE(REPLACE(OK215,LEN(OK215),1,"")+1,RIGHT(OK215))</f>
        <v>7B</v>
      </c>
      <c r="ON215" s="12" t="str">
        <f>CONCATENATE(REPLACE(OL215,LEN(OL215),1,"")+1,RIGHT(OL215))</f>
        <v>8A</v>
      </c>
      <c r="OO215" s="12" t="str">
        <f>CONCATENATE(REPLACE(OM215,LEN(OM215),1,"")+1,RIGHT(OM215))</f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174">CONCATENATE($T215,"-AI",REPLACE($X215,1,3,""),"-",OJ215)</f>
        <v>F0-AI41-6A</v>
      </c>
      <c r="OW215" s="12" t="str">
        <f t="shared" si="174"/>
        <v>F0-AI41-6B</v>
      </c>
      <c r="OX215" s="12" t="str">
        <f t="shared" si="174"/>
        <v>F0-AI41-7A</v>
      </c>
      <c r="OY215" s="12" t="str">
        <f t="shared" si="174"/>
        <v>F0-AI41-7B</v>
      </c>
      <c r="OZ215" s="12" t="str">
        <f t="shared" si="174"/>
        <v>F0-AI41-8A</v>
      </c>
      <c r="PA215" s="12" t="str">
        <f t="shared" si="174"/>
        <v>F0-AI41-8B</v>
      </c>
      <c r="PB215" s="12"/>
      <c r="PC215" s="12"/>
      <c r="PD215" s="12"/>
      <c r="PE215" s="12"/>
      <c r="PF215" s="12">
        <f t="array" ref="PF215">IF(COUNTIFS($U$2:$U215,$U215)=1,1,INDEX(PF:PF,_xlfn.XMATCH($U215,$U$1:EF214,0,-1))+COUNT(PF214:PK214))</f>
        <v>1</v>
      </c>
      <c r="PG215" s="12">
        <f>PF215+1</f>
        <v>2</v>
      </c>
      <c r="PH215" s="12">
        <f>PG215+1</f>
        <v>3</v>
      </c>
      <c r="PI215" s="12">
        <f>PH215+1</f>
        <v>4</v>
      </c>
      <c r="PJ215" s="12">
        <f>PI215+1</f>
        <v>5</v>
      </c>
      <c r="PK215" s="12">
        <f>PJ215+1</f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SUM(IF(ISNUMBER(FIND("TmAi",$BE$1:$AAD$1)),IF(IFERROR(ISODD(SUBSTITUTE($BE216:$AAD216,"A","")),FALSE),IF(ISODD(SUBSTITUTE($BE216:$AAD216,"A","")),1,0),0)))</f>
        <v>0</v>
      </c>
      <c r="AA216" t="str">
        <f>CONCATENATE($Y216*2-1,"B")</f>
        <v>13B</v>
      </c>
      <c r="AB216" t="str">
        <f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175">CONCATENATE("XT",U216)</f>
        <v>XT69</v>
      </c>
      <c r="KC216" t="str">
        <f t="shared" ref="KC216:KC224" si="176">CONCATENATE(T216,"-AI",REPLACE($X216,1,3,""),"-",AA216)</f>
        <v>F0-AI25-13B</v>
      </c>
      <c r="KD216" t="str">
        <f t="shared" ref="KD216:KD224" si="177">CONCATENATE(T216,"-AI",REPLACE($X216,1,3,""),"-",AB216)</f>
        <v>F0-AI25-14B</v>
      </c>
      <c r="KI216">
        <v>7</v>
      </c>
      <c r="KJ216">
        <f t="shared" ref="KJ216:KL224" si="178">KI216+1</f>
        <v>8</v>
      </c>
      <c r="KK216">
        <f t="shared" si="178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SUM(IF(ISNUMBER(FIND("TmAi",$BE$1:$AAD$1)),IF(IFERROR(ISODD(SUBSTITUTE($BE217:$AAD217,"A","")),FALSE),IF(ISODD(SUBSTITUTE($BE217:$AAD217,"A","")),1,0),0)))</f>
        <v>0</v>
      </c>
      <c r="AA217" t="str">
        <f>CONCATENATE($Y217*2-1,"B")</f>
        <v>1B</v>
      </c>
      <c r="AB217" t="str">
        <f>CONCATENATE($Y217*2,"B")</f>
        <v>2B</v>
      </c>
      <c r="AP217" t="s">
        <v>137</v>
      </c>
      <c r="AQ217" t="s">
        <v>1307</v>
      </c>
      <c r="AS217" t="s">
        <v>396</v>
      </c>
      <c r="JZ217" s="27" t="str">
        <f t="shared" si="175"/>
        <v>XT70</v>
      </c>
      <c r="KC217" t="str">
        <f t="shared" si="176"/>
        <v>F0-AI26-1B</v>
      </c>
      <c r="KD217" t="str">
        <f t="shared" si="177"/>
        <v>F0-AI26-2B</v>
      </c>
      <c r="KI217">
        <v>1</v>
      </c>
      <c r="KJ217">
        <f t="shared" si="178"/>
        <v>2</v>
      </c>
      <c r="KK217">
        <f t="shared" si="178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SUM(IF(ISNUMBER(FIND("TmAi",$BE$1:$AAD$1)),IF(IFERROR(ISODD(SUBSTITUTE($BE218:$AAD218,"A","")),FALSE),IF(ISODD(SUBSTITUTE($BE218:$AAD218,"A","")),1,0),0)))</f>
        <v>0</v>
      </c>
      <c r="AA218" t="str">
        <f>CONCATENATE($Y218*2-1,"B")</f>
        <v>3B</v>
      </c>
      <c r="AB218" t="str">
        <f>CONCATENATE($Y218*2,"B")</f>
        <v>4B</v>
      </c>
      <c r="AP218" t="s">
        <v>137</v>
      </c>
      <c r="AQ218" t="s">
        <v>1307</v>
      </c>
      <c r="AS218" t="s">
        <v>396</v>
      </c>
      <c r="JZ218" s="27" t="str">
        <f t="shared" si="175"/>
        <v>XT70</v>
      </c>
      <c r="KC218" t="str">
        <f t="shared" si="176"/>
        <v>F0-AI26-3B</v>
      </c>
      <c r="KD218" t="str">
        <f t="shared" si="177"/>
        <v>F0-AI26-4B</v>
      </c>
      <c r="KI218">
        <f t="array" ref="KI218">IF(COUNTIFS($U$2:$U218,$U218)=1,1,INDEX(KI:KI,_xlfn.XMATCH(U218,U$1:U217,0,-1))+COUNT(KI217:KM217))</f>
        <v>4</v>
      </c>
      <c r="KJ218">
        <f t="shared" si="178"/>
        <v>5</v>
      </c>
      <c r="KK218">
        <f t="shared" si="178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SUM(IF(ISNUMBER(FIND("TmAi",$BE$1:$AAD$1)),IF(IFERROR(ISODD(SUBSTITUTE($BE219:$AAD219,"A","")),FALSE),IF(ISODD(SUBSTITUTE($BE219:$AAD219,"A","")),1,0),0)))</f>
        <v>0</v>
      </c>
      <c r="AA219" t="str">
        <f>CONCATENATE($Y219*2-1,"B")</f>
        <v>5B</v>
      </c>
      <c r="AB219" t="str">
        <f>CONCATENATE($Y219*2,"B")</f>
        <v>6B</v>
      </c>
      <c r="AP219" t="s">
        <v>137</v>
      </c>
      <c r="AQ219" t="s">
        <v>1302</v>
      </c>
      <c r="AS219" t="s">
        <v>396</v>
      </c>
      <c r="JZ219" s="27" t="str">
        <f t="shared" si="175"/>
        <v>XT70</v>
      </c>
      <c r="KC219" t="str">
        <f t="shared" si="176"/>
        <v>F0-AI26-5B</v>
      </c>
      <c r="KD219" t="str">
        <f t="shared" si="177"/>
        <v>F0-AI26-6B</v>
      </c>
      <c r="KI219">
        <f t="array" ref="KI219">IF(COUNTIFS($U$2:$U219,$U219)=1,1,INDEX(KI:KI,_xlfn.XMATCH(U219,U$1:U218,0,-1))+COUNT(KI218:KM218))</f>
        <v>7</v>
      </c>
      <c r="KJ219">
        <f t="shared" si="178"/>
        <v>8</v>
      </c>
      <c r="KK219">
        <f t="shared" si="178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SUM(IF(ISNUMBER(FIND("TmAi",$BE$1:$AAD$1)),IF(IFERROR(ISODD(SUBSTITUTE($BE220:$AAD220,"A","")),FALSE),IF(ISODD(SUBSTITUTE($BE220:$AAD220,"A","")),1,0),0)))</f>
        <v>0</v>
      </c>
      <c r="AA220" t="str">
        <f>CONCATENATE($Y220*2-1,"B")</f>
        <v>7B</v>
      </c>
      <c r="AB220" t="str">
        <f>CONCATENATE($Y220*2,"B")</f>
        <v>8B</v>
      </c>
      <c r="AP220" t="s">
        <v>137</v>
      </c>
      <c r="AQ220" t="s">
        <v>1302</v>
      </c>
      <c r="AS220" t="s">
        <v>396</v>
      </c>
      <c r="JZ220" s="27" t="str">
        <f t="shared" si="175"/>
        <v>XT70</v>
      </c>
      <c r="KC220" t="str">
        <f t="shared" si="176"/>
        <v>F0-AI26-7B</v>
      </c>
      <c r="KD220" t="str">
        <f t="shared" si="177"/>
        <v>F0-AI26-8B</v>
      </c>
      <c r="KI220">
        <f t="array" ref="KI220">IF(COUNTIFS($U$2:$U220,$U220)=1,1,INDEX(KI:KI,_xlfn.XMATCH(U220,U$1:U219,0,-1))+COUNT(KI219:KM219))</f>
        <v>10</v>
      </c>
      <c r="KJ220">
        <f t="shared" si="178"/>
        <v>11</v>
      </c>
      <c r="KK220">
        <f t="shared" si="178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1979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175"/>
        <v>XT71</v>
      </c>
      <c r="KA221" t="str">
        <f>REPLACE(AA221,1,1,LEFT(AA221,1)+1)</f>
        <v>2A</v>
      </c>
      <c r="KC221" t="str">
        <f t="shared" si="176"/>
        <v>F0-AI42-1A</v>
      </c>
      <c r="KD221" t="str">
        <f t="shared" si="177"/>
        <v>F0-AI42-1B</v>
      </c>
      <c r="KE221" t="str">
        <f>CONCATENATE($T221,"-AI",REPLACE($X221,1,3,""),"-",KA221)</f>
        <v>F0-AI42-2A</v>
      </c>
      <c r="KF221" t="str">
        <f>CONCATENATE($T221,"-AI",REPLACE($X221,1,3,""),"-",KB221)</f>
        <v>F0-AI42-</v>
      </c>
      <c r="KI221">
        <f t="array" ref="KI221">IF(COUNTIFS($U$2:$U221,$U221)=1,1,INDEX(KI:KI,_xlfn.XMATCH(U221,U$1:U220,0,-1))+COUNT(KI220:KM220))</f>
        <v>1</v>
      </c>
      <c r="KJ221">
        <f t="shared" si="178"/>
        <v>2</v>
      </c>
      <c r="KK221">
        <f t="shared" si="178"/>
        <v>3</v>
      </c>
      <c r="KL221">
        <f t="shared" si="178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175"/>
        <v>XT71</v>
      </c>
      <c r="KA222" t="str">
        <f>REPLACE(AA222,1,1,LEFT(AA222,1)+1)</f>
        <v>4A</v>
      </c>
      <c r="KC222" t="str">
        <f t="shared" si="176"/>
        <v>F0-AI42-3A</v>
      </c>
      <c r="KD222" t="str">
        <f t="shared" si="177"/>
        <v>F0-AI42-3B</v>
      </c>
      <c r="KE222" t="str">
        <f>CONCATENATE($T222,"-AI",REPLACE($X222,1,3,""),"-",KA222)</f>
        <v>F0-AI42-4A</v>
      </c>
      <c r="KF222" t="str">
        <f>CONCATENATE($T222,"-AI",REPLACE($X222,1,3,""),"-",KB222)</f>
        <v>F0-AI42-</v>
      </c>
      <c r="KI222">
        <f t="array" ref="KI222">IF(COUNTIFS($U$2:$U222,$U222)=1,1,INDEX(KI:KI,_xlfn.XMATCH(U222,U$1:U221,0,-1))+COUNT(KI221:KM221))</f>
        <v>5</v>
      </c>
      <c r="KJ222">
        <f t="shared" si="178"/>
        <v>6</v>
      </c>
      <c r="KK222">
        <f t="shared" si="178"/>
        <v>7</v>
      </c>
      <c r="KL222">
        <f t="shared" si="178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SUM(IF(ISNUMBER(FIND("TmAi",$BE$1:$AAD$1)),IF(IFERROR(ISODD(SUBSTITUTE($BE223:$AAD223,"A","")),FALSE),IF(ISODD(SUBSTITUTE($BE223:$AAD223,"A","")),1,0),0)))</f>
        <v>0</v>
      </c>
      <c r="AA223" t="str">
        <f>CONCATENATE($Y223*2-1,"B")</f>
        <v>1B</v>
      </c>
      <c r="AB223" t="str">
        <f>CONCATENATE($Y223*2,"B")</f>
        <v>2B</v>
      </c>
      <c r="AP223" t="s">
        <v>137</v>
      </c>
      <c r="AS223" t="s">
        <v>396</v>
      </c>
      <c r="JZ223" s="27" t="str">
        <f t="shared" si="175"/>
        <v>XT71</v>
      </c>
      <c r="KC223" t="str">
        <f t="shared" si="176"/>
        <v>F0-AI27-1B</v>
      </c>
      <c r="KD223" t="str">
        <f t="shared" si="177"/>
        <v>F0-AI27-2B</v>
      </c>
      <c r="KI223">
        <f t="array" ref="KI223">IF(COUNTIFS($U$2:$U223,$U223)=1,1,INDEX(KI:KI,_xlfn.XMATCH(U223,U$1:U222,0,-1))+COUNT(KI222:KM222))</f>
        <v>9</v>
      </c>
      <c r="KJ223">
        <f t="shared" si="178"/>
        <v>10</v>
      </c>
      <c r="KK223">
        <f t="shared" si="178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SUM(IF(ISNUMBER(FIND("TmAi",$BE$1:$AAD$1)),IF(IFERROR(ISODD(SUBSTITUTE($BE224:$AAD224,"A","")),FALSE),IF(ISODD(SUBSTITUTE($BE224:$AAD224,"A","")),1,0),0)))</f>
        <v>0</v>
      </c>
      <c r="AA224" t="str">
        <f>CONCATENATE($Y224*2-1,"B")</f>
        <v>3B</v>
      </c>
      <c r="AB224" t="str">
        <f>CONCATENATE($Y224*2,"B")</f>
        <v>4B</v>
      </c>
      <c r="AP224" t="s">
        <v>137</v>
      </c>
      <c r="AS224" t="s">
        <v>396</v>
      </c>
      <c r="JZ224" s="27" t="str">
        <f t="shared" si="175"/>
        <v>XT71</v>
      </c>
      <c r="KC224" t="str">
        <f t="shared" si="176"/>
        <v>F0-AI27-3B</v>
      </c>
      <c r="KD224" t="str">
        <f t="shared" si="177"/>
        <v>F0-AI27-4B</v>
      </c>
      <c r="KI224">
        <f t="array" ref="KI224">IF(COUNTIFS($U$2:$U224,$U224)=1,1,INDEX(KI:KI,_xlfn.XMATCH(U224,U$1:U223,0,-1))+COUNT(KI223:KM223))</f>
        <v>12</v>
      </c>
      <c r="KJ224">
        <f t="shared" si="178"/>
        <v>13</v>
      </c>
      <c r="KK224">
        <f t="shared" si="178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 t="shared" ref="EY225:EZ229" si="179">CONCATENATE("DI",REPLACE($AC225,1,3,""),"-",AF225)</f>
        <v>DI13-C1</v>
      </c>
      <c r="EZ225" s="12" t="str">
        <f t="shared" si="179"/>
        <v>DI13-B1</v>
      </c>
      <c r="FA225" s="12" t="str">
        <f t="shared" ref="FA225:FD227" si="180">CONCATENATE("DI",REPLACE($AC225,1,3,""),"-",ES225)</f>
        <v>DI13-C2</v>
      </c>
      <c r="FB225" s="12" t="str">
        <f t="shared" si="180"/>
        <v>DI13-B2</v>
      </c>
      <c r="FC225" s="12" t="str">
        <f t="shared" si="180"/>
        <v>DI13-C3</v>
      </c>
      <c r="FD225" s="12" t="str">
        <f t="shared" si="180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 t="shared" ref="FG225:FH227" si="181">CONCATENATE("DO",REPLACE($AH225,1,3,""),"-",EW225)</f>
        <v>DO7-2B</v>
      </c>
      <c r="FH225" s="12" t="str">
        <f t="shared" si="181"/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CONCATENATE(REPLACE(AK226,LEN(AK226),1,"")+1,"B")</f>
        <v>4B</v>
      </c>
      <c r="EX226" t="str">
        <f>CONCATENATE(REPLACE(AL226,LEN(AL226),1,"")+1,"A")</f>
        <v>4A</v>
      </c>
      <c r="EY226" t="str">
        <f t="shared" si="179"/>
        <v>DI13-C4</v>
      </c>
      <c r="EZ226" t="str">
        <f t="shared" si="179"/>
        <v>DI13-B4</v>
      </c>
      <c r="FA226" t="str">
        <f t="shared" si="180"/>
        <v>DI13-C5</v>
      </c>
      <c r="FB226" t="str">
        <f t="shared" si="180"/>
        <v>DI13-B5</v>
      </c>
      <c r="FC226" t="str">
        <f t="shared" si="180"/>
        <v>DI13-C6</v>
      </c>
      <c r="FD226" t="str">
        <f t="shared" si="180"/>
        <v>DI13-B6</v>
      </c>
      <c r="FE226" t="str">
        <f t="shared" ref="FE226:FF229" si="182">CONCATENATE("DO",REPLACE($AH226,1,3,""),"-",AK226)</f>
        <v>DO7-3B</v>
      </c>
      <c r="FF226" t="str">
        <f t="shared" si="182"/>
        <v>DO7-3A</v>
      </c>
      <c r="FG226" t="str">
        <f t="shared" si="181"/>
        <v>DO7-4B</v>
      </c>
      <c r="FH226" t="str">
        <f t="shared" si="181"/>
        <v>DO7-4A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CONCATENATE(REPLACE(AK227,LEN(AK227),1,"")+1,"B")</f>
        <v>6B</v>
      </c>
      <c r="EX227" t="str">
        <f>CONCATENATE(REPLACE(AL227,LEN(AL227),1,"")+1,"A")</f>
        <v>6A</v>
      </c>
      <c r="EY227" t="str">
        <f t="shared" si="179"/>
        <v>DI13-C7</v>
      </c>
      <c r="EZ227" t="str">
        <f t="shared" si="179"/>
        <v>DI13-B7</v>
      </c>
      <c r="FA227" t="str">
        <f t="shared" si="180"/>
        <v>DI13-C8</v>
      </c>
      <c r="FB227" t="str">
        <f t="shared" si="180"/>
        <v>DI13-B8</v>
      </c>
      <c r="FC227" t="str">
        <f t="shared" si="180"/>
        <v>DI13-C9</v>
      </c>
      <c r="FD227" t="str">
        <f t="shared" si="180"/>
        <v>DI13-B9</v>
      </c>
      <c r="FE227" t="str">
        <f t="shared" si="182"/>
        <v>DO7-5B</v>
      </c>
      <c r="FF227" t="str">
        <f t="shared" si="182"/>
        <v>DO7-5A</v>
      </c>
      <c r="FG227" t="str">
        <f t="shared" si="181"/>
        <v>DO7-6B</v>
      </c>
      <c r="FH227" t="str">
        <f t="shared" si="181"/>
        <v>DO7-6A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179"/>
        <v>DI13-C10</v>
      </c>
      <c r="EZ228" t="str">
        <f t="shared" si="179"/>
        <v>DI13-B10</v>
      </c>
      <c r="FE228" t="str">
        <f t="shared" si="182"/>
        <v>DO7-7B</v>
      </c>
      <c r="FF228" t="str">
        <f t="shared" si="182"/>
        <v>DO7-7A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179"/>
        <v>DI13-C11</v>
      </c>
      <c r="EZ229" t="str">
        <f t="shared" si="179"/>
        <v>DI13-B11</v>
      </c>
      <c r="FE229" t="str">
        <f t="shared" si="182"/>
        <v>DO7-8B</v>
      </c>
      <c r="FF229" t="str">
        <f t="shared" si="182"/>
        <v>DO7-8A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183">CONCATENATE($Y233*2-1,"B")</f>
        <v>1B</v>
      </c>
      <c r="AB233" t="str">
        <f t="shared" ref="AB233:AB266" si="184">CONCATENATE($Y233*2,"B")</f>
        <v>2B</v>
      </c>
      <c r="AP233" t="s">
        <v>137</v>
      </c>
      <c r="AS233" t="s">
        <v>396</v>
      </c>
      <c r="JZ233" s="27" t="str">
        <f t="shared" ref="JZ233:JZ266" si="185">CONCATENATE("XT",U233)</f>
        <v>XT78</v>
      </c>
      <c r="KC233" t="str">
        <f t="shared" ref="KC233:KC266" si="186">CONCATENATE(T233,"-AI",REPLACE($X233,1,3,""),"-",AA233)</f>
        <v>F0-AI28-1B</v>
      </c>
      <c r="KD233" t="str">
        <f t="shared" ref="KD233:KD266" si="187">CONCATENATE(T233,"-AI",REPLACE($X233,1,3,""),"-",AB233)</f>
        <v>F0-AI28-2B</v>
      </c>
      <c r="KI233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SUM(IF(ISNUMBER(FIND("TmAi",$BE$1:$AAD$1)),IF(IFERROR(ISODD(SUBSTITUTE($BE234:$AAD234,"A","")),FALSE),IF(ISODD(SUBSTITUTE($BE234:$AAD234,"A","")),1,0),0)))</f>
        <v>0</v>
      </c>
      <c r="AA234" t="str">
        <f t="shared" si="183"/>
        <v>3B</v>
      </c>
      <c r="AB234" t="str">
        <f t="shared" si="184"/>
        <v>4B</v>
      </c>
      <c r="AP234" t="s">
        <v>137</v>
      </c>
      <c r="AS234" t="s">
        <v>396</v>
      </c>
      <c r="JZ234" s="27" t="str">
        <f t="shared" si="185"/>
        <v>XT78</v>
      </c>
      <c r="KC234" t="str">
        <f t="shared" si="186"/>
        <v>F0-AI28-3B</v>
      </c>
      <c r="KD234" t="str">
        <f t="shared" si="187"/>
        <v>F0-AI28-4B</v>
      </c>
      <c r="KI234">
        <f t="array" ref="KI234">IF(COUNTIFS($U$2:$U234,$U234)=1,1,INDEX(KI:KI,_xlfn.XMATCH(U234,U$1:U233,0,-1))+COUNT(KI233:KM233))</f>
        <v>4</v>
      </c>
      <c r="KJ234">
        <f t="shared" ref="KJ234:KK249" si="188">KI234+1</f>
        <v>5</v>
      </c>
      <c r="KK234">
        <f t="shared" si="188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SUM(IF(ISNUMBER(FIND("TmAi",$BE$1:$AAD$1)),IF(IFERROR(ISODD(SUBSTITUTE($BE235:$AAD235,"A","")),FALSE),IF(ISODD(SUBSTITUTE($BE235:$AAD235,"A","")),1,0),0)))</f>
        <v>0</v>
      </c>
      <c r="AA235" t="str">
        <f t="shared" si="183"/>
        <v>1B</v>
      </c>
      <c r="AB235" t="str">
        <f t="shared" si="184"/>
        <v>2B</v>
      </c>
      <c r="AP235" t="s">
        <v>137</v>
      </c>
      <c r="AS235" t="s">
        <v>396</v>
      </c>
      <c r="JZ235" s="27" t="str">
        <f t="shared" si="185"/>
        <v>XT79</v>
      </c>
      <c r="KC235" t="str">
        <f t="shared" si="186"/>
        <v>F0-AI29-1B</v>
      </c>
      <c r="KD235" t="str">
        <f t="shared" si="187"/>
        <v>F0-AI29-2B</v>
      </c>
      <c r="KI235">
        <f t="array" ref="KI235">IF(COUNTIFS($U$2:$U235,$U235)=1,1,INDEX(KI:KI,_xlfn.XMATCH(U235,U$1:U234,0,-1))+COUNT(KI234:KM234))</f>
        <v>1</v>
      </c>
      <c r="KJ235">
        <f t="shared" si="188"/>
        <v>2</v>
      </c>
      <c r="KK235">
        <f t="shared" si="188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SUM(IF(ISNUMBER(FIND("TmAi",$BE$1:$AAD$1)),IF(IFERROR(ISODD(SUBSTITUTE($BE236:$AAD236,"A","")),FALSE),IF(ISODD(SUBSTITUTE($BE236:$AAD236,"A","")),1,0),0)))</f>
        <v>0</v>
      </c>
      <c r="AA236" t="str">
        <f t="shared" si="183"/>
        <v>3B</v>
      </c>
      <c r="AB236" t="str">
        <f t="shared" si="184"/>
        <v>4B</v>
      </c>
      <c r="AP236" t="s">
        <v>137</v>
      </c>
      <c r="AS236" t="s">
        <v>396</v>
      </c>
      <c r="JZ236" s="27" t="str">
        <f t="shared" si="185"/>
        <v>XT79</v>
      </c>
      <c r="KC236" t="str">
        <f t="shared" si="186"/>
        <v>F0-AI29-3B</v>
      </c>
      <c r="KD236" t="str">
        <f t="shared" si="187"/>
        <v>F0-AI29-4B</v>
      </c>
      <c r="KI236">
        <f t="array" ref="KI236">IF(COUNTIFS($U$2:$U236,$U236)=1,1,INDEX(KI:KI,_xlfn.XMATCH(U236,U$1:U235,0,-1))+COUNT(KI235:KM235))</f>
        <v>4</v>
      </c>
      <c r="KJ236">
        <f t="shared" si="188"/>
        <v>5</v>
      </c>
      <c r="KK236">
        <f t="shared" si="188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SUM(IF(ISNUMBER(FIND("TmAi",$BE$1:$AAD$1)),IF(IFERROR(ISODD(SUBSTITUTE($BE237:$AAD237,"A","")),FALSE),IF(ISODD(SUBSTITUTE($BE237:$AAD237,"A","")),1,0),0)))</f>
        <v>0</v>
      </c>
      <c r="AA237" t="str">
        <f t="shared" si="183"/>
        <v>5B</v>
      </c>
      <c r="AB237" t="str">
        <f t="shared" si="184"/>
        <v>6B</v>
      </c>
      <c r="AP237" t="s">
        <v>137</v>
      </c>
      <c r="AS237" t="s">
        <v>396</v>
      </c>
      <c r="JZ237" s="27" t="str">
        <f t="shared" si="185"/>
        <v>XT79</v>
      </c>
      <c r="KC237" t="str">
        <f t="shared" si="186"/>
        <v>F0-AI29-5B</v>
      </c>
      <c r="KD237" t="str">
        <f t="shared" si="187"/>
        <v>F0-AI29-6B</v>
      </c>
      <c r="KI237">
        <f t="array" ref="KI237">IF(COUNTIFS($U$2:$U237,$U237)=1,1,INDEX(KI:KI,_xlfn.XMATCH(U237,U$1:U236,0,-1))+COUNT(KI236:KM236))</f>
        <v>7</v>
      </c>
      <c r="KJ237">
        <f t="shared" si="188"/>
        <v>8</v>
      </c>
      <c r="KK237">
        <f t="shared" si="188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SUM(IF(ISNUMBER(FIND("TmAi",$BE$1:$AAD$1)),IF(IFERROR(ISODD(SUBSTITUTE($BE238:$AAD238,"A","")),FALSE),IF(ISODD(SUBSTITUTE($BE238:$AAD238,"A","")),1,0),0)))</f>
        <v>0</v>
      </c>
      <c r="AA238" t="str">
        <f t="shared" si="183"/>
        <v>7B</v>
      </c>
      <c r="AB238" t="str">
        <f t="shared" si="184"/>
        <v>8B</v>
      </c>
      <c r="AP238" t="s">
        <v>137</v>
      </c>
      <c r="AS238" t="s">
        <v>396</v>
      </c>
      <c r="JZ238" s="27" t="str">
        <f t="shared" si="185"/>
        <v>XT79</v>
      </c>
      <c r="KC238" t="str">
        <f t="shared" si="186"/>
        <v>F0-AI29-7B</v>
      </c>
      <c r="KD238" t="str">
        <f t="shared" si="187"/>
        <v>F0-AI29-8B</v>
      </c>
      <c r="KI238">
        <f t="array" ref="KI238">IF(COUNTIFS($U$2:$U238,$U238)=1,1,INDEX(KI:KI,_xlfn.XMATCH(U238,U$1:U237,0,-1))+COUNT(KI237:KM237))</f>
        <v>10</v>
      </c>
      <c r="KJ238">
        <f t="shared" si="188"/>
        <v>11</v>
      </c>
      <c r="KK238">
        <f t="shared" si="188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SUM(IF(ISNUMBER(FIND("TmAi",$BE$1:$AAD$1)),IF(IFERROR(ISODD(SUBSTITUTE($BE239:$AAD239,"A","")),FALSE),IF(ISODD(SUBSTITUTE($BE239:$AAD239,"A","")),1,0),0)))</f>
        <v>0</v>
      </c>
      <c r="AA239" t="str">
        <f t="shared" si="183"/>
        <v>9B</v>
      </c>
      <c r="AB239" t="str">
        <f t="shared" si="184"/>
        <v>10B</v>
      </c>
      <c r="AP239" t="s">
        <v>137</v>
      </c>
      <c r="AS239" t="s">
        <v>396</v>
      </c>
      <c r="JZ239" s="27" t="str">
        <f t="shared" si="185"/>
        <v>XT80</v>
      </c>
      <c r="KC239" t="str">
        <f t="shared" si="186"/>
        <v>F0-AI29-9B</v>
      </c>
      <c r="KD239" t="str">
        <f t="shared" si="187"/>
        <v>F0-AI29-10B</v>
      </c>
      <c r="KI239">
        <f t="array" ref="KI239">IF(COUNTIFS($U$2:$U239,$U239)=1,1,INDEX(KI:KI,_xlfn.XMATCH(U239,U$1:U238,0,-1))+COUNT(KI238:KM238))</f>
        <v>1</v>
      </c>
      <c r="KJ239">
        <f t="shared" si="188"/>
        <v>2</v>
      </c>
      <c r="KK239">
        <f t="shared" si="188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SUM(IF(ISNUMBER(FIND("TmAi",$BE$1:$AAD$1)),IF(IFERROR(ISODD(SUBSTITUTE($BE240:$AAD240,"A","")),FALSE),IF(ISODD(SUBSTITUTE($BE240:$AAD240,"A","")),1,0),0)))</f>
        <v>0</v>
      </c>
      <c r="AA240" t="str">
        <f t="shared" si="183"/>
        <v>11B</v>
      </c>
      <c r="AB240" t="str">
        <f t="shared" si="184"/>
        <v>12B</v>
      </c>
      <c r="AP240" t="s">
        <v>137</v>
      </c>
      <c r="AS240" t="s">
        <v>396</v>
      </c>
      <c r="JZ240" s="27" t="str">
        <f t="shared" si="185"/>
        <v>XT80</v>
      </c>
      <c r="KC240" t="str">
        <f t="shared" si="186"/>
        <v>F0-AI29-11B</v>
      </c>
      <c r="KD240" t="str">
        <f t="shared" si="187"/>
        <v>F0-AI29-12B</v>
      </c>
      <c r="KI240">
        <f t="array" ref="KI240">IF(COUNTIFS($U$2:$U240,$U240)=1,1,INDEX(KI:KI,_xlfn.XMATCH(U240,U$1:U239,0,-1))+COUNT(KI239:KM239))</f>
        <v>4</v>
      </c>
      <c r="KJ240">
        <f t="shared" si="188"/>
        <v>5</v>
      </c>
      <c r="KK240">
        <f t="shared" si="188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SUM(IF(ISNUMBER(FIND("TmAi",$BE$1:$AAD$1)),IF(IFERROR(ISODD(SUBSTITUTE($BE241:$AAD241,"A","")),FALSE),IF(ISODD(SUBSTITUTE($BE241:$AAD241,"A","")),1,0),0)))</f>
        <v>0</v>
      </c>
      <c r="AA241" t="str">
        <f t="shared" si="183"/>
        <v>13B</v>
      </c>
      <c r="AB241" t="str">
        <f t="shared" si="184"/>
        <v>14B</v>
      </c>
      <c r="AP241" t="s">
        <v>137</v>
      </c>
      <c r="AS241" t="s">
        <v>396</v>
      </c>
      <c r="JZ241" s="27" t="str">
        <f t="shared" si="185"/>
        <v>XT80</v>
      </c>
      <c r="KC241" t="str">
        <f t="shared" si="186"/>
        <v>F0-AI29-13B</v>
      </c>
      <c r="KD241" t="str">
        <f t="shared" si="187"/>
        <v>F0-AI29-14B</v>
      </c>
      <c r="KI241">
        <f t="array" ref="KI241">IF(COUNTIFS($U$2:$U241,$U241)=1,1,INDEX(KI:KI,_xlfn.XMATCH(U241,U$1:U240,0,-1))+COUNT(KI240:KM240))</f>
        <v>7</v>
      </c>
      <c r="KJ241">
        <f t="shared" si="188"/>
        <v>8</v>
      </c>
      <c r="KK241">
        <f t="shared" si="188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SUM(IF(ISNUMBER(FIND("TmAi",$BE$1:$AAD$1)),IF(IFERROR(ISODD(SUBSTITUTE($BE242:$AAD242,"A","")),FALSE),IF(ISODD(SUBSTITUTE($BE242:$AAD242,"A","")),1,0),0)))</f>
        <v>0</v>
      </c>
      <c r="AA242" t="str">
        <f t="shared" si="183"/>
        <v>15B</v>
      </c>
      <c r="AB242" t="str">
        <f t="shared" si="184"/>
        <v>16B</v>
      </c>
      <c r="AP242" t="s">
        <v>137</v>
      </c>
      <c r="AS242" t="s">
        <v>396</v>
      </c>
      <c r="JZ242" s="27" t="str">
        <f t="shared" si="185"/>
        <v>XT80</v>
      </c>
      <c r="KC242" t="str">
        <f t="shared" si="186"/>
        <v>F0-AI29-15B</v>
      </c>
      <c r="KD242" t="str">
        <f t="shared" si="187"/>
        <v>F0-AI29-16B</v>
      </c>
      <c r="KI242">
        <f t="array" ref="KI242">IF(COUNTIFS($U$2:$U242,$U242)=1,1,INDEX(KI:KI,_xlfn.XMATCH(U242,U$1:U241,0,-1))+COUNT(KI241:KM241))</f>
        <v>10</v>
      </c>
      <c r="KJ242">
        <f t="shared" si="188"/>
        <v>11</v>
      </c>
      <c r="KK242">
        <f t="shared" si="188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SUM(IF(ISNUMBER(FIND("TmAi",$BE$1:$AAD$1)),IF(IFERROR(ISODD(SUBSTITUTE($BE243:$AAD243,"A","")),FALSE),IF(ISODD(SUBSTITUTE($BE243:$AAD243,"A","")),1,0),0)))</f>
        <v>0</v>
      </c>
      <c r="AA243" t="str">
        <f t="shared" si="183"/>
        <v>1B</v>
      </c>
      <c r="AB243" t="str">
        <f t="shared" si="184"/>
        <v>2B</v>
      </c>
      <c r="AP243" t="s">
        <v>137</v>
      </c>
      <c r="AS243" t="s">
        <v>396</v>
      </c>
      <c r="JZ243" s="27" t="str">
        <f t="shared" si="185"/>
        <v>XT81</v>
      </c>
      <c r="KC243" t="str">
        <f t="shared" si="186"/>
        <v>F0-AI30-1B</v>
      </c>
      <c r="KD243" t="str">
        <f t="shared" si="187"/>
        <v>F0-AI30-2B</v>
      </c>
      <c r="KI243">
        <f t="array" ref="KI243">IF(COUNTIFS($U$2:$U243,$U243)=1,1,INDEX(KI:KI,_xlfn.XMATCH(U243,U$1:U242,0,-1))+COUNT(KI242:KM242))</f>
        <v>1</v>
      </c>
      <c r="KJ243">
        <f t="shared" si="188"/>
        <v>2</v>
      </c>
      <c r="KK243">
        <f t="shared" si="188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SUM(IF(ISNUMBER(FIND("TmAi",$BE$1:$AAD$1)),IF(IFERROR(ISODD(SUBSTITUTE($BE244:$AAD244,"A","")),FALSE),IF(ISODD(SUBSTITUTE($BE244:$AAD244,"A","")),1,0),0)))</f>
        <v>0</v>
      </c>
      <c r="AA244" t="str">
        <f t="shared" si="183"/>
        <v>3B</v>
      </c>
      <c r="AB244" t="str">
        <f t="shared" si="184"/>
        <v>4B</v>
      </c>
      <c r="AP244" t="s">
        <v>137</v>
      </c>
      <c r="AS244" t="s">
        <v>396</v>
      </c>
      <c r="JZ244" s="27" t="str">
        <f t="shared" si="185"/>
        <v>XT81</v>
      </c>
      <c r="KC244" t="str">
        <f t="shared" si="186"/>
        <v>F0-AI30-3B</v>
      </c>
      <c r="KD244" t="str">
        <f t="shared" si="187"/>
        <v>F0-AI30-4B</v>
      </c>
      <c r="KI244">
        <f t="array" ref="KI244">IF(COUNTIFS($U$2:$U244,$U244)=1,1,INDEX(KI:KI,_xlfn.XMATCH(U244,U$1:U243,0,-1))+COUNT(KI243:KM243))</f>
        <v>4</v>
      </c>
      <c r="KJ244">
        <f t="shared" si="188"/>
        <v>5</v>
      </c>
      <c r="KK244">
        <f t="shared" si="188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SUM(IF(ISNUMBER(FIND("TmAi",$BE$1:$AAD$1)),IF(IFERROR(ISODD(SUBSTITUTE($BE245:$AAD245,"A","")),FALSE),IF(ISODD(SUBSTITUTE($BE245:$AAD245,"A","")),1,0),0)))</f>
        <v>0</v>
      </c>
      <c r="AA245" t="str">
        <f t="shared" si="183"/>
        <v>5B</v>
      </c>
      <c r="AB245" t="str">
        <f t="shared" si="184"/>
        <v>6B</v>
      </c>
      <c r="AP245" t="s">
        <v>137</v>
      </c>
      <c r="AS245" t="s">
        <v>396</v>
      </c>
      <c r="JZ245" s="27" t="str">
        <f t="shared" si="185"/>
        <v>XT81</v>
      </c>
      <c r="KC245" t="str">
        <f t="shared" si="186"/>
        <v>F0-AI30-5B</v>
      </c>
      <c r="KD245" t="str">
        <f t="shared" si="187"/>
        <v>F0-AI30-6B</v>
      </c>
      <c r="KI245">
        <f t="array" ref="KI245">IF(COUNTIFS($U$2:$U245,$U245)=1,1,INDEX(KI:KI,_xlfn.XMATCH(U245,U$1:U244,0,-1))+COUNT(KI244:KM244))</f>
        <v>7</v>
      </c>
      <c r="KJ245">
        <f t="shared" si="188"/>
        <v>8</v>
      </c>
      <c r="KK245">
        <f t="shared" si="188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SUM(IF(ISNUMBER(FIND("TmAi",$BE$1:$AAD$1)),IF(IFERROR(ISODD(SUBSTITUTE($BE246:$AAD246,"A","")),FALSE),IF(ISODD(SUBSTITUTE($BE246:$AAD246,"A","")),1,0),0)))</f>
        <v>0</v>
      </c>
      <c r="AA246" t="str">
        <f t="shared" si="183"/>
        <v>7B</v>
      </c>
      <c r="AB246" t="str">
        <f t="shared" si="184"/>
        <v>8B</v>
      </c>
      <c r="AP246" t="s">
        <v>137</v>
      </c>
      <c r="AS246" t="s">
        <v>396</v>
      </c>
      <c r="JZ246" s="27" t="str">
        <f t="shared" si="185"/>
        <v>XT81</v>
      </c>
      <c r="KC246" t="str">
        <f t="shared" si="186"/>
        <v>F0-AI30-7B</v>
      </c>
      <c r="KD246" t="str">
        <f t="shared" si="187"/>
        <v>F0-AI30-8B</v>
      </c>
      <c r="KI246">
        <f t="array" ref="KI246">IF(COUNTIFS($U$2:$U246,$U246)=1,1,INDEX(KI:KI,_xlfn.XMATCH(U246,U$1:U245,0,-1))+COUNT(KI245:KM245))</f>
        <v>10</v>
      </c>
      <c r="KJ246">
        <f t="shared" si="188"/>
        <v>11</v>
      </c>
      <c r="KK246">
        <f t="shared" si="188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SUM(IF(ISNUMBER(FIND("TmAi",$BE$1:$AAD$1)),IF(IFERROR(ISODD(SUBSTITUTE($BE247:$AAD247,"A","")),FALSE),IF(ISODD(SUBSTITUTE($BE247:$AAD247,"A","")),1,0),0)))</f>
        <v>0</v>
      </c>
      <c r="AA247" t="str">
        <f t="shared" si="183"/>
        <v>9B</v>
      </c>
      <c r="AB247" t="str">
        <f t="shared" si="184"/>
        <v>10B</v>
      </c>
      <c r="AP247" t="s">
        <v>137</v>
      </c>
      <c r="AS247" t="s">
        <v>396</v>
      </c>
      <c r="JZ247" s="27" t="str">
        <f t="shared" si="185"/>
        <v>XT82</v>
      </c>
      <c r="KC247" t="str">
        <f t="shared" si="186"/>
        <v>F0-AI30-9B</v>
      </c>
      <c r="KD247" t="str">
        <f t="shared" si="187"/>
        <v>F0-AI30-10B</v>
      </c>
      <c r="KI247">
        <f t="array" ref="KI247">IF(COUNTIFS($U$2:$U247,$U247)=1,1,INDEX(KI:KI,_xlfn.XMATCH(U247,U$1:U246,0,-1))+COUNT(KI246:KM246))</f>
        <v>1</v>
      </c>
      <c r="KJ247">
        <f t="shared" si="188"/>
        <v>2</v>
      </c>
      <c r="KK247">
        <f t="shared" si="188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SUM(IF(ISNUMBER(FIND("TmAi",$BE$1:$AAD$1)),IF(IFERROR(ISODD(SUBSTITUTE($BE248:$AAD248,"A","")),FALSE),IF(ISODD(SUBSTITUTE($BE248:$AAD248,"A","")),1,0),0)))</f>
        <v>0</v>
      </c>
      <c r="AA248" t="str">
        <f t="shared" si="183"/>
        <v>11B</v>
      </c>
      <c r="AB248" t="str">
        <f t="shared" si="184"/>
        <v>12B</v>
      </c>
      <c r="AP248" t="s">
        <v>137</v>
      </c>
      <c r="AS248" t="s">
        <v>396</v>
      </c>
      <c r="JZ248" s="27" t="str">
        <f t="shared" si="185"/>
        <v>XT82</v>
      </c>
      <c r="KC248" t="str">
        <f t="shared" si="186"/>
        <v>F0-AI30-11B</v>
      </c>
      <c r="KD248" t="str">
        <f t="shared" si="187"/>
        <v>F0-AI30-12B</v>
      </c>
      <c r="KI248">
        <f t="array" ref="KI248">IF(COUNTIFS($U$2:$U248,$U248)=1,1,INDEX(KI:KI,_xlfn.XMATCH(U248,U$1:U247,0,-1))+COUNT(KI247:KM247))</f>
        <v>4</v>
      </c>
      <c r="KJ248">
        <f t="shared" si="188"/>
        <v>5</v>
      </c>
      <c r="KK248">
        <f t="shared" si="188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SUM(IF(ISNUMBER(FIND("TmAi",$BE$1:$AAD$1)),IF(IFERROR(ISODD(SUBSTITUTE($BE249:$AAD249,"A","")),FALSE),IF(ISODD(SUBSTITUTE($BE249:$AAD249,"A","")),1,0),0)))</f>
        <v>0</v>
      </c>
      <c r="AA249" t="str">
        <f t="shared" si="183"/>
        <v>13B</v>
      </c>
      <c r="AB249" t="str">
        <f t="shared" si="184"/>
        <v>14B</v>
      </c>
      <c r="AP249" t="s">
        <v>137</v>
      </c>
      <c r="AS249" t="s">
        <v>396</v>
      </c>
      <c r="JZ249" s="27" t="str">
        <f t="shared" si="185"/>
        <v>XT82</v>
      </c>
      <c r="KC249" t="str">
        <f t="shared" si="186"/>
        <v>F0-AI30-13B</v>
      </c>
      <c r="KD249" t="str">
        <f t="shared" si="187"/>
        <v>F0-AI30-14B</v>
      </c>
      <c r="KI249">
        <f t="array" ref="KI249">IF(COUNTIFS($U$2:$U249,$U249)=1,1,INDEX(KI:KI,_xlfn.XMATCH(U249,U$1:U248,0,-1))+COUNT(KI248:KM248))</f>
        <v>7</v>
      </c>
      <c r="KJ249">
        <f t="shared" si="188"/>
        <v>8</v>
      </c>
      <c r="KK249">
        <f t="shared" si="188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SUM(IF(ISNUMBER(FIND("TmAi",$BE$1:$AAD$1)),IF(IFERROR(ISODD(SUBSTITUTE($BE250:$AAD250,"A","")),FALSE),IF(ISODD(SUBSTITUTE($BE250:$AAD250,"A","")),1,0),0)))</f>
        <v>0</v>
      </c>
      <c r="AA250" t="str">
        <f t="shared" si="183"/>
        <v>15B</v>
      </c>
      <c r="AB250" t="str">
        <f t="shared" si="184"/>
        <v>16B</v>
      </c>
      <c r="AP250" t="s">
        <v>137</v>
      </c>
      <c r="AS250" t="s">
        <v>396</v>
      </c>
      <c r="JZ250" s="27" t="str">
        <f t="shared" si="185"/>
        <v>XT82</v>
      </c>
      <c r="KC250" t="str">
        <f t="shared" si="186"/>
        <v>F0-AI30-15B</v>
      </c>
      <c r="KD250" t="str">
        <f t="shared" si="187"/>
        <v>F0-AI30-16B</v>
      </c>
      <c r="KI250">
        <f t="array" ref="KI250">IF(COUNTIFS($U$2:$U250,$U250)=1,1,INDEX(KI:KI,_xlfn.XMATCH(U250,U$1:U249,0,-1))+COUNT(KI249:KM249))</f>
        <v>10</v>
      </c>
      <c r="KJ250">
        <f t="shared" ref="KJ250:KK266" si="189">KI250+1</f>
        <v>11</v>
      </c>
      <c r="KK250">
        <f t="shared" si="189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SUM(IF(ISNUMBER(FIND("TmAi",$BE$1:$AAD$1)),IF(IFERROR(ISODD(SUBSTITUTE($BE251:$AAD251,"A","")),FALSE),IF(ISODD(SUBSTITUTE($BE251:$AAD251,"A","")),1,0),0)))</f>
        <v>0</v>
      </c>
      <c r="AA251" t="str">
        <f t="shared" si="183"/>
        <v>1B</v>
      </c>
      <c r="AB251" t="str">
        <f t="shared" si="184"/>
        <v>2B</v>
      </c>
      <c r="AP251" t="s">
        <v>137</v>
      </c>
      <c r="AS251" t="s">
        <v>396</v>
      </c>
      <c r="JZ251" s="27" t="str">
        <f t="shared" si="185"/>
        <v>XT83</v>
      </c>
      <c r="KC251" t="str">
        <f t="shared" si="186"/>
        <v>F0-AI31-1B</v>
      </c>
      <c r="KD251" t="str">
        <f t="shared" si="187"/>
        <v>F0-AI31-2B</v>
      </c>
      <c r="KI251">
        <f t="array" ref="KI251">IF(COUNTIFS($U$2:$U251,$U251)=1,1,INDEX(KI:KI,_xlfn.XMATCH(U251,U$1:U250,0,-1))+COUNT(KI250:KM250))</f>
        <v>1</v>
      </c>
      <c r="KJ251">
        <f t="shared" si="189"/>
        <v>2</v>
      </c>
      <c r="KK251">
        <f t="shared" si="189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SUM(IF(ISNUMBER(FIND("TmAi",$BE$1:$AAD$1)),IF(IFERROR(ISODD(SUBSTITUTE($BE252:$AAD252,"A","")),FALSE),IF(ISODD(SUBSTITUTE($BE252:$AAD252,"A","")),1,0),0)))</f>
        <v>0</v>
      </c>
      <c r="AA252" t="str">
        <f t="shared" si="183"/>
        <v>3B</v>
      </c>
      <c r="AB252" t="str">
        <f t="shared" si="184"/>
        <v>4B</v>
      </c>
      <c r="AP252" t="s">
        <v>137</v>
      </c>
      <c r="AS252" t="s">
        <v>396</v>
      </c>
      <c r="JZ252" s="27" t="str">
        <f t="shared" si="185"/>
        <v>XT83</v>
      </c>
      <c r="KC252" t="str">
        <f t="shared" si="186"/>
        <v>F0-AI31-3B</v>
      </c>
      <c r="KD252" t="str">
        <f t="shared" si="187"/>
        <v>F0-AI31-4B</v>
      </c>
      <c r="KI252">
        <f t="array" ref="KI252">IF(COUNTIFS($U$2:$U252,$U252)=1,1,INDEX(KI:KI,_xlfn.XMATCH(U252,U$1:U251,0,-1))+COUNT(KI251:KM251))</f>
        <v>4</v>
      </c>
      <c r="KJ252">
        <f t="shared" si="189"/>
        <v>5</v>
      </c>
      <c r="KK252">
        <f t="shared" si="189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SUM(IF(ISNUMBER(FIND("TmAi",$BE$1:$AAD$1)),IF(IFERROR(ISODD(SUBSTITUTE($BE253:$AAD253,"A","")),FALSE),IF(ISODD(SUBSTITUTE($BE253:$AAD253,"A","")),1,0),0)))</f>
        <v>0</v>
      </c>
      <c r="AA253" t="str">
        <f t="shared" si="183"/>
        <v>5B</v>
      </c>
      <c r="AB253" t="str">
        <f t="shared" si="184"/>
        <v>6B</v>
      </c>
      <c r="AP253" t="s">
        <v>137</v>
      </c>
      <c r="AS253" t="s">
        <v>396</v>
      </c>
      <c r="JZ253" s="27" t="str">
        <f t="shared" si="185"/>
        <v>XT83</v>
      </c>
      <c r="KC253" t="str">
        <f t="shared" si="186"/>
        <v>F0-AI31-5B</v>
      </c>
      <c r="KD253" t="str">
        <f t="shared" si="187"/>
        <v>F0-AI31-6B</v>
      </c>
      <c r="KI253">
        <f t="array" ref="KI253">IF(COUNTIFS($U$2:$U253,$U253)=1,1,INDEX(KI:KI,_xlfn.XMATCH(U253,U$1:U252,0,-1))+COUNT(KI252:KM252))</f>
        <v>7</v>
      </c>
      <c r="KJ253">
        <f t="shared" si="189"/>
        <v>8</v>
      </c>
      <c r="KK253">
        <f t="shared" si="189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SUM(IF(ISNUMBER(FIND("TmAi",$BE$1:$AAD$1)),IF(IFERROR(ISODD(SUBSTITUTE($BE254:$AAD254,"A","")),FALSE),IF(ISODD(SUBSTITUTE($BE254:$AAD254,"A","")),1,0),0)))</f>
        <v>0</v>
      </c>
      <c r="AA254" t="str">
        <f t="shared" si="183"/>
        <v>7B</v>
      </c>
      <c r="AB254" t="str">
        <f t="shared" si="184"/>
        <v>8B</v>
      </c>
      <c r="AP254" t="s">
        <v>137</v>
      </c>
      <c r="AS254" t="s">
        <v>396</v>
      </c>
      <c r="JZ254" s="27" t="str">
        <f t="shared" si="185"/>
        <v>XT83</v>
      </c>
      <c r="KC254" t="str">
        <f t="shared" si="186"/>
        <v>F0-AI31-7B</v>
      </c>
      <c r="KD254" t="str">
        <f t="shared" si="187"/>
        <v>F0-AI31-8B</v>
      </c>
      <c r="KI254">
        <f t="array" ref="KI254">IF(COUNTIFS($U$2:$U254,$U254)=1,1,INDEX(KI:KI,_xlfn.XMATCH(U254,U$1:U253,0,-1))+COUNT(KI253:KM253))</f>
        <v>10</v>
      </c>
      <c r="KJ254">
        <f t="shared" si="189"/>
        <v>11</v>
      </c>
      <c r="KK254">
        <f t="shared" si="189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SUM(IF(ISNUMBER(FIND("TmAi",$BE$1:$AAD$1)),IF(IFERROR(ISODD(SUBSTITUTE($BE255:$AAD255,"A","")),FALSE),IF(ISODD(SUBSTITUTE($BE255:$AAD255,"A","")),1,0),0)))</f>
        <v>0</v>
      </c>
      <c r="AA255" t="str">
        <f t="shared" si="183"/>
        <v>9B</v>
      </c>
      <c r="AB255" t="str">
        <f t="shared" si="184"/>
        <v>10B</v>
      </c>
      <c r="AP255" t="s">
        <v>137</v>
      </c>
      <c r="AS255" t="s">
        <v>396</v>
      </c>
      <c r="JZ255" s="27" t="str">
        <f t="shared" si="185"/>
        <v>XT84</v>
      </c>
      <c r="KC255" t="str">
        <f t="shared" si="186"/>
        <v>F0-AI31-9B</v>
      </c>
      <c r="KD255" t="str">
        <f t="shared" si="187"/>
        <v>F0-AI31-10B</v>
      </c>
      <c r="KI255">
        <f t="array" ref="KI255">IF(COUNTIFS($U$2:$U255,$U255)=1,1,INDEX(KI:KI,_xlfn.XMATCH(U255,U$1:U254,0,-1))+COUNT(KI254:KM254))</f>
        <v>1</v>
      </c>
      <c r="KJ255">
        <f t="shared" si="189"/>
        <v>2</v>
      </c>
      <c r="KK255">
        <f t="shared" si="189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SUM(IF(ISNUMBER(FIND("TmAi",$BE$1:$AAD$1)),IF(IFERROR(ISODD(SUBSTITUTE($BE256:$AAD256,"A","")),FALSE),IF(ISODD(SUBSTITUTE($BE256:$AAD256,"A","")),1,0),0)))</f>
        <v>0</v>
      </c>
      <c r="AA256" t="str">
        <f t="shared" si="183"/>
        <v>11B</v>
      </c>
      <c r="AB256" t="str">
        <f t="shared" si="184"/>
        <v>12B</v>
      </c>
      <c r="AP256" t="s">
        <v>137</v>
      </c>
      <c r="AS256" t="s">
        <v>396</v>
      </c>
      <c r="JZ256" s="27" t="str">
        <f t="shared" si="185"/>
        <v>XT84</v>
      </c>
      <c r="KC256" t="str">
        <f t="shared" si="186"/>
        <v>F0-AI31-11B</v>
      </c>
      <c r="KD256" t="str">
        <f t="shared" si="187"/>
        <v>F0-AI31-12B</v>
      </c>
      <c r="KI256">
        <f t="array" ref="KI256">IF(COUNTIFS($U$2:$U256,$U256)=1,1,INDEX(KI:KI,_xlfn.XMATCH(U256,U$1:U255,0,-1))+COUNT(KI255:KM255))</f>
        <v>4</v>
      </c>
      <c r="KJ256">
        <f t="shared" si="189"/>
        <v>5</v>
      </c>
      <c r="KK256">
        <f t="shared" si="189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SUM(IF(ISNUMBER(FIND("TmAi",$BE$1:$AAD$1)),IF(IFERROR(ISODD(SUBSTITUTE($BE257:$AAD257,"A","")),FALSE),IF(ISODD(SUBSTITUTE($BE257:$AAD257,"A","")),1,0),0)))</f>
        <v>0</v>
      </c>
      <c r="AA257" t="str">
        <f t="shared" si="183"/>
        <v>13B</v>
      </c>
      <c r="AB257" t="str">
        <f t="shared" si="184"/>
        <v>14B</v>
      </c>
      <c r="AP257" t="s">
        <v>137</v>
      </c>
      <c r="AS257" t="s">
        <v>396</v>
      </c>
      <c r="JZ257" s="27" t="str">
        <f t="shared" si="185"/>
        <v>XT84</v>
      </c>
      <c r="KC257" t="str">
        <f t="shared" si="186"/>
        <v>F0-AI31-13B</v>
      </c>
      <c r="KD257" t="str">
        <f t="shared" si="187"/>
        <v>F0-AI31-14B</v>
      </c>
      <c r="KI257">
        <f t="array" ref="KI257">IF(COUNTIFS($U$2:$U257,$U257)=1,1,INDEX(KI:KI,_xlfn.XMATCH(U257,U$1:U256,0,-1))+COUNT(KI256:KM256))</f>
        <v>7</v>
      </c>
      <c r="KJ257">
        <f t="shared" si="189"/>
        <v>8</v>
      </c>
      <c r="KK257">
        <f t="shared" si="189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SUM(IF(ISNUMBER(FIND("TmAi",$BE$1:$AAD$1)),IF(IFERROR(ISODD(SUBSTITUTE($BE258:$AAD258,"A","")),FALSE),IF(ISODD(SUBSTITUTE($BE258:$AAD258,"A","")),1,0),0)))</f>
        <v>0</v>
      </c>
      <c r="AA258" t="str">
        <f t="shared" si="183"/>
        <v>15B</v>
      </c>
      <c r="AB258" t="str">
        <f t="shared" si="184"/>
        <v>16B</v>
      </c>
      <c r="AP258" t="s">
        <v>137</v>
      </c>
      <c r="AS258" t="s">
        <v>396</v>
      </c>
      <c r="JZ258" s="27" t="str">
        <f t="shared" si="185"/>
        <v>XT84</v>
      </c>
      <c r="KC258" t="str">
        <f t="shared" si="186"/>
        <v>F0-AI31-15B</v>
      </c>
      <c r="KD258" t="str">
        <f t="shared" si="187"/>
        <v>F0-AI31-16B</v>
      </c>
      <c r="KI258">
        <f t="array" ref="KI258">IF(COUNTIFS($U$2:$U258,$U258)=1,1,INDEX(KI:KI,_xlfn.XMATCH(U258,U$1:U257,0,-1))+COUNT(KI257:KM257))</f>
        <v>10</v>
      </c>
      <c r="KJ258">
        <f t="shared" si="189"/>
        <v>11</v>
      </c>
      <c r="KK258">
        <f t="shared" si="189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SUM(IF(ISNUMBER(FIND("TmAi",$BE$1:$AAD$1)),IF(IFERROR(ISODD(SUBSTITUTE($BE259:$AAD259,"A","")),FALSE),IF(ISODD(SUBSTITUTE($BE259:$AAD259,"A","")),1,0),0)))</f>
        <v>0</v>
      </c>
      <c r="AA259" t="str">
        <f t="shared" si="183"/>
        <v>1B</v>
      </c>
      <c r="AB259" t="str">
        <f t="shared" si="184"/>
        <v>2B</v>
      </c>
      <c r="AP259" t="s">
        <v>137</v>
      </c>
      <c r="AS259" t="s">
        <v>396</v>
      </c>
      <c r="JZ259" s="27" t="str">
        <f t="shared" si="185"/>
        <v>XT85</v>
      </c>
      <c r="KC259" t="str">
        <f t="shared" si="186"/>
        <v>F0-AI32-1B</v>
      </c>
      <c r="KD259" t="str">
        <f t="shared" si="187"/>
        <v>F0-AI32-2B</v>
      </c>
      <c r="KI259">
        <f t="array" ref="KI259">IF(COUNTIFS($U$2:$U259,$U259)=1,1,INDEX(KI:KI,_xlfn.XMATCH(U259,U$1:U258,0,-1))+COUNT(KI258:KM258))</f>
        <v>1</v>
      </c>
      <c r="KJ259">
        <f t="shared" si="189"/>
        <v>2</v>
      </c>
      <c r="KK259">
        <f t="shared" si="189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SUM(IF(ISNUMBER(FIND("TmAi",$BE$1:$AAD$1)),IF(IFERROR(ISODD(SUBSTITUTE($BE260:$AAD260,"A","")),FALSE),IF(ISODD(SUBSTITUTE($BE260:$AAD260,"A","")),1,0),0)))</f>
        <v>0</v>
      </c>
      <c r="AA260" t="str">
        <f t="shared" si="183"/>
        <v>3B</v>
      </c>
      <c r="AB260" t="str">
        <f t="shared" si="184"/>
        <v>4B</v>
      </c>
      <c r="AP260" t="s">
        <v>137</v>
      </c>
      <c r="AS260" t="s">
        <v>396</v>
      </c>
      <c r="JZ260" s="27" t="str">
        <f t="shared" si="185"/>
        <v>XT85</v>
      </c>
      <c r="KC260" t="str">
        <f t="shared" si="186"/>
        <v>F0-AI32-3B</v>
      </c>
      <c r="KD260" t="str">
        <f t="shared" si="187"/>
        <v>F0-AI32-4B</v>
      </c>
      <c r="KI260">
        <f t="array" ref="KI260">IF(COUNTIFS($U$2:$U260,$U260)=1,1,INDEX(KI:KI,_xlfn.XMATCH(U260,U$1:U259,0,-1))+COUNT(KI259:KM259))</f>
        <v>4</v>
      </c>
      <c r="KJ260">
        <f t="shared" si="189"/>
        <v>5</v>
      </c>
      <c r="KK260">
        <f t="shared" si="189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SUM(IF(ISNUMBER(FIND("TmAi",$BE$1:$AAD$1)),IF(IFERROR(ISODD(SUBSTITUTE($BE261:$AAD261,"A","")),FALSE),IF(ISODD(SUBSTITUTE($BE261:$AAD261,"A","")),1,0),0)))</f>
        <v>0</v>
      </c>
      <c r="AA261" t="str">
        <f t="shared" si="183"/>
        <v>5B</v>
      </c>
      <c r="AB261" t="str">
        <f t="shared" si="184"/>
        <v>6B</v>
      </c>
      <c r="AP261" t="s">
        <v>137</v>
      </c>
      <c r="AS261" t="s">
        <v>396</v>
      </c>
      <c r="JZ261" s="27" t="str">
        <f t="shared" si="185"/>
        <v>XT85</v>
      </c>
      <c r="KC261" t="str">
        <f t="shared" si="186"/>
        <v>F0-AI32-5B</v>
      </c>
      <c r="KD261" t="str">
        <f t="shared" si="187"/>
        <v>F0-AI32-6B</v>
      </c>
      <c r="KI261">
        <f t="array" ref="KI261">IF(COUNTIFS($U$2:$U261,$U261)=1,1,INDEX(KI:KI,_xlfn.XMATCH(U261,U$1:U260,0,-1))+COUNT(KI260:KM260))</f>
        <v>7</v>
      </c>
      <c r="KJ261">
        <f t="shared" si="189"/>
        <v>8</v>
      </c>
      <c r="KK261">
        <f t="shared" si="189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SUM(IF(ISNUMBER(FIND("TmAi",$BE$1:$AAD$1)),IF(IFERROR(ISODD(SUBSTITUTE($BE262:$AAD262,"A","")),FALSE),IF(ISODD(SUBSTITUTE($BE262:$AAD262,"A","")),1,0),0)))</f>
        <v>0</v>
      </c>
      <c r="AA262" t="str">
        <f t="shared" si="183"/>
        <v>7B</v>
      </c>
      <c r="AB262" t="str">
        <f t="shared" si="184"/>
        <v>8B</v>
      </c>
      <c r="AP262" t="s">
        <v>137</v>
      </c>
      <c r="AS262" t="s">
        <v>396</v>
      </c>
      <c r="JZ262" s="27" t="str">
        <f t="shared" si="185"/>
        <v>XT85</v>
      </c>
      <c r="KC262" t="str">
        <f t="shared" si="186"/>
        <v>F0-AI32-7B</v>
      </c>
      <c r="KD262" t="str">
        <f t="shared" si="187"/>
        <v>F0-AI32-8B</v>
      </c>
      <c r="KI262">
        <f t="array" ref="KI262">IF(COUNTIFS($U$2:$U262,$U262)=1,1,INDEX(KI:KI,_xlfn.XMATCH(U262,U$1:U261,0,-1))+COUNT(KI261:KM261))</f>
        <v>10</v>
      </c>
      <c r="KJ262">
        <f t="shared" si="189"/>
        <v>11</v>
      </c>
      <c r="KK262">
        <f t="shared" si="189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SUM(IF(ISNUMBER(FIND("TmAi",$BE$1:$AAD$1)),IF(IFERROR(ISODD(SUBSTITUTE($BE263:$AAD263,"A","")),FALSE),IF(ISODD(SUBSTITUTE($BE263:$AAD263,"A","")),1,0),0)))</f>
        <v>0</v>
      </c>
      <c r="AA263" t="str">
        <f t="shared" si="183"/>
        <v>9B</v>
      </c>
      <c r="AB263" t="str">
        <f t="shared" si="184"/>
        <v>10B</v>
      </c>
      <c r="AP263" t="s">
        <v>137</v>
      </c>
      <c r="AS263" t="s">
        <v>396</v>
      </c>
      <c r="JZ263" s="27" t="str">
        <f t="shared" si="185"/>
        <v>XT86</v>
      </c>
      <c r="KC263" t="str">
        <f t="shared" si="186"/>
        <v>F0-AI32-9B</v>
      </c>
      <c r="KD263" t="str">
        <f t="shared" si="187"/>
        <v>F0-AI32-10B</v>
      </c>
      <c r="KI263">
        <f t="array" ref="KI263">IF(COUNTIFS($U$2:$U263,$U263)=1,1,INDEX(KI:KI,_xlfn.XMATCH(U263,U$1:U262,0,-1))+COUNT(KI262:KM262))</f>
        <v>1</v>
      </c>
      <c r="KJ263">
        <f t="shared" si="189"/>
        <v>2</v>
      </c>
      <c r="KK263">
        <f t="shared" si="189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SUM(IF(ISNUMBER(FIND("TmAi",$BE$1:$AAD$1)),IF(IFERROR(ISODD(SUBSTITUTE($BE264:$AAD264,"A","")),FALSE),IF(ISODD(SUBSTITUTE($BE264:$AAD264,"A","")),1,0),0)))</f>
        <v>0</v>
      </c>
      <c r="AA264" t="str">
        <f t="shared" si="183"/>
        <v>11B</v>
      </c>
      <c r="AB264" t="str">
        <f t="shared" si="184"/>
        <v>12B</v>
      </c>
      <c r="AP264" t="s">
        <v>137</v>
      </c>
      <c r="AS264" t="s">
        <v>396</v>
      </c>
      <c r="JZ264" s="27" t="str">
        <f t="shared" si="185"/>
        <v>XT86</v>
      </c>
      <c r="KC264" t="str">
        <f t="shared" si="186"/>
        <v>F0-AI32-11B</v>
      </c>
      <c r="KD264" t="str">
        <f t="shared" si="187"/>
        <v>F0-AI32-12B</v>
      </c>
      <c r="KI264">
        <f t="array" ref="KI264">IF(COUNTIFS($U$2:$U264,$U264)=1,1,INDEX(KI:KI,_xlfn.XMATCH(U264,U$1:U263,0,-1))+COUNT(KI263:KM263))</f>
        <v>4</v>
      </c>
      <c r="KJ264">
        <f t="shared" si="189"/>
        <v>5</v>
      </c>
      <c r="KK264">
        <f t="shared" si="189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SUM(IF(ISNUMBER(FIND("TmAi",$BE$1:$AAD$1)),IF(IFERROR(ISODD(SUBSTITUTE($BE265:$AAD265,"A","")),FALSE),IF(ISODD(SUBSTITUTE($BE265:$AAD265,"A","")),1,0),0)))</f>
        <v>0</v>
      </c>
      <c r="AA265" t="str">
        <f t="shared" si="183"/>
        <v>13B</v>
      </c>
      <c r="AB265" t="str">
        <f t="shared" si="184"/>
        <v>14B</v>
      </c>
      <c r="AP265" t="s">
        <v>137</v>
      </c>
      <c r="AS265" t="s">
        <v>396</v>
      </c>
      <c r="JZ265" s="27" t="str">
        <f t="shared" si="185"/>
        <v>XT86</v>
      </c>
      <c r="KC265" t="str">
        <f t="shared" si="186"/>
        <v>F0-AI32-13B</v>
      </c>
      <c r="KD265" t="str">
        <f t="shared" si="187"/>
        <v>F0-AI32-14B</v>
      </c>
      <c r="KI265">
        <f t="array" ref="KI265">IF(COUNTIFS($U$2:$U265,$U265)=1,1,INDEX(KI:KI,_xlfn.XMATCH(U265,U$1:U264,0,-1))+COUNT(KI264:KM264))</f>
        <v>7</v>
      </c>
      <c r="KJ265">
        <f t="shared" si="189"/>
        <v>8</v>
      </c>
      <c r="KK265">
        <f t="shared" si="189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SUM(IF(ISNUMBER(FIND("TmAi",$BE$1:$AAD$1)),IF(IFERROR(ISODD(SUBSTITUTE($BE266:$AAD266,"A","")),FALSE),IF(ISODD(SUBSTITUTE($BE266:$AAD266,"A","")),1,0),0)))</f>
        <v>0</v>
      </c>
      <c r="AA266" t="str">
        <f t="shared" si="183"/>
        <v>15B</v>
      </c>
      <c r="AB266" t="str">
        <f t="shared" si="184"/>
        <v>16B</v>
      </c>
      <c r="AP266" t="s">
        <v>137</v>
      </c>
      <c r="AS266" t="s">
        <v>396</v>
      </c>
      <c r="JZ266" s="27" t="str">
        <f t="shared" si="185"/>
        <v>XT86</v>
      </c>
      <c r="KC266" t="str">
        <f t="shared" si="186"/>
        <v>F0-AI32-15B</v>
      </c>
      <c r="KD266" t="str">
        <f t="shared" si="187"/>
        <v>F0-AI32-16B</v>
      </c>
      <c r="KI266">
        <f t="array" ref="KI266">IF(COUNTIFS($U$2:$U266,$U266)=1,1,INDEX(KI:KI,_xlfn.XMATCH(U266,U$1:U265,0,-1))+COUNT(KI265:KM265))</f>
        <v>10</v>
      </c>
      <c r="KJ266">
        <f t="shared" si="189"/>
        <v>11</v>
      </c>
      <c r="KK266">
        <f t="shared" si="189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>
        <f t="array" ref="AI267">IF(COUNTIFS(AH$2:AH267,AH267)=1,"1",VALUE(SUBSTITUTE(INDEX(AI:AI,_xlfn.XMATCH(AH267,AH$1:AH266,0,-1)),"A",""))+INDEX(AJ:AJ,_xlfn.XMATCH(AH267,AH$1:AH266,0,-1))+1)</f>
        <v>1</v>
      </c>
      <c r="AJ267" s="43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190">CONCATENATE("DI",REPLACE($AC267,1,3,""),"-",GU267)</f>
        <v>DI14-C2</v>
      </c>
      <c r="HL267" s="12" t="str">
        <f t="shared" si="190"/>
        <v>DI14-B2</v>
      </c>
      <c r="HM267" s="12" t="str">
        <f t="shared" si="190"/>
        <v>DI14-C3</v>
      </c>
      <c r="HN267" s="12" t="str">
        <f t="shared" si="190"/>
        <v>DI14-B3</v>
      </c>
      <c r="HO267" s="12" t="str">
        <f t="shared" si="190"/>
        <v>DI14-C4</v>
      </c>
      <c r="HP267" s="12" t="str">
        <f t="shared" si="190"/>
        <v>DI14-B4</v>
      </c>
      <c r="HQ267" s="12" t="str">
        <f t="shared" si="190"/>
        <v>DI14-C5</v>
      </c>
      <c r="HR267" s="12" t="str">
        <f t="shared" si="190"/>
        <v>DI14-B5</v>
      </c>
      <c r="HS267" s="12" t="str">
        <f t="shared" si="190"/>
        <v>DI14-</v>
      </c>
      <c r="HT267" s="12" t="str">
        <f t="shared" si="190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>
        <f t="array" ref="AI268">IF(COUNTIFS(AH$2:AH268,AH268)=1,"1",VALUE(SUBSTITUTE(INDEX(AI:AI,_xlfn.XMATCH(AH268,AH$1:AH267,0,-1)),"A",""))+INDEX(AJ:AJ,_xlfn.XMATCH(AH268,AH$1:AH267,0,-1))+1)</f>
        <v>3</v>
      </c>
      <c r="AJ268" s="43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CONCATENATE(REPLACE(AK268,LEN(AK268),1,"")+1,"B")</f>
        <v>4B</v>
      </c>
      <c r="BQ268" s="23" t="str">
        <f>CONCATENATE(REPLACE(AL268,LEN(AL268),1,"")+1,"A")</f>
        <v>4A</v>
      </c>
      <c r="BR268" s="23" t="str">
        <f>CONCATENATE(REPLACE(BP268,LEN(BP268),1,"")+1,"B")</f>
        <v>5B</v>
      </c>
      <c r="BS268" s="23" t="str">
        <f>CONCATENATE(REPLACE(BQ268,LEN(BQ268),1,"")+1,"A")</f>
        <v>5A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191">CONCATENATE("DI",REPLACE($AC268,1,3,""),"-",BF268)</f>
        <v>DI14-C7</v>
      </c>
      <c r="BW268" s="23" t="str">
        <f t="shared" si="191"/>
        <v>DI14-B7</v>
      </c>
      <c r="BX268" s="23" t="str">
        <f t="shared" si="191"/>
        <v>DI14-C8</v>
      </c>
      <c r="BY268" s="23" t="str">
        <f t="shared" si="191"/>
        <v>DI14-B8</v>
      </c>
      <c r="BZ268" s="23" t="str">
        <f t="shared" si="191"/>
        <v>DI14-C9</v>
      </c>
      <c r="CA268" s="23" t="str">
        <f t="shared" si="191"/>
        <v>DI14-B9</v>
      </c>
      <c r="CB268" s="23" t="str">
        <f t="shared" si="191"/>
        <v>DI14-C10</v>
      </c>
      <c r="CC268" s="23" t="str">
        <f t="shared" si="191"/>
        <v>DI14-B10</v>
      </c>
      <c r="CD268" s="23" t="str">
        <f t="shared" si="191"/>
        <v>DI14-</v>
      </c>
      <c r="CE268" s="23" t="str">
        <f t="shared" si="191"/>
        <v>DI14-</v>
      </c>
      <c r="CF268" s="23" t="str">
        <f>CONCATENATE("DO",REPLACE($AH268,1,3,""),"-",AK268)</f>
        <v>DO8-3B</v>
      </c>
      <c r="CG268" s="23" t="str">
        <f>CONCATENATE("DO",REPLACE($AH268,1,3,""),"-",AL268)</f>
        <v>DO8-3A</v>
      </c>
      <c r="CH268" s="23" t="str">
        <f>CONCATENATE("DO",REPLACE($AH268,1,3,""),"-",BP268)</f>
        <v>DO8-4B</v>
      </c>
      <c r="CI268" s="23" t="str">
        <f>CONCATENATE("DO",REPLACE($AH268,1,3,""),"-",BQ268)</f>
        <v>DO8-4A</v>
      </c>
      <c r="CJ268" s="23" t="str">
        <f>CONCATENATE("DO",REPLACE($AH268,1,3,""),"-",BR268)</f>
        <v>DO8-5B</v>
      </c>
      <c r="CK268" s="23" t="str">
        <f>CONCATENATE("DO",REPLACE($AH268,1,3,""),"-",BS268)</f>
        <v>DO8-5A</v>
      </c>
      <c r="CL268" s="23" t="str">
        <f>CONCATENATE("K",$U268,"-10")</f>
        <v>K88-10</v>
      </c>
      <c r="CM268" s="23" t="str">
        <f>CONCATENATE("K",$U268,"-03")</f>
        <v>K88-03</v>
      </c>
      <c r="CN268" s="23" t="str">
        <f>CONCATENATE("K",$U268,"-04")</f>
        <v>K88-04</v>
      </c>
      <c r="CO268" s="23" t="str">
        <f>CONCATENATE("K",$U268,"-01")</f>
        <v>K88-01</v>
      </c>
      <c r="CP268" s="23" t="str">
        <f>CONCATENATE("K",$U268,"-08")</f>
        <v>K88-08</v>
      </c>
      <c r="CQ268" s="23" t="str">
        <f>CONCATENATE("K",$U268,"-02")</f>
        <v>K88-02</v>
      </c>
      <c r="CR268" s="23" t="str">
        <f>CONCATENATE("K",$U268,"-09")</f>
        <v>K88-09</v>
      </c>
      <c r="CS268" s="23" t="str">
        <f>CONCATENATE("K",$U268,"-05")</f>
        <v>K88-05</v>
      </c>
      <c r="CT268" s="23" t="str">
        <f>CONCATENATE("K",$U268,"-11")</f>
        <v>K88-11</v>
      </c>
      <c r="CU268" s="23" t="str">
        <f>CONCATENATE($T268,"-M",$U268,"-A9")</f>
        <v>F0-M88-A9</v>
      </c>
      <c r="CV268" s="23" t="str">
        <f>CONCATENATE($T268,"-M",$U268,"-A7")</f>
        <v>F0-M88-A7</v>
      </c>
      <c r="CW268" s="23" t="str">
        <f>CONCATENATE($T268,"-M",$U268,"-A8")</f>
        <v>F0-M88-A8</v>
      </c>
      <c r="CX268" s="23" t="str">
        <f>CONCATENATE($T268,"-M",$U268,"-A6")</f>
        <v>F0-M88-A6</v>
      </c>
      <c r="CY268" s="23" t="str">
        <f>CONCATENATE($T268,"-M",$U268,"-A30")</f>
        <v>F0-M88-A30</v>
      </c>
      <c r="CZ268" s="23" t="str">
        <f>CONCATENATE($T268,"-M",$U268,"-N")</f>
        <v>F0-M88-N</v>
      </c>
      <c r="DA268" s="23" t="str">
        <f>CONCATENATE($T268,"-A220-M",U268)</f>
        <v>F0-A220-M88</v>
      </c>
      <c r="DB268" s="23" t="str">
        <f>CONCATENATE($T268,"-M",$U268,"-XM01")</f>
        <v>F0-M88-XM01</v>
      </c>
      <c r="DC268" s="23" t="str">
        <f>CONCATENATE($T268,"-M",$U268,"-A1")</f>
        <v>F0-M88-A1</v>
      </c>
      <c r="DD268" s="23" t="str">
        <f>CONCATENATE($T268,"-M",$U268,"-A5")</f>
        <v>F0-M88-A5</v>
      </c>
      <c r="DE268" s="23" t="str">
        <f>CONCATENATE($T268,"-M",$U268,"-A11")</f>
        <v>F0-M88-A11</v>
      </c>
      <c r="DF268" s="23" t="str">
        <f>CONCATENATE($T268,"-M",$U268,"-A12")</f>
        <v>F0-M88-A12</v>
      </c>
      <c r="DG268" s="23" t="str">
        <f>CONCATENATE($T268,"-M",$U268,"-A19")</f>
        <v>F0-M88-A19</v>
      </c>
      <c r="DH268" s="23" t="str">
        <f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SUM(IF(ISNUMBER(FIND("TmAi",$BE$1:$AAD$1)),IF(IFERROR(ISODD(SUBSTITUTE($BE269:$AAD269,"A","")),FALSE),IF(ISODD(SUBSTITUTE($BE269:$AAD269,"A","")),1,0),0)))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192">CONCATENATE("C",$AD269)</f>
        <v>C11</v>
      </c>
      <c r="AG269" t="str">
        <f t="shared" ref="AG269:AG294" si="193">CONCATENATE("B",$AD269)</f>
        <v>B11</v>
      </c>
      <c r="AH269" t="str">
        <f t="shared" ref="AH269:AH274" si="194">IF(AI268+AJ268&gt;31,REPLACE(AH268,LEN(AH268),1,VALUE(RIGHT(AH268,1))+1),AH268)</f>
        <v>A6.8</v>
      </c>
      <c r="AI269" s="43">
        <f t="array" ref="AI269">IF(COUNTIFS(AH$2:AH269,AH269)=1,"1",VALUE(SUBSTITUTE(INDEX(AI:AI,_xlfn.XMATCH(AH269,AH$1:AH268,0,-1)),"A",""))+INDEX(AJ:AJ,_xlfn.XMATCH(AH269,AH$1:AH268,0,-1))+1)</f>
        <v>6</v>
      </c>
      <c r="AJ269" s="43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195">CONCATENATE($AI269,"B")</f>
        <v>6B</v>
      </c>
      <c r="AL269" s="11" t="str">
        <f t="shared" ref="AL269:AL282" si="196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CONCATENATE(REPLACE(AK269,LEN(AK269),1,"")+1,"B")</f>
        <v>7B</v>
      </c>
      <c r="HF269" s="12" t="str">
        <f>CONCATENATE(REPLACE(AL269,LEN(AL269),1,"")+1,"A")</f>
        <v>7A</v>
      </c>
      <c r="HG269" s="12" t="str">
        <f>CONCATENATE("AI",REPLACE($X269,1,3,""),"-",AA269)</f>
        <v>AI33-3A</v>
      </c>
      <c r="HH269" s="12" t="str">
        <f>CONCATENATE("AI",REPLACE($X269,1,3,""),"-",AB269)</f>
        <v>AI33-3B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197">CONCATENATE("DI",REPLACE($AC269,1,3,""),"-",GU269)</f>
        <v>DI14-C12</v>
      </c>
      <c r="HL269" s="12" t="str">
        <f t="shared" si="197"/>
        <v>DI14-B12</v>
      </c>
      <c r="HM269" s="12" t="str">
        <f t="shared" si="197"/>
        <v>DI14-C13</v>
      </c>
      <c r="HN269" s="12" t="str">
        <f t="shared" si="197"/>
        <v>DI14-B13</v>
      </c>
      <c r="HO269" s="12" t="str">
        <f t="shared" si="197"/>
        <v>DI14-C14</v>
      </c>
      <c r="HP269" s="12" t="str">
        <f t="shared" si="197"/>
        <v>DI14-B14</v>
      </c>
      <c r="HQ269" s="12" t="str">
        <f t="shared" si="197"/>
        <v>DI14-C15</v>
      </c>
      <c r="HR269" s="12" t="str">
        <f t="shared" si="197"/>
        <v>DI14-B15</v>
      </c>
      <c r="HS269" s="12" t="str">
        <f t="shared" si="197"/>
        <v>DI14-</v>
      </c>
      <c r="HT269" s="12" t="str">
        <f t="shared" si="197"/>
        <v>DI14-</v>
      </c>
      <c r="HU269" s="12" t="str">
        <f>CONCATENATE("DO",REPLACE($AH269,1,3,""),"-",AK269)</f>
        <v>DO8-6B</v>
      </c>
      <c r="HV269" s="12" t="str">
        <f>CONCATENATE("DO",REPLACE($AH269,1,3,""),"-",AL269)</f>
        <v>DO8-6A</v>
      </c>
      <c r="HW269" s="12" t="str">
        <f>CONCATENATE("DO",REPLACE($AH269,1,3,""),"-",HE269)</f>
        <v>DO8-7B</v>
      </c>
      <c r="HX269" s="12" t="str">
        <f>CONCATENATE("DO",REPLACE($AH269,1,3,""),"-",HF269)</f>
        <v>DO8-7A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192"/>
        <v>C16</v>
      </c>
      <c r="AG270" t="str">
        <f t="shared" si="193"/>
        <v>B16</v>
      </c>
      <c r="AH270" t="str">
        <f t="shared" si="194"/>
        <v>A6.8</v>
      </c>
      <c r="AI270" s="43">
        <f t="array" ref="AI270">IF(COUNTIFS(AH$2:AH270,AH270)=1,"1",VALUE(SUBSTITUTE(INDEX(AI:AI,_xlfn.XMATCH(AH270,AH$1:AH269,0,-1)),"A",""))+INDEX(AJ:AJ,_xlfn.XMATCH(AH270,AH$1:AH269,0,-1))+1)</f>
        <v>8</v>
      </c>
      <c r="AJ270" s="43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195"/>
        <v>8B</v>
      </c>
      <c r="AL270" s="11" t="str">
        <f t="shared" si="196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CONCATENATE(REPLACE(AK270,LEN(AK270),1,"")+1,"B")</f>
        <v>9B</v>
      </c>
      <c r="BQ270" s="23" t="str">
        <f>CONCATENATE(REPLACE(AL270,LEN(AL270),1,"")+1,"A")</f>
        <v>9A</v>
      </c>
      <c r="BR270" s="23" t="str">
        <f>CONCATENATE(REPLACE(BP270,LEN(BP270),1,"")+1,"B")</f>
        <v>10B</v>
      </c>
      <c r="BS270" s="23" t="str">
        <f>CONCATENATE(REPLACE(BQ270,LEN(BQ270),1,"")+1,"A")</f>
        <v>10A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198">CONCATENATE("DI",REPLACE($AC270,1,3,""),"-",BF270)</f>
        <v>DI14-C17</v>
      </c>
      <c r="BW270" s="23" t="str">
        <f t="shared" si="198"/>
        <v>DI14-B17</v>
      </c>
      <c r="BX270" s="23" t="str">
        <f t="shared" si="198"/>
        <v>DI14-C18</v>
      </c>
      <c r="BY270" s="23" t="str">
        <f t="shared" si="198"/>
        <v>DI14-B18</v>
      </c>
      <c r="BZ270" s="23" t="str">
        <f t="shared" si="198"/>
        <v>DI14-C19</v>
      </c>
      <c r="CA270" s="23" t="str">
        <f t="shared" si="198"/>
        <v>DI14-B19</v>
      </c>
      <c r="CB270" s="23" t="str">
        <f t="shared" si="198"/>
        <v>DI14-C20</v>
      </c>
      <c r="CC270" s="23" t="str">
        <f t="shared" si="198"/>
        <v>DI14-B20</v>
      </c>
      <c r="CD270" s="23" t="str">
        <f t="shared" si="198"/>
        <v>DI14-</v>
      </c>
      <c r="CE270" s="23" t="str">
        <f t="shared" si="198"/>
        <v>DI14-</v>
      </c>
      <c r="CF270" s="23" t="str">
        <f>CONCATENATE("DO",REPLACE($AH270,1,3,""),"-",AK270)</f>
        <v>DO8-8B</v>
      </c>
      <c r="CG270" s="23" t="str">
        <f>CONCATENATE("DO",REPLACE($AH270,1,3,""),"-",AL270)</f>
        <v>DO8-8A</v>
      </c>
      <c r="CH270" s="23" t="str">
        <f>CONCATENATE("DO",REPLACE($AH270,1,3,""),"-",BP270)</f>
        <v>DO8-9B</v>
      </c>
      <c r="CI270" s="23" t="str">
        <f>CONCATENATE("DO",REPLACE($AH270,1,3,""),"-",BQ270)</f>
        <v>DO8-9A</v>
      </c>
      <c r="CJ270" s="23" t="str">
        <f>CONCATENATE("DO",REPLACE($AH270,1,3,""),"-",BR270)</f>
        <v>DO8-10B</v>
      </c>
      <c r="CK270" s="23" t="str">
        <f>CONCATENATE("DO",REPLACE($AH270,1,3,""),"-",BS270)</f>
        <v>DO8-10A</v>
      </c>
      <c r="CL270" s="23" t="str">
        <f>CONCATENATE("K",$U270,"-10")</f>
        <v>K90-10</v>
      </c>
      <c r="CM270" s="23" t="str">
        <f>CONCATENATE("K",$U270,"-03")</f>
        <v>K90-03</v>
      </c>
      <c r="CN270" s="23" t="str">
        <f>CONCATENATE("K",$U270,"-04")</f>
        <v>K90-04</v>
      </c>
      <c r="CO270" s="23" t="str">
        <f>CONCATENATE("K",$U270,"-01")</f>
        <v>K90-01</v>
      </c>
      <c r="CP270" s="23" t="str">
        <f>CONCATENATE("K",$U270,"-08")</f>
        <v>K90-08</v>
      </c>
      <c r="CQ270" s="23" t="str">
        <f>CONCATENATE("K",$U270,"-02")</f>
        <v>K90-02</v>
      </c>
      <c r="CR270" s="23" t="str">
        <f>CONCATENATE("K",$U270,"-09")</f>
        <v>K90-09</v>
      </c>
      <c r="CS270" s="23" t="str">
        <f>CONCATENATE("K",$U270,"-05")</f>
        <v>K90-05</v>
      </c>
      <c r="CT270" s="23" t="str">
        <f>CONCATENATE("K",$U270,"-11")</f>
        <v>K90-11</v>
      </c>
      <c r="CU270" s="23" t="str">
        <f>CONCATENATE($T270,"-M",$U270,"-A9")</f>
        <v>F0-M90-A9</v>
      </c>
      <c r="CV270" s="23" t="str">
        <f>CONCATENATE($T270,"-M",$U270,"-A7")</f>
        <v>F0-M90-A7</v>
      </c>
      <c r="CW270" s="23" t="str">
        <f>CONCATENATE($T270,"-M",$U270,"-A8")</f>
        <v>F0-M90-A8</v>
      </c>
      <c r="CX270" s="23" t="str">
        <f>CONCATENATE($T270,"-M",$U270,"-A6")</f>
        <v>F0-M90-A6</v>
      </c>
      <c r="CY270" s="23" t="str">
        <f>CONCATENATE($T270,"-M",$U270,"-A30")</f>
        <v>F0-M90-A30</v>
      </c>
      <c r="CZ270" s="23" t="str">
        <f>CONCATENATE($T270,"-M",$U270,"-N")</f>
        <v>F0-M90-N</v>
      </c>
      <c r="DA270" s="23" t="str">
        <f>CONCATENATE($T270,"-A220-M",U270)</f>
        <v>F0-A220-M90</v>
      </c>
      <c r="DB270" s="23" t="str">
        <f>CONCATENATE($T270,"-M",$U270,"-XM01")</f>
        <v>F0-M90-XM01</v>
      </c>
      <c r="DC270" s="23" t="str">
        <f>CONCATENATE($T270,"-M",$U270,"-A1")</f>
        <v>F0-M90-A1</v>
      </c>
      <c r="DD270" s="23" t="str">
        <f>CONCATENATE($T270,"-M",$U270,"-A5")</f>
        <v>F0-M90-A5</v>
      </c>
      <c r="DE270" s="23" t="str">
        <f>CONCATENATE($T270,"-M",$U270,"-A11")</f>
        <v>F0-M90-A11</v>
      </c>
      <c r="DF270" s="23" t="str">
        <f>CONCATENATE($T270,"-M",$U270,"-A12")</f>
        <v>F0-M90-A12</v>
      </c>
      <c r="DG270" s="23" t="str">
        <f>CONCATENATE($T270,"-M",$U270,"-A19")</f>
        <v>F0-M90-A19</v>
      </c>
      <c r="DH270" s="23" t="str">
        <f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SUM(IF(ISNUMBER(FIND("TmAi",$BE$1:$AAD$1)),IF(IFERROR(ISODD(SUBSTITUTE($BE271:$AAD271,"A","")),FALSE),IF(ISODD(SUBSTITUTE($BE271:$AAD271,"A","")),1,0),0)))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192"/>
        <v>C1</v>
      </c>
      <c r="AG271" t="str">
        <f t="shared" si="193"/>
        <v>B1</v>
      </c>
      <c r="AH271" t="str">
        <f t="shared" si="194"/>
        <v>A6.8</v>
      </c>
      <c r="AI271" s="43">
        <f t="array" ref="AI271">IF(COUNTIFS(AH$2:AH271,AH271)=1,"1",VALUE(SUBSTITUTE(INDEX(AI:AI,_xlfn.XMATCH(AH271,AH$1:AH270,0,-1)),"A",""))+INDEX(AJ:AJ,_xlfn.XMATCH(AH271,AH$1:AH270,0,-1))+1)</f>
        <v>11</v>
      </c>
      <c r="AJ271" s="43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195"/>
        <v>11B</v>
      </c>
      <c r="AL271" s="11" t="str">
        <f t="shared" si="196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CONCATENATE(REPLACE(AK271,LEN(AK271),1,"")+1,"B")</f>
        <v>12B</v>
      </c>
      <c r="HF271" s="12" t="str">
        <f>CONCATENATE(REPLACE(AL271,LEN(AL271),1,"")+1,"A")</f>
        <v>12A</v>
      </c>
      <c r="HG271" s="12" t="str">
        <f>CONCATENATE("AI",REPLACE($X271,1,3,""),"-",AA271)</f>
        <v>AI33-5A</v>
      </c>
      <c r="HH271" s="12" t="str">
        <f>CONCATENATE("AI",REPLACE($X271,1,3,""),"-",AB271)</f>
        <v>AI33-5B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199">CONCATENATE("DI",REPLACE($AC271,1,3,""),"-",GU271)</f>
        <v>DI15-C2</v>
      </c>
      <c r="HL271" s="12" t="str">
        <f t="shared" si="199"/>
        <v>DI15-B2</v>
      </c>
      <c r="HM271" s="12" t="str">
        <f t="shared" si="199"/>
        <v>DI15-C3</v>
      </c>
      <c r="HN271" s="12" t="str">
        <f t="shared" si="199"/>
        <v>DI15-B3</v>
      </c>
      <c r="HO271" s="12" t="str">
        <f t="shared" si="199"/>
        <v>DI15-C4</v>
      </c>
      <c r="HP271" s="12" t="str">
        <f t="shared" si="199"/>
        <v>DI15-B4</v>
      </c>
      <c r="HQ271" s="12" t="str">
        <f t="shared" si="199"/>
        <v>DI15-C5</v>
      </c>
      <c r="HR271" s="12" t="str">
        <f t="shared" si="199"/>
        <v>DI15-B5</v>
      </c>
      <c r="HS271" s="12" t="str">
        <f t="shared" si="199"/>
        <v>DI15-</v>
      </c>
      <c r="HT271" s="12" t="str">
        <f t="shared" si="199"/>
        <v>DI15-</v>
      </c>
      <c r="HU271" s="12" t="str">
        <f>CONCATENATE("DO",REPLACE($AH271,1,3,""),"-",AK271)</f>
        <v>DO8-11B</v>
      </c>
      <c r="HV271" s="12" t="str">
        <f>CONCATENATE("DO",REPLACE($AH271,1,3,""),"-",AL271)</f>
        <v>DO8-11A</v>
      </c>
      <c r="HW271" s="12" t="str">
        <f>CONCATENATE("DO",REPLACE($AH271,1,3,""),"-",HE271)</f>
        <v>DO8-12B</v>
      </c>
      <c r="HX271" s="12" t="str">
        <f>CONCATENATE("DO",REPLACE($AH271,1,3,""),"-",HF271)</f>
        <v>DO8-12A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192"/>
        <v>C6</v>
      </c>
      <c r="AG272" t="str">
        <f t="shared" si="193"/>
        <v>B6</v>
      </c>
      <c r="AH272" t="str">
        <f t="shared" si="194"/>
        <v>A6.8</v>
      </c>
      <c r="AI272" s="43">
        <f t="array" ref="AI272">IF(COUNTIFS(AH$2:AH272,AH272)=1,"1",VALUE(SUBSTITUTE(INDEX(AI:AI,_xlfn.XMATCH(AH272,AH$1:AH271,0,-1)),"A",""))+INDEX(AJ:AJ,_xlfn.XMATCH(AH272,AH$1:AH271,0,-1))+1)</f>
        <v>13</v>
      </c>
      <c r="AJ272" s="43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195"/>
        <v>13B</v>
      </c>
      <c r="AL272" s="11" t="str">
        <f t="shared" si="196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CONCATENATE(REPLACE(AK272,LEN(AK272),1,"")+1,"B")</f>
        <v>14B</v>
      </c>
      <c r="BQ272" s="23" t="str">
        <f>CONCATENATE(REPLACE(AL272,LEN(AL272),1,"")+1,"A")</f>
        <v>14A</v>
      </c>
      <c r="BR272" s="23" t="str">
        <f>CONCATENATE(REPLACE(BP272,LEN(BP272),1,"")+1,"B")</f>
        <v>15B</v>
      </c>
      <c r="BS272" s="23" t="str">
        <f>CONCATENATE(REPLACE(BQ272,LEN(BQ272),1,"")+1,"A")</f>
        <v>15A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00">CONCATENATE("DI",REPLACE($AC272,1,3,""),"-",BF272)</f>
        <v>DI15-C7</v>
      </c>
      <c r="BW272" s="23" t="str">
        <f t="shared" si="200"/>
        <v>DI15-B7</v>
      </c>
      <c r="BX272" s="23" t="str">
        <f t="shared" si="200"/>
        <v>DI15-C8</v>
      </c>
      <c r="BY272" s="23" t="str">
        <f t="shared" si="200"/>
        <v>DI15-B8</v>
      </c>
      <c r="BZ272" s="23" t="str">
        <f t="shared" si="200"/>
        <v>DI15-C9</v>
      </c>
      <c r="CA272" s="23" t="str">
        <f t="shared" si="200"/>
        <v>DI15-B9</v>
      </c>
      <c r="CB272" s="23" t="str">
        <f t="shared" si="200"/>
        <v>DI15-C10</v>
      </c>
      <c r="CC272" s="23" t="str">
        <f t="shared" si="200"/>
        <v>DI15-B10</v>
      </c>
      <c r="CD272" s="23" t="str">
        <f t="shared" si="200"/>
        <v>DI15-</v>
      </c>
      <c r="CE272" s="23" t="str">
        <f t="shared" si="200"/>
        <v>DI15-</v>
      </c>
      <c r="CF272" s="23" t="str">
        <f>CONCATENATE("DO",REPLACE($AH272,1,3,""),"-",AK272)</f>
        <v>DO8-13B</v>
      </c>
      <c r="CG272" s="23" t="str">
        <f>CONCATENATE("DO",REPLACE($AH272,1,3,""),"-",AL272)</f>
        <v>DO8-13A</v>
      </c>
      <c r="CH272" s="23" t="str">
        <f>CONCATENATE("DO",REPLACE($AH272,1,3,""),"-",BP272)</f>
        <v>DO8-14B</v>
      </c>
      <c r="CI272" s="23" t="str">
        <f>CONCATENATE("DO",REPLACE($AH272,1,3,""),"-",BQ272)</f>
        <v>DO8-14A</v>
      </c>
      <c r="CJ272" s="23" t="str">
        <f>CONCATENATE("DO",REPLACE($AH272,1,3,""),"-",BR272)</f>
        <v>DO8-15B</v>
      </c>
      <c r="CK272" s="23" t="str">
        <f>CONCATENATE("DO",REPLACE($AH272,1,3,""),"-",BS272)</f>
        <v>DO8-15A</v>
      </c>
      <c r="CL272" s="23" t="str">
        <f>CONCATENATE("K",$U272,"-10")</f>
        <v>K92-10</v>
      </c>
      <c r="CM272" s="23" t="str">
        <f>CONCATENATE("K",$U272,"-03")</f>
        <v>K92-03</v>
      </c>
      <c r="CN272" s="23" t="str">
        <f>CONCATENATE("K",$U272,"-04")</f>
        <v>K92-04</v>
      </c>
      <c r="CO272" s="23" t="str">
        <f>CONCATENATE("K",$U272,"-01")</f>
        <v>K92-01</v>
      </c>
      <c r="CP272" s="23" t="str">
        <f>CONCATENATE("K",$U272,"-08")</f>
        <v>K92-08</v>
      </c>
      <c r="CQ272" s="23" t="str">
        <f>CONCATENATE("K",$U272,"-02")</f>
        <v>K92-02</v>
      </c>
      <c r="CR272" s="23" t="str">
        <f>CONCATENATE("K",$U272,"-09")</f>
        <v>K92-09</v>
      </c>
      <c r="CS272" s="23" t="str">
        <f>CONCATENATE("K",$U272,"-05")</f>
        <v>K92-05</v>
      </c>
      <c r="CT272" s="23" t="str">
        <f>CONCATENATE("K",$U272,"-11")</f>
        <v>K92-11</v>
      </c>
      <c r="CU272" s="23" t="str">
        <f>CONCATENATE($T272,"-M",$U272,"-A9")</f>
        <v>F0-M92-A9</v>
      </c>
      <c r="CV272" s="23" t="str">
        <f>CONCATENATE($T272,"-M",$U272,"-A7")</f>
        <v>F0-M92-A7</v>
      </c>
      <c r="CW272" s="23" t="str">
        <f>CONCATENATE($T272,"-M",$U272,"-A8")</f>
        <v>F0-M92-A8</v>
      </c>
      <c r="CX272" s="23" t="str">
        <f>CONCATENATE($T272,"-M",$U272,"-A6")</f>
        <v>F0-M92-A6</v>
      </c>
      <c r="CY272" s="23" t="str">
        <f>CONCATENATE($T272,"-M",$U272,"-A30")</f>
        <v>F0-M92-A30</v>
      </c>
      <c r="CZ272" s="23" t="str">
        <f>CONCATENATE($T272,"-M",$U272,"-N")</f>
        <v>F0-M92-N</v>
      </c>
      <c r="DA272" s="23" t="str">
        <f>CONCATENATE($T272,"-A220-M",U272)</f>
        <v>F0-A220-M92</v>
      </c>
      <c r="DB272" s="23" t="str">
        <f>CONCATENATE($T272,"-M",$U272,"-XM01")</f>
        <v>F0-M92-XM01</v>
      </c>
      <c r="DC272" s="23" t="str">
        <f>CONCATENATE($T272,"-M",$U272,"-A1")</f>
        <v>F0-M92-A1</v>
      </c>
      <c r="DD272" s="23" t="str">
        <f>CONCATENATE($T272,"-M",$U272,"-A5")</f>
        <v>F0-M92-A5</v>
      </c>
      <c r="DE272" s="23" t="str">
        <f>CONCATENATE($T272,"-M",$U272,"-A11")</f>
        <v>F0-M92-A11</v>
      </c>
      <c r="DF272" s="23" t="str">
        <f>CONCATENATE($T272,"-M",$U272,"-A12")</f>
        <v>F0-M92-A12</v>
      </c>
      <c r="DG272" s="23" t="str">
        <f>CONCATENATE($T272,"-M",$U272,"-A19")</f>
        <v>F0-M92-A19</v>
      </c>
      <c r="DH272" s="23" t="str">
        <f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SUM(IF(ISNUMBER(FIND("TmAi",$BE$1:$AAD$1)),IF(IFERROR(ISODD(SUBSTITUTE($BE273:$AAD273,"A","")),FALSE),IF(ISODD(SUBSTITUTE($BE273:$AAD273,"A","")),1,0),0)))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>IF(AD272+AE272&gt;31,REPLACE(AC272,LEN(AC272),1,VALUE(RIGHT(AC272,1))+1),AC272)</f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192"/>
        <v>C11</v>
      </c>
      <c r="AG273" t="str">
        <f t="shared" si="193"/>
        <v>B11</v>
      </c>
      <c r="AH273" t="str">
        <f t="shared" si="194"/>
        <v>A6.8</v>
      </c>
      <c r="AI273" s="43">
        <f t="array" ref="AI273">IF(COUNTIFS(AH$2:AH273,AH273)=1,"1",VALUE(SUBSTITUTE(INDEX(AI:AI,_xlfn.XMATCH(AH273,AH$1:AH272,0,-1)),"A",""))+INDEX(AJ:AJ,_xlfn.XMATCH(AH273,AH$1:AH272,0,-1))+1)</f>
        <v>16</v>
      </c>
      <c r="AJ273" s="43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195"/>
        <v>16B</v>
      </c>
      <c r="AL273" s="11" t="str">
        <f t="shared" si="196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CONCATENATE(REPLACE(AK273,LEN(AK273),1,"")+1,"B")</f>
        <v>17B</v>
      </c>
      <c r="HF273" s="12" t="str">
        <f>CONCATENATE(REPLACE(AL273,LEN(AL273),1,"")+1,"A")</f>
        <v>17A</v>
      </c>
      <c r="HG273" s="12" t="str">
        <f>CONCATENATE("AI",REPLACE($X273,1,3,""),"-",AA273)</f>
        <v>AI33-7A</v>
      </c>
      <c r="HH273" s="12" t="str">
        <f>CONCATENATE("AI",REPLACE($X273,1,3,""),"-",AB273)</f>
        <v>AI33-7B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01">CONCATENATE("DI",REPLACE($AC273,1,3,""),"-",GU273)</f>
        <v>DI15-C12</v>
      </c>
      <c r="HL273" s="12" t="str">
        <f t="shared" si="201"/>
        <v>DI15-B12</v>
      </c>
      <c r="HM273" s="12" t="str">
        <f t="shared" si="201"/>
        <v>DI15-C13</v>
      </c>
      <c r="HN273" s="12" t="str">
        <f t="shared" si="201"/>
        <v>DI15-B13</v>
      </c>
      <c r="HO273" s="12" t="str">
        <f t="shared" si="201"/>
        <v>DI15-C14</v>
      </c>
      <c r="HP273" s="12" t="str">
        <f t="shared" si="201"/>
        <v>DI15-B14</v>
      </c>
      <c r="HQ273" s="12" t="str">
        <f t="shared" si="201"/>
        <v>DI15-C15</v>
      </c>
      <c r="HR273" s="12" t="str">
        <f t="shared" si="201"/>
        <v>DI15-B15</v>
      </c>
      <c r="HS273" s="12" t="str">
        <f t="shared" si="201"/>
        <v>DI15-</v>
      </c>
      <c r="HT273" s="12" t="str">
        <f t="shared" si="201"/>
        <v>DI15-</v>
      </c>
      <c r="HU273" s="12" t="str">
        <f>CONCATENATE("DO",REPLACE($AH273,1,3,""),"-",AK273)</f>
        <v>DO8-16B</v>
      </c>
      <c r="HV273" s="12" t="str">
        <f>CONCATENATE("DO",REPLACE($AH273,1,3,""),"-",AL273)</f>
        <v>DO8-16A</v>
      </c>
      <c r="HW273" s="12" t="str">
        <f>CONCATENATE("DO",REPLACE($AH273,1,3,""),"-",HE273)</f>
        <v>DO8-17B</v>
      </c>
      <c r="HX273" s="12" t="str">
        <f>CONCATENATE("DO",REPLACE($AH273,1,3,""),"-",HF273)</f>
        <v>DO8-17A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>IF(AD273+AE273&gt;31,REPLACE(AC273,LEN(AC273),1,VALUE(RIGHT(AC273,1))+1),AC273)</f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192"/>
        <v>C16</v>
      </c>
      <c r="AG274" t="str">
        <f t="shared" si="193"/>
        <v>B16</v>
      </c>
      <c r="AH274" t="str">
        <f t="shared" si="194"/>
        <v>A6.8</v>
      </c>
      <c r="AI274" s="43">
        <f t="array" ref="AI274">IF(COUNTIFS(AH$2:AH274,AH274)=1,"1",VALUE(SUBSTITUTE(INDEX(AI:AI,_xlfn.XMATCH(AH274,AH$1:AH273,0,-1)),"A",""))+INDEX(AJ:AJ,_xlfn.XMATCH(AH274,AH$1:AH273,0,-1))+1)</f>
        <v>18</v>
      </c>
      <c r="AJ274" s="43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195"/>
        <v>18B</v>
      </c>
      <c r="AL274" s="11" t="str">
        <f t="shared" si="196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CONCATENATE(REPLACE(AK274,LEN(AK274),1,"")+1,"B")</f>
        <v>19B</v>
      </c>
      <c r="BQ274" s="23" t="str">
        <f>CONCATENATE(REPLACE(AL274,LEN(AL274),1,"")+1,"A")</f>
        <v>19A</v>
      </c>
      <c r="BR274" s="23" t="str">
        <f>CONCATENATE(REPLACE(BP274,LEN(BP274),1,"")+1,"B")</f>
        <v>20B</v>
      </c>
      <c r="BS274" s="23" t="str">
        <f>CONCATENATE(REPLACE(BQ274,LEN(BQ274),1,"")+1,"A")</f>
        <v>20A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02">CONCATENATE("DI",REPLACE($AC274,1,3,""),"-",BF274)</f>
        <v>DI15-C17</v>
      </c>
      <c r="BW274" s="23" t="str">
        <f t="shared" si="202"/>
        <v>DI15-B17</v>
      </c>
      <c r="BX274" s="23" t="str">
        <f t="shared" si="202"/>
        <v>DI15-C18</v>
      </c>
      <c r="BY274" s="23" t="str">
        <f t="shared" si="202"/>
        <v>DI15-B18</v>
      </c>
      <c r="BZ274" s="23" t="str">
        <f t="shared" si="202"/>
        <v>DI15-C19</v>
      </c>
      <c r="CA274" s="23" t="str">
        <f t="shared" si="202"/>
        <v>DI15-B19</v>
      </c>
      <c r="CB274" s="23" t="str">
        <f t="shared" si="202"/>
        <v>DI15-C20</v>
      </c>
      <c r="CC274" s="23" t="str">
        <f t="shared" si="202"/>
        <v>DI15-B20</v>
      </c>
      <c r="CD274" s="23" t="str">
        <f t="shared" si="202"/>
        <v>DI15-</v>
      </c>
      <c r="CE274" s="23" t="str">
        <f t="shared" si="202"/>
        <v>DI15-</v>
      </c>
      <c r="CF274" s="23" t="str">
        <f>CONCATENATE("DO",REPLACE($AH274,1,3,""),"-",AK274)</f>
        <v>DO8-18B</v>
      </c>
      <c r="CG274" s="23" t="str">
        <f>CONCATENATE("DO",REPLACE($AH274,1,3,""),"-",AL274)</f>
        <v>DO8-18A</v>
      </c>
      <c r="CH274" s="23" t="str">
        <f>CONCATENATE("DO",REPLACE($AH274,1,3,""),"-",BP274)</f>
        <v>DO8-19B</v>
      </c>
      <c r="CI274" s="23" t="str">
        <f>CONCATENATE("DO",REPLACE($AH274,1,3,""),"-",BQ274)</f>
        <v>DO8-19A</v>
      </c>
      <c r="CJ274" s="23" t="str">
        <f>CONCATENATE("DO",REPLACE($AH274,1,3,""),"-",BR274)</f>
        <v>DO8-20B</v>
      </c>
      <c r="CK274" s="23" t="str">
        <f>CONCATENATE("DO",REPLACE($AH274,1,3,""),"-",BS274)</f>
        <v>DO8-20A</v>
      </c>
      <c r="CL274" s="23" t="str">
        <f>CONCATENATE("K",$U274,"-10")</f>
        <v>K94-10</v>
      </c>
      <c r="CM274" s="23" t="str">
        <f>CONCATENATE("K",$U274,"-03")</f>
        <v>K94-03</v>
      </c>
      <c r="CN274" s="23" t="str">
        <f>CONCATENATE("K",$U274,"-04")</f>
        <v>K94-04</v>
      </c>
      <c r="CO274" s="23" t="str">
        <f>CONCATENATE("K",$U274,"-01")</f>
        <v>K94-01</v>
      </c>
      <c r="CP274" s="23" t="str">
        <f>CONCATENATE("K",$U274,"-08")</f>
        <v>K94-08</v>
      </c>
      <c r="CQ274" s="23" t="str">
        <f>CONCATENATE("K",$U274,"-02")</f>
        <v>K94-02</v>
      </c>
      <c r="CR274" s="23" t="str">
        <f>CONCATENATE("K",$U274,"-09")</f>
        <v>K94-09</v>
      </c>
      <c r="CS274" s="23" t="str">
        <f>CONCATENATE("K",$U274,"-05")</f>
        <v>K94-05</v>
      </c>
      <c r="CT274" s="23" t="str">
        <f>CONCATENATE("K",$U274,"-11")</f>
        <v>K94-11</v>
      </c>
      <c r="CU274" s="23" t="str">
        <f>CONCATENATE($T274,"-M",$U274,"-A9")</f>
        <v>F0-M94-A9</v>
      </c>
      <c r="CV274" s="23" t="str">
        <f>CONCATENATE($T274,"-M",$U274,"-A7")</f>
        <v>F0-M94-A7</v>
      </c>
      <c r="CW274" s="23" t="str">
        <f>CONCATENATE($T274,"-M",$U274,"-A8")</f>
        <v>F0-M94-A8</v>
      </c>
      <c r="CX274" s="23" t="str">
        <f>CONCATENATE($T274,"-M",$U274,"-A6")</f>
        <v>F0-M94-A6</v>
      </c>
      <c r="CY274" s="23" t="str">
        <f>CONCATENATE($T274,"-M",$U274,"-A30")</f>
        <v>F0-M94-A30</v>
      </c>
      <c r="CZ274" s="23" t="str">
        <f>CONCATENATE($T274,"-M",$U274,"-N")</f>
        <v>F0-M94-N</v>
      </c>
      <c r="DA274" s="23" t="str">
        <f>CONCATENATE($T274,"-A220-M",U274)</f>
        <v>F0-A220-M94</v>
      </c>
      <c r="DB274" s="23" t="str">
        <f>CONCATENATE($T274,"-M",$U274,"-XM01")</f>
        <v>F0-M94-XM01</v>
      </c>
      <c r="DC274" s="23" t="str">
        <f>CONCATENATE($T274,"-M",$U274,"-A1")</f>
        <v>F0-M94-A1</v>
      </c>
      <c r="DD274" s="23" t="str">
        <f>CONCATENATE($T274,"-M",$U274,"-A5")</f>
        <v>F0-M94-A5</v>
      </c>
      <c r="DE274" s="23" t="str">
        <f>CONCATENATE($T274,"-M",$U274,"-A11")</f>
        <v>F0-M94-A11</v>
      </c>
      <c r="DF274" s="23" t="str">
        <f>CONCATENATE($T274,"-M",$U274,"-A12")</f>
        <v>F0-M94-A12</v>
      </c>
      <c r="DG274" s="23" t="str">
        <f>CONCATENATE($T274,"-M",$U274,"-A19")</f>
        <v>F0-M94-A19</v>
      </c>
      <c r="DH274" s="23" t="str">
        <f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SUM(IF(ISNUMBER(FIND("TmAi",$BE$1:$AAD$1)),IF(IFERROR(ISODD(SUBSTITUTE($BE275:$AAD275,"A","")),FALSE),IF(ISODD(SUBSTITUTE($BE275:$AAD275,"A","")),1,0),0)))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192"/>
        <v>C1</v>
      </c>
      <c r="AG275" t="str">
        <f t="shared" si="193"/>
        <v>B1</v>
      </c>
      <c r="AH275" t="s">
        <v>1802</v>
      </c>
      <c r="AI275" s="43" t="str">
        <f t="array" ref="AI275">IF(COUNTIFS(AH$2:AH275,AH275)=1,"1",VALUE(SUBSTITUTE(INDEX(AI:AI,_xlfn.XMATCH(AH275,AH$1:AH274,0,-1)),"A",""))+INDEX(AJ:AJ,_xlfn.XMATCH(AH275,AH$1:AH274,0,-1))+1)</f>
        <v>1</v>
      </c>
      <c r="AJ275" s="43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195"/>
        <v>1B</v>
      </c>
      <c r="AL275" s="11" t="str">
        <f t="shared" si="196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CONCATENATE(REPLACE(AK275,LEN(AK275),1,"")+1,"B")</f>
        <v>2B</v>
      </c>
      <c r="HF275" s="12" t="str">
        <f>CONCATENATE(REPLACE(AL275,LEN(AL275),1,"")+1,"A")</f>
        <v>2A</v>
      </c>
      <c r="HG275" s="12" t="str">
        <f>CONCATENATE("AI",REPLACE($X275,1,3,""),"-",AA275)</f>
        <v>AI33-9A</v>
      </c>
      <c r="HH275" s="12" t="str">
        <f>CONCATENATE("AI",REPLACE($X275,1,3,""),"-",AB275)</f>
        <v>AI33-9B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03">CONCATENATE("DI",REPLACE($AC275,1,3,""),"-",GU275)</f>
        <v>DI16-C2</v>
      </c>
      <c r="HL275" s="12" t="str">
        <f t="shared" si="203"/>
        <v>DI16-B2</v>
      </c>
      <c r="HM275" s="12" t="str">
        <f t="shared" si="203"/>
        <v>DI16-C3</v>
      </c>
      <c r="HN275" s="12" t="str">
        <f t="shared" si="203"/>
        <v>DI16-B3</v>
      </c>
      <c r="HO275" s="12" t="str">
        <f t="shared" si="203"/>
        <v>DI16-C4</v>
      </c>
      <c r="HP275" s="12" t="str">
        <f t="shared" si="203"/>
        <v>DI16-B4</v>
      </c>
      <c r="HQ275" s="12" t="str">
        <f t="shared" si="203"/>
        <v>DI16-C5</v>
      </c>
      <c r="HR275" s="12" t="str">
        <f t="shared" si="203"/>
        <v>DI16-B5</v>
      </c>
      <c r="HS275" s="12" t="str">
        <f t="shared" si="203"/>
        <v>DI16-</v>
      </c>
      <c r="HT275" s="12" t="str">
        <f t="shared" si="203"/>
        <v>DI16-</v>
      </c>
      <c r="HU275" s="12" t="str">
        <f>CONCATENATE("DO",REPLACE($AH275,1,3,""),"-",AK275)</f>
        <v>DO9-1B</v>
      </c>
      <c r="HV275" s="12" t="str">
        <f>CONCATENATE("DO",REPLACE($AH275,1,3,""),"-",AL275)</f>
        <v>DO9-1A</v>
      </c>
      <c r="HW275" s="12" t="str">
        <f>CONCATENATE("DO",REPLACE($AH275,1,3,""),"-",HE275)</f>
        <v>DO9-2B</v>
      </c>
      <c r="HX275" s="12" t="str">
        <f>CONCATENATE("DO",REPLACE($AH275,1,3,""),"-",HF275)</f>
        <v>DO9-2A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>IF(AD275+AE275&gt;31,REPLACE(AC275,LEN(AC275),1,VALUE(RIGHT(AC275,1))+1),AC275)</f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192"/>
        <v>C6</v>
      </c>
      <c r="AG276" t="str">
        <f t="shared" si="193"/>
        <v>B6</v>
      </c>
      <c r="AH276" t="str">
        <f t="shared" ref="AH276:AH282" si="204">IF(AI275+AJ275&gt;31,REPLACE(AH275,LEN(AH275),1,VALUE(RIGHT(AH275,1))+1),AH275)</f>
        <v>A6.9</v>
      </c>
      <c r="AI276" s="43">
        <f t="array" ref="AI276">IF(COUNTIFS(AH$2:AH276,AH276)=1,"1",VALUE(SUBSTITUTE(INDEX(AI:AI,_xlfn.XMATCH(AH276,AH$1:AH275,0,-1)),"A",""))+INDEX(AJ:AJ,_xlfn.XMATCH(AH276,AH$1:AH275,0,-1))+1)</f>
        <v>3</v>
      </c>
      <c r="AJ276" s="43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195"/>
        <v>3B</v>
      </c>
      <c r="AL276" s="11" t="str">
        <f t="shared" si="196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CONCATENATE(REPLACE(AK276,LEN(AK276),1,"")+1,"B")</f>
        <v>4B</v>
      </c>
      <c r="BQ276" s="23" t="str">
        <f>CONCATENATE(REPLACE(AL276,LEN(AL276),1,"")+1,"A")</f>
        <v>4A</v>
      </c>
      <c r="BR276" s="23" t="str">
        <f>CONCATENATE(REPLACE(BP276,LEN(BP276),1,"")+1,"B")</f>
        <v>5B</v>
      </c>
      <c r="BS276" s="23" t="str">
        <f>CONCATENATE(REPLACE(BQ276,LEN(BQ276),1,"")+1,"A")</f>
        <v>5A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05">CONCATENATE("DI",REPLACE($AC276,1,3,""),"-",BF276)</f>
        <v>DI16-C7</v>
      </c>
      <c r="BW276" s="23" t="str">
        <f t="shared" si="205"/>
        <v>DI16-B7</v>
      </c>
      <c r="BX276" s="23" t="str">
        <f t="shared" si="205"/>
        <v>DI16-C8</v>
      </c>
      <c r="BY276" s="23" t="str">
        <f t="shared" si="205"/>
        <v>DI16-B8</v>
      </c>
      <c r="BZ276" s="23" t="str">
        <f t="shared" si="205"/>
        <v>DI16-C9</v>
      </c>
      <c r="CA276" s="23" t="str">
        <f t="shared" si="205"/>
        <v>DI16-B9</v>
      </c>
      <c r="CB276" s="23" t="str">
        <f t="shared" si="205"/>
        <v>DI16-C10</v>
      </c>
      <c r="CC276" s="23" t="str">
        <f t="shared" si="205"/>
        <v>DI16-B10</v>
      </c>
      <c r="CD276" s="23" t="str">
        <f t="shared" si="205"/>
        <v>DI16-</v>
      </c>
      <c r="CE276" s="23" t="str">
        <f t="shared" si="205"/>
        <v>DI16-</v>
      </c>
      <c r="CF276" s="23" t="str">
        <f>CONCATENATE("DO",REPLACE($AH276,1,3,""),"-",AK276)</f>
        <v>DO9-3B</v>
      </c>
      <c r="CG276" s="23" t="str">
        <f>CONCATENATE("DO",REPLACE($AH276,1,3,""),"-",AL276)</f>
        <v>DO9-3A</v>
      </c>
      <c r="CH276" s="23" t="str">
        <f>CONCATENATE("DO",REPLACE($AH276,1,3,""),"-",BP276)</f>
        <v>DO9-4B</v>
      </c>
      <c r="CI276" s="23" t="str">
        <f>CONCATENATE("DO",REPLACE($AH276,1,3,""),"-",BQ276)</f>
        <v>DO9-4A</v>
      </c>
      <c r="CJ276" s="23" t="str">
        <f>CONCATENATE("DO",REPLACE($AH276,1,3,""),"-",BR276)</f>
        <v>DO9-5B</v>
      </c>
      <c r="CK276" s="23" t="str">
        <f>CONCATENATE("DO",REPLACE($AH276,1,3,""),"-",BS276)</f>
        <v>DO9-5A</v>
      </c>
      <c r="CL276" s="23" t="str">
        <f>CONCATENATE("K",$U276,"-10")</f>
        <v>K96-10</v>
      </c>
      <c r="CM276" s="23" t="str">
        <f>CONCATENATE("K",$U276,"-03")</f>
        <v>K96-03</v>
      </c>
      <c r="CN276" s="23" t="str">
        <f>CONCATENATE("K",$U276,"-04")</f>
        <v>K96-04</v>
      </c>
      <c r="CO276" s="23" t="str">
        <f>CONCATENATE("K",$U276,"-01")</f>
        <v>K96-01</v>
      </c>
      <c r="CP276" s="23" t="str">
        <f>CONCATENATE("K",$U276,"-08")</f>
        <v>K96-08</v>
      </c>
      <c r="CQ276" s="23" t="str">
        <f>CONCATENATE("K",$U276,"-02")</f>
        <v>K96-02</v>
      </c>
      <c r="CR276" s="23" t="str">
        <f>CONCATENATE("K",$U276,"-09")</f>
        <v>K96-09</v>
      </c>
      <c r="CS276" s="23" t="str">
        <f>CONCATENATE("K",$U276,"-05")</f>
        <v>K96-05</v>
      </c>
      <c r="CT276" s="23" t="str">
        <f>CONCATENATE("K",$U276,"-11")</f>
        <v>K96-11</v>
      </c>
      <c r="CU276" s="23" t="str">
        <f>CONCATENATE($T276,"-M",$U276,"-A9")</f>
        <v>F0-M96-A9</v>
      </c>
      <c r="CV276" s="23" t="str">
        <f>CONCATENATE($T276,"-M",$U276,"-A7")</f>
        <v>F0-M96-A7</v>
      </c>
      <c r="CW276" s="23" t="str">
        <f>CONCATENATE($T276,"-M",$U276,"-A8")</f>
        <v>F0-M96-A8</v>
      </c>
      <c r="CX276" s="23" t="str">
        <f>CONCATENATE($T276,"-M",$U276,"-A6")</f>
        <v>F0-M96-A6</v>
      </c>
      <c r="CY276" s="23" t="str">
        <f>CONCATENATE($T276,"-M",$U276,"-A30")</f>
        <v>F0-M96-A30</v>
      </c>
      <c r="CZ276" s="23" t="str">
        <f>CONCATENATE($T276,"-M",$U276,"-N")</f>
        <v>F0-M96-N</v>
      </c>
      <c r="DA276" s="23" t="str">
        <f>CONCATENATE($T276,"-A220-M",U276)</f>
        <v>F0-A220-M96</v>
      </c>
      <c r="DB276" s="23" t="str">
        <f>CONCATENATE($T276,"-M",$U276,"-XM01")</f>
        <v>F0-M96-XM01</v>
      </c>
      <c r="DC276" s="23" t="str">
        <f>CONCATENATE($T276,"-M",$U276,"-A1")</f>
        <v>F0-M96-A1</v>
      </c>
      <c r="DD276" s="23" t="str">
        <f>CONCATENATE($T276,"-M",$U276,"-A5")</f>
        <v>F0-M96-A5</v>
      </c>
      <c r="DE276" s="23" t="str">
        <f>CONCATENATE($T276,"-M",$U276,"-A11")</f>
        <v>F0-M96-A11</v>
      </c>
      <c r="DF276" s="23" t="str">
        <f>CONCATENATE($T276,"-M",$U276,"-A12")</f>
        <v>F0-M96-A12</v>
      </c>
      <c r="DG276" s="23" t="str">
        <f>CONCATENATE($T276,"-M",$U276,"-A19")</f>
        <v>F0-M96-A19</v>
      </c>
      <c r="DH276" s="23" t="str">
        <f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SUM(IF(ISNUMBER(FIND("TmAi",$BE$1:$AAD$1)),IF(IFERROR(ISODD(SUBSTITUTE($BE277:$AAD277,"A","")),FALSE),IF(ISODD(SUBSTITUTE($BE277:$AAD277,"A","")),1,0),0)))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>IF(AD276+AE276&gt;31,REPLACE(AC276,LEN(AC276),1,VALUE(RIGHT(AC276,1))+1),AC276)</f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192"/>
        <v>C11</v>
      </c>
      <c r="AG277" t="str">
        <f t="shared" si="193"/>
        <v>B11</v>
      </c>
      <c r="AH277" t="str">
        <f t="shared" si="204"/>
        <v>A6.9</v>
      </c>
      <c r="AI277" s="43">
        <f t="array" ref="AI277">IF(COUNTIFS(AH$2:AH277,AH277)=1,"1",VALUE(SUBSTITUTE(INDEX(AI:AI,_xlfn.XMATCH(AH277,AH$1:AH276,0,-1)),"A",""))+INDEX(AJ:AJ,_xlfn.XMATCH(AH277,AH$1:AH276,0,-1))+1)</f>
        <v>6</v>
      </c>
      <c r="AJ277" s="43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195"/>
        <v>6B</v>
      </c>
      <c r="AL277" s="11" t="str">
        <f t="shared" si="196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CONCATENATE(REPLACE(AK277,LEN(AK277),1,"")+1,"B")</f>
        <v>7B</v>
      </c>
      <c r="HF277" s="12" t="str">
        <f>CONCATENATE(REPLACE(AL277,LEN(AL277),1,"")+1,"A")</f>
        <v>7A</v>
      </c>
      <c r="HG277" s="12" t="str">
        <f>CONCATENATE("AI",REPLACE($X277,1,3,""),"-",AA277)</f>
        <v>AI33-11A</v>
      </c>
      <c r="HH277" s="12" t="str">
        <f>CONCATENATE("AI",REPLACE($X277,1,3,""),"-",AB277)</f>
        <v>AI33-11B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06">CONCATENATE("DI",REPLACE($AC277,1,3,""),"-",GU277)</f>
        <v>DI16-C12</v>
      </c>
      <c r="HL277" s="12" t="str">
        <f t="shared" si="206"/>
        <v>DI16-B12</v>
      </c>
      <c r="HM277" s="12" t="str">
        <f t="shared" si="206"/>
        <v>DI16-C13</v>
      </c>
      <c r="HN277" s="12" t="str">
        <f t="shared" si="206"/>
        <v>DI16-B13</v>
      </c>
      <c r="HO277" s="12" t="str">
        <f t="shared" si="206"/>
        <v>DI16-C14</v>
      </c>
      <c r="HP277" s="12" t="str">
        <f t="shared" si="206"/>
        <v>DI16-B14</v>
      </c>
      <c r="HQ277" s="12" t="str">
        <f t="shared" si="206"/>
        <v>DI16-C15</v>
      </c>
      <c r="HR277" s="12" t="str">
        <f t="shared" si="206"/>
        <v>DI16-B15</v>
      </c>
      <c r="HS277" s="12" t="str">
        <f t="shared" si="206"/>
        <v>DI16-</v>
      </c>
      <c r="HT277" s="12" t="str">
        <f t="shared" si="206"/>
        <v>DI16-</v>
      </c>
      <c r="HU277" s="12" t="str">
        <f>CONCATENATE("DO",REPLACE($AH277,1,3,""),"-",AK277)</f>
        <v>DO9-6B</v>
      </c>
      <c r="HV277" s="12" t="str">
        <f>CONCATENATE("DO",REPLACE($AH277,1,3,""),"-",AL277)</f>
        <v>DO9-6A</v>
      </c>
      <c r="HW277" s="12" t="str">
        <f>CONCATENATE("DO",REPLACE($AH277,1,3,""),"-",HE277)</f>
        <v>DO9-7B</v>
      </c>
      <c r="HX277" s="12" t="str">
        <f>CONCATENATE("DO",REPLACE($AH277,1,3,""),"-",HF277)</f>
        <v>DO9-7A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>IF(AD277+AE277&gt;31,REPLACE(AC277,LEN(AC277),1,VALUE(RIGHT(AC277,1))+1),AC277)</f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192"/>
        <v>C16</v>
      </c>
      <c r="AG278" t="str">
        <f t="shared" si="193"/>
        <v>B16</v>
      </c>
      <c r="AH278" t="str">
        <f t="shared" si="204"/>
        <v>A6.9</v>
      </c>
      <c r="AI278" s="43">
        <f t="array" ref="AI278">IF(COUNTIFS(AH$2:AH278,AH278)=1,"1",VALUE(SUBSTITUTE(INDEX(AI:AI,_xlfn.XMATCH(AH278,AH$1:AH277,0,-1)),"A",""))+INDEX(AJ:AJ,_xlfn.XMATCH(AH278,AH$1:AH277,0,-1))+1)</f>
        <v>8</v>
      </c>
      <c r="AJ278" s="43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195"/>
        <v>8B</v>
      </c>
      <c r="AL278" s="11" t="str">
        <f t="shared" si="196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CONCATENATE(REPLACE(AK278,LEN(AK278),1,"")+1,"B")</f>
        <v>9B</v>
      </c>
      <c r="BQ278" s="23" t="str">
        <f>CONCATENATE(REPLACE(AL278,LEN(AL278),1,"")+1,"A")</f>
        <v>9A</v>
      </c>
      <c r="BR278" s="23" t="str">
        <f>CONCATENATE(REPLACE(BP278,LEN(BP278),1,"")+1,"B")</f>
        <v>10B</v>
      </c>
      <c r="BS278" s="23" t="str">
        <f>CONCATENATE(REPLACE(BQ278,LEN(BQ278),1,"")+1,"A")</f>
        <v>10A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07">CONCATENATE("DI",REPLACE($AC278,1,3,""),"-",BF278)</f>
        <v>DI16-C17</v>
      </c>
      <c r="BW278" s="23" t="str">
        <f t="shared" si="207"/>
        <v>DI16-B17</v>
      </c>
      <c r="BX278" s="23" t="str">
        <f t="shared" si="207"/>
        <v>DI16-C18</v>
      </c>
      <c r="BY278" s="23" t="str">
        <f t="shared" si="207"/>
        <v>DI16-B18</v>
      </c>
      <c r="BZ278" s="23" t="str">
        <f t="shared" si="207"/>
        <v>DI16-C19</v>
      </c>
      <c r="CA278" s="23" t="str">
        <f t="shared" si="207"/>
        <v>DI16-B19</v>
      </c>
      <c r="CB278" s="23" t="str">
        <f t="shared" si="207"/>
        <v>DI16-C20</v>
      </c>
      <c r="CC278" s="23" t="str">
        <f t="shared" si="207"/>
        <v>DI16-B20</v>
      </c>
      <c r="CD278" s="23" t="str">
        <f t="shared" si="207"/>
        <v>DI16-</v>
      </c>
      <c r="CE278" s="23" t="str">
        <f t="shared" si="207"/>
        <v>DI16-</v>
      </c>
      <c r="CF278" s="23" t="str">
        <f>CONCATENATE("DO",REPLACE($AH278,1,3,""),"-",AK278)</f>
        <v>DO9-8B</v>
      </c>
      <c r="CG278" s="23" t="str">
        <f>CONCATENATE("DO",REPLACE($AH278,1,3,""),"-",AL278)</f>
        <v>DO9-8A</v>
      </c>
      <c r="CH278" s="23" t="str">
        <f>CONCATENATE("DO",REPLACE($AH278,1,3,""),"-",BP278)</f>
        <v>DO9-9B</v>
      </c>
      <c r="CI278" s="23" t="str">
        <f>CONCATENATE("DO",REPLACE($AH278,1,3,""),"-",BQ278)</f>
        <v>DO9-9A</v>
      </c>
      <c r="CJ278" s="23" t="str">
        <f>CONCATENATE("DO",REPLACE($AH278,1,3,""),"-",BR278)</f>
        <v>DO9-10B</v>
      </c>
      <c r="CK278" s="23" t="str">
        <f>CONCATENATE("DO",REPLACE($AH278,1,3,""),"-",BS278)</f>
        <v>DO9-10A</v>
      </c>
      <c r="CL278" s="23" t="str">
        <f>CONCATENATE("K",$U278,"-10")</f>
        <v>K98-10</v>
      </c>
      <c r="CM278" s="23" t="str">
        <f>CONCATENATE("K",$U278,"-03")</f>
        <v>K98-03</v>
      </c>
      <c r="CN278" s="23" t="str">
        <f>CONCATENATE("K",$U278,"-04")</f>
        <v>K98-04</v>
      </c>
      <c r="CO278" s="23" t="str">
        <f>CONCATENATE("K",$U278,"-01")</f>
        <v>K98-01</v>
      </c>
      <c r="CP278" s="23" t="str">
        <f>CONCATENATE("K",$U278,"-08")</f>
        <v>K98-08</v>
      </c>
      <c r="CQ278" s="23" t="str">
        <f>CONCATENATE("K",$U278,"-02")</f>
        <v>K98-02</v>
      </c>
      <c r="CR278" s="23" t="str">
        <f>CONCATENATE("K",$U278,"-09")</f>
        <v>K98-09</v>
      </c>
      <c r="CS278" s="23" t="str">
        <f>CONCATENATE("K",$U278,"-05")</f>
        <v>K98-05</v>
      </c>
      <c r="CT278" s="23" t="str">
        <f>CONCATENATE("K",$U278,"-11")</f>
        <v>K98-11</v>
      </c>
      <c r="CU278" s="23" t="str">
        <f>CONCATENATE($T278,"-M",$U278,"-A9")</f>
        <v>F0-M98-A9</v>
      </c>
      <c r="CV278" s="23" t="str">
        <f>CONCATENATE($T278,"-M",$U278,"-A7")</f>
        <v>F0-M98-A7</v>
      </c>
      <c r="CW278" s="23" t="str">
        <f>CONCATENATE($T278,"-M",$U278,"-A8")</f>
        <v>F0-M98-A8</v>
      </c>
      <c r="CX278" s="23" t="str">
        <f>CONCATENATE($T278,"-M",$U278,"-A6")</f>
        <v>F0-M98-A6</v>
      </c>
      <c r="CY278" s="23" t="str">
        <f>CONCATENATE($T278,"-M",$U278,"-A30")</f>
        <v>F0-M98-A30</v>
      </c>
      <c r="CZ278" s="23" t="str">
        <f>CONCATENATE($T278,"-M",$U278,"-N")</f>
        <v>F0-M98-N</v>
      </c>
      <c r="DA278" s="23" t="str">
        <f>CONCATENATE($T278,"-A220-M",U278)</f>
        <v>F0-A220-M98</v>
      </c>
      <c r="DB278" s="23" t="str">
        <f>CONCATENATE($T278,"-M",$U278,"-XM01")</f>
        <v>F0-M98-XM01</v>
      </c>
      <c r="DC278" s="23" t="str">
        <f>CONCATENATE($T278,"-M",$U278,"-A1")</f>
        <v>F0-M98-A1</v>
      </c>
      <c r="DD278" s="23" t="str">
        <f>CONCATENATE($T278,"-M",$U278,"-A5")</f>
        <v>F0-M98-A5</v>
      </c>
      <c r="DE278" s="23" t="str">
        <f>CONCATENATE($T278,"-M",$U278,"-A11")</f>
        <v>F0-M98-A11</v>
      </c>
      <c r="DF278" s="23" t="str">
        <f>CONCATENATE($T278,"-M",$U278,"-A12")</f>
        <v>F0-M98-A12</v>
      </c>
      <c r="DG278" s="23" t="str">
        <f>CONCATENATE($T278,"-M",$U278,"-A19")</f>
        <v>F0-M98-A19</v>
      </c>
      <c r="DH278" s="23" t="str">
        <f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SUM(IF(ISNUMBER(FIND("TmAi",$BE$1:$AAD$1)),IF(IFERROR(ISODD(SUBSTITUTE($BE279:$AAD279,"A","")),FALSE),IF(ISODD(SUBSTITUTE($BE279:$AAD279,"A","")),1,0),0)))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192"/>
        <v>C1</v>
      </c>
      <c r="AG279" t="str">
        <f t="shared" si="193"/>
        <v>B1</v>
      </c>
      <c r="AH279" t="str">
        <f t="shared" si="204"/>
        <v>A6.9</v>
      </c>
      <c r="AI279" s="43">
        <f t="array" ref="AI279">IF(COUNTIFS(AH$2:AH279,AH279)=1,"1",VALUE(SUBSTITUTE(INDEX(AI:AI,_xlfn.XMATCH(AH279,AH$1:AH278,0,-1)),"A",""))+INDEX(AJ:AJ,_xlfn.XMATCH(AH279,AH$1:AH278,0,-1))+1)</f>
        <v>11</v>
      </c>
      <c r="AJ279" s="43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195"/>
        <v>11B</v>
      </c>
      <c r="AL279" s="11" t="str">
        <f t="shared" si="196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CONCATENATE(REPLACE(AK279,LEN(AK279),1,"")+1,"B")</f>
        <v>12B</v>
      </c>
      <c r="HF279" s="12" t="str">
        <f>CONCATENATE(REPLACE(AL279,LEN(AL279),1,"")+1,"A")</f>
        <v>12A</v>
      </c>
      <c r="HG279" s="12" t="str">
        <f>CONCATENATE("AI",REPLACE($X279,1,3,""),"-",AA279)</f>
        <v>AI33-13A</v>
      </c>
      <c r="HH279" s="12" t="str">
        <f>CONCATENATE("AI",REPLACE($X279,1,3,""),"-",AB279)</f>
        <v>AI33-13B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08">CONCATENATE("DI",REPLACE($AC279,1,3,""),"-",GU279)</f>
        <v>DI17-C2</v>
      </c>
      <c r="HL279" s="12" t="str">
        <f t="shared" si="208"/>
        <v>DI17-B2</v>
      </c>
      <c r="HM279" s="12" t="str">
        <f t="shared" si="208"/>
        <v>DI17-C3</v>
      </c>
      <c r="HN279" s="12" t="str">
        <f t="shared" si="208"/>
        <v>DI17-B3</v>
      </c>
      <c r="HO279" s="12" t="str">
        <f t="shared" si="208"/>
        <v>DI17-C4</v>
      </c>
      <c r="HP279" s="12" t="str">
        <f t="shared" si="208"/>
        <v>DI17-B4</v>
      </c>
      <c r="HQ279" s="12" t="str">
        <f t="shared" si="208"/>
        <v>DI17-C5</v>
      </c>
      <c r="HR279" s="12" t="str">
        <f t="shared" si="208"/>
        <v>DI17-B5</v>
      </c>
      <c r="HS279" s="12" t="str">
        <f t="shared" si="208"/>
        <v>DI17-</v>
      </c>
      <c r="HT279" s="12" t="str">
        <f t="shared" si="208"/>
        <v>DI17-</v>
      </c>
      <c r="HU279" s="12" t="str">
        <f>CONCATENATE("DO",REPLACE($AH279,1,3,""),"-",AK279)</f>
        <v>DO9-11B</v>
      </c>
      <c r="HV279" s="12" t="str">
        <f>CONCATENATE("DO",REPLACE($AH279,1,3,""),"-",AL279)</f>
        <v>DO9-11A</v>
      </c>
      <c r="HW279" s="12" t="str">
        <f>CONCATENATE("DO",REPLACE($AH279,1,3,""),"-",HE279)</f>
        <v>DO9-12B</v>
      </c>
      <c r="HX279" s="12" t="str">
        <f>CONCATENATE("DO",REPLACE($AH279,1,3,""),"-",HF279)</f>
        <v>DO9-12A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>IF(AD279+AE279&gt;31,REPLACE(AC279,LEN(AC279),1,VALUE(RIGHT(AC279,1))+1),AC279)</f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192"/>
        <v>C6</v>
      </c>
      <c r="AG280" t="str">
        <f t="shared" si="193"/>
        <v>B6</v>
      </c>
      <c r="AH280" t="str">
        <f t="shared" si="204"/>
        <v>A6.9</v>
      </c>
      <c r="AI280" s="43">
        <f t="array" ref="AI280">IF(COUNTIFS(AH$2:AH280,AH280)=1,"1",VALUE(SUBSTITUTE(INDEX(AI:AI,_xlfn.XMATCH(AH280,AH$1:AH279,0,-1)),"A",""))+INDEX(AJ:AJ,_xlfn.XMATCH(AH280,AH$1:AH279,0,-1))+1)</f>
        <v>13</v>
      </c>
      <c r="AJ280" s="43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195"/>
        <v>13B</v>
      </c>
      <c r="AL280" s="11" t="str">
        <f t="shared" si="196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CONCATENATE(REPLACE(AK280,LEN(AK280),1,"")+1,"B")</f>
        <v>14B</v>
      </c>
      <c r="BQ280" s="23" t="str">
        <f>CONCATENATE(REPLACE(AL280,LEN(AL280),1,"")+1,"A")</f>
        <v>14A</v>
      </c>
      <c r="BR280" s="23" t="str">
        <f>CONCATENATE(REPLACE(BP280,LEN(BP280),1,"")+1,"B")</f>
        <v>15B</v>
      </c>
      <c r="BS280" s="23" t="str">
        <f>CONCATENATE(REPLACE(BQ280,LEN(BQ280),1,"")+1,"A")</f>
        <v>15A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09">CONCATENATE("DI",REPLACE($AC280,1,3,""),"-",BF280)</f>
        <v>DI17-C7</v>
      </c>
      <c r="BW280" s="23" t="str">
        <f t="shared" si="209"/>
        <v>DI17-B7</v>
      </c>
      <c r="BX280" s="23" t="str">
        <f t="shared" si="209"/>
        <v>DI17-C8</v>
      </c>
      <c r="BY280" s="23" t="str">
        <f t="shared" si="209"/>
        <v>DI17-B8</v>
      </c>
      <c r="BZ280" s="23" t="str">
        <f t="shared" si="209"/>
        <v>DI17-C9</v>
      </c>
      <c r="CA280" s="23" t="str">
        <f t="shared" si="209"/>
        <v>DI17-B9</v>
      </c>
      <c r="CB280" s="23" t="str">
        <f t="shared" si="209"/>
        <v>DI17-C10</v>
      </c>
      <c r="CC280" s="23" t="str">
        <f t="shared" si="209"/>
        <v>DI17-B10</v>
      </c>
      <c r="CD280" s="23" t="str">
        <f t="shared" si="209"/>
        <v>DI17-</v>
      </c>
      <c r="CE280" s="23" t="str">
        <f t="shared" si="209"/>
        <v>DI17-</v>
      </c>
      <c r="CF280" s="23" t="str">
        <f>CONCATENATE("DO",REPLACE($AH280,1,3,""),"-",AK280)</f>
        <v>DO9-13B</v>
      </c>
      <c r="CG280" s="23" t="str">
        <f>CONCATENATE("DO",REPLACE($AH280,1,3,""),"-",AL280)</f>
        <v>DO9-13A</v>
      </c>
      <c r="CH280" s="23" t="str">
        <f>CONCATENATE("DO",REPLACE($AH280,1,3,""),"-",BP280)</f>
        <v>DO9-14B</v>
      </c>
      <c r="CI280" s="23" t="str">
        <f>CONCATENATE("DO",REPLACE($AH280,1,3,""),"-",BQ280)</f>
        <v>DO9-14A</v>
      </c>
      <c r="CJ280" s="23" t="str">
        <f>CONCATENATE("DO",REPLACE($AH280,1,3,""),"-",BR280)</f>
        <v>DO9-15B</v>
      </c>
      <c r="CK280" s="23" t="str">
        <f>CONCATENATE("DO",REPLACE($AH280,1,3,""),"-",BS280)</f>
        <v>DO9-15A</v>
      </c>
      <c r="CL280" s="23" t="str">
        <f>CONCATENATE("K",$U280,"-10")</f>
        <v>K100-10</v>
      </c>
      <c r="CM280" s="23" t="str">
        <f>CONCATENATE("K",$U280,"-03")</f>
        <v>K100-03</v>
      </c>
      <c r="CN280" s="23" t="str">
        <f>CONCATENATE("K",$U280,"-04")</f>
        <v>K100-04</v>
      </c>
      <c r="CO280" s="23" t="str">
        <f>CONCATENATE("K",$U280,"-01")</f>
        <v>K100-01</v>
      </c>
      <c r="CP280" s="23" t="str">
        <f>CONCATENATE("K",$U280,"-08")</f>
        <v>K100-08</v>
      </c>
      <c r="CQ280" s="23" t="str">
        <f>CONCATENATE("K",$U280,"-02")</f>
        <v>K100-02</v>
      </c>
      <c r="CR280" s="23" t="str">
        <f>CONCATENATE("K",$U280,"-09")</f>
        <v>K100-09</v>
      </c>
      <c r="CS280" s="23" t="str">
        <f>CONCATENATE("K",$U280,"-05")</f>
        <v>K100-05</v>
      </c>
      <c r="CT280" s="23" t="str">
        <f>CONCATENATE("K",$U280,"-11")</f>
        <v>K100-11</v>
      </c>
      <c r="CU280" s="23" t="str">
        <f>CONCATENATE($T280,"-M",$U280,"-A9")</f>
        <v>F0-M100-A9</v>
      </c>
      <c r="CV280" s="23" t="str">
        <f>CONCATENATE($T280,"-M",$U280,"-A7")</f>
        <v>F0-M100-A7</v>
      </c>
      <c r="CW280" s="23" t="str">
        <f>CONCATENATE($T280,"-M",$U280,"-A8")</f>
        <v>F0-M100-A8</v>
      </c>
      <c r="CX280" s="23" t="str">
        <f>CONCATENATE($T280,"-M",$U280,"-A6")</f>
        <v>F0-M100-A6</v>
      </c>
      <c r="CY280" s="23" t="str">
        <f>CONCATENATE($T280,"-M",$U280,"-A30")</f>
        <v>F0-M100-A30</v>
      </c>
      <c r="CZ280" s="23" t="str">
        <f>CONCATENATE($T280,"-M",$U280,"-N")</f>
        <v>F0-M100-N</v>
      </c>
      <c r="DA280" s="23" t="str">
        <f>CONCATENATE($T280,"-A220-M",U280)</f>
        <v>F0-A220-M100</v>
      </c>
      <c r="DB280" s="23" t="str">
        <f>CONCATENATE($T280,"-M",$U280,"-XM01")</f>
        <v>F0-M100-XM01</v>
      </c>
      <c r="DC280" s="23" t="str">
        <f>CONCATENATE($T280,"-M",$U280,"-A1")</f>
        <v>F0-M100-A1</v>
      </c>
      <c r="DD280" s="23" t="str">
        <f>CONCATENATE($T280,"-M",$U280,"-A5")</f>
        <v>F0-M100-A5</v>
      </c>
      <c r="DE280" s="23" t="str">
        <f>CONCATENATE($T280,"-M",$U280,"-A11")</f>
        <v>F0-M100-A11</v>
      </c>
      <c r="DF280" s="23" t="str">
        <f>CONCATENATE($T280,"-M",$U280,"-A12")</f>
        <v>F0-M100-A12</v>
      </c>
      <c r="DG280" s="23" t="str">
        <f>CONCATENATE($T280,"-M",$U280,"-A19")</f>
        <v>F0-M100-A19</v>
      </c>
      <c r="DH280" s="23" t="str">
        <f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SUM(IF(ISNUMBER(FIND("TmAi",$BE$1:$AAD$1)),IF(IFERROR(ISODD(SUBSTITUTE($BE281:$AAD281,"A","")),FALSE),IF(ISODD(SUBSTITUTE($BE281:$AAD281,"A","")),1,0),0)))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>IF(AD280+AE280&gt;31,REPLACE(AC280,LEN(AC280),1,VALUE(RIGHT(AC280,1))+1),AC280)</f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192"/>
        <v>C11</v>
      </c>
      <c r="AG281" t="str">
        <f t="shared" si="193"/>
        <v>B11</v>
      </c>
      <c r="AH281" t="str">
        <f t="shared" si="204"/>
        <v>A6.9</v>
      </c>
      <c r="AI281" s="43">
        <f t="array" ref="AI281">IF(COUNTIFS(AH$2:AH281,AH281)=1,"1",VALUE(SUBSTITUTE(INDEX(AI:AI,_xlfn.XMATCH(AH281,AH$1:AH280,0,-1)),"A",""))+INDEX(AJ:AJ,_xlfn.XMATCH(AH281,AH$1:AH280,0,-1))+1)</f>
        <v>16</v>
      </c>
      <c r="AJ281" s="43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195"/>
        <v>16B</v>
      </c>
      <c r="AL281" s="11" t="str">
        <f t="shared" si="196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CONCATENATE(REPLACE(AK281,LEN(AK281),1,"")+1,"B")</f>
        <v>17B</v>
      </c>
      <c r="HF281" s="12" t="str">
        <f>CONCATENATE(REPLACE(AL281,LEN(AL281),1,"")+1,"A")</f>
        <v>17A</v>
      </c>
      <c r="HG281" s="12" t="str">
        <f>CONCATENATE("AI",REPLACE($X281,1,3,""),"-",AA281)</f>
        <v>AI33-15A</v>
      </c>
      <c r="HH281" s="12" t="str">
        <f>CONCATENATE("AI",REPLACE($X281,1,3,""),"-",AB281)</f>
        <v>AI33-15B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10">CONCATENATE("DI",REPLACE($AC281,1,3,""),"-",GU281)</f>
        <v>DI17-C12</v>
      </c>
      <c r="HL281" s="12" t="str">
        <f t="shared" si="210"/>
        <v>DI17-B12</v>
      </c>
      <c r="HM281" s="12" t="str">
        <f t="shared" si="210"/>
        <v>DI17-C13</v>
      </c>
      <c r="HN281" s="12" t="str">
        <f t="shared" si="210"/>
        <v>DI17-B13</v>
      </c>
      <c r="HO281" s="12" t="str">
        <f t="shared" si="210"/>
        <v>DI17-C14</v>
      </c>
      <c r="HP281" s="12" t="str">
        <f t="shared" si="210"/>
        <v>DI17-B14</v>
      </c>
      <c r="HQ281" s="12" t="str">
        <f t="shared" si="210"/>
        <v>DI17-C15</v>
      </c>
      <c r="HR281" s="12" t="str">
        <f t="shared" si="210"/>
        <v>DI17-B15</v>
      </c>
      <c r="HS281" s="12" t="str">
        <f t="shared" si="210"/>
        <v>DI17-</v>
      </c>
      <c r="HT281" s="12" t="str">
        <f t="shared" si="210"/>
        <v>DI17-</v>
      </c>
      <c r="HU281" s="12" t="str">
        <f>CONCATENATE("DO",REPLACE($AH281,1,3,""),"-",AK281)</f>
        <v>DO9-16B</v>
      </c>
      <c r="HV281" s="12" t="str">
        <f>CONCATENATE("DO",REPLACE($AH281,1,3,""),"-",AL281)</f>
        <v>DO9-16A</v>
      </c>
      <c r="HW281" s="12" t="str">
        <f>CONCATENATE("DO",REPLACE($AH281,1,3,""),"-",HE281)</f>
        <v>DO9-17B</v>
      </c>
      <c r="HX281" s="12" t="str">
        <f>CONCATENATE("DO",REPLACE($AH281,1,3,""),"-",HF281)</f>
        <v>DO9-17A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>IF(AD281+AE281&gt;31,REPLACE(AC281,LEN(AC281),1,VALUE(RIGHT(AC281,1))+1),AC281)</f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192"/>
        <v>C16</v>
      </c>
      <c r="AG282" t="str">
        <f t="shared" si="193"/>
        <v>B16</v>
      </c>
      <c r="AH282" t="str">
        <f t="shared" si="204"/>
        <v>A6.9</v>
      </c>
      <c r="AI282" s="43">
        <f t="array" ref="AI282">IF(COUNTIFS(AH$2:AH282,AH282)=1,"1",VALUE(SUBSTITUTE(INDEX(AI:AI,_xlfn.XMATCH(AH282,AH$1:AH281,0,-1)),"A",""))+INDEX(AJ:AJ,_xlfn.XMATCH(AH282,AH$1:AH281,0,-1))+1)</f>
        <v>18</v>
      </c>
      <c r="AJ282" s="43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195"/>
        <v>18B</v>
      </c>
      <c r="AL282" s="11" t="str">
        <f t="shared" si="196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CONCATENATE(REPLACE(AK282,LEN(AK282),1,"")+1,"B")</f>
        <v>19B</v>
      </c>
      <c r="BQ282" s="23" t="str">
        <f>CONCATENATE(REPLACE(AL282,LEN(AL282),1,"")+1,"A")</f>
        <v>19A</v>
      </c>
      <c r="BR282" s="23" t="str">
        <f>CONCATENATE(REPLACE(BP282,LEN(BP282),1,"")+1,"B")</f>
        <v>20B</v>
      </c>
      <c r="BS282" s="23" t="str">
        <f>CONCATENATE(REPLACE(BQ282,LEN(BQ282),1,"")+1,"A")</f>
        <v>20A</v>
      </c>
      <c r="BT282" s="23" t="str">
        <f t="shared" ref="BT282:BU285" si="211">CONCATENATE("DI",REPLACE($AC282,1,3,""),"-",AF282)</f>
        <v>DI17-C16</v>
      </c>
      <c r="BU282" s="23" t="str">
        <f t="shared" si="211"/>
        <v>DI17-B16</v>
      </c>
      <c r="BV282" s="23" t="str">
        <f t="shared" ref="BV282:CE285" si="212">CONCATENATE("DI",REPLACE($AC282,1,3,""),"-",BF282)</f>
        <v>DI17-C17</v>
      </c>
      <c r="BW282" s="23" t="str">
        <f t="shared" si="212"/>
        <v>DI17-B17</v>
      </c>
      <c r="BX282" s="23" t="str">
        <f t="shared" si="212"/>
        <v>DI17-C18</v>
      </c>
      <c r="BY282" s="23" t="str">
        <f t="shared" si="212"/>
        <v>DI17-B18</v>
      </c>
      <c r="BZ282" s="23" t="str">
        <f t="shared" si="212"/>
        <v>DI17-C19</v>
      </c>
      <c r="CA282" s="23" t="str">
        <f t="shared" si="212"/>
        <v>DI17-B19</v>
      </c>
      <c r="CB282" s="23" t="str">
        <f t="shared" si="212"/>
        <v>DI17-C20</v>
      </c>
      <c r="CC282" s="23" t="str">
        <f t="shared" si="212"/>
        <v>DI17-B20</v>
      </c>
      <c r="CD282" s="23" t="str">
        <f t="shared" si="212"/>
        <v>DI17-</v>
      </c>
      <c r="CE282" s="23" t="str">
        <f t="shared" si="212"/>
        <v>DI17-</v>
      </c>
      <c r="CF282" s="23" t="str">
        <f t="shared" ref="CF282:CG285" si="213">CONCATENATE("DO",REPLACE($AH282,1,3,""),"-",AK282)</f>
        <v>DO9-18B</v>
      </c>
      <c r="CG282" s="23" t="str">
        <f t="shared" si="213"/>
        <v>DO9-18A</v>
      </c>
      <c r="CH282" s="23" t="str">
        <f t="shared" ref="CH282:CK285" si="214">CONCATENATE("DO",REPLACE($AH282,1,3,""),"-",BP282)</f>
        <v>DO9-19B</v>
      </c>
      <c r="CI282" s="23" t="str">
        <f t="shared" si="214"/>
        <v>DO9-19A</v>
      </c>
      <c r="CJ282" s="23" t="str">
        <f t="shared" si="214"/>
        <v>DO9-20B</v>
      </c>
      <c r="CK282" s="23" t="str">
        <f t="shared" si="214"/>
        <v>DO9-20A</v>
      </c>
      <c r="CL282" s="23" t="str">
        <f>CONCATENATE("K",$U282,"-10")</f>
        <v>K102-10</v>
      </c>
      <c r="CM282" s="23" t="str">
        <f>CONCATENATE("K",$U282,"-03")</f>
        <v>K102-03</v>
      </c>
      <c r="CN282" s="23" t="str">
        <f>CONCATENATE("K",$U282,"-04")</f>
        <v>K102-04</v>
      </c>
      <c r="CO282" s="23" t="str">
        <f>CONCATENATE("K",$U282,"-01")</f>
        <v>K102-01</v>
      </c>
      <c r="CP282" s="23" t="str">
        <f>CONCATENATE("K",$U282,"-08")</f>
        <v>K102-08</v>
      </c>
      <c r="CQ282" s="23" t="str">
        <f>CONCATENATE("K",$U282,"-02")</f>
        <v>K102-02</v>
      </c>
      <c r="CR282" s="23" t="str">
        <f>CONCATENATE("K",$U282,"-09")</f>
        <v>K102-09</v>
      </c>
      <c r="CS282" s="23" t="str">
        <f>CONCATENATE("K",$U282,"-05")</f>
        <v>K102-05</v>
      </c>
      <c r="CT282" s="23" t="str">
        <f>CONCATENATE("K",$U282,"-11")</f>
        <v>K102-11</v>
      </c>
      <c r="CU282" s="23" t="str">
        <f>CONCATENATE($T282,"-M",$U282,"-A9")</f>
        <v>F0-M102-A9</v>
      </c>
      <c r="CV282" s="23" t="str">
        <f>CONCATENATE($T282,"-M",$U282,"-A7")</f>
        <v>F0-M102-A7</v>
      </c>
      <c r="CW282" s="23" t="str">
        <f>CONCATENATE($T282,"-M",$U282,"-A8")</f>
        <v>F0-M102-A8</v>
      </c>
      <c r="CX282" s="23" t="str">
        <f>CONCATENATE($T282,"-M",$U282,"-A6")</f>
        <v>F0-M102-A6</v>
      </c>
      <c r="CY282" s="23" t="str">
        <f>CONCATENATE($T282,"-M",$U282,"-A30")</f>
        <v>F0-M102-A30</v>
      </c>
      <c r="CZ282" s="23" t="str">
        <f>CONCATENATE($T282,"-M",$U282,"-N")</f>
        <v>F0-M102-N</v>
      </c>
      <c r="DA282" s="23" t="str">
        <f>CONCATENATE($T282,"-A220-M",U282)</f>
        <v>F0-A220-M102</v>
      </c>
      <c r="DB282" s="23" t="str">
        <f>CONCATENATE($T282,"-M",$U282,"-XM01")</f>
        <v>F0-M102-XM01</v>
      </c>
      <c r="DC282" s="23" t="str">
        <f>CONCATENATE($T282,"-M",$U282,"-A1")</f>
        <v>F0-M102-A1</v>
      </c>
      <c r="DD282" s="23" t="str">
        <f>CONCATENATE($T282,"-M",$U282,"-A5")</f>
        <v>F0-M102-A5</v>
      </c>
      <c r="DE282" s="23" t="str">
        <f>CONCATENATE($T282,"-M",$U282,"-A11")</f>
        <v>F0-M102-A11</v>
      </c>
      <c r="DF282" s="23" t="str">
        <f>CONCATENATE($T282,"-M",$U282,"-A12")</f>
        <v>F0-M102-A12</v>
      </c>
      <c r="DG282" s="23" t="str">
        <f>CONCATENATE($T282,"-M",$U282,"-A19")</f>
        <v>F0-M102-A19</v>
      </c>
      <c r="DH282" s="23" t="str">
        <f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192"/>
        <v>C1</v>
      </c>
      <c r="AG283" t="str">
        <f t="shared" si="193"/>
        <v>B1</v>
      </c>
      <c r="AH283" s="19" t="s">
        <v>1862</v>
      </c>
      <c r="AI283" s="43" t="str">
        <f t="array" ref="AI283">IF(COUNTIFS(AH$2:AH283,AH283)=1,"1",VALUE(SUBSTITUTE(INDEX(AI:AI,_xlfn.XMATCH(AH283,AH$1:AH282,0,-1)),"A",""))+INDEX(AJ:AJ,_xlfn.XMATCH(AH283,AH$1:AH282,0,-1))+1)</f>
        <v>1</v>
      </c>
      <c r="AJ283" s="43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CONCATENATE(REPLACE(AK283,LEN(AK283),1,"")+1,"B")</f>
        <v>2B</v>
      </c>
      <c r="BQ283" s="19" t="str">
        <f>CONCATENATE(REPLACE(AL283,LEN(AL283),1,"")+1,"A")</f>
        <v>2A</v>
      </c>
      <c r="BR283" s="19" t="str">
        <f>CONCATENATE(REPLACE(BP283,LEN(BP283),1,"")+1,"B")</f>
        <v>3B</v>
      </c>
      <c r="BS283" s="19" t="str">
        <f>CONCATENATE(REPLACE(BQ283,LEN(BQ283),1,"")+1,"A")</f>
        <v>3A</v>
      </c>
      <c r="BT283" s="19" t="str">
        <f t="shared" si="211"/>
        <v>DI18-C1</v>
      </c>
      <c r="BU283" s="19" t="str">
        <f t="shared" si="211"/>
        <v>DI18-B1</v>
      </c>
      <c r="BV283" s="19" t="str">
        <f t="shared" si="212"/>
        <v>DI18-C2</v>
      </c>
      <c r="BW283" s="19" t="str">
        <f t="shared" si="212"/>
        <v>DI18-B2</v>
      </c>
      <c r="BX283" s="19" t="str">
        <f t="shared" si="212"/>
        <v>DI18-C3</v>
      </c>
      <c r="BY283" s="19" t="str">
        <f t="shared" si="212"/>
        <v>DI18-B3</v>
      </c>
      <c r="BZ283" s="19" t="str">
        <f t="shared" si="212"/>
        <v>DI18-C4</v>
      </c>
      <c r="CA283" s="19" t="str">
        <f t="shared" si="212"/>
        <v>DI18-B4</v>
      </c>
      <c r="CB283" s="19" t="str">
        <f t="shared" si="212"/>
        <v>DI18-C5</v>
      </c>
      <c r="CC283" s="19" t="str">
        <f t="shared" si="212"/>
        <v>DI18-B5</v>
      </c>
      <c r="CD283" s="19" t="str">
        <f t="shared" si="212"/>
        <v>DI18-C6</v>
      </c>
      <c r="CE283" s="19" t="str">
        <f t="shared" si="212"/>
        <v>DI18-B6</v>
      </c>
      <c r="CF283" s="19" t="str">
        <f t="shared" si="213"/>
        <v>DO10-1B</v>
      </c>
      <c r="CG283" s="19" t="str">
        <f t="shared" si="213"/>
        <v>DO10-1A</v>
      </c>
      <c r="CH283" s="19" t="str">
        <f t="shared" si="214"/>
        <v>DO10-2B</v>
      </c>
      <c r="CI283" s="19" t="str">
        <f t="shared" si="214"/>
        <v>DO10-2A</v>
      </c>
      <c r="CJ283" s="19" t="str">
        <f t="shared" si="214"/>
        <v>DO10-3B</v>
      </c>
      <c r="CK283" s="19" t="str">
        <f t="shared" si="214"/>
        <v>DO10-3A</v>
      </c>
      <c r="CL283" s="19" t="str">
        <f>CONCATENATE("K",$U283,"-10")</f>
        <v>K103-10</v>
      </c>
      <c r="CM283" s="19" t="str">
        <f>CONCATENATE("K",$U283,"-03")</f>
        <v>K103-03</v>
      </c>
      <c r="CN283" s="19" t="str">
        <f>CONCATENATE("K",$U283,"-04")</f>
        <v>K103-04</v>
      </c>
      <c r="CO283" s="19" t="str">
        <f>CONCATENATE("K",$U283,"-01")</f>
        <v>K103-01</v>
      </c>
      <c r="CP283" s="19" t="str">
        <f>CONCATENATE("K",$U283,"-08")</f>
        <v>K103-08</v>
      </c>
      <c r="CQ283" s="19" t="str">
        <f>CONCATENATE("K",$U283,"-02")</f>
        <v>K103-02</v>
      </c>
      <c r="CR283" s="19" t="str">
        <f>CONCATENATE("K",$U283,"-09")</f>
        <v>K103-09</v>
      </c>
      <c r="CS283" s="19" t="str">
        <f>CONCATENATE("K",$U283,"-05")</f>
        <v>K103-05</v>
      </c>
      <c r="CT283" s="19" t="str">
        <f>CONCATENATE("K",$U283,"-11")</f>
        <v>K103-11</v>
      </c>
      <c r="CU283" s="19" t="str">
        <f>CONCATENATE($T283,"-M",$U283,"-A9")</f>
        <v>F0-M103-A9</v>
      </c>
      <c r="CV283" s="19" t="str">
        <f>CONCATENATE($T283,"-M",$U283,"-A7")</f>
        <v>F0-M103-A7</v>
      </c>
      <c r="CW283" s="19" t="str">
        <f>CONCATENATE($T283,"-M",$U283,"-A8")</f>
        <v>F0-M103-A8</v>
      </c>
      <c r="CX283" s="19" t="str">
        <f>CONCATENATE($T283,"-M",$U283,"-A6")</f>
        <v>F0-M103-A6</v>
      </c>
      <c r="CY283" s="19" t="str">
        <f>CONCATENATE($T283,"-M",$U283,"-A30")</f>
        <v>F0-M103-A30</v>
      </c>
      <c r="CZ283" s="19" t="str">
        <f>CONCATENATE($T283,"-M",$U283,"-N")</f>
        <v>F0-M103-N</v>
      </c>
      <c r="DA283" s="19" t="str">
        <f>CONCATENATE($T283,"-A220-M",U283)</f>
        <v>F0-A220-M103</v>
      </c>
      <c r="DB283" s="19" t="str">
        <f>CONCATENATE($T283,"-M",$U283,"-XM01")</f>
        <v>F0-M103-XM01</v>
      </c>
      <c r="DC283" s="19" t="str">
        <f>CONCATENATE($T283,"-M",$U283,"-A1")</f>
        <v>F0-M103-A1</v>
      </c>
      <c r="DD283" s="19" t="str">
        <f>CONCATENATE($T283,"-M",$U283,"-A5")</f>
        <v>F0-M103-A5</v>
      </c>
      <c r="DE283" s="19" t="str">
        <f>CONCATENATE($T283,"-M",$U283,"-A11")</f>
        <v>F0-M103-A11</v>
      </c>
      <c r="DF283" s="19" t="str">
        <f>CONCATENATE($T283,"-M",$U283,"-A12")</f>
        <v>F0-M103-A12</v>
      </c>
      <c r="DG283" s="19" t="str">
        <f>CONCATENATE($T283,"-M",$U283,"-A19")</f>
        <v>F0-M103-A19</v>
      </c>
      <c r="DH283" s="19" t="str">
        <f>CONCATENATE($T283,"-M",$U283,"-A20")</f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>IF(AD283+AE283&gt;31,REPLACE(AC283,LEN(AC283),1,VALUE(RIGHT(AC283,1))+1),AC283)</f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192"/>
        <v>C7</v>
      </c>
      <c r="AG284" t="str">
        <f t="shared" si="193"/>
        <v>B7</v>
      </c>
      <c r="AH284" t="str">
        <f>IF(AI283+AJ283&gt;31,REPLACE(AH283,LEN(AH283),1,VALUE(RIGHT(AH283,1))+1),AH283)</f>
        <v>A6.10</v>
      </c>
      <c r="AI284" s="43">
        <f t="array" ref="AI284">IF(COUNTIFS(AH$2:AH284,AH284)=1,"1",VALUE(SUBSTITUTE(INDEX(AI:AI,_xlfn.XMATCH(AH284,AH$1:AH283,0,-1)),"A",""))+INDEX(AJ:AJ,_xlfn.XMATCH(AH284,AH$1:AH283,0,-1))+1)</f>
        <v>4</v>
      </c>
      <c r="AJ284" s="43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CONCATENATE(REPLACE(AK284,LEN(AK284),1,"")+1,"B")</f>
        <v>2B</v>
      </c>
      <c r="BQ284" s="19" t="str">
        <f>CONCATENATE(REPLACE(AL284,LEN(AL284),1,"")+1,"A")</f>
        <v>2A</v>
      </c>
      <c r="BR284" s="19" t="str">
        <f>CONCATENATE(REPLACE(BP284,LEN(BP284),1,"")+1,"B")</f>
        <v>3B</v>
      </c>
      <c r="BS284" s="19" t="str">
        <f>CONCATENATE(REPLACE(BQ284,LEN(BQ284),1,"")+1,"A")</f>
        <v>3A</v>
      </c>
      <c r="BT284" s="19" t="str">
        <f t="shared" si="211"/>
        <v>DI18-C7</v>
      </c>
      <c r="BU284" s="19" t="str">
        <f t="shared" si="211"/>
        <v>DI18-B7</v>
      </c>
      <c r="BV284" s="19" t="str">
        <f t="shared" si="212"/>
        <v>DI18-C8</v>
      </c>
      <c r="BW284" s="19" t="str">
        <f t="shared" si="212"/>
        <v>DI18-B8</v>
      </c>
      <c r="BX284" s="19" t="str">
        <f t="shared" si="212"/>
        <v>DI18-C9</v>
      </c>
      <c r="BY284" s="19" t="str">
        <f t="shared" si="212"/>
        <v>DI18-B9</v>
      </c>
      <c r="BZ284" s="19" t="str">
        <f t="shared" si="212"/>
        <v>DI18-C10</v>
      </c>
      <c r="CA284" s="19" t="str">
        <f t="shared" si="212"/>
        <v>DI18-B10</v>
      </c>
      <c r="CB284" s="19" t="str">
        <f t="shared" si="212"/>
        <v>DI18-C11</v>
      </c>
      <c r="CC284" s="19" t="str">
        <f t="shared" si="212"/>
        <v>DI18-B11</v>
      </c>
      <c r="CD284" s="19" t="str">
        <f t="shared" si="212"/>
        <v>DI18-C12</v>
      </c>
      <c r="CE284" s="19" t="str">
        <f t="shared" si="212"/>
        <v>DI18-B12</v>
      </c>
      <c r="CF284" s="19" t="str">
        <f t="shared" si="213"/>
        <v>DO10-1B</v>
      </c>
      <c r="CG284" s="19" t="str">
        <f t="shared" si="213"/>
        <v>DO10-1A</v>
      </c>
      <c r="CH284" s="19" t="str">
        <f t="shared" si="214"/>
        <v>DO10-2B</v>
      </c>
      <c r="CI284" s="19" t="str">
        <f t="shared" si="214"/>
        <v>DO10-2A</v>
      </c>
      <c r="CJ284" s="19" t="str">
        <f t="shared" si="214"/>
        <v>DO10-3B</v>
      </c>
      <c r="CK284" s="19" t="str">
        <f t="shared" si="214"/>
        <v>DO10-3A</v>
      </c>
      <c r="CL284" s="19" t="str">
        <f>CONCATENATE("K",$U284,"-10")</f>
        <v>K104-10</v>
      </c>
      <c r="CM284" s="19" t="str">
        <f>CONCATENATE("K",$U284,"-03")</f>
        <v>K104-03</v>
      </c>
      <c r="CN284" s="19" t="str">
        <f>CONCATENATE("K",$U284,"-04")</f>
        <v>K104-04</v>
      </c>
      <c r="CO284" s="19" t="str">
        <f>CONCATENATE("K",$U284,"-01")</f>
        <v>K104-01</v>
      </c>
      <c r="CP284" s="19" t="str">
        <f>CONCATENATE("K",$U284,"-08")</f>
        <v>K104-08</v>
      </c>
      <c r="CQ284" s="19" t="str">
        <f>CONCATENATE("K",$U284,"-02")</f>
        <v>K104-02</v>
      </c>
      <c r="CR284" s="19" t="str">
        <f>CONCATENATE("K",$U284,"-09")</f>
        <v>K104-09</v>
      </c>
      <c r="CS284" s="19" t="str">
        <f>CONCATENATE("K",$U284,"-05")</f>
        <v>K104-05</v>
      </c>
      <c r="CT284" s="19" t="str">
        <f>CONCATENATE("K",$U284,"-11")</f>
        <v>K104-11</v>
      </c>
      <c r="CU284" s="19" t="str">
        <f>CONCATENATE($T284,"-M",$U284,"-A9")</f>
        <v>F0-M104-A9</v>
      </c>
      <c r="CV284" s="19" t="str">
        <f>CONCATENATE($T284,"-M",$U284,"-A7")</f>
        <v>F0-M104-A7</v>
      </c>
      <c r="CW284" s="19" t="str">
        <f>CONCATENATE($T284,"-M",$U284,"-A8")</f>
        <v>F0-M104-A8</v>
      </c>
      <c r="CX284" s="19" t="str">
        <f>CONCATENATE($T284,"-M",$U284,"-A6")</f>
        <v>F0-M104-A6</v>
      </c>
      <c r="CY284" s="19" t="str">
        <f>CONCATENATE($T284,"-M",$U284,"-A30")</f>
        <v>F0-M104-A30</v>
      </c>
      <c r="CZ284" s="19" t="str">
        <f>CONCATENATE($T284,"-M",$U284,"-N")</f>
        <v>F0-M104-N</v>
      </c>
      <c r="DA284" s="19" t="str">
        <f>CONCATENATE($T284,"-A220-M",U284)</f>
        <v>F0-A220-M104</v>
      </c>
      <c r="DB284" s="19" t="str">
        <f>CONCATENATE($T284,"-M",$U284,"-XM01")</f>
        <v>F0-M104-XM01</v>
      </c>
      <c r="DC284" s="19" t="str">
        <f>CONCATENATE($T284,"-M",$U284,"-A1")</f>
        <v>F0-M104-A1</v>
      </c>
      <c r="DD284" s="19" t="str">
        <f>CONCATENATE($T284,"-M",$U284,"-A5")</f>
        <v>F0-M104-A5</v>
      </c>
      <c r="DE284" s="19" t="str">
        <f>CONCATENATE($T284,"-M",$U284,"-A11")</f>
        <v>F0-M104-A11</v>
      </c>
      <c r="DF284" s="19" t="str">
        <f>CONCATENATE($T284,"-M",$U284,"-A12")</f>
        <v>F0-M104-A12</v>
      </c>
      <c r="DG284" s="19" t="str">
        <f>CONCATENATE($T284,"-M",$U284,"-A19")</f>
        <v>F0-M104-A19</v>
      </c>
      <c r="DH284" s="19" t="str">
        <f>CONCATENATE($T284,"-M",$U284,"-A20")</f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192"/>
        <v>C13</v>
      </c>
      <c r="AG285" t="str">
        <f t="shared" si="193"/>
        <v>B13</v>
      </c>
      <c r="AH285" t="str">
        <f>IF(AI284+AJ284&gt;31,REPLACE(AH284,LEN(AH284),1,VALUE(RIGHT(AH284,1))+1),AH284)</f>
        <v>A6.10</v>
      </c>
      <c r="AI285" s="43">
        <f t="array" ref="AI285">IF(COUNTIFS(AH$2:AH285,AH285)=1,"1",VALUE(SUBSTITUTE(INDEX(AI:AI,_xlfn.XMATCH(AH285,AH$1:AH284,0,-1)),"A",""))+INDEX(AJ:AJ,_xlfn.XMATCH(AH285,AH$1:AH284,0,-1))+1)</f>
        <v>7</v>
      </c>
      <c r="AJ285" s="43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CONCATENATE(REPLACE(AK285,LEN(AK285),1,"")+1,"B")</f>
        <v>2B</v>
      </c>
      <c r="BQ285" s="19" t="str">
        <f>CONCATENATE(REPLACE(AL285,LEN(AL285),1,"")+1,"A")</f>
        <v>2A</v>
      </c>
      <c r="BR285" s="19" t="str">
        <f>CONCATENATE(REPLACE(BP285,LEN(BP285),1,"")+1,"B")</f>
        <v>3B</v>
      </c>
      <c r="BS285" s="19" t="str">
        <f>CONCATENATE(REPLACE(BQ285,LEN(BQ285),1,"")+1,"A")</f>
        <v>3A</v>
      </c>
      <c r="BT285" s="19" t="str">
        <f t="shared" si="211"/>
        <v>DI18-C13</v>
      </c>
      <c r="BU285" s="19" t="str">
        <f t="shared" si="211"/>
        <v>DI18-B13</v>
      </c>
      <c r="BV285" s="19" t="str">
        <f t="shared" si="212"/>
        <v>DI18-C14</v>
      </c>
      <c r="BW285" s="19" t="str">
        <f t="shared" si="212"/>
        <v>DI18-B14</v>
      </c>
      <c r="BX285" s="19" t="str">
        <f t="shared" si="212"/>
        <v>DI18-C15</v>
      </c>
      <c r="BY285" s="19" t="str">
        <f t="shared" si="212"/>
        <v>DI18-B15</v>
      </c>
      <c r="BZ285" s="19" t="str">
        <f t="shared" si="212"/>
        <v>DI18-C16</v>
      </c>
      <c r="CA285" s="19" t="str">
        <f t="shared" si="212"/>
        <v>DI18-B16</v>
      </c>
      <c r="CB285" s="19" t="str">
        <f t="shared" si="212"/>
        <v>DI18-C17</v>
      </c>
      <c r="CC285" s="19" t="str">
        <f t="shared" si="212"/>
        <v>DI18-B17</v>
      </c>
      <c r="CD285" s="19" t="str">
        <f t="shared" si="212"/>
        <v>DI18-C18</v>
      </c>
      <c r="CE285" s="19" t="str">
        <f t="shared" si="212"/>
        <v>DI18-B18</v>
      </c>
      <c r="CF285" s="19" t="str">
        <f t="shared" si="213"/>
        <v>DO10-1B</v>
      </c>
      <c r="CG285" s="19" t="str">
        <f t="shared" si="213"/>
        <v>DO10-1A</v>
      </c>
      <c r="CH285" s="19" t="str">
        <f t="shared" si="214"/>
        <v>DO10-2B</v>
      </c>
      <c r="CI285" s="19" t="str">
        <f t="shared" si="214"/>
        <v>DO10-2A</v>
      </c>
      <c r="CJ285" s="19" t="str">
        <f t="shared" si="214"/>
        <v>DO10-3B</v>
      </c>
      <c r="CK285" s="19" t="str">
        <f t="shared" si="214"/>
        <v>DO10-3A</v>
      </c>
      <c r="CL285" s="19" t="str">
        <f>CONCATENATE("K",$U285,"-10")</f>
        <v>K105-10</v>
      </c>
      <c r="CM285" s="19" t="str">
        <f>CONCATENATE("K",$U285,"-03")</f>
        <v>K105-03</v>
      </c>
      <c r="CN285" s="19" t="str">
        <f>CONCATENATE("K",$U285,"-04")</f>
        <v>K105-04</v>
      </c>
      <c r="CO285" s="19" t="str">
        <f>CONCATENATE("K",$U285,"-01")</f>
        <v>K105-01</v>
      </c>
      <c r="CP285" s="19" t="str">
        <f>CONCATENATE("K",$U285,"-08")</f>
        <v>K105-08</v>
      </c>
      <c r="CQ285" s="19" t="str">
        <f>CONCATENATE("K",$U285,"-02")</f>
        <v>K105-02</v>
      </c>
      <c r="CR285" s="19" t="str">
        <f>CONCATENATE("K",$U285,"-09")</f>
        <v>K105-09</v>
      </c>
      <c r="CS285" s="19" t="str">
        <f>CONCATENATE("K",$U285,"-05")</f>
        <v>K105-05</v>
      </c>
      <c r="CT285" s="19" t="str">
        <f>CONCATENATE("K",$U285,"-11")</f>
        <v>K105-11</v>
      </c>
      <c r="CU285" s="19" t="str">
        <f>CONCATENATE($T285,"-M",$U285,"-A9")</f>
        <v>F0-M105-A9</v>
      </c>
      <c r="CV285" s="19" t="str">
        <f>CONCATENATE($T285,"-M",$U285,"-A7")</f>
        <v>F0-M105-A7</v>
      </c>
      <c r="CW285" s="19" t="str">
        <f>CONCATENATE($T285,"-M",$U285,"-A8")</f>
        <v>F0-M105-A8</v>
      </c>
      <c r="CX285" s="19" t="str">
        <f>CONCATENATE($T285,"-M",$U285,"-A6")</f>
        <v>F0-M105-A6</v>
      </c>
      <c r="CY285" s="19" t="str">
        <f>CONCATENATE($T285,"-M",$U285,"-A30")</f>
        <v>F0-M105-A30</v>
      </c>
      <c r="CZ285" s="19" t="str">
        <f>CONCATENATE($T285,"-M",$U285,"-N")</f>
        <v>F0-M105-N</v>
      </c>
      <c r="DA285" s="19" t="str">
        <f>CONCATENATE($T285,"-A220-M",U285)</f>
        <v>F0-A220-M105</v>
      </c>
      <c r="DB285" s="19" t="str">
        <f>CONCATENATE($T285,"-M",$U285,"-XM01")</f>
        <v>F0-M105-XM01</v>
      </c>
      <c r="DC285" s="19" t="str">
        <f>CONCATENATE($T285,"-M",$U285,"-A1")</f>
        <v>F0-M105-A1</v>
      </c>
      <c r="DD285" s="19" t="str">
        <f>CONCATENATE($T285,"-M",$U285,"-A5")</f>
        <v>F0-M105-A5</v>
      </c>
      <c r="DE285" s="19" t="str">
        <f>CONCATENATE($T285,"-M",$U285,"-A11")</f>
        <v>F0-M105-A11</v>
      </c>
      <c r="DF285" s="19" t="str">
        <f>CONCATENATE($T285,"-M",$U285,"-A12")</f>
        <v>F0-M105-A12</v>
      </c>
      <c r="DG285" s="19" t="str">
        <f>CONCATENATE($T285,"-M",$U285,"-A19")</f>
        <v>F0-M105-A19</v>
      </c>
      <c r="DH285" s="19" t="str">
        <f>CONCATENATE($T285,"-M",$U285,"-A20")</f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192"/>
        <v>C1</v>
      </c>
      <c r="AG286" t="str">
        <f t="shared" si="193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215">IF(AD286+AE286&gt;31,REPLACE(AC286,LEN(AC286),1,VALUE(RIGHT(AC286,1))+1),AC286)</f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192"/>
        <v>C2</v>
      </c>
      <c r="AG287" t="str">
        <f t="shared" si="193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216">MA286</f>
        <v>11</v>
      </c>
      <c r="MB287">
        <f t="shared" si="216"/>
        <v>14</v>
      </c>
      <c r="MC287" t="str">
        <f t="shared" si="216"/>
        <v>A1</v>
      </c>
      <c r="MD287" t="str">
        <f t="shared" si="216"/>
        <v>A2</v>
      </c>
      <c r="ME287" t="str">
        <f t="shared" si="216"/>
        <v>0v3</v>
      </c>
      <c r="MF287" t="str">
        <f t="shared" si="216"/>
        <v>24v3</v>
      </c>
      <c r="MG287" t="str">
        <f t="shared" si="216"/>
        <v>0v6</v>
      </c>
      <c r="MH287" t="str">
        <f t="shared" si="21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215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192"/>
        <v>C3</v>
      </c>
      <c r="AG288" t="str">
        <f t="shared" si="193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217">CONCATENATE("DI",REPLACE($AC288,1,3,""),"-",$AF288)</f>
        <v>DI19-C3</v>
      </c>
      <c r="LY288" t="s">
        <v>1887</v>
      </c>
      <c r="LZ288" t="s">
        <v>1888</v>
      </c>
      <c r="MA288">
        <f t="shared" si="216"/>
        <v>11</v>
      </c>
      <c r="MB288">
        <f t="shared" si="216"/>
        <v>14</v>
      </c>
      <c r="MC288" t="str">
        <f t="shared" si="216"/>
        <v>A1</v>
      </c>
      <c r="MD288" t="str">
        <f t="shared" si="216"/>
        <v>A2</v>
      </c>
      <c r="ME288" t="str">
        <f t="shared" si="216"/>
        <v>0v3</v>
      </c>
      <c r="MF288" t="str">
        <f t="shared" si="216"/>
        <v>24v3</v>
      </c>
      <c r="MG288" t="str">
        <f t="shared" si="216"/>
        <v>0v6</v>
      </c>
      <c r="MH288" t="str">
        <f t="shared" si="216"/>
        <v>24v6</v>
      </c>
      <c r="MO288">
        <f t="shared" ref="MO288:MP294" si="218">MO287</f>
        <v>1</v>
      </c>
      <c r="MP288" s="16">
        <f t="shared" si="21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215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192"/>
        <v>C4</v>
      </c>
      <c r="AG289" t="str">
        <f t="shared" si="193"/>
        <v>B4</v>
      </c>
      <c r="AP289" t="s">
        <v>137</v>
      </c>
      <c r="AT289" t="s">
        <v>854</v>
      </c>
      <c r="AU289" t="s">
        <v>1399</v>
      </c>
      <c r="LX289" s="27" t="str">
        <f t="shared" si="217"/>
        <v>DI19-C4</v>
      </c>
      <c r="LY289" t="s">
        <v>1889</v>
      </c>
      <c r="LZ289" t="s">
        <v>1890</v>
      </c>
      <c r="MA289">
        <f t="shared" si="216"/>
        <v>11</v>
      </c>
      <c r="MB289">
        <f t="shared" si="216"/>
        <v>14</v>
      </c>
      <c r="MC289" t="str">
        <f t="shared" si="216"/>
        <v>A1</v>
      </c>
      <c r="MD289" t="str">
        <f t="shared" si="216"/>
        <v>A2</v>
      </c>
      <c r="ME289" t="str">
        <f t="shared" si="216"/>
        <v>0v3</v>
      </c>
      <c r="MF289" t="str">
        <f t="shared" si="216"/>
        <v>24v3</v>
      </c>
      <c r="MG289" t="str">
        <f t="shared" si="216"/>
        <v>0v6</v>
      </c>
      <c r="MH289" t="str">
        <f t="shared" si="216"/>
        <v>24v6</v>
      </c>
      <c r="MO289">
        <f t="shared" si="218"/>
        <v>1</v>
      </c>
      <c r="MP289" s="16">
        <f t="shared" si="21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215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192"/>
        <v>C5</v>
      </c>
      <c r="AG290" t="str">
        <f t="shared" si="193"/>
        <v>B5</v>
      </c>
      <c r="AP290" t="s">
        <v>137</v>
      </c>
      <c r="AT290" t="s">
        <v>854</v>
      </c>
      <c r="AU290" t="s">
        <v>1399</v>
      </c>
      <c r="LX290" s="27" t="str">
        <f t="shared" si="217"/>
        <v>DI19-C5</v>
      </c>
      <c r="LY290" t="s">
        <v>1891</v>
      </c>
      <c r="LZ290" t="s">
        <v>1892</v>
      </c>
      <c r="MA290">
        <f t="shared" si="216"/>
        <v>11</v>
      </c>
      <c r="MB290">
        <f t="shared" si="216"/>
        <v>14</v>
      </c>
      <c r="MC290" t="str">
        <f t="shared" si="216"/>
        <v>A1</v>
      </c>
      <c r="MD290" t="str">
        <f t="shared" si="216"/>
        <v>A2</v>
      </c>
      <c r="ME290" t="str">
        <f t="shared" si="216"/>
        <v>0v3</v>
      </c>
      <c r="MF290" t="str">
        <f t="shared" si="216"/>
        <v>24v3</v>
      </c>
      <c r="MG290" t="str">
        <f t="shared" si="216"/>
        <v>0v6</v>
      </c>
      <c r="MH290" t="str">
        <f t="shared" si="216"/>
        <v>24v6</v>
      </c>
      <c r="MO290">
        <f t="shared" si="218"/>
        <v>1</v>
      </c>
      <c r="MP290" s="16">
        <f t="shared" si="21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215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192"/>
        <v>C6</v>
      </c>
      <c r="AG291" t="str">
        <f t="shared" si="193"/>
        <v>B6</v>
      </c>
      <c r="AP291" t="s">
        <v>137</v>
      </c>
      <c r="AT291" t="s">
        <v>854</v>
      </c>
      <c r="AU291" t="s">
        <v>1399</v>
      </c>
      <c r="LX291" s="27" t="str">
        <f t="shared" si="217"/>
        <v>DI19-C6</v>
      </c>
      <c r="LY291" t="s">
        <v>1893</v>
      </c>
      <c r="LZ291" t="s">
        <v>1894</v>
      </c>
      <c r="MA291">
        <f t="shared" si="216"/>
        <v>11</v>
      </c>
      <c r="MB291">
        <f t="shared" si="216"/>
        <v>14</v>
      </c>
      <c r="MC291" t="str">
        <f t="shared" si="216"/>
        <v>A1</v>
      </c>
      <c r="MD291" t="str">
        <f t="shared" si="216"/>
        <v>A2</v>
      </c>
      <c r="ME291" t="str">
        <f t="shared" si="216"/>
        <v>0v3</v>
      </c>
      <c r="MF291" t="str">
        <f t="shared" si="216"/>
        <v>24v3</v>
      </c>
      <c r="MG291" t="str">
        <f t="shared" si="216"/>
        <v>0v6</v>
      </c>
      <c r="MH291" t="str">
        <f t="shared" si="216"/>
        <v>24v6</v>
      </c>
      <c r="MO291">
        <f t="shared" si="218"/>
        <v>1</v>
      </c>
      <c r="MP291" s="16">
        <f t="shared" si="21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215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192"/>
        <v>C7</v>
      </c>
      <c r="AG292" t="str">
        <f t="shared" si="193"/>
        <v>B7</v>
      </c>
      <c r="AP292" t="s">
        <v>137</v>
      </c>
      <c r="AT292" t="s">
        <v>854</v>
      </c>
      <c r="AU292" t="s">
        <v>1399</v>
      </c>
      <c r="LX292" s="27" t="str">
        <f t="shared" si="217"/>
        <v>DI19-C7</v>
      </c>
      <c r="LY292" t="s">
        <v>1895</v>
      </c>
      <c r="LZ292" t="s">
        <v>1896</v>
      </c>
      <c r="MA292">
        <f t="shared" si="216"/>
        <v>11</v>
      </c>
      <c r="MB292">
        <f t="shared" si="216"/>
        <v>14</v>
      </c>
      <c r="MC292" t="str">
        <f t="shared" si="216"/>
        <v>A1</v>
      </c>
      <c r="MD292" t="str">
        <f t="shared" si="216"/>
        <v>A2</v>
      </c>
      <c r="ME292" t="str">
        <f t="shared" si="216"/>
        <v>0v3</v>
      </c>
      <c r="MF292" t="str">
        <f t="shared" si="216"/>
        <v>24v3</v>
      </c>
      <c r="MG292" t="str">
        <f t="shared" si="216"/>
        <v>0v6</v>
      </c>
      <c r="MH292" t="str">
        <f t="shared" si="216"/>
        <v>24v6</v>
      </c>
      <c r="MO292">
        <f t="shared" si="218"/>
        <v>1</v>
      </c>
      <c r="MP292" s="16">
        <f t="shared" si="21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215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192"/>
        <v>C8</v>
      </c>
      <c r="AG293" t="str">
        <f t="shared" si="193"/>
        <v>B8</v>
      </c>
      <c r="AP293" t="s">
        <v>137</v>
      </c>
      <c r="AT293" t="s">
        <v>854</v>
      </c>
      <c r="AU293" t="s">
        <v>1399</v>
      </c>
      <c r="LX293" s="27" t="str">
        <f t="shared" si="217"/>
        <v>DI19-C8</v>
      </c>
      <c r="LY293" t="s">
        <v>1897</v>
      </c>
      <c r="LZ293" t="s">
        <v>1898</v>
      </c>
      <c r="MA293">
        <f t="shared" si="216"/>
        <v>11</v>
      </c>
      <c r="MB293">
        <f t="shared" si="216"/>
        <v>14</v>
      </c>
      <c r="MC293" t="str">
        <f t="shared" si="216"/>
        <v>A1</v>
      </c>
      <c r="MD293" t="str">
        <f t="shared" si="216"/>
        <v>A2</v>
      </c>
      <c r="ME293" t="str">
        <f t="shared" si="216"/>
        <v>0v3</v>
      </c>
      <c r="MF293" t="str">
        <f t="shared" si="216"/>
        <v>24v3</v>
      </c>
      <c r="MG293" t="str">
        <f t="shared" si="216"/>
        <v>0v6</v>
      </c>
      <c r="MH293" t="str">
        <f t="shared" si="216"/>
        <v>24v6</v>
      </c>
      <c r="MO293">
        <f t="shared" si="218"/>
        <v>1</v>
      </c>
      <c r="MP293" s="16">
        <f t="shared" si="21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215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192"/>
        <v>C9</v>
      </c>
      <c r="AG294" t="str">
        <f t="shared" si="193"/>
        <v>B9</v>
      </c>
      <c r="AP294" t="s">
        <v>137</v>
      </c>
      <c r="AT294" t="s">
        <v>854</v>
      </c>
      <c r="AU294" t="s">
        <v>1399</v>
      </c>
      <c r="LX294" s="27" t="str">
        <f t="shared" si="217"/>
        <v>DI19-C9</v>
      </c>
      <c r="LY294" t="s">
        <v>1899</v>
      </c>
      <c r="LZ294" t="s">
        <v>1900</v>
      </c>
      <c r="MA294">
        <f t="shared" si="216"/>
        <v>11</v>
      </c>
      <c r="MB294">
        <f t="shared" si="216"/>
        <v>14</v>
      </c>
      <c r="MC294" t="str">
        <f t="shared" si="216"/>
        <v>A1</v>
      </c>
      <c r="MD294" t="str">
        <f t="shared" si="216"/>
        <v>A2</v>
      </c>
      <c r="ME294" t="str">
        <f t="shared" si="216"/>
        <v>0v3</v>
      </c>
      <c r="MF294" t="str">
        <f t="shared" si="216"/>
        <v>24v3</v>
      </c>
      <c r="MG294" t="str">
        <f t="shared" si="216"/>
        <v>0v6</v>
      </c>
      <c r="MH294" t="str">
        <f t="shared" si="216"/>
        <v>24v6</v>
      </c>
      <c r="MO294">
        <f t="shared" si="218"/>
        <v>1</v>
      </c>
      <c r="MP294" s="16">
        <f t="shared" si="218"/>
        <v>2</v>
      </c>
    </row>
    <row r="295" spans="1:548" ht="30" x14ac:dyDescent="0.25">
      <c r="A295" t="s">
        <v>1922</v>
      </c>
      <c r="B295" t="s">
        <v>1930</v>
      </c>
      <c r="P295" t="s">
        <v>1939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1947</v>
      </c>
      <c r="TR295" t="s">
        <v>1948</v>
      </c>
      <c r="TS295" t="s">
        <v>1949</v>
      </c>
      <c r="TT295" t="s">
        <v>1950</v>
      </c>
      <c r="TU295" t="s">
        <v>1951</v>
      </c>
      <c r="TV295" t="s">
        <v>1952</v>
      </c>
      <c r="TW295" t="s">
        <v>1953</v>
      </c>
      <c r="TX295" t="s">
        <v>1954</v>
      </c>
      <c r="TY295" t="str">
        <f>CONCATENATE("XT",$U295)</f>
        <v>XT107</v>
      </c>
      <c r="TZ295">
        <v>1</v>
      </c>
      <c r="UA295">
        <f t="shared" ref="UA295:UB300" si="219">TZ295+1</f>
        <v>2</v>
      </c>
      <c r="UB295">
        <f t="shared" si="219"/>
        <v>3</v>
      </c>
    </row>
    <row r="296" spans="1:548" ht="30" x14ac:dyDescent="0.25">
      <c r="A296" t="s">
        <v>1924</v>
      </c>
      <c r="B296" t="s">
        <v>1931</v>
      </c>
      <c r="P296" t="s">
        <v>1939</v>
      </c>
      <c r="T296" t="s">
        <v>554</v>
      </c>
      <c r="U296">
        <v>107</v>
      </c>
      <c r="V296" t="str">
        <f t="shared" ref="V296:V303" si="220">A296</f>
        <v>К-F0-K4.1</v>
      </c>
      <c r="AQ296" t="s">
        <v>1248</v>
      </c>
      <c r="TQ296" s="29" t="s">
        <v>1958</v>
      </c>
      <c r="TR296" t="s">
        <v>1948</v>
      </c>
      <c r="TS296" t="s">
        <v>1949</v>
      </c>
      <c r="TT296" t="s">
        <v>1950</v>
      </c>
      <c r="TU296" t="s">
        <v>1951</v>
      </c>
      <c r="TV296" t="s">
        <v>1955</v>
      </c>
      <c r="TW296" t="s">
        <v>1956</v>
      </c>
      <c r="TX296" t="s">
        <v>1957</v>
      </c>
      <c r="TY296" t="str">
        <f t="shared" ref="TY296:TY303" si="221">CONCATENATE("XT",$U296)</f>
        <v>XT107</v>
      </c>
      <c r="TZ296">
        <f t="shared" ref="TZ296:TZ303" si="222">TZ295+3</f>
        <v>4</v>
      </c>
      <c r="UA296">
        <f t="shared" si="219"/>
        <v>5</v>
      </c>
      <c r="UB296">
        <f t="shared" si="219"/>
        <v>6</v>
      </c>
    </row>
    <row r="297" spans="1:548" ht="30" x14ac:dyDescent="0.25">
      <c r="A297" t="s">
        <v>1925</v>
      </c>
      <c r="B297" t="s">
        <v>1932</v>
      </c>
      <c r="P297" t="s">
        <v>1939</v>
      </c>
      <c r="T297" t="s">
        <v>554</v>
      </c>
      <c r="U297">
        <v>107</v>
      </c>
      <c r="V297" t="str">
        <f t="shared" si="220"/>
        <v>К-F0-K5.1</v>
      </c>
      <c r="AQ297" t="s">
        <v>1258</v>
      </c>
      <c r="TQ297" s="29" t="s">
        <v>1959</v>
      </c>
      <c r="TR297" t="s">
        <v>1948</v>
      </c>
      <c r="TS297" t="s">
        <v>1949</v>
      </c>
      <c r="TT297" t="s">
        <v>1950</v>
      </c>
      <c r="TU297" t="s">
        <v>1951</v>
      </c>
      <c r="TV297" t="s">
        <v>1961</v>
      </c>
      <c r="TW297" t="s">
        <v>1963</v>
      </c>
      <c r="TX297" t="s">
        <v>1965</v>
      </c>
      <c r="TY297" t="str">
        <f t="shared" si="221"/>
        <v>XT107</v>
      </c>
      <c r="TZ297">
        <f t="shared" si="222"/>
        <v>7</v>
      </c>
      <c r="UA297">
        <f t="shared" si="219"/>
        <v>8</v>
      </c>
      <c r="UB297">
        <f t="shared" si="219"/>
        <v>9</v>
      </c>
    </row>
    <row r="298" spans="1:548" ht="30" x14ac:dyDescent="0.25">
      <c r="A298" t="s">
        <v>1926</v>
      </c>
      <c r="B298" t="s">
        <v>1933</v>
      </c>
      <c r="P298" t="s">
        <v>1939</v>
      </c>
      <c r="T298" t="s">
        <v>554</v>
      </c>
      <c r="U298">
        <v>107</v>
      </c>
      <c r="V298" t="str">
        <f t="shared" si="220"/>
        <v>К-F0-K6.1</v>
      </c>
      <c r="AQ298" t="s">
        <v>1269</v>
      </c>
      <c r="TQ298" s="29" t="s">
        <v>1960</v>
      </c>
      <c r="TR298" t="s">
        <v>1948</v>
      </c>
      <c r="TS298" t="s">
        <v>1949</v>
      </c>
      <c r="TT298" t="s">
        <v>1950</v>
      </c>
      <c r="TU298" t="s">
        <v>1951</v>
      </c>
      <c r="TV298" t="s">
        <v>1962</v>
      </c>
      <c r="TW298" t="s">
        <v>1964</v>
      </c>
      <c r="TX298" t="s">
        <v>1966</v>
      </c>
      <c r="TY298" t="str">
        <f t="shared" si="221"/>
        <v>XT107</v>
      </c>
      <c r="TZ298">
        <f t="shared" si="222"/>
        <v>10</v>
      </c>
      <c r="UA298">
        <f t="shared" si="219"/>
        <v>11</v>
      </c>
      <c r="UB298">
        <f t="shared" si="219"/>
        <v>12</v>
      </c>
    </row>
    <row r="299" spans="1:548" ht="30" x14ac:dyDescent="0.25">
      <c r="A299" t="s">
        <v>1927</v>
      </c>
      <c r="B299" t="s">
        <v>1934</v>
      </c>
      <c r="P299" t="s">
        <v>1939</v>
      </c>
      <c r="T299" t="s">
        <v>554</v>
      </c>
      <c r="U299">
        <v>107</v>
      </c>
      <c r="V299" t="str">
        <f t="shared" si="220"/>
        <v>К-F0-K10.5.1</v>
      </c>
      <c r="AQ299" t="s">
        <v>1289</v>
      </c>
      <c r="TQ299" s="29" t="s">
        <v>1967</v>
      </c>
      <c r="TR299" t="s">
        <v>1948</v>
      </c>
      <c r="TS299" t="s">
        <v>1949</v>
      </c>
      <c r="TT299" t="s">
        <v>1950</v>
      </c>
      <c r="TU299" t="s">
        <v>1951</v>
      </c>
      <c r="TV299" t="s">
        <v>1952</v>
      </c>
      <c r="TW299" t="s">
        <v>1953</v>
      </c>
      <c r="TX299" t="s">
        <v>1954</v>
      </c>
      <c r="TY299" t="str">
        <f>CONCATENATE("XT",$U299)</f>
        <v>XT107</v>
      </c>
      <c r="TZ299">
        <f t="shared" si="222"/>
        <v>13</v>
      </c>
      <c r="UA299">
        <f t="shared" si="219"/>
        <v>14</v>
      </c>
      <c r="UB299">
        <f t="shared" si="219"/>
        <v>15</v>
      </c>
    </row>
    <row r="300" spans="1:548" ht="30" x14ac:dyDescent="0.25">
      <c r="A300" t="s">
        <v>1928</v>
      </c>
      <c r="B300" t="s">
        <v>1935</v>
      </c>
      <c r="P300" t="s">
        <v>1939</v>
      </c>
      <c r="T300" t="s">
        <v>554</v>
      </c>
      <c r="U300">
        <v>107</v>
      </c>
      <c r="V300" t="str">
        <f t="shared" si="220"/>
        <v>К-F0-К23.1</v>
      </c>
      <c r="AQ300" t="s">
        <v>1300</v>
      </c>
      <c r="TQ300" s="29" t="s">
        <v>1968</v>
      </c>
      <c r="TR300" t="s">
        <v>1948</v>
      </c>
      <c r="TS300" t="s">
        <v>1949</v>
      </c>
      <c r="TT300" t="s">
        <v>1950</v>
      </c>
      <c r="TU300" t="s">
        <v>1951</v>
      </c>
      <c r="TV300" t="s">
        <v>1955</v>
      </c>
      <c r="TW300" t="s">
        <v>1956</v>
      </c>
      <c r="TX300" t="s">
        <v>1957</v>
      </c>
      <c r="TY300" t="str">
        <f t="shared" si="221"/>
        <v>XT107</v>
      </c>
      <c r="TZ300">
        <f t="shared" si="222"/>
        <v>16</v>
      </c>
      <c r="UA300">
        <f t="shared" si="219"/>
        <v>17</v>
      </c>
      <c r="UB300">
        <f t="shared" si="219"/>
        <v>18</v>
      </c>
    </row>
    <row r="301" spans="1:548" ht="30" x14ac:dyDescent="0.25">
      <c r="A301" t="s">
        <v>1929</v>
      </c>
      <c r="B301" t="s">
        <v>1936</v>
      </c>
      <c r="P301" t="s">
        <v>1939</v>
      </c>
      <c r="T301" t="s">
        <v>554</v>
      </c>
      <c r="U301">
        <v>107</v>
      </c>
      <c r="V301" t="str">
        <f t="shared" si="220"/>
        <v>К-F0-НКП1</v>
      </c>
      <c r="AQ301" t="s">
        <v>1302</v>
      </c>
      <c r="TQ301" s="29" t="s">
        <v>1969</v>
      </c>
      <c r="TR301" t="s">
        <v>1948</v>
      </c>
      <c r="TS301" t="s">
        <v>1949</v>
      </c>
      <c r="TT301" t="s">
        <v>1950</v>
      </c>
      <c r="TU301" t="s">
        <v>1951</v>
      </c>
      <c r="TV301" t="s">
        <v>1961</v>
      </c>
      <c r="TW301" t="s">
        <v>1963</v>
      </c>
      <c r="TX301" t="s">
        <v>1965</v>
      </c>
      <c r="TY301" t="str">
        <f t="shared" si="221"/>
        <v>XT107</v>
      </c>
      <c r="TZ301">
        <f t="shared" si="222"/>
        <v>19</v>
      </c>
      <c r="UA301">
        <f t="shared" ref="UA301:UB303" si="223">TZ301+1</f>
        <v>20</v>
      </c>
      <c r="UB301">
        <f t="shared" si="223"/>
        <v>21</v>
      </c>
    </row>
    <row r="302" spans="1:548" ht="30" x14ac:dyDescent="0.25">
      <c r="A302" t="s">
        <v>1923</v>
      </c>
      <c r="B302" t="s">
        <v>1937</v>
      </c>
      <c r="P302" t="s">
        <v>1939</v>
      </c>
      <c r="T302" t="s">
        <v>554</v>
      </c>
      <c r="U302">
        <v>107</v>
      </c>
      <c r="V302" t="str">
        <f t="shared" si="220"/>
        <v>К-F0-К12</v>
      </c>
      <c r="AQ302" t="s">
        <v>1400</v>
      </c>
      <c r="TQ302" s="29" t="s">
        <v>1970</v>
      </c>
      <c r="TR302" t="s">
        <v>1948</v>
      </c>
      <c r="TS302" t="s">
        <v>1949</v>
      </c>
      <c r="TT302" t="s">
        <v>1950</v>
      </c>
      <c r="TU302" t="s">
        <v>1951</v>
      </c>
      <c r="TV302" t="s">
        <v>1962</v>
      </c>
      <c r="TW302" t="s">
        <v>1964</v>
      </c>
      <c r="TX302" t="s">
        <v>1966</v>
      </c>
      <c r="TY302" t="str">
        <f t="shared" si="221"/>
        <v>XT107</v>
      </c>
      <c r="TZ302">
        <f t="shared" si="222"/>
        <v>22</v>
      </c>
      <c r="UA302">
        <f t="shared" si="223"/>
        <v>23</v>
      </c>
      <c r="UB302">
        <f t="shared" si="223"/>
        <v>24</v>
      </c>
    </row>
    <row r="303" spans="1:548" s="19" customFormat="1" ht="30.75" thickBot="1" x14ac:dyDescent="0.3">
      <c r="A303" s="19" t="s">
        <v>1921</v>
      </c>
      <c r="B303" s="19" t="s">
        <v>1938</v>
      </c>
      <c r="P303" s="19" t="s">
        <v>1939</v>
      </c>
      <c r="T303" s="19" t="s">
        <v>554</v>
      </c>
      <c r="U303" s="19">
        <v>107</v>
      </c>
      <c r="V303" s="19" t="str">
        <f t="shared" si="220"/>
        <v>К-F0-УУГ1</v>
      </c>
      <c r="AQ303" s="19" t="s">
        <v>1778</v>
      </c>
      <c r="TQ303" s="56" t="s">
        <v>1971</v>
      </c>
      <c r="TR303" s="19" t="s">
        <v>1948</v>
      </c>
      <c r="TS303" s="19" t="s">
        <v>1949</v>
      </c>
      <c r="TT303" s="19" t="s">
        <v>1950</v>
      </c>
      <c r="TU303" s="19" t="s">
        <v>1951</v>
      </c>
      <c r="TV303" s="19" t="s">
        <v>1972</v>
      </c>
      <c r="TW303" s="19" t="s">
        <v>1973</v>
      </c>
      <c r="TX303" s="19" t="s">
        <v>1974</v>
      </c>
      <c r="TY303" s="19" t="str">
        <f t="shared" si="221"/>
        <v>XT107</v>
      </c>
      <c r="TZ303" s="19">
        <f t="shared" si="222"/>
        <v>25</v>
      </c>
      <c r="UA303" s="19">
        <f t="shared" si="223"/>
        <v>26</v>
      </c>
      <c r="UB303" s="19">
        <f t="shared" si="223"/>
        <v>27</v>
      </c>
    </row>
    <row r="304" spans="1:548" x14ac:dyDescent="0.25">
      <c r="A304" t="s">
        <v>1982</v>
      </c>
      <c r="B304" t="s">
        <v>1980</v>
      </c>
      <c r="C304" t="s">
        <v>498</v>
      </c>
      <c r="P304" t="s">
        <v>482</v>
      </c>
      <c r="T304" s="14" t="s">
        <v>1984</v>
      </c>
      <c r="U304">
        <v>1</v>
      </c>
      <c r="V304" t="s">
        <v>1985</v>
      </c>
      <c r="X304" t="s">
        <v>400</v>
      </c>
      <c r="Y304" s="43" t="str">
        <f t="array" ref="Y304">IF(COUNTIFS($X$303:$X304,$X304)=1,"1",VALUE(SUBSTITUTE(INDEX(Y:Y,_xlfn.XMATCH($X304,$X$1:$X303,0,-1)),"A",""))+INDEX(Z:Z,_xlfn.XMATCH($X304,$X$1:$X303,0,-1))+1)</f>
        <v>1</v>
      </c>
      <c r="Z304" s="43">
        <f t="array" ref="Z304">SUM(IF(ISNUMBER(FIND("TmAi",$BE$1:$AAD$1)),IF(IFERROR(ISODD(SUBSTITUTE($BE304:$AAD304,"A","")),FALSE),IF(ISODD(SUBSTITUTE($BE304:$AAD304,"A","")),1,0),0)))</f>
        <v>0</v>
      </c>
      <c r="AA304" t="str">
        <f>CONCATENATE($Y304*2-1,"B")</f>
        <v>1B</v>
      </c>
      <c r="AB304" t="str">
        <f>CONCATENATE($Y304*2,"B")</f>
        <v>2B</v>
      </c>
      <c r="AP304" t="s">
        <v>1987</v>
      </c>
      <c r="AS304" t="s">
        <v>396</v>
      </c>
      <c r="JZ304" s="27" t="str">
        <f>CONCATENATE("XT",U304)</f>
        <v>XT1</v>
      </c>
      <c r="KC304" t="str">
        <f>CONCATENATE(T304,"-AI",REPLACE($X304,1,3,""),"-",AA304)</f>
        <v>E1-AI1-1B</v>
      </c>
      <c r="KD304" t="str">
        <f>CONCATENATE(T304,"-AI",REPLACE($X304,1,3,""),"-",AB304)</f>
        <v>E1-AI1-2B</v>
      </c>
      <c r="KI304">
        <v>1</v>
      </c>
      <c r="KJ304">
        <f>KI304+1</f>
        <v>2</v>
      </c>
      <c r="KK304">
        <f>KJ304+1</f>
        <v>3</v>
      </c>
      <c r="KN304">
        <v>1</v>
      </c>
      <c r="KO304" s="16">
        <v>2</v>
      </c>
      <c r="KS304" s="16"/>
    </row>
    <row r="305" spans="1:305" x14ac:dyDescent="0.25">
      <c r="A305" t="s">
        <v>1983</v>
      </c>
      <c r="B305" t="s">
        <v>1981</v>
      </c>
      <c r="C305" t="s">
        <v>498</v>
      </c>
      <c r="P305" t="s">
        <v>482</v>
      </c>
      <c r="T305" s="14" t="s">
        <v>1984</v>
      </c>
      <c r="U305">
        <v>1</v>
      </c>
      <c r="V305" t="s">
        <v>1986</v>
      </c>
      <c r="X305" t="str">
        <f>IF(COUNTIF(X$304:X304,X304)&gt;7,REPLACE(X304,LEN(X304),1,VALUE(RIGHT(X304,1))+1),X304)</f>
        <v>A3.1</v>
      </c>
      <c r="Y305" s="43">
        <f t="array" ref="Y305">IF(COUNTIFS($X$303:$X305,$X305)=1,"1",VALUE(SUBSTITUTE(INDEX(Y:Y,_xlfn.XMATCH($X305,$X$1:$X304,0,-1)),"A",""))+INDEX(Z:Z,_xlfn.XMATCH($X305,$X$1:$X304,0,-1))+1)</f>
        <v>2</v>
      </c>
      <c r="Z305" s="43">
        <f t="array" ref="Z305">SUM(IF(ISNUMBER(FIND("TmAi",$BE$1:$AAD$1)),IF(IFERROR(ISODD(SUBSTITUTE($BE305:$AAD305,"A","")),FALSE),IF(ISODD(SUBSTITUTE($BE305:$AAD305,"A","")),1,0),0)))</f>
        <v>0</v>
      </c>
      <c r="AA305" t="str">
        <f>CONCATENATE($Y305*2-1,"B")</f>
        <v>3B</v>
      </c>
      <c r="AB305" t="str">
        <f>CONCATENATE($Y305*2,"B")</f>
        <v>4B</v>
      </c>
      <c r="AP305" t="s">
        <v>1987</v>
      </c>
      <c r="AS305" t="s">
        <v>396</v>
      </c>
      <c r="JZ305" s="27" t="str">
        <f>CONCATENATE("XT",U305)</f>
        <v>XT1</v>
      </c>
      <c r="KC305" t="str">
        <f>CONCATENATE(T305,"-AI",REPLACE($X305,1,3,""),"-",AA305)</f>
        <v>E1-AI1-3B</v>
      </c>
      <c r="KD305" t="str">
        <f>CONCATENATE(T305,"-AI",REPLACE($X305,1,3,""),"-",AB305)</f>
        <v>E1-AI1-4B</v>
      </c>
      <c r="KI305">
        <f t="array" ref="KI305">IF(COUNTIFS($U$2:$U305,$U305)=1,1,INDEX(KI:KI,_xlfn.XMATCH(U305,U$1:U304,0,-1))+COUNT(KI304:KM304))</f>
        <v>4</v>
      </c>
      <c r="KJ305">
        <f>KI305+1</f>
        <v>5</v>
      </c>
      <c r="KK305">
        <f>KJ305+1</f>
        <v>6</v>
      </c>
      <c r="KN305">
        <v>1</v>
      </c>
      <c r="KO305" s="16">
        <v>2</v>
      </c>
      <c r="KS305" s="16"/>
    </row>
    <row r="306" spans="1:305" x14ac:dyDescent="0.25">
      <c r="A306" s="55" t="s">
        <v>1989</v>
      </c>
      <c r="B306" t="s">
        <v>1988</v>
      </c>
      <c r="C306" t="s">
        <v>1990</v>
      </c>
      <c r="P306" t="s">
        <v>1991</v>
      </c>
      <c r="T306" t="s">
        <v>1984</v>
      </c>
    </row>
  </sheetData>
  <autoFilter ref="P1:P294" xr:uid="{00000000-0009-0000-0000-000001000000}"/>
  <conditionalFormatting sqref="A1:A32">
    <cfRule type="duplicateValues" dxfId="15" priority="11"/>
  </conditionalFormatting>
  <conditionalFormatting sqref="A221:A224 A1:A32 A226:A227 A283:A305 A307:A1048576">
    <cfRule type="duplicateValues" dxfId="14" priority="10"/>
  </conditionalFormatting>
  <conditionalFormatting sqref="A283:A285">
    <cfRule type="duplicateValues" dxfId="13" priority="1"/>
  </conditionalFormatting>
  <conditionalFormatting sqref="B1:B56 B221:B229 B267:B303 B307:B1048576">
    <cfRule type="duplicateValues" dxfId="12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1" priority="8"/>
  </conditionalFormatting>
  <conditionalFormatting sqref="V1:W230 V231 V232:W1048576">
    <cfRule type="duplicateValues" dxfId="10" priority="6"/>
  </conditionalFormatting>
  <conditionalFormatting sqref="Y1:Y1048576">
    <cfRule type="cellIs" dxfId="9" priority="7" operator="equal">
      <formula>"Y:Y+Z:Z&gt;8"</formula>
    </cfRule>
  </conditionalFormatting>
  <conditionalFormatting sqref="AD1">
    <cfRule type="cellIs" dxfId="8" priority="5" operator="equal">
      <formula>"Y:Y+Z:Z&gt;8"</formula>
    </cfRule>
  </conditionalFormatting>
  <conditionalFormatting sqref="AD267:AD294">
    <cfRule type="cellIs" dxfId="7" priority="4" operator="equal">
      <formula>"Y:Y+Z:Z&gt;8"</formula>
    </cfRule>
  </conditionalFormatting>
  <conditionalFormatting sqref="AI1">
    <cfRule type="cellIs" dxfId="6" priority="2" operator="equal">
      <formula>"Y:Y+Z:Z&gt;8"</formula>
    </cfRule>
  </conditionalFormatting>
  <conditionalFormatting sqref="AI267:AI285">
    <cfRule type="cellIs" dxfId="5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SUM(IF(ISNUMBER(FIND("TmAi",$BA$1:$ZZ$1)),IF(IFERROR(ISODD(SUBSTITUTE($BA71:$ZZ71,"A","")),FALSE),IF(ISODD(SUBSTITUTE($BA71:$ZZ71,"A","")),1,0),0)))</f>
        <v>0</v>
      </c>
      <c r="AA71" t="str">
        <f>CONCATENATE($Y71*2-1,"B")</f>
        <v>11B</v>
      </c>
      <c r="AB71" t="str">
        <f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SUM(IF(ISNUMBER(FIND("TmAi",$BA$1:$ZZ$1)),IF(IFERROR(ISODD(SUBSTITUTE($BA72:$ZZ72,"A","")),FALSE),IF(ISODD(SUBSTITUTE($BA72:$ZZ72,"A","")),1,0),0)))</f>
        <v>0</v>
      </c>
      <c r="AA72" t="str">
        <f>CONCATENATE($Y72*2-1,"B")</f>
        <v>13B</v>
      </c>
      <c r="AB72" t="str">
        <f>CONCATENATE($Y72*2,"B")</f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SUM(IF(ISNUMBER(FIND("TmAi",$BA$1:$ZZ$1)),IF(IFERROR(ISODD(SUBSTITUTE($BA73:$ZZ73,"A","")),FALSE),IF(ISODD(SUBSTITUTE($BA73:$ZZ73,"A","")),1,0),0)))</f>
        <v>0</v>
      </c>
      <c r="AA73" t="str">
        <f>CONCATENATE($Y73*2-1,"B")</f>
        <v>15B</v>
      </c>
      <c r="AB73" t="str">
        <f>CONCATENATE($Y73*2,"B")</f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SUM(IF(ISNUMBER(FIND("TmAi",$BA$1:$ZZ$1)),IF(IFERROR(ISODD(SUBSTITUTE($BA74:$ZZ74,"A","")),FALSE),IF(ISODD(SUBSTITUTE($BA74:$ZZ74,"A","")),1,0),0)))</f>
        <v>0</v>
      </c>
      <c r="AA74" t="str">
        <f>CONCATENATE($Y74*2-1,"B")</f>
        <v>1B</v>
      </c>
      <c r="AB74" t="str">
        <f>CONCATENATE($Y74*2,"B")</f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SUM(IF(ISNUMBER(FIND("TmAi",$BA$1:$ZZ$1)),IF(IFERROR(ISODD(SUBSTITUTE($BA75:$ZZ75,"A","")),FALSE),IF(ISODD(SUBSTITUTE($BA75:$ZZ75,"A","")),1,0),0)))</f>
        <v>0</v>
      </c>
      <c r="AA75" t="str">
        <f>CONCATENATE($Y75*2-1,"B")</f>
        <v>3B</v>
      </c>
      <c r="AB75" t="str">
        <f>CONCATENATE($Y75*2,"B")</f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SUM(IF(ISNUMBER(FIND("TmAi",$BA$1:$ZZ$1)),IF(IFERROR(ISODD(SUBSTITUTE($BA78:$ZZ78,"A","")),FALSE),IF(ISODD(SUBSTITUTE($BA78:$ZZ78,"A","")),1,0),0)))</f>
        <v>0</v>
      </c>
      <c r="AA78" t="str">
        <f t="shared" si="120"/>
        <v>9B</v>
      </c>
      <c r="AB78" t="str">
        <f t="shared" si="121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SUM(IF(ISNUMBER(FIND("TmAi",$BA$1:$ZZ$1)),IF(IFERROR(ISODD(SUBSTITUTE($BA79:$ZZ79,"A","")),FALSE),IF(ISODD(SUBSTITUTE($BA79:$ZZ79,"A","")),1,0),0)))</f>
        <v>0</v>
      </c>
      <c r="AA79" t="str">
        <f t="shared" si="120"/>
        <v>11B</v>
      </c>
      <c r="AB79" t="str">
        <f t="shared" si="121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SUM(IF(ISNUMBER(FIND("TmAi",$BA$1:$ZZ$1)),IF(IFERROR(ISODD(SUBSTITUTE($BA80:$ZZ80,"A","")),FALSE),IF(ISODD(SUBSTITUTE($BA80:$ZZ80,"A","")),1,0),0)))</f>
        <v>0</v>
      </c>
      <c r="AA80" t="str">
        <f t="shared" si="120"/>
        <v>13B</v>
      </c>
      <c r="AB80" t="str">
        <f t="shared" si="121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SUM(IF(ISNUMBER(FIND("TmAi",$BA$1:$ZZ$1)),IF(IFERROR(ISODD(SUBSTITUTE($BA81:$ZZ81,"A","")),FALSE),IF(ISODD(SUBSTITUTE($BA81:$ZZ81,"A","")),1,0),0)))</f>
        <v>0</v>
      </c>
      <c r="AA81" t="str">
        <f t="shared" si="120"/>
        <v>15B</v>
      </c>
      <c r="AB81" t="str">
        <f t="shared" si="121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SUM(IF(ISNUMBER(FIND("TmAi",$BA$1:$ZZ$1)),IF(IFERROR(ISODD(SUBSTITUTE($BA82:$ZZ82,"A","")),FALSE),IF(ISODD(SUBSTITUTE($BA82:$ZZ82,"A","")),1,0),0)))</f>
        <v>0</v>
      </c>
      <c r="AA82" t="str">
        <f t="shared" si="120"/>
        <v>1B</v>
      </c>
      <c r="AB82" t="str">
        <f t="shared" si="121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SUM(IF(ISNUMBER(FIND("TmAi",$BA$1:$ZZ$1)),IF(IFERROR(ISODD(SUBSTITUTE($BA83:$ZZ83,"A","")),FALSE),IF(ISODD(SUBSTITUTE($BA83:$ZZ83,"A","")),1,0),0)))</f>
        <v>0</v>
      </c>
      <c r="AA83" t="str">
        <f t="shared" si="120"/>
        <v>3B</v>
      </c>
      <c r="AB83" t="str">
        <f t="shared" si="121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SUM(IF(ISNUMBER(FIND("TmAi",$BA$1:$ZZ$1)),IF(IFERROR(ISODD(SUBSTITUTE($BA84:$ZZ84,"A","")),FALSE),IF(ISODD(SUBSTITUTE($BA84:$ZZ84,"A","")),1,0),0)))</f>
        <v>0</v>
      </c>
      <c r="AA84" t="str">
        <f t="shared" si="120"/>
        <v>5B</v>
      </c>
      <c r="AB84" t="str">
        <f t="shared" si="121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SUM(IF(ISNUMBER(FIND("TmAi",$BA$1:$ZZ$1)),IF(IFERROR(ISODD(SUBSTITUTE($BA85:$ZZ85,"A","")),FALSE),IF(ISODD(SUBSTITUTE($BA85:$ZZ85,"A","")),1,0),0)))</f>
        <v>0</v>
      </c>
      <c r="AA85" t="str">
        <f t="shared" si="120"/>
        <v>7B</v>
      </c>
      <c r="AB85" t="str">
        <f t="shared" si="121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SUM(IF(ISNUMBER(FIND("TmAi",$BA$1:$ZZ$1)),IF(IFERROR(ISODD(SUBSTITUTE($BA86:$ZZ86,"A","")),FALSE),IF(ISODD(SUBSTITUTE($BA86:$ZZ86,"A","")),1,0),0)))</f>
        <v>0</v>
      </c>
      <c r="AA86" t="str">
        <f t="shared" si="120"/>
        <v>9B</v>
      </c>
      <c r="AB86" t="str">
        <f t="shared" si="121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>
        <f t="array" ref="KE86">IF(COUNTIFS($U$2:$U86,$U86)=1,1,INDEX(KE:KE,_xlfn.XMATCH(U86,U$1:U85,0,-1))+COUNT(KE85:KI85))</f>
        <v>97</v>
      </c>
      <c r="KF86">
        <f t="shared" ref="KF86:KI101" si="122">KE86+1</f>
        <v>98</v>
      </c>
      <c r="KG86">
        <f t="shared" si="122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SUM(IF(ISNUMBER(FIND("TmAi",$BA$1:$ZZ$1)),IF(IFERROR(ISODD(SUBSTITUTE($BA87:$ZZ87,"A","")),FALSE),IF(ISODD(SUBSTITUTE($BA87:$ZZ87,"A","")),1,0),0)))</f>
        <v>0</v>
      </c>
      <c r="AA87" t="str">
        <f t="shared" si="120"/>
        <v>11B</v>
      </c>
      <c r="AB87" t="str">
        <f t="shared" si="121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>
        <f t="array" ref="KE87">IF(COUNTIFS($U$2:$U87,$U87)=1,1,INDEX(KE:KE,_xlfn.XMATCH(U87,U$1:U86,0,-1))+COUNT(KE86:KI86))</f>
        <v>100</v>
      </c>
      <c r="KF87">
        <f t="shared" si="122"/>
        <v>101</v>
      </c>
      <c r="KG87">
        <f t="shared" si="122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SUM(IF(ISNUMBER(FIND("TmAi",$BA$1:$ZZ$1)),IF(IFERROR(ISODD(SUBSTITUTE($BA88:$ZZ88,"A","")),FALSE),IF(ISODD(SUBSTITUTE($BA88:$ZZ88,"A","")),1,0),0)))</f>
        <v>0</v>
      </c>
      <c r="AA88" t="str">
        <f t="shared" si="120"/>
        <v>13B</v>
      </c>
      <c r="AB88" t="str">
        <f t="shared" si="121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>
        <f t="array" ref="KE88">IF(COUNTIFS($U$2:$U88,$U88)=1,1,INDEX(KE:KE,_xlfn.XMATCH(U88,U$1:U87,0,-1))+COUNT(KE87:KI87))</f>
        <v>103</v>
      </c>
      <c r="KF88">
        <f t="shared" si="122"/>
        <v>104</v>
      </c>
      <c r="KG88">
        <f t="shared" si="122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>
        <f t="array" ref="KE89">IF(COUNTIFS($U$2:$U89,$U89)=1,1,INDEX(KE:KE,_xlfn.XMATCH(U89,U$1:U88,0,-1))+COUNT(KE88:KI88))</f>
        <v>106</v>
      </c>
      <c r="KF89">
        <f t="shared" si="122"/>
        <v>107</v>
      </c>
      <c r="KG89">
        <f t="shared" si="122"/>
        <v>108</v>
      </c>
      <c r="KH89">
        <f t="shared" si="122"/>
        <v>109</v>
      </c>
      <c r="KI89">
        <f t="shared" si="122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>
        <f t="array" ref="KE90">IF(COUNTIFS($U$2:$U90,$U90)=1,1,INDEX(KE:KE,_xlfn.XMATCH(U90,U$1:U89,0,-1))+COUNT(KE89:KI89))</f>
        <v>111</v>
      </c>
      <c r="KF90">
        <f t="shared" si="122"/>
        <v>112</v>
      </c>
      <c r="KG90">
        <f t="shared" si="122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SUM(IF(ISNUMBER(FIND("TmAi",$BA$1:$ZZ$1)),IF(IFERROR(ISODD(SUBSTITUTE($BA91:$ZZ91,"A","")),FALSE),IF(ISODD(SUBSTITUTE($BA91:$ZZ91,"A","")),1,0),0)))</f>
        <v>0</v>
      </c>
      <c r="AA91" t="str">
        <f t="shared" si="123"/>
        <v>3B</v>
      </c>
      <c r="AB91" t="str">
        <f t="shared" si="124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>
        <f t="array" ref="KE91">IF(COUNTIFS($U$2:$U91,$U91)=1,1,INDEX(KE:KE,_xlfn.XMATCH(U91,U$1:U90,0,-1))+COUNT(KE90:KI90))</f>
        <v>114</v>
      </c>
      <c r="KF91">
        <f t="shared" si="122"/>
        <v>115</v>
      </c>
      <c r="KG91">
        <f t="shared" si="122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SUM(IF(ISNUMBER(FIND("TmAi",$BA$1:$ZZ$1)),IF(IFERROR(ISODD(SUBSTITUTE($BA92:$ZZ92,"A","")),FALSE),IF(ISODD(SUBSTITUTE($BA92:$ZZ92,"A","")),1,0),0)))</f>
        <v>0</v>
      </c>
      <c r="AA92" t="str">
        <f t="shared" si="123"/>
        <v>5B</v>
      </c>
      <c r="AB92" t="str">
        <f t="shared" si="124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>
        <f t="array" ref="KE92">IF(COUNTIFS($U$2:$U92,$U92)=1,1,INDEX(KE:KE,_xlfn.XMATCH(U92,U$1:U91,0,-1))+COUNT(KE91:KI91))</f>
        <v>117</v>
      </c>
      <c r="KF92">
        <f t="shared" si="122"/>
        <v>118</v>
      </c>
      <c r="KG92">
        <f t="shared" si="122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SUM(IF(ISNUMBER(FIND("TmAi",$BA$1:$ZZ$1)),IF(IFERROR(ISODD(SUBSTITUTE($BA93:$ZZ93,"A","")),FALSE),IF(ISODD(SUBSTITUTE($BA93:$ZZ93,"A","")),1,0),0)))</f>
        <v>0</v>
      </c>
      <c r="AA93" t="str">
        <f t="shared" si="123"/>
        <v>7B</v>
      </c>
      <c r="AB93" t="str">
        <f t="shared" si="124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>
        <f t="array" ref="KE93">IF(COUNTIFS($U$2:$U93,$U93)=1,1,INDEX(KE:KE,_xlfn.XMATCH(U93,U$1:U92,0,-1))+COUNT(KE92:KI92))</f>
        <v>120</v>
      </c>
      <c r="KF93">
        <f t="shared" si="122"/>
        <v>121</v>
      </c>
      <c r="KG93">
        <f t="shared" si="122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SUM(IF(ISNUMBER(FIND("TmAi",$BA$1:$ZZ$1)),IF(IFERROR(ISODD(SUBSTITUTE($BA94:$ZZ94,"A","")),FALSE),IF(ISODD(SUBSTITUTE($BA94:$ZZ94,"A","")),1,0),0)))</f>
        <v>0</v>
      </c>
      <c r="AA94" t="str">
        <f t="shared" si="123"/>
        <v>9B</v>
      </c>
      <c r="AB94" t="str">
        <f t="shared" si="124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>
        <f t="array" ref="KE94">IF(COUNTIFS($U$2:$U94,$U94)=1,1,INDEX(KE:KE,_xlfn.XMATCH(U94,U$1:U93,0,-1))+COUNT(KE93:KI93))</f>
        <v>123</v>
      </c>
      <c r="KF94">
        <f t="shared" si="122"/>
        <v>124</v>
      </c>
      <c r="KG94">
        <f t="shared" si="122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SUM(IF(ISNUMBER(FIND("TmAi",$BA$1:$ZZ$1)),IF(IFERROR(ISODD(SUBSTITUTE($BA95:$ZZ95,"A","")),FALSE),IF(ISODD(SUBSTITUTE($BA95:$ZZ95,"A","")),1,0),0)))</f>
        <v>0</v>
      </c>
      <c r="AA95" t="str">
        <f t="shared" si="123"/>
        <v>11B</v>
      </c>
      <c r="AB95" t="str">
        <f t="shared" si="124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>
        <f t="array" ref="KE95">IF(COUNTIFS($U$2:$U95,$U95)=1,1,INDEX(KE:KE,_xlfn.XMATCH(U95,U$1:U94,0,-1))+COUNT(KE94:KI94))</f>
        <v>126</v>
      </c>
      <c r="KF95">
        <f t="shared" si="122"/>
        <v>127</v>
      </c>
      <c r="KG95">
        <f t="shared" si="122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SUM(IF(ISNUMBER(FIND("TmAi",$BA$1:$ZZ$1)),IF(IFERROR(ISODD(SUBSTITUTE($BA96:$ZZ96,"A","")),FALSE),IF(ISODD(SUBSTITUTE($BA96:$ZZ96,"A","")),1,0),0)))</f>
        <v>0</v>
      </c>
      <c r="AA96" t="str">
        <f t="shared" si="123"/>
        <v>13B</v>
      </c>
      <c r="AB96" t="str">
        <f t="shared" si="124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>
        <f t="array" ref="KE96">IF(COUNTIFS($U$2:$U96,$U96)=1,1,INDEX(KE:KE,_xlfn.XMATCH(U96,U$1:U95,0,-1))+COUNT(KE95:KI95))</f>
        <v>129</v>
      </c>
      <c r="KF96">
        <f t="shared" si="122"/>
        <v>130</v>
      </c>
      <c r="KG96">
        <f t="shared" si="122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SUM(IF(ISNUMBER(FIND("TmAi",$BA$1:$ZZ$1)),IF(IFERROR(ISODD(SUBSTITUTE($BA97:$ZZ97,"A","")),FALSE),IF(ISODD(SUBSTITUTE($BA97:$ZZ97,"A","")),1,0),0)))</f>
        <v>0</v>
      </c>
      <c r="AA97" t="str">
        <f t="shared" si="123"/>
        <v>15B</v>
      </c>
      <c r="AB97" t="str">
        <f t="shared" si="124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>
        <f t="array" ref="KE97">IF(COUNTIFS($U$2:$U97,$U97)=1,1,INDEX(KE:KE,_xlfn.XMATCH(U97,U$1:U96,0,-1))+COUNT(KE96:KI96))</f>
        <v>132</v>
      </c>
      <c r="KF97">
        <f t="shared" si="122"/>
        <v>133</v>
      </c>
      <c r="KG97">
        <f t="shared" si="122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SUM(IF(ISNUMBER(FIND("TmAi",$BA$1:$ZZ$1)),IF(IFERROR(ISODD(SUBSTITUTE($BA98:$ZZ98,"A","")),FALSE),IF(ISODD(SUBSTITUTE($BA98:$ZZ98,"A","")),1,0),0)))</f>
        <v>0</v>
      </c>
      <c r="AA98" t="str">
        <f t="shared" si="123"/>
        <v>1B</v>
      </c>
      <c r="AB98" t="str">
        <f t="shared" si="124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>
        <f t="array" ref="KE98">IF(COUNTIFS($U$2:$U98,$U98)=1,1,INDEX(KE:KE,_xlfn.XMATCH(U98,U$1:U97,0,-1))+COUNT(KE97:KI97))</f>
        <v>135</v>
      </c>
      <c r="KF98">
        <f t="shared" si="122"/>
        <v>136</v>
      </c>
      <c r="KG98">
        <f t="shared" si="122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SUM(IF(ISNUMBER(FIND("TmAi",$BA$1:$ZZ$1)),IF(IFERROR(ISODD(SUBSTITUTE($BA99:$ZZ99,"A","")),FALSE),IF(ISODD(SUBSTITUTE($BA99:$ZZ99,"A","")),1,0),0)))</f>
        <v>0</v>
      </c>
      <c r="AA99" t="str">
        <f t="shared" si="123"/>
        <v>3B</v>
      </c>
      <c r="AB99" t="str">
        <f t="shared" si="124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>
        <f t="array" ref="KE99">IF(COUNTIFS($U$2:$U99,$U99)=1,1,INDEX(KE:KE,_xlfn.XMATCH(U99,U$1:U98,0,-1))+COUNT(KE98:KI98))</f>
        <v>138</v>
      </c>
      <c r="KF99">
        <f t="shared" si="122"/>
        <v>139</v>
      </c>
      <c r="KG99">
        <f t="shared" si="122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SUM(IF(ISNUMBER(FIND("TmAi",$BA$1:$ZZ$1)),IF(IFERROR(ISODD(SUBSTITUTE($BA100:$ZZ100,"A","")),FALSE),IF(ISODD(SUBSTITUTE($BA100:$ZZ100,"A","")),1,0),0)))</f>
        <v>0</v>
      </c>
      <c r="AA100" t="str">
        <f t="shared" si="123"/>
        <v>5B</v>
      </c>
      <c r="AB100" t="str">
        <f t="shared" si="124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>
        <f t="array" ref="KE100">IF(COUNTIFS($U$2:$U100,$U100)=1,1,INDEX(KE:KE,_xlfn.XMATCH(U100,U$1:U99,0,-1))+COUNT(KE99:KI99))</f>
        <v>141</v>
      </c>
      <c r="KF100">
        <f t="shared" si="122"/>
        <v>142</v>
      </c>
      <c r="KG100">
        <f t="shared" si="122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SUM(IF(ISNUMBER(FIND("TmAi",$BA$1:$ZZ$1)),IF(IFERROR(ISODD(SUBSTITUTE($BA101:$ZZ101,"A","")),FALSE),IF(ISODD(SUBSTITUTE($BA101:$ZZ101,"A","")),1,0),0)))</f>
        <v>0</v>
      </c>
      <c r="AA101" t="str">
        <f t="shared" si="123"/>
        <v>7B</v>
      </c>
      <c r="AB101" t="str">
        <f t="shared" si="124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>
        <f t="array" ref="KE101">IF(COUNTIFS($U$2:$U101,$U101)=1,1,INDEX(KE:KE,_xlfn.XMATCH(U101,U$1:U100,0,-1))+COUNT(KE100:KI100))</f>
        <v>144</v>
      </c>
      <c r="KF101">
        <f t="shared" si="122"/>
        <v>145</v>
      </c>
      <c r="KG101">
        <f t="shared" si="122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SUM(IF(ISNUMBER(FIND("TmAi",$BA$1:$ZZ$1)),IF(IFERROR(ISODD(SUBSTITUTE($BA102:$ZZ102,"A","")),FALSE),IF(ISODD(SUBSTITUTE($BA102:$ZZ102,"A","")),1,0),0)))</f>
        <v>0</v>
      </c>
      <c r="AA102" t="str">
        <f t="shared" si="123"/>
        <v>9B</v>
      </c>
      <c r="AB102" t="str">
        <f t="shared" si="124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>
        <f t="array" ref="KE102">IF(COUNTIFS($U$2:$U102,$U102)=1,1,INDEX(KE:KE,_xlfn.XMATCH(U102,U$1:U101,0,-1))+COUNT(KE101:KI101))</f>
        <v>147</v>
      </c>
      <c r="KF102">
        <f t="shared" ref="KF102:KG122" si="125">KE102+1</f>
        <v>148</v>
      </c>
      <c r="KG102">
        <f t="shared" si="125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SUM(IF(ISNUMBER(FIND("TmAi",$BA$1:$ZZ$1)),IF(IFERROR(ISODD(SUBSTITUTE($BA103:$ZZ103,"A","")),FALSE),IF(ISODD(SUBSTITUTE($BA103:$ZZ103,"A","")),1,0),0)))</f>
        <v>0</v>
      </c>
      <c r="AA103" t="str">
        <f t="shared" si="123"/>
        <v>11B</v>
      </c>
      <c r="AB103" t="str">
        <f t="shared" si="124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>
        <f t="array" ref="KE103">IF(COUNTIFS($U$2:$U103,$U103)=1,1,INDEX(KE:KE,_xlfn.XMATCH(U103,U$1:U102,0,-1))+COUNT(KE102:KI102))</f>
        <v>150</v>
      </c>
      <c r="KF103">
        <f t="shared" si="125"/>
        <v>151</v>
      </c>
      <c r="KG103">
        <f t="shared" si="125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SUM(IF(ISNUMBER(FIND("TmAi",$BA$1:$ZZ$1)),IF(IFERROR(ISODD(SUBSTITUTE($BA104:$ZZ104,"A","")),FALSE),IF(ISODD(SUBSTITUTE($BA104:$ZZ104,"A","")),1,0),0)))</f>
        <v>0</v>
      </c>
      <c r="AA104" t="str">
        <f t="shared" si="123"/>
        <v>13B</v>
      </c>
      <c r="AB104" t="str">
        <f t="shared" si="124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>
        <f t="array" ref="KE104">IF(COUNTIFS($U$2:$U104,$U104)=1,1,INDEX(KE:KE,_xlfn.XMATCH(U104,U$1:U103,0,-1))+COUNT(KE103:KI103))</f>
        <v>153</v>
      </c>
      <c r="KF104">
        <f t="shared" si="125"/>
        <v>154</v>
      </c>
      <c r="KG104">
        <f t="shared" si="125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SUM(IF(ISNUMBER(FIND("TmAi",$BA$1:$ZZ$1)),IF(IFERROR(ISODD(SUBSTITUTE($BA105:$ZZ105,"A","")),FALSE),IF(ISODD(SUBSTITUTE($BA105:$ZZ105,"A","")),1,0),0)))</f>
        <v>0</v>
      </c>
      <c r="AA105" t="str">
        <f t="shared" si="123"/>
        <v>15B</v>
      </c>
      <c r="AB105" t="str">
        <f t="shared" si="124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>
        <f t="array" ref="KE105">IF(COUNTIFS($U$2:$U105,$U105)=1,1,INDEX(KE:KE,_xlfn.XMATCH(U105,U$1:U104,0,-1))+COUNT(KE104:KI104))</f>
        <v>156</v>
      </c>
      <c r="KF105">
        <f t="shared" si="125"/>
        <v>157</v>
      </c>
      <c r="KG105">
        <f t="shared" si="125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SUM(IF(ISNUMBER(FIND("TmAi",$BA$1:$ZZ$1)),IF(IFERROR(ISODD(SUBSTITUTE($BA106:$ZZ106,"A","")),FALSE),IF(ISODD(SUBSTITUTE($BA106:$ZZ106,"A","")),1,0),0)))</f>
        <v>0</v>
      </c>
      <c r="AA106" t="str">
        <f t="shared" si="123"/>
        <v>1B</v>
      </c>
      <c r="AB106" t="str">
        <f t="shared" si="124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>
        <f t="array" ref="KE106">IF(COUNTIFS($U$2:$U106,$U106)=1,1,INDEX(KE:KE,_xlfn.XMATCH(U106,U$1:U105,0,-1))+COUNT(KE105:KI105))</f>
        <v>159</v>
      </c>
      <c r="KF106">
        <f t="shared" si="125"/>
        <v>160</v>
      </c>
      <c r="KG106">
        <f t="shared" si="125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SUM(IF(ISNUMBER(FIND("TmAi",$BA$1:$ZZ$1)),IF(IFERROR(ISODD(SUBSTITUTE($BA107:$ZZ107,"A","")),FALSE),IF(ISODD(SUBSTITUTE($BA107:$ZZ107,"A","")),1,0),0)))</f>
        <v>0</v>
      </c>
      <c r="AA107" t="str">
        <f t="shared" si="123"/>
        <v>3B</v>
      </c>
      <c r="AB107" t="str">
        <f t="shared" si="124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>
        <f t="array" ref="KE107">IF(COUNTIFS($U$2:$U107,$U107)=1,1,INDEX(KE:KE,_xlfn.XMATCH(U107,U$1:U106,0,-1))+COUNT(KE106:KI106))</f>
        <v>162</v>
      </c>
      <c r="KF107">
        <f t="shared" si="125"/>
        <v>163</v>
      </c>
      <c r="KG107">
        <f t="shared" si="125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SUM(IF(ISNUMBER(FIND("TmAi",$BA$1:$ZZ$1)),IF(IFERROR(ISODD(SUBSTITUTE($BA108:$ZZ108,"A","")),FALSE),IF(ISODD(SUBSTITUTE($BA108:$ZZ108,"A","")),1,0),0)))</f>
        <v>0</v>
      </c>
      <c r="AA108" t="str">
        <f t="shared" si="123"/>
        <v>5B</v>
      </c>
      <c r="AB108" t="str">
        <f t="shared" si="124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>
        <f t="array" ref="KE108">IF(COUNTIFS($U$2:$U108,$U108)=1,1,INDEX(KE:KE,_xlfn.XMATCH(U108,U$1:U107,0,-1))+COUNT(KE107:KI107))</f>
        <v>165</v>
      </c>
      <c r="KF108">
        <f t="shared" si="125"/>
        <v>166</v>
      </c>
      <c r="KG108">
        <f t="shared" si="125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SUM(IF(ISNUMBER(FIND("TmAi",$BA$1:$ZZ$1)),IF(IFERROR(ISODD(SUBSTITUTE($BA109:$ZZ109,"A","")),FALSE),IF(ISODD(SUBSTITUTE($BA109:$ZZ109,"A","")),1,0),0)))</f>
        <v>0</v>
      </c>
      <c r="AA109" t="str">
        <f t="shared" si="123"/>
        <v>7B</v>
      </c>
      <c r="AB109" t="str">
        <f t="shared" si="124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>
        <f t="array" ref="KE109">IF(COUNTIFS($U$2:$U109,$U109)=1,1,INDEX(KE:KE,_xlfn.XMATCH(U109,U$1:U108,0,-1))+COUNT(KE108:KI108))</f>
        <v>168</v>
      </c>
      <c r="KF109">
        <f t="shared" si="125"/>
        <v>169</v>
      </c>
      <c r="KG109">
        <f t="shared" si="125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SUM(IF(ISNUMBER(FIND("TmAi",$BA$1:$ZZ$1)),IF(IFERROR(ISODD(SUBSTITUTE($BA110:$ZZ110,"A","")),FALSE),IF(ISODD(SUBSTITUTE($BA110:$ZZ110,"A","")),1,0),0)))</f>
        <v>0</v>
      </c>
      <c r="AA110" t="str">
        <f t="shared" si="123"/>
        <v>9B</v>
      </c>
      <c r="AB110" t="str">
        <f t="shared" si="124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>
        <f t="array" ref="KE110">IF(COUNTIFS($U$2:$U110,$U110)=1,1,INDEX(KE:KE,_xlfn.XMATCH(U110,U$1:U109,0,-1))+COUNT(KE109:KI109))</f>
        <v>171</v>
      </c>
      <c r="KF110">
        <f t="shared" si="125"/>
        <v>172</v>
      </c>
      <c r="KG110">
        <f t="shared" si="125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SUM(IF(ISNUMBER(FIND("TmAi",$BA$1:$ZZ$1)),IF(IFERROR(ISODD(SUBSTITUTE($BA111:$ZZ111,"A","")),FALSE),IF(ISODD(SUBSTITUTE($BA111:$ZZ111,"A","")),1,0),0)))</f>
        <v>0</v>
      </c>
      <c r="AA111" t="str">
        <f t="shared" si="123"/>
        <v>11B</v>
      </c>
      <c r="AB111" t="str">
        <f t="shared" si="124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>
        <f t="array" ref="KE111">IF(COUNTIFS($U$2:$U111,$U111)=1,1,INDEX(KE:KE,_xlfn.XMATCH(U111,U$1:U110,0,-1))+COUNT(KE110:KI110))</f>
        <v>174</v>
      </c>
      <c r="KF111">
        <f t="shared" si="125"/>
        <v>175</v>
      </c>
      <c r="KG111">
        <f t="shared" si="125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SUM(IF(ISNUMBER(FIND("TmAi",$BA$1:$ZZ$1)),IF(IFERROR(ISODD(SUBSTITUTE($BA112:$ZZ112,"A","")),FALSE),IF(ISODD(SUBSTITUTE($BA112:$ZZ112,"A","")),1,0),0)))</f>
        <v>0</v>
      </c>
      <c r="AA112" t="str">
        <f t="shared" si="123"/>
        <v>13B</v>
      </c>
      <c r="AB112" t="str">
        <f t="shared" si="124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>
        <f t="array" ref="KE112">IF(COUNTIFS($U$2:$U112,$U112)=1,1,INDEX(KE:KE,_xlfn.XMATCH(U112,U$1:U111,0,-1))+COUNT(KE111:KI111))</f>
        <v>177</v>
      </c>
      <c r="KF112">
        <f t="shared" si="125"/>
        <v>178</v>
      </c>
      <c r="KG112">
        <f t="shared" si="125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SUM(IF(ISNUMBER(FIND("TmAi",$BA$1:$ZZ$1)),IF(IFERROR(ISODD(SUBSTITUTE($BA113:$ZZ113,"A","")),FALSE),IF(ISODD(SUBSTITUTE($BA113:$ZZ113,"A","")),1,0),0)))</f>
        <v>0</v>
      </c>
      <c r="AA113" t="str">
        <f t="shared" si="123"/>
        <v>15B</v>
      </c>
      <c r="AB113" t="str">
        <f t="shared" si="124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>
        <f t="array" ref="KE113">IF(COUNTIFS($U$2:$U113,$U113)=1,1,INDEX(KE:KE,_xlfn.XMATCH(U113,U$1:U112,0,-1))+COUNT(KE112:KI112))</f>
        <v>180</v>
      </c>
      <c r="KF113">
        <f t="shared" si="125"/>
        <v>181</v>
      </c>
      <c r="KG113">
        <f t="shared" si="125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SUM(IF(ISNUMBER(FIND("TmAi",$BA$1:$ZZ$1)),IF(IFERROR(ISODD(SUBSTITUTE($BA114:$ZZ114,"A","")),FALSE),IF(ISODD(SUBSTITUTE($BA114:$ZZ114,"A","")),1,0),0)))</f>
        <v>0</v>
      </c>
      <c r="AA114" t="str">
        <f t="shared" si="123"/>
        <v>1B</v>
      </c>
      <c r="AB114" t="str">
        <f t="shared" si="124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>
        <f t="array" ref="KE114">IF(COUNTIFS($U$2:$U114,$U114)=1,1,INDEX(KE:KE,_xlfn.XMATCH(U114,U$1:U113,0,-1))+COUNT(KE113:KI113))</f>
        <v>183</v>
      </c>
      <c r="KF114">
        <f t="shared" si="125"/>
        <v>184</v>
      </c>
      <c r="KG114">
        <f t="shared" si="125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SUM(IF(ISNUMBER(FIND("TmAi",$BA$1:$ZZ$1)),IF(IFERROR(ISODD(SUBSTITUTE($BA115:$ZZ115,"A","")),FALSE),IF(ISODD(SUBSTITUTE($BA115:$ZZ115,"A","")),1,0),0)))</f>
        <v>0</v>
      </c>
      <c r="AA115" t="str">
        <f t="shared" si="123"/>
        <v>3B</v>
      </c>
      <c r="AB115" t="str">
        <f t="shared" si="124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>
        <f t="array" ref="KE115">IF(COUNTIFS($U$2:$U115,$U115)=1,1,INDEX(KE:KE,_xlfn.XMATCH(U115,U$1:U114,0,-1))+COUNT(KE114:KI114))</f>
        <v>186</v>
      </c>
      <c r="KF115">
        <f t="shared" si="125"/>
        <v>187</v>
      </c>
      <c r="KG115">
        <f t="shared" si="125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SUM(IF(ISNUMBER(FIND("TmAi",$BA$1:$ZZ$1)),IF(IFERROR(ISODD(SUBSTITUTE($BA116:$ZZ116,"A","")),FALSE),IF(ISODD(SUBSTITUTE($BA116:$ZZ116,"A","")),1,0),0)))</f>
        <v>0</v>
      </c>
      <c r="AA116" t="str">
        <f t="shared" si="123"/>
        <v>5B</v>
      </c>
      <c r="AB116" t="str">
        <f t="shared" si="124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>
        <f t="array" ref="KE116">IF(COUNTIFS($U$2:$U116,$U116)=1,1,INDEX(KE:KE,_xlfn.XMATCH(U116,U$1:U115,0,-1))+COUNT(KE115:KI115))</f>
        <v>189</v>
      </c>
      <c r="KF116">
        <f t="shared" si="125"/>
        <v>190</v>
      </c>
      <c r="KG116">
        <f t="shared" si="125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SUM(IF(ISNUMBER(FIND("TmAi",$BA$1:$ZZ$1)),IF(IFERROR(ISODD(SUBSTITUTE($BA117:$ZZ117,"A","")),FALSE),IF(ISODD(SUBSTITUTE($BA117:$ZZ117,"A","")),1,0),0)))</f>
        <v>0</v>
      </c>
      <c r="AA117" t="str">
        <f t="shared" si="123"/>
        <v>7B</v>
      </c>
      <c r="AB117" t="str">
        <f t="shared" si="124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>
        <f t="array" ref="KE117">IF(COUNTIFS($U$2:$U117,$U117)=1,1,INDEX(KE:KE,_xlfn.XMATCH(U117,U$1:U116,0,-1))+COUNT(KE116:KI116))</f>
        <v>192</v>
      </c>
      <c r="KF117">
        <f t="shared" si="125"/>
        <v>193</v>
      </c>
      <c r="KG117">
        <f t="shared" si="125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SUM(IF(ISNUMBER(FIND("TmAi",$BA$1:$ZZ$1)),IF(IFERROR(ISODD(SUBSTITUTE($BA118:$ZZ118,"A","")),FALSE),IF(ISODD(SUBSTITUTE($BA118:$ZZ118,"A","")),1,0),0)))</f>
        <v>0</v>
      </c>
      <c r="AA118" t="str">
        <f t="shared" si="123"/>
        <v>9B</v>
      </c>
      <c r="AB118" t="str">
        <f t="shared" si="124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>
        <f t="array" ref="KE118">IF(COUNTIFS($U$2:$U118,$U118)=1,1,INDEX(KE:KE,_xlfn.XMATCH(U118,U$1:U117,0,-1))+COUNT(KE117:KI117))</f>
        <v>195</v>
      </c>
      <c r="KF118">
        <f t="shared" si="125"/>
        <v>196</v>
      </c>
      <c r="KG118">
        <f t="shared" si="125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SUM(IF(ISNUMBER(FIND("TmAi",$BA$1:$ZZ$1)),IF(IFERROR(ISODD(SUBSTITUTE($BA119:$ZZ119,"A","")),FALSE),IF(ISODD(SUBSTITUTE($BA119:$ZZ119,"A","")),1,0),0)))</f>
        <v>0</v>
      </c>
      <c r="AA119" t="str">
        <f t="shared" si="123"/>
        <v>11B</v>
      </c>
      <c r="AB119" t="str">
        <f t="shared" si="124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>
        <f t="array" ref="KE119">IF(COUNTIFS($U$2:$U119,$U119)=1,1,INDEX(KE:KE,_xlfn.XMATCH(U119,U$1:U118,0,-1))+COUNT(KE118:KI118))</f>
        <v>198</v>
      </c>
      <c r="KF119">
        <f t="shared" si="125"/>
        <v>199</v>
      </c>
      <c r="KG119">
        <f t="shared" si="125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SUM(IF(ISNUMBER(FIND("TmAi",$BA$1:$ZZ$1)),IF(IFERROR(ISODD(SUBSTITUTE($BA120:$ZZ120,"A","")),FALSE),IF(ISODD(SUBSTITUTE($BA120:$ZZ120,"A","")),1,0),0)))</f>
        <v>0</v>
      </c>
      <c r="AA120" t="str">
        <f t="shared" si="123"/>
        <v>13B</v>
      </c>
      <c r="AB120" t="str">
        <f t="shared" si="124"/>
        <v>14B</v>
      </c>
      <c r="AL120" t="s">
        <v>137</v>
      </c>
      <c r="AO120" t="s">
        <v>396</v>
      </c>
      <c r="JV120" s="27" t="str">
        <f t="shared" ref="JV120:JV168" si="126">CONCATENATE("XT",U120)</f>
        <v>XT55</v>
      </c>
      <c r="JY120" t="str">
        <f t="shared" ref="JY120:JY168" si="127">CONCATENATE(T120,"-AI",REPLACE($X120,1,3,""),"-",AA120)</f>
        <v>F0-AI10-13B</v>
      </c>
      <c r="JZ120" t="str">
        <f t="shared" ref="JZ120:JZ168" si="128">CONCATENATE(T120,"-AI",REPLACE($X120,1,3,""),"-",AB120)</f>
        <v>F0-AI10-14B</v>
      </c>
      <c r="KE120">
        <f t="array" ref="KE120">IF(COUNTIFS($U$2:$U120,$U120)=1,1,INDEX(KE:KE,_xlfn.XMATCH(U120,U$1:U119,0,-1))+COUNT(KE119:KI119))</f>
        <v>201</v>
      </c>
      <c r="KF120">
        <f t="shared" si="125"/>
        <v>202</v>
      </c>
      <c r="KG120">
        <f t="shared" si="125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SUM(IF(ISNUMBER(FIND("TmAi",$BA$1:$ZZ$1)),IF(IFERROR(ISODD(SUBSTITUTE($BA121:$ZZ121,"A","")),FALSE),IF(ISODD(SUBSTITUTE($BA121:$ZZ121,"A","")),1,0),0)))</f>
        <v>0</v>
      </c>
      <c r="AA121" t="str">
        <f t="shared" si="123"/>
        <v>15B</v>
      </c>
      <c r="AB121" t="str">
        <f t="shared" si="124"/>
        <v>16B</v>
      </c>
      <c r="AL121" t="s">
        <v>137</v>
      </c>
      <c r="AO121" t="s">
        <v>396</v>
      </c>
      <c r="JV121" s="27" t="str">
        <f t="shared" si="126"/>
        <v>XT55</v>
      </c>
      <c r="JY121" t="str">
        <f t="shared" si="127"/>
        <v>F0-AI10-15B</v>
      </c>
      <c r="JZ121" t="str">
        <f t="shared" si="128"/>
        <v>F0-AI10-16B</v>
      </c>
      <c r="KE121">
        <f t="array" ref="KE121">IF(COUNTIFS($U$2:$U121,$U121)=1,1,INDEX(KE:KE,_xlfn.XMATCH(U121,U$1:U120,0,-1))+COUNT(KE120:KI120))</f>
        <v>204</v>
      </c>
      <c r="KF121">
        <f t="shared" si="125"/>
        <v>205</v>
      </c>
      <c r="KG121">
        <f t="shared" si="125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SUM(IF(ISNUMBER(FIND("TmAi",$BA$1:$ZZ$1)),IF(IFERROR(ISODD(SUBSTITUTE($BA122:$ZZ122,"A","")),FALSE),IF(ISODD(SUBSTITUTE($BA122:$ZZ122,"A","")),1,0),0)))</f>
        <v>0</v>
      </c>
      <c r="AA122" t="str">
        <f t="shared" si="123"/>
        <v>1B</v>
      </c>
      <c r="AB122" t="str">
        <f t="shared" si="124"/>
        <v>2B</v>
      </c>
      <c r="AL122" t="s">
        <v>137</v>
      </c>
      <c r="AO122" t="s">
        <v>396</v>
      </c>
      <c r="JV122" s="27" t="str">
        <f t="shared" si="126"/>
        <v>XT55</v>
      </c>
      <c r="JY122" t="str">
        <f t="shared" si="127"/>
        <v>F0-AI11-1B</v>
      </c>
      <c r="JZ122" t="str">
        <f t="shared" si="128"/>
        <v>F0-AI11-2B</v>
      </c>
      <c r="KE122">
        <f t="array" ref="KE122">IF(COUNTIFS($U$2:$U122,$U122)=1,1,INDEX(KE:KE,_xlfn.XMATCH(U122,U$1:U121,0,-1))+COUNT(KE121:KI121))</f>
        <v>207</v>
      </c>
      <c r="KF122">
        <f t="shared" si="125"/>
        <v>208</v>
      </c>
      <c r="KG122">
        <f t="shared" si="125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SUM(IF(ISNUMBER(FIND("TmAi",$BA$1:$ZZ$1)),IF(IFERROR(ISODD(SUBSTITUTE($BA123:$ZZ123,"A","")),FALSE),IF(ISODD(SUBSTITUTE($BA123:$ZZ123,"A","")),1,0),0)))</f>
        <v>0</v>
      </c>
      <c r="AA123" t="str">
        <f t="shared" si="123"/>
        <v>3B</v>
      </c>
      <c r="AB123" t="str">
        <f t="shared" si="124"/>
        <v>4B</v>
      </c>
      <c r="AL123" t="s">
        <v>137</v>
      </c>
      <c r="AO123" t="s">
        <v>396</v>
      </c>
      <c r="JV123" s="27" t="str">
        <f t="shared" si="126"/>
        <v>XT55</v>
      </c>
      <c r="JY123" t="str">
        <f t="shared" si="127"/>
        <v>F0-AI11-3B</v>
      </c>
      <c r="JZ123" t="str">
        <f t="shared" si="128"/>
        <v>F0-AI11-4B</v>
      </c>
      <c r="KE123">
        <f t="array" ref="KE123">IF(COUNTIFS($U$2:$U123,$U123)=1,1,INDEX(KE:KE,_xlfn.XMATCH(U123,U$1:U122,0,-1))+COUNT(KE122:KI122))</f>
        <v>210</v>
      </c>
      <c r="KF123">
        <f t="shared" ref="KF123:KG161" si="129">KE123+1</f>
        <v>211</v>
      </c>
      <c r="KG123">
        <f t="shared" si="129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SUM(IF(ISNUMBER(FIND("TmAi",$BA$1:$ZZ$1)),IF(IFERROR(ISODD(SUBSTITUTE($BA124:$ZZ124,"A","")),FALSE),IF(ISODD(SUBSTITUTE($BA124:$ZZ124,"A","")),1,0),0)))</f>
        <v>0</v>
      </c>
      <c r="AA124" t="str">
        <f t="shared" si="123"/>
        <v>5B</v>
      </c>
      <c r="AB124" t="str">
        <f t="shared" si="124"/>
        <v>6B</v>
      </c>
      <c r="AL124" t="s">
        <v>137</v>
      </c>
      <c r="AO124" t="s">
        <v>396</v>
      </c>
      <c r="JV124" s="27" t="str">
        <f t="shared" si="126"/>
        <v>XT55</v>
      </c>
      <c r="JY124" t="str">
        <f t="shared" si="127"/>
        <v>F0-AI11-5B</v>
      </c>
      <c r="JZ124" t="str">
        <f t="shared" si="128"/>
        <v>F0-AI11-6B</v>
      </c>
      <c r="KE124">
        <f t="array" ref="KE124">IF(COUNTIFS($U$2:$U124,$U124)=1,1,INDEX(KE:KE,_xlfn.XMATCH(U124,U$1:U123,0,-1))+COUNT(KE123:KI123))</f>
        <v>213</v>
      </c>
      <c r="KF124">
        <f t="shared" si="129"/>
        <v>214</v>
      </c>
      <c r="KG124">
        <f t="shared" si="129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SUM(IF(ISNUMBER(FIND("TmAi",$BA$1:$ZZ$1)),IF(IFERROR(ISODD(SUBSTITUTE($BA125:$ZZ125,"A","")),FALSE),IF(ISODD(SUBSTITUTE($BA125:$ZZ125,"A","")),1,0),0)))</f>
        <v>0</v>
      </c>
      <c r="AA125" t="str">
        <f t="shared" si="123"/>
        <v>7B</v>
      </c>
      <c r="AB125" t="str">
        <f t="shared" si="124"/>
        <v>8B</v>
      </c>
      <c r="AL125" t="s">
        <v>137</v>
      </c>
      <c r="AO125" t="s">
        <v>396</v>
      </c>
      <c r="JV125" s="27" t="str">
        <f t="shared" si="126"/>
        <v>XT55</v>
      </c>
      <c r="JY125" t="str">
        <f t="shared" si="127"/>
        <v>F0-AI11-7B</v>
      </c>
      <c r="JZ125" t="str">
        <f t="shared" si="128"/>
        <v>F0-AI11-8B</v>
      </c>
      <c r="KE125">
        <f t="array" ref="KE125">IF(COUNTIFS($U$2:$U125,$U125)=1,1,INDEX(KE:KE,_xlfn.XMATCH(U125,U$1:U124,0,-1))+COUNT(KE124:KI124))</f>
        <v>216</v>
      </c>
      <c r="KF125">
        <f t="shared" si="129"/>
        <v>217</v>
      </c>
      <c r="KG125">
        <f t="shared" si="129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SUM(IF(ISNUMBER(FIND("TmAi",$BA$1:$ZZ$1)),IF(IFERROR(ISODD(SUBSTITUTE($BA126:$ZZ126,"A","")),FALSE),IF(ISODD(SUBSTITUTE($BA126:$ZZ126,"A","")),1,0),0)))</f>
        <v>0</v>
      </c>
      <c r="AA126" t="str">
        <f t="shared" si="123"/>
        <v>9B</v>
      </c>
      <c r="AB126" t="str">
        <f t="shared" si="124"/>
        <v>10B</v>
      </c>
      <c r="AL126" t="s">
        <v>137</v>
      </c>
      <c r="AO126" t="s">
        <v>396</v>
      </c>
      <c r="JV126" s="27" t="str">
        <f t="shared" si="126"/>
        <v>XT55</v>
      </c>
      <c r="JY126" t="str">
        <f t="shared" si="127"/>
        <v>F0-AI11-9B</v>
      </c>
      <c r="JZ126" t="str">
        <f t="shared" si="128"/>
        <v>F0-AI11-10B</v>
      </c>
      <c r="KE126">
        <f t="array" ref="KE126">IF(COUNTIFS($U$2:$U126,$U126)=1,1,INDEX(KE:KE,_xlfn.XMATCH(U126,U$1:U125,0,-1))+COUNT(KE125:KI125))</f>
        <v>219</v>
      </c>
      <c r="KF126">
        <f t="shared" si="129"/>
        <v>220</v>
      </c>
      <c r="KG126">
        <f t="shared" si="129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SUM(IF(ISNUMBER(FIND("TmAi",$BA$1:$ZZ$1)),IF(IFERROR(ISODD(SUBSTITUTE($BA127:$ZZ127,"A","")),FALSE),IF(ISODD(SUBSTITUTE($BA127:$ZZ127,"A","")),1,0),0)))</f>
        <v>0</v>
      </c>
      <c r="AA127" t="str">
        <f t="shared" si="123"/>
        <v>11B</v>
      </c>
      <c r="AB127" t="str">
        <f t="shared" si="124"/>
        <v>12B</v>
      </c>
      <c r="AL127" t="s">
        <v>137</v>
      </c>
      <c r="AO127" t="s">
        <v>396</v>
      </c>
      <c r="JV127" s="27" t="str">
        <f t="shared" si="126"/>
        <v>XT55</v>
      </c>
      <c r="JY127" t="str">
        <f t="shared" si="127"/>
        <v>F0-AI11-11B</v>
      </c>
      <c r="JZ127" t="str">
        <f t="shared" si="128"/>
        <v>F0-AI11-12B</v>
      </c>
      <c r="KE127">
        <f t="array" ref="KE127">IF(COUNTIFS($U$2:$U127,$U127)=1,1,INDEX(KE:KE,_xlfn.XMATCH(U127,U$1:U126,0,-1))+COUNT(KE126:KI126))</f>
        <v>222</v>
      </c>
      <c r="KF127">
        <f t="shared" si="129"/>
        <v>223</v>
      </c>
      <c r="KG127">
        <f t="shared" si="129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SUM(IF(ISNUMBER(FIND("TmAi",$BA$1:$ZZ$1)),IF(IFERROR(ISODD(SUBSTITUTE($BA128:$ZZ128,"A","")),FALSE),IF(ISODD(SUBSTITUTE($BA128:$ZZ128,"A","")),1,0),0)))</f>
        <v>0</v>
      </c>
      <c r="AA128" t="str">
        <f t="shared" si="123"/>
        <v>13B</v>
      </c>
      <c r="AB128" t="str">
        <f t="shared" si="124"/>
        <v>14B</v>
      </c>
      <c r="AL128" t="s">
        <v>137</v>
      </c>
      <c r="AO128" t="s">
        <v>396</v>
      </c>
      <c r="JV128" s="27" t="str">
        <f t="shared" si="126"/>
        <v>XT55</v>
      </c>
      <c r="JY128" t="str">
        <f t="shared" si="127"/>
        <v>F0-AI11-13B</v>
      </c>
      <c r="JZ128" t="str">
        <f t="shared" si="128"/>
        <v>F0-AI11-14B</v>
      </c>
      <c r="KE128">
        <f t="array" ref="KE128">IF(COUNTIFS($U$2:$U128,$U128)=1,1,INDEX(KE:KE,_xlfn.XMATCH(U128,U$1:U127,0,-1))+COUNT(KE127:KI127))</f>
        <v>225</v>
      </c>
      <c r="KF128">
        <f t="shared" si="129"/>
        <v>226</v>
      </c>
      <c r="KG128">
        <f t="shared" si="129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SUM(IF(ISNUMBER(FIND("TmAi",$BA$1:$ZZ$1)),IF(IFERROR(ISODD(SUBSTITUTE($BA129:$ZZ129,"A","")),FALSE),IF(ISODD(SUBSTITUTE($BA129:$ZZ129,"A","")),1,0),0)))</f>
        <v>0</v>
      </c>
      <c r="AA129" t="str">
        <f t="shared" si="123"/>
        <v>15B</v>
      </c>
      <c r="AB129" t="str">
        <f t="shared" si="124"/>
        <v>16B</v>
      </c>
      <c r="AL129" t="s">
        <v>137</v>
      </c>
      <c r="AO129" t="s">
        <v>396</v>
      </c>
      <c r="JV129" s="27" t="str">
        <f t="shared" si="126"/>
        <v>XT55</v>
      </c>
      <c r="JY129" t="str">
        <f t="shared" si="127"/>
        <v>F0-AI11-15B</v>
      </c>
      <c r="JZ129" t="str">
        <f t="shared" si="128"/>
        <v>F0-AI11-16B</v>
      </c>
      <c r="KE129">
        <f t="array" ref="KE129">IF(COUNTIFS($U$2:$U129,$U129)=1,1,INDEX(KE:KE,_xlfn.XMATCH(U129,U$1:U128,0,-1))+COUNT(KE128:KI128))</f>
        <v>228</v>
      </c>
      <c r="KF129">
        <f t="shared" si="129"/>
        <v>229</v>
      </c>
      <c r="KG129">
        <f t="shared" si="129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SUM(IF(ISNUMBER(FIND("TmAi",$BA$1:$ZZ$1)),IF(IFERROR(ISODD(SUBSTITUTE($BA130:$ZZ130,"A","")),FALSE),IF(ISODD(SUBSTITUTE($BA130:$ZZ130,"A","")),1,0),0)))</f>
        <v>0</v>
      </c>
      <c r="AA130" t="str">
        <f t="shared" si="123"/>
        <v>1B</v>
      </c>
      <c r="AB130" t="str">
        <f t="shared" si="124"/>
        <v>2B</v>
      </c>
      <c r="AL130" t="s">
        <v>137</v>
      </c>
      <c r="AO130" t="s">
        <v>396</v>
      </c>
      <c r="JV130" s="27" t="str">
        <f t="shared" si="126"/>
        <v>XT55</v>
      </c>
      <c r="JY130" t="str">
        <f t="shared" si="127"/>
        <v>F0-AI12-1B</v>
      </c>
      <c r="JZ130" t="str">
        <f t="shared" si="128"/>
        <v>F0-AI12-2B</v>
      </c>
      <c r="KE130">
        <f t="array" ref="KE130">IF(COUNTIFS($U$2:$U130,$U130)=1,1,INDEX(KE:KE,_xlfn.XMATCH(U130,U$1:U129,0,-1))+COUNT(KE129:KI129))</f>
        <v>231</v>
      </c>
      <c r="KF130">
        <f t="shared" si="129"/>
        <v>232</v>
      </c>
      <c r="KG130">
        <f t="shared" si="129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SUM(IF(ISNUMBER(FIND("TmAi",$BA$1:$ZZ$1)),IF(IFERROR(ISODD(SUBSTITUTE($BA131:$ZZ131,"A","")),FALSE),IF(ISODD(SUBSTITUTE($BA131:$ZZ131,"A","")),1,0),0)))</f>
        <v>0</v>
      </c>
      <c r="AA131" t="str">
        <f t="shared" si="123"/>
        <v>3B</v>
      </c>
      <c r="AB131" t="str">
        <f t="shared" si="124"/>
        <v>4B</v>
      </c>
      <c r="AL131" t="s">
        <v>137</v>
      </c>
      <c r="AO131" t="s">
        <v>396</v>
      </c>
      <c r="JV131" s="27" t="str">
        <f t="shared" si="126"/>
        <v>XT55</v>
      </c>
      <c r="JY131" t="str">
        <f t="shared" si="127"/>
        <v>F0-AI12-3B</v>
      </c>
      <c r="JZ131" t="str">
        <f t="shared" si="128"/>
        <v>F0-AI12-4B</v>
      </c>
      <c r="KE131">
        <f t="array" ref="KE131">IF(COUNTIFS($U$2:$U131,$U131)=1,1,INDEX(KE:KE,_xlfn.XMATCH(U131,U$1:U130,0,-1))+COUNT(KE130:KI130))</f>
        <v>234</v>
      </c>
      <c r="KF131">
        <f t="shared" si="129"/>
        <v>235</v>
      </c>
      <c r="KG131">
        <f t="shared" si="129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SUM(IF(ISNUMBER(FIND("TmAi",$BA$1:$ZZ$1)),IF(IFERROR(ISODD(SUBSTITUTE($BA132:$ZZ132,"A","")),FALSE),IF(ISODD(SUBSTITUTE($BA132:$ZZ132,"A","")),1,0),0)))</f>
        <v>0</v>
      </c>
      <c r="AA132" t="str">
        <f t="shared" si="123"/>
        <v>5B</v>
      </c>
      <c r="AB132" t="str">
        <f t="shared" si="124"/>
        <v>6B</v>
      </c>
      <c r="AL132" t="s">
        <v>137</v>
      </c>
      <c r="AO132" t="s">
        <v>396</v>
      </c>
      <c r="JV132" s="27" t="str">
        <f t="shared" si="126"/>
        <v>XT55</v>
      </c>
      <c r="JY132" t="str">
        <f t="shared" si="127"/>
        <v>F0-AI12-5B</v>
      </c>
      <c r="JZ132" t="str">
        <f t="shared" si="128"/>
        <v>F0-AI12-6B</v>
      </c>
      <c r="KE132">
        <f t="array" ref="KE132">IF(COUNTIFS($U$2:$U132,$U132)=1,1,INDEX(KE:KE,_xlfn.XMATCH(U132,U$1:U131,0,-1))+COUNT(KE131:KI131))</f>
        <v>237</v>
      </c>
      <c r="KF132">
        <f t="shared" si="129"/>
        <v>238</v>
      </c>
      <c r="KG132">
        <f t="shared" si="129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SUM(IF(ISNUMBER(FIND("TmAi",$BA$1:$ZZ$1)),IF(IFERROR(ISODD(SUBSTITUTE($BA133:$ZZ133,"A","")),FALSE),IF(ISODD(SUBSTITUTE($BA133:$ZZ133,"A","")),1,0),0)))</f>
        <v>0</v>
      </c>
      <c r="AA133" t="str">
        <f t="shared" si="123"/>
        <v>7B</v>
      </c>
      <c r="AB133" t="str">
        <f t="shared" si="124"/>
        <v>8B</v>
      </c>
      <c r="AL133" t="s">
        <v>137</v>
      </c>
      <c r="AO133" t="s">
        <v>396</v>
      </c>
      <c r="JV133" s="27" t="str">
        <f t="shared" si="126"/>
        <v>XT55</v>
      </c>
      <c r="JY133" t="str">
        <f t="shared" si="127"/>
        <v>F0-AI12-7B</v>
      </c>
      <c r="JZ133" t="str">
        <f t="shared" si="128"/>
        <v>F0-AI12-8B</v>
      </c>
      <c r="KE133">
        <f t="array" ref="KE133">IF(COUNTIFS($U$2:$U133,$U133)=1,1,INDEX(KE:KE,_xlfn.XMATCH(U133,U$1:U132,0,-1))+COUNT(KE132:KI132))</f>
        <v>240</v>
      </c>
      <c r="KF133">
        <f t="shared" si="129"/>
        <v>241</v>
      </c>
      <c r="KG133">
        <f t="shared" si="129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SUM(IF(ISNUMBER(FIND("TmAi",$BA$1:$ZZ$1)),IF(IFERROR(ISODD(SUBSTITUTE($BA134:$ZZ134,"A","")),FALSE),IF(ISODD(SUBSTITUTE($BA134:$ZZ134,"A","")),1,0),0)))</f>
        <v>0</v>
      </c>
      <c r="AA134" t="str">
        <f t="shared" si="123"/>
        <v>9B</v>
      </c>
      <c r="AB134" t="str">
        <f t="shared" si="124"/>
        <v>10B</v>
      </c>
      <c r="AL134" t="s">
        <v>137</v>
      </c>
      <c r="AO134" t="s">
        <v>396</v>
      </c>
      <c r="JV134" s="27" t="str">
        <f t="shared" si="126"/>
        <v>XT55</v>
      </c>
      <c r="JY134" t="str">
        <f t="shared" si="127"/>
        <v>F0-AI12-9B</v>
      </c>
      <c r="JZ134" t="str">
        <f t="shared" si="128"/>
        <v>F0-AI12-10B</v>
      </c>
      <c r="KE134">
        <f t="array" ref="KE134">IF(COUNTIFS($U$2:$U134,$U134)=1,1,INDEX(KE:KE,_xlfn.XMATCH(U134,U$1:U133,0,-1))+COUNT(KE133:KI133))</f>
        <v>243</v>
      </c>
      <c r="KF134">
        <f t="shared" si="129"/>
        <v>244</v>
      </c>
      <c r="KG134">
        <f t="shared" si="129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SUM(IF(ISNUMBER(FIND("TmAi",$BA$1:$ZZ$1)),IF(IFERROR(ISODD(SUBSTITUTE($BA135:$ZZ135,"A","")),FALSE),IF(ISODD(SUBSTITUTE($BA135:$ZZ135,"A","")),1,0),0)))</f>
        <v>0</v>
      </c>
      <c r="AA135" t="str">
        <f t="shared" si="123"/>
        <v>11B</v>
      </c>
      <c r="AB135" t="str">
        <f t="shared" si="124"/>
        <v>12B</v>
      </c>
      <c r="AL135" t="s">
        <v>137</v>
      </c>
      <c r="AO135" t="s">
        <v>396</v>
      </c>
      <c r="JV135" s="27" t="str">
        <f t="shared" si="126"/>
        <v>XT55</v>
      </c>
      <c r="JY135" t="str">
        <f t="shared" si="127"/>
        <v>F0-AI12-11B</v>
      </c>
      <c r="JZ135" t="str">
        <f t="shared" si="128"/>
        <v>F0-AI12-12B</v>
      </c>
      <c r="KE135">
        <f t="array" ref="KE135">IF(COUNTIFS($U$2:$U135,$U135)=1,1,INDEX(KE:KE,_xlfn.XMATCH(U135,U$1:U134,0,-1))+COUNT(KE134:KI134))</f>
        <v>246</v>
      </c>
      <c r="KF135">
        <f t="shared" si="129"/>
        <v>247</v>
      </c>
      <c r="KG135">
        <f t="shared" si="129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SUM(IF(ISNUMBER(FIND("TmAi",$BA$1:$ZZ$1)),IF(IFERROR(ISODD(SUBSTITUTE($BA136:$ZZ136,"A","")),FALSE),IF(ISODD(SUBSTITUTE($BA136:$ZZ136,"A","")),1,0),0)))</f>
        <v>0</v>
      </c>
      <c r="AA136" t="str">
        <f t="shared" si="123"/>
        <v>13B</v>
      </c>
      <c r="AB136" t="str">
        <f t="shared" si="124"/>
        <v>14B</v>
      </c>
      <c r="AL136" t="s">
        <v>137</v>
      </c>
      <c r="AO136" t="s">
        <v>396</v>
      </c>
      <c r="JV136" s="27" t="str">
        <f t="shared" si="126"/>
        <v>XT55</v>
      </c>
      <c r="JY136" t="str">
        <f t="shared" si="127"/>
        <v>F0-AI12-13B</v>
      </c>
      <c r="JZ136" t="str">
        <f t="shared" si="128"/>
        <v>F0-AI12-14B</v>
      </c>
      <c r="KE136">
        <f t="array" ref="KE136">IF(COUNTIFS($U$2:$U136,$U136)=1,1,INDEX(KE:KE,_xlfn.XMATCH(U136,U$1:U135,0,-1))+COUNT(KE135:KI135))</f>
        <v>249</v>
      </c>
      <c r="KF136">
        <f t="shared" si="129"/>
        <v>250</v>
      </c>
      <c r="KG136">
        <f t="shared" si="129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SUM(IF(ISNUMBER(FIND("TmAi",$BA$1:$ZZ$1)),IF(IFERROR(ISODD(SUBSTITUTE($BA137:$ZZ137,"A","")),FALSE),IF(ISODD(SUBSTITUTE($BA137:$ZZ137,"A","")),1,0),0)))</f>
        <v>0</v>
      </c>
      <c r="AA137" t="str">
        <f t="shared" si="123"/>
        <v>15B</v>
      </c>
      <c r="AB137" t="str">
        <f t="shared" si="124"/>
        <v>16B</v>
      </c>
      <c r="AL137" t="s">
        <v>137</v>
      </c>
      <c r="AO137" t="s">
        <v>396</v>
      </c>
      <c r="JV137" s="27" t="str">
        <f t="shared" si="126"/>
        <v>XT55</v>
      </c>
      <c r="JY137" t="str">
        <f t="shared" si="127"/>
        <v>F0-AI12-15B</v>
      </c>
      <c r="JZ137" t="str">
        <f t="shared" si="128"/>
        <v>F0-AI12-16B</v>
      </c>
      <c r="KE137">
        <f t="array" ref="KE137">IF(COUNTIFS($U$2:$U137,$U137)=1,1,INDEX(KE:KE,_xlfn.XMATCH(U137,U$1:U136,0,-1))+COUNT(KE136:KI136))</f>
        <v>252</v>
      </c>
      <c r="KF137">
        <f t="shared" si="129"/>
        <v>253</v>
      </c>
      <c r="KG137">
        <f t="shared" si="129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SUM(IF(ISNUMBER(FIND("TmAi",$BA$1:$ZZ$1)),IF(IFERROR(ISODD(SUBSTITUTE($BA138:$ZZ138,"A","")),FALSE),IF(ISODD(SUBSTITUTE($BA138:$ZZ138,"A","")),1,0),0)))</f>
        <v>0</v>
      </c>
      <c r="AA138" t="str">
        <f t="shared" si="123"/>
        <v>1B</v>
      </c>
      <c r="AB138" t="str">
        <f t="shared" si="124"/>
        <v>2B</v>
      </c>
      <c r="AL138" t="s">
        <v>137</v>
      </c>
      <c r="AO138" t="s">
        <v>396</v>
      </c>
      <c r="JV138" s="27" t="str">
        <f t="shared" si="126"/>
        <v>XT55</v>
      </c>
      <c r="JY138" t="str">
        <f t="shared" si="127"/>
        <v>F0-AI13-1B</v>
      </c>
      <c r="JZ138" t="str">
        <f t="shared" si="128"/>
        <v>F0-AI13-2B</v>
      </c>
      <c r="KE138">
        <f t="array" ref="KE138">IF(COUNTIFS($U$2:$U138,$U138)=1,1,INDEX(KE:KE,_xlfn.XMATCH(U138,U$1:U137,0,-1))+COUNT(KE137:KI137))</f>
        <v>255</v>
      </c>
      <c r="KF138">
        <f t="shared" si="129"/>
        <v>256</v>
      </c>
      <c r="KG138">
        <f t="shared" si="129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SUM(IF(ISNUMBER(FIND("TmAi",$BA$1:$ZZ$1)),IF(IFERROR(ISODD(SUBSTITUTE($BA139:$ZZ139,"A","")),FALSE),IF(ISODD(SUBSTITUTE($BA139:$ZZ139,"A","")),1,0),0)))</f>
        <v>0</v>
      </c>
      <c r="AA139" t="str">
        <f t="shared" si="123"/>
        <v>3B</v>
      </c>
      <c r="AB139" t="str">
        <f t="shared" si="124"/>
        <v>4B</v>
      </c>
      <c r="AL139" t="s">
        <v>137</v>
      </c>
      <c r="AO139" t="s">
        <v>396</v>
      </c>
      <c r="JV139" s="27" t="str">
        <f t="shared" si="126"/>
        <v>XT55</v>
      </c>
      <c r="JY139" t="str">
        <f t="shared" si="127"/>
        <v>F0-AI13-3B</v>
      </c>
      <c r="JZ139" t="str">
        <f t="shared" si="128"/>
        <v>F0-AI13-4B</v>
      </c>
      <c r="KE139">
        <f t="array" ref="KE139">IF(COUNTIFS($U$2:$U139,$U139)=1,1,INDEX(KE:KE,_xlfn.XMATCH(U139,U$1:U138,0,-1))+COUNT(KE138:KI138))</f>
        <v>258</v>
      </c>
      <c r="KF139">
        <f t="shared" si="129"/>
        <v>259</v>
      </c>
      <c r="KG139">
        <f t="shared" si="129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SUM(IF(ISNUMBER(FIND("TmAi",$BA$1:$ZZ$1)),IF(IFERROR(ISODD(SUBSTITUTE($BA140:$ZZ140,"A","")),FALSE),IF(ISODD(SUBSTITUTE($BA140:$ZZ140,"A","")),1,0),0)))</f>
        <v>0</v>
      </c>
      <c r="AA140" t="str">
        <f t="shared" si="123"/>
        <v>5B</v>
      </c>
      <c r="AB140" t="str">
        <f t="shared" si="124"/>
        <v>6B</v>
      </c>
      <c r="AL140" t="s">
        <v>137</v>
      </c>
      <c r="AO140" t="s">
        <v>396</v>
      </c>
      <c r="JV140" s="27" t="str">
        <f t="shared" si="126"/>
        <v>XT55</v>
      </c>
      <c r="JY140" t="str">
        <f t="shared" si="127"/>
        <v>F0-AI13-5B</v>
      </c>
      <c r="JZ140" t="str">
        <f t="shared" si="128"/>
        <v>F0-AI13-6B</v>
      </c>
      <c r="KE140">
        <f t="array" ref="KE140">IF(COUNTIFS($U$2:$U140,$U140)=1,1,INDEX(KE:KE,_xlfn.XMATCH(U140,U$1:U139,0,-1))+COUNT(KE139:KI139))</f>
        <v>261</v>
      </c>
      <c r="KF140">
        <f t="shared" si="129"/>
        <v>262</v>
      </c>
      <c r="KG140">
        <f t="shared" si="129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SUM(IF(ISNUMBER(FIND("TmAi",$BA$1:$ZZ$1)),IF(IFERROR(ISODD(SUBSTITUTE($BA141:$ZZ141,"A","")),FALSE),IF(ISODD(SUBSTITUTE($BA141:$ZZ141,"A","")),1,0),0)))</f>
        <v>0</v>
      </c>
      <c r="AA141" t="str">
        <f t="shared" si="123"/>
        <v>7B</v>
      </c>
      <c r="AB141" t="str">
        <f t="shared" si="124"/>
        <v>8B</v>
      </c>
      <c r="AL141" t="s">
        <v>137</v>
      </c>
      <c r="AO141" t="s">
        <v>396</v>
      </c>
      <c r="JV141" s="27" t="str">
        <f t="shared" si="126"/>
        <v>XT55</v>
      </c>
      <c r="JY141" t="str">
        <f t="shared" si="127"/>
        <v>F0-AI13-7B</v>
      </c>
      <c r="JZ141" t="str">
        <f t="shared" si="128"/>
        <v>F0-AI13-8B</v>
      </c>
      <c r="KE141">
        <f t="array" ref="KE141">IF(COUNTIFS($U$2:$U141,$U141)=1,1,INDEX(KE:KE,_xlfn.XMATCH(U141,U$1:U140,0,-1))+COUNT(KE140:KI140))</f>
        <v>264</v>
      </c>
      <c r="KF141">
        <f t="shared" si="129"/>
        <v>265</v>
      </c>
      <c r="KG141">
        <f t="shared" si="129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SUM(IF(ISNUMBER(FIND("TmAi",$BA$1:$ZZ$1)),IF(IFERROR(ISODD(SUBSTITUTE($BA142:$ZZ142,"A","")),FALSE),IF(ISODD(SUBSTITUTE($BA142:$ZZ142,"A","")),1,0),0)))</f>
        <v>0</v>
      </c>
      <c r="AA142" t="str">
        <f t="shared" si="123"/>
        <v>9B</v>
      </c>
      <c r="AB142" t="str">
        <f t="shared" si="124"/>
        <v>10B</v>
      </c>
      <c r="AL142" t="s">
        <v>137</v>
      </c>
      <c r="AO142" t="s">
        <v>396</v>
      </c>
      <c r="JV142" s="27" t="str">
        <f t="shared" si="126"/>
        <v>XT55</v>
      </c>
      <c r="JY142" t="str">
        <f t="shared" si="127"/>
        <v>F0-AI13-9B</v>
      </c>
      <c r="JZ142" t="str">
        <f t="shared" si="128"/>
        <v>F0-AI13-10B</v>
      </c>
      <c r="KE142">
        <f t="array" ref="KE142">IF(COUNTIFS($U$2:$U142,$U142)=1,1,INDEX(KE:KE,_xlfn.XMATCH(U142,U$1:U141,0,-1))+COUNT(KE141:KI141))</f>
        <v>267</v>
      </c>
      <c r="KF142">
        <f t="shared" si="129"/>
        <v>268</v>
      </c>
      <c r="KG142">
        <f t="shared" si="129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SUM(IF(ISNUMBER(FIND("TmAi",$BA$1:$ZZ$1)),IF(IFERROR(ISODD(SUBSTITUTE($BA143:$ZZ143,"A","")),FALSE),IF(ISODD(SUBSTITUTE($BA143:$ZZ143,"A","")),1,0),0)))</f>
        <v>0</v>
      </c>
      <c r="AA143" t="str">
        <f t="shared" si="123"/>
        <v>11B</v>
      </c>
      <c r="AB143" t="str">
        <f t="shared" si="124"/>
        <v>12B</v>
      </c>
      <c r="AL143" t="s">
        <v>137</v>
      </c>
      <c r="AO143" t="s">
        <v>396</v>
      </c>
      <c r="JV143" s="27" t="str">
        <f t="shared" si="126"/>
        <v>XT55</v>
      </c>
      <c r="JY143" t="str">
        <f t="shared" si="127"/>
        <v>F0-AI13-11B</v>
      </c>
      <c r="JZ143" t="str">
        <f t="shared" si="128"/>
        <v>F0-AI13-12B</v>
      </c>
      <c r="KE143">
        <f t="array" ref="KE143">IF(COUNTIFS($U$2:$U143,$U143)=1,1,INDEX(KE:KE,_xlfn.XMATCH(U143,U$1:U142,0,-1))+COUNT(KE142:KI142))</f>
        <v>270</v>
      </c>
      <c r="KF143">
        <f t="shared" si="129"/>
        <v>271</v>
      </c>
      <c r="KG143">
        <f t="shared" si="129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SUM(IF(ISNUMBER(FIND("TmAi",$BA$1:$ZZ$1)),IF(IFERROR(ISODD(SUBSTITUTE($BA144:$ZZ144,"A","")),FALSE),IF(ISODD(SUBSTITUTE($BA144:$ZZ144,"A","")),1,0),0)))</f>
        <v>0</v>
      </c>
      <c r="AA144" t="str">
        <f t="shared" si="123"/>
        <v>13B</v>
      </c>
      <c r="AB144" t="str">
        <f t="shared" si="124"/>
        <v>14B</v>
      </c>
      <c r="AL144" t="s">
        <v>137</v>
      </c>
      <c r="AO144" t="s">
        <v>396</v>
      </c>
      <c r="JV144" s="27" t="str">
        <f t="shared" si="126"/>
        <v>XT55</v>
      </c>
      <c r="JY144" t="str">
        <f t="shared" si="127"/>
        <v>F0-AI13-13B</v>
      </c>
      <c r="JZ144" t="str">
        <f t="shared" si="128"/>
        <v>F0-AI13-14B</v>
      </c>
      <c r="KE144">
        <f t="array" ref="KE144">IF(COUNTIFS($U$2:$U144,$U144)=1,1,INDEX(KE:KE,_xlfn.XMATCH(U144,U$1:U143,0,-1))+COUNT(KE143:KI143))</f>
        <v>273</v>
      </c>
      <c r="KF144">
        <f t="shared" si="129"/>
        <v>274</v>
      </c>
      <c r="KG144">
        <f t="shared" si="129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SUM(IF(ISNUMBER(FIND("TmAi",$BA$1:$ZZ$1)),IF(IFERROR(ISODD(SUBSTITUTE($BA145:$ZZ145,"A","")),FALSE),IF(ISODD(SUBSTITUTE($BA145:$ZZ145,"A","")),1,0),0)))</f>
        <v>0</v>
      </c>
      <c r="AA145" t="str">
        <f t="shared" si="123"/>
        <v>15B</v>
      </c>
      <c r="AB145" t="str">
        <f t="shared" si="124"/>
        <v>16B</v>
      </c>
      <c r="AL145" t="s">
        <v>137</v>
      </c>
      <c r="AO145" t="s">
        <v>396</v>
      </c>
      <c r="JV145" s="27" t="str">
        <f t="shared" si="126"/>
        <v>XT55</v>
      </c>
      <c r="JY145" t="str">
        <f t="shared" si="127"/>
        <v>F0-AI13-15B</v>
      </c>
      <c r="JZ145" t="str">
        <f t="shared" si="128"/>
        <v>F0-AI13-16B</v>
      </c>
      <c r="KE145">
        <f t="array" ref="KE145">IF(COUNTIFS($U$2:$U145,$U145)=1,1,INDEX(KE:KE,_xlfn.XMATCH(U145,U$1:U144,0,-1))+COUNT(KE144:KI144))</f>
        <v>276</v>
      </c>
      <c r="KF145">
        <f t="shared" si="129"/>
        <v>277</v>
      </c>
      <c r="KG145">
        <f t="shared" si="129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SUM(IF(ISNUMBER(FIND("TmAi",$BA$1:$ZZ$1)),IF(IFERROR(ISODD(SUBSTITUTE($BA146:$ZZ146,"A","")),FALSE),IF(ISODD(SUBSTITUTE($BA146:$ZZ146,"A","")),1,0),0)))</f>
        <v>0</v>
      </c>
      <c r="AA146" t="str">
        <f t="shared" si="123"/>
        <v>1B</v>
      </c>
      <c r="AB146" t="str">
        <f t="shared" si="124"/>
        <v>2B</v>
      </c>
      <c r="AL146" t="s">
        <v>137</v>
      </c>
      <c r="AO146" t="s">
        <v>396</v>
      </c>
      <c r="JV146" s="27" t="str">
        <f t="shared" si="126"/>
        <v>XT55</v>
      </c>
      <c r="JY146" t="str">
        <f t="shared" si="127"/>
        <v>F0-AI14-1B</v>
      </c>
      <c r="JZ146" t="str">
        <f t="shared" si="128"/>
        <v>F0-AI14-2B</v>
      </c>
      <c r="KE146">
        <f t="array" ref="KE146">IF(COUNTIFS($U$2:$U146,$U146)=1,1,INDEX(KE:KE,_xlfn.XMATCH(U146,U$1:U145,0,-1))+COUNT(KE145:KI145))</f>
        <v>279</v>
      </c>
      <c r="KF146">
        <f t="shared" si="129"/>
        <v>280</v>
      </c>
      <c r="KG146">
        <f t="shared" si="129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SUM(IF(ISNUMBER(FIND("TmAi",$BA$1:$ZZ$1)),IF(IFERROR(ISODD(SUBSTITUTE($BA147:$ZZ147,"A","")),FALSE),IF(ISODD(SUBSTITUTE($BA147:$ZZ147,"A","")),1,0),0)))</f>
        <v>0</v>
      </c>
      <c r="AA147" t="str">
        <f t="shared" si="123"/>
        <v>3B</v>
      </c>
      <c r="AB147" t="str">
        <f t="shared" si="124"/>
        <v>4B</v>
      </c>
      <c r="AL147" t="s">
        <v>137</v>
      </c>
      <c r="AO147" t="s">
        <v>396</v>
      </c>
      <c r="JV147" s="27" t="str">
        <f t="shared" si="126"/>
        <v>XT55</v>
      </c>
      <c r="JY147" t="str">
        <f t="shared" si="127"/>
        <v>F0-AI14-3B</v>
      </c>
      <c r="JZ147" t="str">
        <f t="shared" si="128"/>
        <v>F0-AI14-4B</v>
      </c>
      <c r="KE147">
        <f t="array" ref="KE147">IF(COUNTIFS($U$2:$U147,$U147)=1,1,INDEX(KE:KE,_xlfn.XMATCH(U147,U$1:U146,0,-1))+COUNT(KE146:KI146))</f>
        <v>282</v>
      </c>
      <c r="KF147">
        <f t="shared" si="129"/>
        <v>283</v>
      </c>
      <c r="KG147">
        <f t="shared" si="129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SUM(IF(ISNUMBER(FIND("TmAi",$BA$1:$ZZ$1)),IF(IFERROR(ISODD(SUBSTITUTE($BA148:$ZZ148,"A","")),FALSE),IF(ISODD(SUBSTITUTE($BA148:$ZZ148,"A","")),1,0),0)))</f>
        <v>0</v>
      </c>
      <c r="AA148" t="str">
        <f t="shared" si="123"/>
        <v>5B</v>
      </c>
      <c r="AB148" t="str">
        <f t="shared" si="124"/>
        <v>6B</v>
      </c>
      <c r="AL148" t="s">
        <v>137</v>
      </c>
      <c r="AO148" t="s">
        <v>396</v>
      </c>
      <c r="JV148" s="27" t="str">
        <f t="shared" si="126"/>
        <v>XT55</v>
      </c>
      <c r="JY148" t="str">
        <f t="shared" si="127"/>
        <v>F0-AI14-5B</v>
      </c>
      <c r="JZ148" t="str">
        <f t="shared" si="128"/>
        <v>F0-AI14-6B</v>
      </c>
      <c r="KE148">
        <f t="array" ref="KE148">IF(COUNTIFS($U$2:$U148,$U148)=1,1,INDEX(KE:KE,_xlfn.XMATCH(U148,U$1:U147,0,-1))+COUNT(KE147:KI147))</f>
        <v>285</v>
      </c>
      <c r="KF148">
        <f t="shared" si="129"/>
        <v>286</v>
      </c>
      <c r="KG148">
        <f t="shared" si="129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SUM(IF(ISNUMBER(FIND("TmAi",$BA$1:$ZZ$1)),IF(IFERROR(ISODD(SUBSTITUTE($BA149:$ZZ149,"A","")),FALSE),IF(ISODD(SUBSTITUTE($BA149:$ZZ149,"A","")),1,0),0)))</f>
        <v>0</v>
      </c>
      <c r="AA149" t="str">
        <f t="shared" si="123"/>
        <v>7B</v>
      </c>
      <c r="AB149" t="str">
        <f t="shared" si="124"/>
        <v>8B</v>
      </c>
      <c r="AL149" t="s">
        <v>137</v>
      </c>
      <c r="AO149" t="s">
        <v>396</v>
      </c>
      <c r="JV149" s="27" t="str">
        <f t="shared" si="126"/>
        <v>XT55</v>
      </c>
      <c r="JY149" t="str">
        <f t="shared" si="127"/>
        <v>F0-AI14-7B</v>
      </c>
      <c r="JZ149" t="str">
        <f t="shared" si="128"/>
        <v>F0-AI14-8B</v>
      </c>
      <c r="KE149">
        <f t="array" ref="KE149">IF(COUNTIFS($U$2:$U149,$U149)=1,1,INDEX(KE:KE,_xlfn.XMATCH(U149,U$1:U148,0,-1))+COUNT(KE148:KI148))</f>
        <v>288</v>
      </c>
      <c r="KF149">
        <f t="shared" si="129"/>
        <v>289</v>
      </c>
      <c r="KG149">
        <f t="shared" si="129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SUM(IF(ISNUMBER(FIND("TmAi",$BA$1:$ZZ$1)),IF(IFERROR(ISODD(SUBSTITUTE($BA150:$ZZ150,"A","")),FALSE),IF(ISODD(SUBSTITUTE($BA150:$ZZ150,"A","")),1,0),0)))</f>
        <v>0</v>
      </c>
      <c r="AA150" t="str">
        <f t="shared" si="123"/>
        <v>9B</v>
      </c>
      <c r="AB150" t="str">
        <f t="shared" si="124"/>
        <v>10B</v>
      </c>
      <c r="AL150" t="s">
        <v>137</v>
      </c>
      <c r="AO150" t="s">
        <v>396</v>
      </c>
      <c r="JV150" s="27" t="str">
        <f t="shared" si="126"/>
        <v>XT55</v>
      </c>
      <c r="JY150" t="str">
        <f t="shared" si="127"/>
        <v>F0-AI14-9B</v>
      </c>
      <c r="JZ150" t="str">
        <f t="shared" si="128"/>
        <v>F0-AI14-10B</v>
      </c>
      <c r="KE150">
        <f t="array" ref="KE150">IF(COUNTIFS($U$2:$U150,$U150)=1,1,INDEX(KE:KE,_xlfn.XMATCH(U150,U$1:U149,0,-1))+COUNT(KE149:KI149))</f>
        <v>291</v>
      </c>
      <c r="KF150">
        <f t="shared" si="129"/>
        <v>292</v>
      </c>
      <c r="KG150">
        <f t="shared" si="129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SUM(IF(ISNUMBER(FIND("TmAi",$BA$1:$ZZ$1)),IF(IFERROR(ISODD(SUBSTITUTE($BA151:$ZZ151,"A","")),FALSE),IF(ISODD(SUBSTITUTE($BA151:$ZZ151,"A","")),1,0),0)))</f>
        <v>0</v>
      </c>
      <c r="AA151" t="str">
        <f t="shared" si="123"/>
        <v>11B</v>
      </c>
      <c r="AB151" t="str">
        <f t="shared" si="124"/>
        <v>12B</v>
      </c>
      <c r="AL151" t="s">
        <v>137</v>
      </c>
      <c r="AO151" t="s">
        <v>396</v>
      </c>
      <c r="JV151" s="27" t="str">
        <f t="shared" si="126"/>
        <v>XT55</v>
      </c>
      <c r="JY151" t="str">
        <f t="shared" si="127"/>
        <v>F0-AI14-11B</v>
      </c>
      <c r="JZ151" t="str">
        <f t="shared" si="128"/>
        <v>F0-AI14-12B</v>
      </c>
      <c r="KE151">
        <f t="array" ref="KE151">IF(COUNTIFS($U$2:$U151,$U151)=1,1,INDEX(KE:KE,_xlfn.XMATCH(U151,U$1:U150,0,-1))+COUNT(KE150:KI150))</f>
        <v>294</v>
      </c>
      <c r="KF151">
        <f t="shared" si="129"/>
        <v>295</v>
      </c>
      <c r="KG151">
        <f t="shared" si="129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SUM(IF(ISNUMBER(FIND("TmAi",$BA$1:$ZZ$1)),IF(IFERROR(ISODD(SUBSTITUTE($BA152:$ZZ152,"A","")),FALSE),IF(ISODD(SUBSTITUTE($BA152:$ZZ152,"A","")),1,0),0)))</f>
        <v>0</v>
      </c>
      <c r="AA152" t="str">
        <f t="shared" si="123"/>
        <v>13B</v>
      </c>
      <c r="AB152" t="str">
        <f t="shared" si="124"/>
        <v>14B</v>
      </c>
      <c r="AL152" t="s">
        <v>137</v>
      </c>
      <c r="AO152" t="s">
        <v>396</v>
      </c>
      <c r="JV152" s="27" t="str">
        <f t="shared" si="126"/>
        <v>XT55</v>
      </c>
      <c r="JY152" t="str">
        <f t="shared" si="127"/>
        <v>F0-AI14-13B</v>
      </c>
      <c r="JZ152" t="str">
        <f t="shared" si="128"/>
        <v>F0-AI14-14B</v>
      </c>
      <c r="KE152">
        <f t="array" ref="KE152">IF(COUNTIFS($U$2:$U152,$U152)=1,1,INDEX(KE:KE,_xlfn.XMATCH(U152,U$1:U151,0,-1))+COUNT(KE151:KI151))</f>
        <v>297</v>
      </c>
      <c r="KF152">
        <f t="shared" si="129"/>
        <v>298</v>
      </c>
      <c r="KG152">
        <f t="shared" si="129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SUM(IF(ISNUMBER(FIND("TmAi",$BA$1:$ZZ$1)),IF(IFERROR(ISODD(SUBSTITUTE($BA153:$ZZ153,"A","")),FALSE),IF(ISODD(SUBSTITUTE($BA153:$ZZ153,"A","")),1,0),0)))</f>
        <v>0</v>
      </c>
      <c r="AA153" t="str">
        <f t="shared" si="123"/>
        <v>15B</v>
      </c>
      <c r="AB153" t="str">
        <f t="shared" si="124"/>
        <v>16B</v>
      </c>
      <c r="AL153" t="s">
        <v>137</v>
      </c>
      <c r="AO153" t="s">
        <v>396</v>
      </c>
      <c r="JV153" s="27" t="str">
        <f t="shared" si="126"/>
        <v>XT55</v>
      </c>
      <c r="JY153" t="str">
        <f t="shared" si="127"/>
        <v>F0-AI14-15B</v>
      </c>
      <c r="JZ153" t="str">
        <f t="shared" si="128"/>
        <v>F0-AI14-16B</v>
      </c>
      <c r="KE153">
        <f t="array" ref="KE153">IF(COUNTIFS($U$2:$U153,$U153)=1,1,INDEX(KE:KE,_xlfn.XMATCH(U153,U$1:U152,0,-1))+COUNT(KE152:KI152))</f>
        <v>300</v>
      </c>
      <c r="KF153">
        <f t="shared" si="129"/>
        <v>301</v>
      </c>
      <c r="KG153">
        <f t="shared" si="129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L154" t="s">
        <v>137</v>
      </c>
      <c r="AO154" t="s">
        <v>396</v>
      </c>
      <c r="JV154" s="27" t="str">
        <f t="shared" si="126"/>
        <v>XT55</v>
      </c>
      <c r="JY154" t="str">
        <f t="shared" si="127"/>
        <v>F0-AI15-1B</v>
      </c>
      <c r="JZ154" t="str">
        <f t="shared" si="128"/>
        <v>F0-AI15-2B</v>
      </c>
      <c r="KE154">
        <f t="array" ref="KE154">IF(COUNTIFS($U$2:$U154,$U154)=1,1,INDEX(KE:KE,_xlfn.XMATCH(U154,U$1:U153,0,-1))+COUNT(KE153:KI153))</f>
        <v>303</v>
      </c>
      <c r="KF154">
        <f t="shared" si="129"/>
        <v>304</v>
      </c>
      <c r="KG154">
        <f t="shared" si="129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SUM(IF(ISNUMBER(FIND("TmAi",$BA$1:$ZZ$1)),IF(IFERROR(ISODD(SUBSTITUTE($BA155:$ZZ155,"A","")),FALSE),IF(ISODD(SUBSTITUTE($BA155:$ZZ155,"A","")),1,0),0)))</f>
        <v>0</v>
      </c>
      <c r="AA155" t="str">
        <f t="shared" si="130"/>
        <v>3B</v>
      </c>
      <c r="AB155" t="str">
        <f t="shared" si="131"/>
        <v>4B</v>
      </c>
      <c r="AL155" t="s">
        <v>137</v>
      </c>
      <c r="AO155" t="s">
        <v>396</v>
      </c>
      <c r="JV155" s="27" t="str">
        <f t="shared" si="126"/>
        <v>XT55</v>
      </c>
      <c r="JY155" t="str">
        <f t="shared" si="127"/>
        <v>F0-AI15-3B</v>
      </c>
      <c r="JZ155" t="str">
        <f t="shared" si="128"/>
        <v>F0-AI15-4B</v>
      </c>
      <c r="KE155">
        <f t="array" ref="KE155">IF(COUNTIFS($U$2:$U155,$U155)=1,1,INDEX(KE:KE,_xlfn.XMATCH(U155,U$1:U154,0,-1))+COUNT(KE154:KI154))</f>
        <v>306</v>
      </c>
      <c r="KF155">
        <f t="shared" si="129"/>
        <v>307</v>
      </c>
      <c r="KG155">
        <f t="shared" si="129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SUM(IF(ISNUMBER(FIND("TmAi",$BA$1:$ZZ$1)),IF(IFERROR(ISODD(SUBSTITUTE($BA156:$ZZ156,"A","")),FALSE),IF(ISODD(SUBSTITUTE($BA156:$ZZ156,"A","")),1,0),0)))</f>
        <v>0</v>
      </c>
      <c r="AA156" t="str">
        <f t="shared" si="130"/>
        <v>5B</v>
      </c>
      <c r="AB156" t="str">
        <f t="shared" si="131"/>
        <v>6B</v>
      </c>
      <c r="AL156" t="s">
        <v>137</v>
      </c>
      <c r="AO156" t="s">
        <v>396</v>
      </c>
      <c r="JV156" s="27" t="str">
        <f t="shared" si="126"/>
        <v>XT55</v>
      </c>
      <c r="JY156" t="str">
        <f t="shared" si="127"/>
        <v>F0-AI15-5B</v>
      </c>
      <c r="JZ156" t="str">
        <f t="shared" si="128"/>
        <v>F0-AI15-6B</v>
      </c>
      <c r="KE156">
        <f t="array" ref="KE156">IF(COUNTIFS($U$2:$U156,$U156)=1,1,INDEX(KE:KE,_xlfn.XMATCH(U156,U$1:U155,0,-1))+COUNT(KE155:KI155))</f>
        <v>309</v>
      </c>
      <c r="KF156">
        <f t="shared" si="129"/>
        <v>310</v>
      </c>
      <c r="KG156">
        <f t="shared" si="129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SUM(IF(ISNUMBER(FIND("TmAi",$BA$1:$ZZ$1)),IF(IFERROR(ISODD(SUBSTITUTE($BA157:$ZZ157,"A","")),FALSE),IF(ISODD(SUBSTITUTE($BA157:$ZZ157,"A","")),1,0),0)))</f>
        <v>0</v>
      </c>
      <c r="AA157" t="str">
        <f t="shared" si="130"/>
        <v>7B</v>
      </c>
      <c r="AB157" t="str">
        <f t="shared" si="131"/>
        <v>8B</v>
      </c>
      <c r="AL157" t="s">
        <v>137</v>
      </c>
      <c r="AO157" t="s">
        <v>396</v>
      </c>
      <c r="JV157" s="27" t="str">
        <f t="shared" si="126"/>
        <v>XT55</v>
      </c>
      <c r="JY157" t="str">
        <f t="shared" si="127"/>
        <v>F0-AI15-7B</v>
      </c>
      <c r="JZ157" t="str">
        <f t="shared" si="128"/>
        <v>F0-AI15-8B</v>
      </c>
      <c r="KE157">
        <f t="array" ref="KE157">IF(COUNTIFS($U$2:$U157,$U157)=1,1,INDEX(KE:KE,_xlfn.XMATCH(U157,U$1:U156,0,-1))+COUNT(KE156:KI156))</f>
        <v>312</v>
      </c>
      <c r="KF157">
        <f t="shared" si="129"/>
        <v>313</v>
      </c>
      <c r="KG157">
        <f t="shared" si="129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SUM(IF(ISNUMBER(FIND("TmAi",$BA$1:$ZZ$1)),IF(IFERROR(ISODD(SUBSTITUTE($BA158:$ZZ158,"A","")),FALSE),IF(ISODD(SUBSTITUTE($BA158:$ZZ158,"A","")),1,0),0)))</f>
        <v>0</v>
      </c>
      <c r="AA158" t="str">
        <f t="shared" si="130"/>
        <v>9B</v>
      </c>
      <c r="AB158" t="str">
        <f t="shared" si="131"/>
        <v>10B</v>
      </c>
      <c r="AL158" t="s">
        <v>137</v>
      </c>
      <c r="AO158" t="s">
        <v>396</v>
      </c>
      <c r="JV158" s="27" t="str">
        <f t="shared" si="126"/>
        <v>XT55</v>
      </c>
      <c r="JY158" t="str">
        <f t="shared" si="127"/>
        <v>F0-AI15-9B</v>
      </c>
      <c r="JZ158" t="str">
        <f t="shared" si="128"/>
        <v>F0-AI15-10B</v>
      </c>
      <c r="KE158">
        <f t="array" ref="KE158">IF(COUNTIFS($U$2:$U158,$U158)=1,1,INDEX(KE:KE,_xlfn.XMATCH(U158,U$1:U157,0,-1))+COUNT(KE157:KI157))</f>
        <v>315</v>
      </c>
      <c r="KF158">
        <f t="shared" si="129"/>
        <v>316</v>
      </c>
      <c r="KG158">
        <f t="shared" si="129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SUM(IF(ISNUMBER(FIND("TmAi",$BA$1:$ZZ$1)),IF(IFERROR(ISODD(SUBSTITUTE($BA159:$ZZ159,"A","")),FALSE),IF(ISODD(SUBSTITUTE($BA159:$ZZ159,"A","")),1,0),0)))</f>
        <v>0</v>
      </c>
      <c r="AA159" t="str">
        <f t="shared" si="130"/>
        <v>11B</v>
      </c>
      <c r="AB159" t="str">
        <f t="shared" si="131"/>
        <v>12B</v>
      </c>
      <c r="AL159" t="s">
        <v>137</v>
      </c>
      <c r="AO159" t="s">
        <v>396</v>
      </c>
      <c r="JV159" s="27" t="str">
        <f t="shared" si="126"/>
        <v>XT55</v>
      </c>
      <c r="JY159" t="str">
        <f t="shared" si="127"/>
        <v>F0-AI15-11B</v>
      </c>
      <c r="JZ159" t="str">
        <f t="shared" si="128"/>
        <v>F0-AI15-12B</v>
      </c>
      <c r="KE159">
        <f t="array" ref="KE159">IF(COUNTIFS($U$2:$U159,$U159)=1,1,INDEX(KE:KE,_xlfn.XMATCH(U159,U$1:U158,0,-1))+COUNT(KE158:KI158))</f>
        <v>318</v>
      </c>
      <c r="KF159">
        <f t="shared" si="129"/>
        <v>319</v>
      </c>
      <c r="KG159">
        <f t="shared" si="129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SUM(IF(ISNUMBER(FIND("TmAi",$BA$1:$ZZ$1)),IF(IFERROR(ISODD(SUBSTITUTE($BA160:$ZZ160,"A","")),FALSE),IF(ISODD(SUBSTITUTE($BA160:$ZZ160,"A","")),1,0),0)))</f>
        <v>0</v>
      </c>
      <c r="AA160" t="str">
        <f t="shared" si="130"/>
        <v>13B</v>
      </c>
      <c r="AB160" t="str">
        <f t="shared" si="131"/>
        <v>14B</v>
      </c>
      <c r="AL160" t="s">
        <v>137</v>
      </c>
      <c r="AO160" t="s">
        <v>396</v>
      </c>
      <c r="JV160" s="27" t="str">
        <f t="shared" si="126"/>
        <v>XT55</v>
      </c>
      <c r="JY160" t="str">
        <f t="shared" si="127"/>
        <v>F0-AI15-13B</v>
      </c>
      <c r="JZ160" t="str">
        <f t="shared" si="128"/>
        <v>F0-AI15-14B</v>
      </c>
      <c r="KE160">
        <f t="array" ref="KE160">IF(COUNTIFS($U$2:$U160,$U160)=1,1,INDEX(KE:KE,_xlfn.XMATCH(U160,U$1:U159,0,-1))+COUNT(KE159:KI159))</f>
        <v>321</v>
      </c>
      <c r="KF160">
        <f t="shared" si="129"/>
        <v>322</v>
      </c>
      <c r="KG160">
        <f t="shared" si="129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SUM(IF(ISNUMBER(FIND("TmAi",$BA$1:$ZZ$1)),IF(IFERROR(ISODD(SUBSTITUTE($BA161:$ZZ161,"A","")),FALSE),IF(ISODD(SUBSTITUTE($BA161:$ZZ161,"A","")),1,0),0)))</f>
        <v>0</v>
      </c>
      <c r="AA161" t="str">
        <f t="shared" si="130"/>
        <v>15B</v>
      </c>
      <c r="AB161" t="str">
        <f t="shared" si="131"/>
        <v>16B</v>
      </c>
      <c r="AL161" t="s">
        <v>137</v>
      </c>
      <c r="AO161" t="s">
        <v>396</v>
      </c>
      <c r="JV161" s="27" t="str">
        <f t="shared" si="126"/>
        <v>XT55</v>
      </c>
      <c r="JY161" t="str">
        <f t="shared" si="127"/>
        <v>F0-AI15-15B</v>
      </c>
      <c r="JZ161" t="str">
        <f t="shared" si="128"/>
        <v>F0-AI15-16B</v>
      </c>
      <c r="KE161">
        <f t="array" ref="KE161">IF(COUNTIFS($U$2:$U161,$U161)=1,1,INDEX(KE:KE,_xlfn.XMATCH(U161,U$1:U160,0,-1))+COUNT(KE160:KI160))</f>
        <v>324</v>
      </c>
      <c r="KF161">
        <f t="shared" si="129"/>
        <v>325</v>
      </c>
      <c r="KG161">
        <f t="shared" si="129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SUM(IF(ISNUMBER(FIND("TmAi",$BA$1:$ZZ$1)),IF(IFERROR(ISODD(SUBSTITUTE($BA162:$ZZ162,"A","")),FALSE),IF(ISODD(SUBSTITUTE($BA162:$ZZ162,"A","")),1,0),0)))</f>
        <v>0</v>
      </c>
      <c r="AA162" t="str">
        <f t="shared" si="130"/>
        <v>1B</v>
      </c>
      <c r="AB162" t="str">
        <f t="shared" si="131"/>
        <v>2B</v>
      </c>
      <c r="AL162" t="s">
        <v>137</v>
      </c>
      <c r="AO162" t="s">
        <v>396</v>
      </c>
      <c r="JV162" s="27" t="str">
        <f t="shared" si="126"/>
        <v>XT55</v>
      </c>
      <c r="JY162" t="str">
        <f t="shared" si="127"/>
        <v>F0-AI16-1B</v>
      </c>
      <c r="JZ162" t="str">
        <f t="shared" si="128"/>
        <v>F0-AI16-2B</v>
      </c>
      <c r="KE162">
        <f t="array" ref="KE162">IF(COUNTIFS($U$2:$U162,$U162)=1,1,INDEX(KE:KE,_xlfn.XMATCH(U162,U$1:U161,0,-1))+COUNT(KE161:KI161))</f>
        <v>327</v>
      </c>
      <c r="KF162">
        <f t="shared" ref="KF162:KH168" si="132">KE162+1</f>
        <v>328</v>
      </c>
      <c r="KG162">
        <f t="shared" si="132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SUM(IF(ISNUMBER(FIND("TmAi",$BA$1:$ZZ$1)),IF(IFERROR(ISODD(SUBSTITUTE($BA163:$ZZ163,"A","")),FALSE),IF(ISODD(SUBSTITUTE($BA163:$ZZ163,"A","")),1,0),0)))</f>
        <v>0</v>
      </c>
      <c r="AA163" t="str">
        <f t="shared" si="130"/>
        <v>3B</v>
      </c>
      <c r="AB163" t="str">
        <f t="shared" si="131"/>
        <v>4B</v>
      </c>
      <c r="AL163" t="s">
        <v>137</v>
      </c>
      <c r="AO163" t="s">
        <v>396</v>
      </c>
      <c r="JV163" s="27" t="str">
        <f t="shared" si="126"/>
        <v>XT55</v>
      </c>
      <c r="JY163" t="str">
        <f t="shared" si="127"/>
        <v>F0-AI16-3B</v>
      </c>
      <c r="JZ163" t="str">
        <f t="shared" si="128"/>
        <v>F0-AI16-4B</v>
      </c>
      <c r="KE163">
        <f t="array" ref="KE163">IF(COUNTIFS($U$2:$U163,$U163)=1,1,INDEX(KE:KE,_xlfn.XMATCH(U163,U$1:U162,0,-1))+COUNT(KE162:KI162))</f>
        <v>330</v>
      </c>
      <c r="KF163">
        <f t="shared" si="132"/>
        <v>331</v>
      </c>
      <c r="KG163">
        <f t="shared" si="132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SUM(IF(ISNUMBER(FIND("TmAi",$BA$1:$ZZ$1)),IF(IFERROR(ISODD(SUBSTITUTE($BA164:$ZZ164,"A","")),FALSE),IF(ISODD(SUBSTITUTE($BA164:$ZZ164,"A","")),1,0),0)))</f>
        <v>0</v>
      </c>
      <c r="AA164" t="str">
        <f t="shared" si="130"/>
        <v>5B</v>
      </c>
      <c r="AB164" t="str">
        <f t="shared" si="131"/>
        <v>6B</v>
      </c>
      <c r="AL164" t="s">
        <v>137</v>
      </c>
      <c r="AO164" t="s">
        <v>396</v>
      </c>
      <c r="JV164" s="27" t="str">
        <f t="shared" si="126"/>
        <v>XT55</v>
      </c>
      <c r="JY164" t="str">
        <f t="shared" si="127"/>
        <v>F0-AI16-5B</v>
      </c>
      <c r="JZ164" t="str">
        <f t="shared" si="128"/>
        <v>F0-AI16-6B</v>
      </c>
      <c r="KE164">
        <f t="array" ref="KE164">IF(COUNTIFS($U$2:$U164,$U164)=1,1,INDEX(KE:KE,_xlfn.XMATCH(U164,U$1:U163,0,-1))+COUNT(KE163:KI163))</f>
        <v>333</v>
      </c>
      <c r="KF164">
        <f t="shared" si="132"/>
        <v>334</v>
      </c>
      <c r="KG164">
        <f t="shared" si="132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SUM(IF(ISNUMBER(FIND("TmAi",$BA$1:$ZZ$1)),IF(IFERROR(ISODD(SUBSTITUTE($BA165:$ZZ165,"A","")),FALSE),IF(ISODD(SUBSTITUTE($BA165:$ZZ165,"A","")),1,0),0)))</f>
        <v>0</v>
      </c>
      <c r="AA165" t="str">
        <f t="shared" si="130"/>
        <v>7B</v>
      </c>
      <c r="AB165" t="str">
        <f t="shared" si="131"/>
        <v>8B</v>
      </c>
      <c r="AL165" t="s">
        <v>137</v>
      </c>
      <c r="AO165" t="s">
        <v>396</v>
      </c>
      <c r="JV165" s="27" t="str">
        <f t="shared" si="126"/>
        <v>XT55</v>
      </c>
      <c r="JY165" t="str">
        <f t="shared" si="127"/>
        <v>F0-AI16-7B</v>
      </c>
      <c r="JZ165" t="str">
        <f t="shared" si="128"/>
        <v>F0-AI16-8B</v>
      </c>
      <c r="KE165">
        <f t="array" ref="KE165">IF(COUNTIFS($U$2:$U165,$U165)=1,1,INDEX(KE:KE,_xlfn.XMATCH(U165,U$1:U164,0,-1))+COUNT(KE164:KI164))</f>
        <v>336</v>
      </c>
      <c r="KF165">
        <f t="shared" si="132"/>
        <v>337</v>
      </c>
      <c r="KG165">
        <f t="shared" si="132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SUM(IF(ISNUMBER(FIND("TmAi",$BA$1:$ZZ$1)),IF(IFERROR(ISODD(SUBSTITUTE($BA166:$ZZ166,"A","")),FALSE),IF(ISODD(SUBSTITUTE($BA166:$ZZ166,"A","")),1,0),0)))</f>
        <v>0</v>
      </c>
      <c r="AA166" t="str">
        <f>CONCATENATE($Y166*2-1,"A")</f>
        <v>5A</v>
      </c>
      <c r="AB166" t="str">
        <f>CONCATENATE($Y166*2-1,"B")</f>
        <v>5B</v>
      </c>
      <c r="AL166" t="s">
        <v>137</v>
      </c>
      <c r="AO166" t="s">
        <v>396</v>
      </c>
      <c r="JV166" s="27" t="str">
        <f t="shared" si="126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7"/>
        <v>F0-AI30-5A</v>
      </c>
      <c r="JZ166" t="str">
        <f t="shared" si="128"/>
        <v>F0-AI30-5B</v>
      </c>
      <c r="KA166" t="str">
        <f t="shared" ref="KA166:KB168" si="133">CONCATENATE($T166,"-AI",REPLACE($X166,1,3,""),"-",JW166)</f>
        <v>F0-AI30-6A</v>
      </c>
      <c r="KB166" t="str">
        <f t="shared" si="133"/>
        <v>F0-AI30-6B</v>
      </c>
      <c r="KE166">
        <f t="array" ref="KE166">IF(COUNTIFS($U$2:$U166,$U166)=1,1,INDEX(KE:KE,_xlfn.XMATCH(U166,U$1:U165,0,-1))+COUNT(KE165:KI165))</f>
        <v>339</v>
      </c>
      <c r="KF166">
        <f t="shared" si="132"/>
        <v>340</v>
      </c>
      <c r="KG166">
        <f t="shared" si="132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SUM(IF(ISNUMBER(FIND("TmAi",$BA$1:$ZZ$1)),IF(IFERROR(ISODD(SUBSTITUTE($BA167:$ZZ167,"A","")),FALSE),IF(ISODD(SUBSTITUTE($BA167:$ZZ167,"A","")),1,0),0)))</f>
        <v>0</v>
      </c>
      <c r="AA167" t="str">
        <f>CONCATENATE($Y167*2-1,"A")</f>
        <v>7A</v>
      </c>
      <c r="AB167" t="str">
        <f>CONCATENATE($Y167*2-1,"B")</f>
        <v>7B</v>
      </c>
      <c r="AL167" t="s">
        <v>137</v>
      </c>
      <c r="AO167" t="s">
        <v>396</v>
      </c>
      <c r="JV167" s="27" t="str">
        <f t="shared" si="126"/>
        <v>XT55</v>
      </c>
      <c r="JW167" t="str">
        <f>REPLACE(AA167,1,1,LEFT(AA167,1)+1)</f>
        <v>8A</v>
      </c>
      <c r="JX167" t="str">
        <f>REPLACE(AB167,1,1,LEFT(AB167,1)+1)</f>
        <v>8B</v>
      </c>
      <c r="JY167" t="str">
        <f t="shared" si="127"/>
        <v>F0-AI30-7A</v>
      </c>
      <c r="JZ167" t="str">
        <f t="shared" si="128"/>
        <v>F0-AI30-7B</v>
      </c>
      <c r="KA167" t="str">
        <f t="shared" si="133"/>
        <v>F0-AI30-8A</v>
      </c>
      <c r="KB167" t="str">
        <f t="shared" si="133"/>
        <v>F0-AI30-8B</v>
      </c>
      <c r="KE167">
        <f t="array" ref="KE167">IF(COUNTIFS($U$2:$U167,$U167)=1,1,INDEX(KE:KE,_xlfn.XMATCH(U167,U$1:U166,0,-1))+COUNT(KE166:KI166))</f>
        <v>343</v>
      </c>
      <c r="KF167">
        <f t="shared" si="132"/>
        <v>344</v>
      </c>
      <c r="KG167">
        <f t="shared" si="132"/>
        <v>345</v>
      </c>
      <c r="KH167">
        <f t="shared" si="132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SUM(IF(ISNUMBER(FIND("TmAi",$BA$1:$ZZ$1)),IF(IFERROR(ISODD(SUBSTITUTE($BA168:$ZZ168,"A","")),FALSE),IF(ISODD(SUBSTITUTE($BA168:$ZZ168,"A","")),1,0),0)))</f>
        <v>0</v>
      </c>
      <c r="AA168" t="str">
        <f>CONCATENATE($Y168*2-1,"A")</f>
        <v>9A</v>
      </c>
      <c r="AB168" t="str">
        <f>CONCATENATE($Y168*2-1,"B")</f>
        <v>9B</v>
      </c>
      <c r="AL168" t="s">
        <v>137</v>
      </c>
      <c r="AO168" t="s">
        <v>396</v>
      </c>
      <c r="JV168" s="28" t="str">
        <f t="shared" si="126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7"/>
        <v>F0-AI30-9A</v>
      </c>
      <c r="JZ168" s="19" t="str">
        <f t="shared" si="128"/>
        <v>F0-AI30-9B</v>
      </c>
      <c r="KA168" s="19" t="str">
        <f t="shared" si="133"/>
        <v>F0-AI30-10A</v>
      </c>
      <c r="KB168" s="19" t="str">
        <f t="shared" si="133"/>
        <v>F0-AI30-10B</v>
      </c>
      <c r="KC168" s="19"/>
      <c r="KD168" s="19"/>
      <c r="KE168" s="19">
        <f t="array" ref="KE168">IF(COUNTIFS($U$2:$U168,$U168)=1,1,INDEX(KE:KE,_xlfn.XMATCH(U168,U$1:U167,0,-1))+COUNT(KE167:KI167))</f>
        <v>347</v>
      </c>
      <c r="KF168" s="19">
        <f t="shared" si="132"/>
        <v>348</v>
      </c>
      <c r="KG168" s="19">
        <f t="shared" si="132"/>
        <v>349</v>
      </c>
      <c r="KH168" s="19">
        <f t="shared" si="132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36">CONCATENATE("XT",U170)</f>
        <v>XT57</v>
      </c>
      <c r="LK170" s="12" t="str">
        <f t="shared" ref="LK170:LK176" si="137">CONCATENATE(T170,"-AI",REPLACE($X170,1,3,""),"-",AA170)</f>
        <v>F0-AI16-9A</v>
      </c>
      <c r="LL170" s="12" t="str">
        <f t="shared" ref="LL170:LL176" si="138">CONCATENATE(T170,"-AI",REPLACE($X170,1,3,""),"-",AB170)</f>
        <v>F0-AI16-9B</v>
      </c>
      <c r="LM170" s="12">
        <v>1</v>
      </c>
      <c r="LN170" s="12">
        <f t="shared" ref="LN170:LO176" si="139">LM170+1</f>
        <v>2</v>
      </c>
      <c r="LO170" s="12">
        <f t="shared" si="139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SUM(IF(ISNUMBER(FIND("TmAi",$BA$1:$ZZ$1)),IF(IFERROR(ISODD(SUBSTITUTE($BA171:$ZZ171,"A","")),FALSE),IF(ISODD(SUBSTITUTE($BA171:$ZZ171,"A","")),1,0),0)))</f>
        <v>0</v>
      </c>
      <c r="AA171" t="str">
        <f t="shared" si="134"/>
        <v>11A</v>
      </c>
      <c r="AB171" t="str">
        <f t="shared" si="135"/>
        <v>11B</v>
      </c>
      <c r="AL171" t="s">
        <v>137</v>
      </c>
      <c r="AM171" t="s">
        <v>873</v>
      </c>
      <c r="AO171" t="s">
        <v>396</v>
      </c>
      <c r="LJ171" s="27" t="str">
        <f t="shared" si="136"/>
        <v>XT57</v>
      </c>
      <c r="LK171" t="str">
        <f t="shared" si="137"/>
        <v>F0-AI16-11A</v>
      </c>
      <c r="LL171" t="str">
        <f t="shared" si="138"/>
        <v>F0-AI16-11B</v>
      </c>
      <c r="LM171">
        <f t="shared" ref="LM171:LM176" si="140">LM170+3</f>
        <v>4</v>
      </c>
      <c r="LN171">
        <f t="shared" si="139"/>
        <v>5</v>
      </c>
      <c r="LO171">
        <f t="shared" si="139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SUM(IF(ISNUMBER(FIND("TmAi",$BA$1:$ZZ$1)),IF(IFERROR(ISODD(SUBSTITUTE($BA172:$ZZ172,"A","")),FALSE),IF(ISODD(SUBSTITUTE($BA172:$ZZ172,"A","")),1,0),0)))</f>
        <v>0</v>
      </c>
      <c r="AA172" t="str">
        <f t="shared" si="134"/>
        <v>13A</v>
      </c>
      <c r="AB172" t="str">
        <f t="shared" si="135"/>
        <v>13B</v>
      </c>
      <c r="AL172" t="s">
        <v>137</v>
      </c>
      <c r="AM172" t="s">
        <v>873</v>
      </c>
      <c r="AO172" t="s">
        <v>396</v>
      </c>
      <c r="LJ172" s="27" t="str">
        <f t="shared" si="136"/>
        <v>XT57</v>
      </c>
      <c r="LK172" t="str">
        <f t="shared" si="137"/>
        <v>F0-AI16-13A</v>
      </c>
      <c r="LL172" t="str">
        <f t="shared" si="138"/>
        <v>F0-AI16-13B</v>
      </c>
      <c r="LM172">
        <f t="shared" si="140"/>
        <v>7</v>
      </c>
      <c r="LN172">
        <f t="shared" si="139"/>
        <v>8</v>
      </c>
      <c r="LO172">
        <f t="shared" si="139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SUM(IF(ISNUMBER(FIND("TmAi",$BA$1:$ZZ$1)),IF(IFERROR(ISODD(SUBSTITUTE($BA173:$ZZ173,"A","")),FALSE),IF(ISODD(SUBSTITUTE($BA173:$ZZ173,"A","")),1,0),0)))</f>
        <v>0</v>
      </c>
      <c r="AA173" t="str">
        <f t="shared" si="134"/>
        <v>15A</v>
      </c>
      <c r="AB173" t="str">
        <f t="shared" si="135"/>
        <v>15B</v>
      </c>
      <c r="AL173" t="s">
        <v>137</v>
      </c>
      <c r="AM173" t="s">
        <v>873</v>
      </c>
      <c r="AO173" t="s">
        <v>396</v>
      </c>
      <c r="LJ173" s="27" t="str">
        <f t="shared" si="136"/>
        <v>XT57</v>
      </c>
      <c r="LK173" t="str">
        <f t="shared" si="137"/>
        <v>F0-AI16-15A</v>
      </c>
      <c r="LL173" t="str">
        <f t="shared" si="138"/>
        <v>F0-AI16-15B</v>
      </c>
      <c r="LM173">
        <f t="shared" si="140"/>
        <v>10</v>
      </c>
      <c r="LN173">
        <f t="shared" si="139"/>
        <v>11</v>
      </c>
      <c r="LO173">
        <f t="shared" si="139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SUM(IF(ISNUMBER(FIND("TmAi",$BA$1:$ZZ$1)),IF(IFERROR(ISODD(SUBSTITUTE($BA174:$ZZ174,"A","")),FALSE),IF(ISODD(SUBSTITUTE($BA174:$ZZ174,"A","")),1,0),0)))</f>
        <v>0</v>
      </c>
      <c r="AA174" t="str">
        <f t="shared" si="134"/>
        <v>1A</v>
      </c>
      <c r="AB174" t="str">
        <f t="shared" si="135"/>
        <v>1B</v>
      </c>
      <c r="AL174" t="s">
        <v>137</v>
      </c>
      <c r="AM174" t="s">
        <v>873</v>
      </c>
      <c r="AO174" t="s">
        <v>396</v>
      </c>
      <c r="LJ174" s="27" t="str">
        <f t="shared" si="136"/>
        <v>XT57</v>
      </c>
      <c r="LK174" t="str">
        <f t="shared" si="137"/>
        <v>F0-AI17-1A</v>
      </c>
      <c r="LL174" t="str">
        <f t="shared" si="138"/>
        <v>F0-AI17-1B</v>
      </c>
      <c r="LM174">
        <f t="shared" si="140"/>
        <v>13</v>
      </c>
      <c r="LN174">
        <f t="shared" si="139"/>
        <v>14</v>
      </c>
      <c r="LO174">
        <f t="shared" si="139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SUM(IF(ISNUMBER(FIND("TmAi",$BA$1:$ZZ$1)),IF(IFERROR(ISODD(SUBSTITUTE($BA175:$ZZ175,"A","")),FALSE),IF(ISODD(SUBSTITUTE($BA175:$ZZ175,"A","")),1,0),0)))</f>
        <v>0</v>
      </c>
      <c r="AA175" t="str">
        <f t="shared" si="134"/>
        <v>3A</v>
      </c>
      <c r="AB175" t="str">
        <f t="shared" si="135"/>
        <v>3B</v>
      </c>
      <c r="AL175" t="s">
        <v>137</v>
      </c>
      <c r="AM175" t="s">
        <v>873</v>
      </c>
      <c r="AO175" t="s">
        <v>396</v>
      </c>
      <c r="LJ175" s="27" t="str">
        <f t="shared" si="136"/>
        <v>XT57</v>
      </c>
      <c r="LK175" t="str">
        <f t="shared" si="137"/>
        <v>F0-AI17-3A</v>
      </c>
      <c r="LL175" t="str">
        <f t="shared" si="138"/>
        <v>F0-AI17-3B</v>
      </c>
      <c r="LM175">
        <f t="shared" si="140"/>
        <v>16</v>
      </c>
      <c r="LN175">
        <f t="shared" si="139"/>
        <v>17</v>
      </c>
      <c r="LO175">
        <f t="shared" si="139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SUM(IF(ISNUMBER(FIND("TmAi",$BA$1:$ZZ$1)),IF(IFERROR(ISODD(SUBSTITUTE($BA176:$ZZ176,"A","")),FALSE),IF(ISODD(SUBSTITUTE($BA176:$ZZ176,"A","")),1,0),0)))</f>
        <v>0</v>
      </c>
      <c r="AA176" t="str">
        <f t="shared" si="134"/>
        <v>5A</v>
      </c>
      <c r="AB176" t="str">
        <f t="shared" si="135"/>
        <v>5B</v>
      </c>
      <c r="AL176" t="s">
        <v>137</v>
      </c>
      <c r="AM176" t="s">
        <v>873</v>
      </c>
      <c r="AO176" t="s">
        <v>396</v>
      </c>
      <c r="LJ176" s="27" t="str">
        <f t="shared" si="136"/>
        <v>XT57</v>
      </c>
      <c r="LK176" t="str">
        <f t="shared" si="137"/>
        <v>F0-AI17-5A</v>
      </c>
      <c r="LL176" t="str">
        <f t="shared" si="138"/>
        <v>F0-AI17-5B</v>
      </c>
      <c r="LM176">
        <f t="shared" si="140"/>
        <v>19</v>
      </c>
      <c r="LN176">
        <f t="shared" si="139"/>
        <v>20</v>
      </c>
      <c r="LO176">
        <f t="shared" si="139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1">ME177+1</f>
        <v>5</v>
      </c>
      <c r="MG177" s="12">
        <f t="shared" si="141"/>
        <v>6</v>
      </c>
      <c r="MH177" s="12">
        <f t="shared" si="141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1"/>
        <v>9</v>
      </c>
      <c r="MG178">
        <f t="shared" si="141"/>
        <v>10</v>
      </c>
      <c r="MH178">
        <f t="shared" si="141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SUM(IF(ISNUMBER(FIND("TmAi",$BA$1:$ZZ$1)),IF(IFERROR(ISODD(SUBSTITUTE($BA180:$ZZ180,"A","")),FALSE),IF(ISODD(SUBSTITUTE($BA180:$ZZ180,"A","")),1,0),0)))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SUM(IF(ISNUMBER(FIND("TmAi",$BA$1:$ZZ$1)),IF(IFERROR(ISODD(SUBSTITUTE($BA181:$ZZ181,"A","")),FALSE),IF(ISODD(SUBSTITUTE($BA181:$ZZ181,"A","")),1,0),0)))</f>
        <v>0</v>
      </c>
      <c r="AA181" t="str">
        <f t="shared" si="142"/>
        <v>13A</v>
      </c>
      <c r="AB181" t="str">
        <f t="shared" si="143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>
        <f t="array" ref="KE181">IF(COUNTIFS($U$2:$U181,$U181)=1,1,INDEX(KE:KE,_xlfn.XMATCH(U181,U$1:U180,0,-1))+COUNT(KE168:KI168))</f>
        <v>351</v>
      </c>
      <c r="KF181">
        <f t="shared" ref="KF181:KI182" si="144">KE181+1</f>
        <v>352</v>
      </c>
      <c r="KG181">
        <f t="shared" si="144"/>
        <v>353</v>
      </c>
      <c r="KH181">
        <f t="shared" si="144"/>
        <v>354</v>
      </c>
      <c r="KI181">
        <f t="shared" si="144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SUM(IF(ISNUMBER(FIND("TmAi",$BA$1:$ZZ$1)),IF(IFERROR(ISODD(SUBSTITUTE($BA182:$ZZ182,"A","")),FALSE),IF(ISODD(SUBSTITUTE($BA182:$ZZ182,"A","")),1,0),0)))</f>
        <v>0</v>
      </c>
      <c r="AA182" t="str">
        <f t="shared" si="142"/>
        <v>15A</v>
      </c>
      <c r="AB182" t="str">
        <f t="shared" si="143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>
        <f t="array" ref="KE182">IF(COUNTIFS($U$2:$U182,$U182)=1,1,INDEX(KE:KE,_xlfn.XMATCH(U182,U$1:U181,0,-1))+COUNT(KE181:KI181))</f>
        <v>356</v>
      </c>
      <c r="KF182">
        <f t="shared" si="144"/>
        <v>357</v>
      </c>
      <c r="KG182">
        <f t="shared" si="144"/>
        <v>358</v>
      </c>
      <c r="KH182">
        <f t="shared" si="144"/>
        <v>359</v>
      </c>
      <c r="KI182">
        <f t="shared" si="144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SUM(IF(ISNUMBER(FIND("TmAi",$BA$1:$ZZ$1)),IF(IFERROR(ISODD(SUBSTITUTE($BA183:$ZZ183,"A","")),FALSE),IF(ISODD(SUBSTITUTE($BA183:$ZZ183,"A","")),1,0),0)))</f>
        <v>1</v>
      </c>
      <c r="AA183" t="str">
        <f t="shared" si="142"/>
        <v>1A</v>
      </c>
      <c r="AB183" t="str">
        <f t="shared" si="143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45">CONCATENATE(REPLACE(OG183,LEN(OG183),1,"")+1,RIGHT(OG183))</f>
        <v>3B</v>
      </c>
      <c r="OJ183" s="12" t="str">
        <f t="shared" si="145"/>
        <v>4A</v>
      </c>
      <c r="OK183" s="12" t="str">
        <f t="shared" si="145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46">CONCATENATE($T183,"-AI",REPLACE($X183,1,3,""),"-",OF183)</f>
        <v>F0-AI31-2A</v>
      </c>
      <c r="OS183" s="12" t="str">
        <f t="shared" si="146"/>
        <v>F0-AI31-2B</v>
      </c>
      <c r="OT183" s="12" t="str">
        <f t="shared" si="146"/>
        <v>F0-AI31-3A</v>
      </c>
      <c r="OU183" s="12" t="str">
        <f t="shared" si="146"/>
        <v>F0-AI31-3B</v>
      </c>
      <c r="OV183" s="12" t="str">
        <f t="shared" si="146"/>
        <v>F0-AI31-4A</v>
      </c>
      <c r="OW183" s="12" t="str">
        <f t="shared" si="146"/>
        <v>F0-AI31-4B</v>
      </c>
      <c r="OX183" s="12"/>
      <c r="OY183" s="12"/>
      <c r="OZ183" s="12"/>
      <c r="PA183" s="12"/>
      <c r="PB183" s="12">
        <f t="array" ref="PB183">IF(COUNTIFS($U$2:$U183,$U183)=1,1,INDEX(PB:PB,_xlfn.XMATCH($U183,$U$1:EB182,0,-1))+COUNT(PB182:PG182))</f>
        <v>1</v>
      </c>
      <c r="PC183" s="12">
        <f t="shared" ref="PC183:PJ185" si="147">PB183+1</f>
        <v>2</v>
      </c>
      <c r="PD183" s="12">
        <f t="shared" si="147"/>
        <v>3</v>
      </c>
      <c r="PE183" s="12">
        <f>PD183+1</f>
        <v>4</v>
      </c>
      <c r="PF183" s="12">
        <f>PE183+1</f>
        <v>5</v>
      </c>
      <c r="PG183" s="12">
        <f>PF183+1</f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SUM(IF(ISNUMBER(FIND("TmAi",$BA$1:$ZZ$1)),IF(IFERROR(ISODD(SUBSTITUTE($BA184:$ZZ184,"A","")),FALSE),IF(ISODD(SUBSTITUTE($BA184:$ZZ184,"A","")),1,0),0)))</f>
        <v>1</v>
      </c>
      <c r="AA184" t="str">
        <f t="shared" si="142"/>
        <v>5A</v>
      </c>
      <c r="AB184" t="str">
        <f t="shared" si="143"/>
        <v>5B</v>
      </c>
      <c r="AL184" t="s">
        <v>137</v>
      </c>
      <c r="AN184" t="s">
        <v>1023</v>
      </c>
      <c r="AO184" t="s">
        <v>396</v>
      </c>
      <c r="OA184" s="27" t="str">
        <f>CONCATENATE("XT",$U184)</f>
        <v>XT59</v>
      </c>
      <c r="OB184" t="s">
        <v>1030</v>
      </c>
      <c r="OC184" t="s">
        <v>1026</v>
      </c>
      <c r="OF184" t="str">
        <f>CONCATENATE(REPLACE($AA184,LEN($AA184),1,"")+1,RIGHT($AA184))</f>
        <v>6A</v>
      </c>
      <c r="OG184" t="str">
        <f>CONCATENATE(REPLACE($AB184,LEN($AB184),1,"")+1,RIGHT($AB184))</f>
        <v>6B</v>
      </c>
      <c r="OH184" t="str">
        <f>CONCATENATE(REPLACE(OF184,LEN(OF184),1,"")+1,RIGHT(OF184))</f>
        <v>7A</v>
      </c>
      <c r="OI184" t="str">
        <f t="shared" si="145"/>
        <v>7B</v>
      </c>
      <c r="OJ184" t="str">
        <f t="shared" si="145"/>
        <v>8A</v>
      </c>
      <c r="OK184" t="str">
        <f t="shared" si="145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46"/>
        <v>F0-AI31-6A</v>
      </c>
      <c r="OS184" t="str">
        <f t="shared" si="146"/>
        <v>F0-AI31-6B</v>
      </c>
      <c r="OT184" t="str">
        <f t="shared" si="146"/>
        <v>F0-AI31-7A</v>
      </c>
      <c r="OU184" t="str">
        <f t="shared" si="146"/>
        <v>F0-AI31-7B</v>
      </c>
      <c r="OV184" t="str">
        <f t="shared" si="146"/>
        <v>F0-AI31-8A</v>
      </c>
      <c r="OW184" t="str">
        <f t="shared" si="146"/>
        <v>F0-AI31-8B</v>
      </c>
      <c r="PB184">
        <f t="array" ref="PB184">IF(COUNTIFS($U$2:$U184,$U184)=1,1,INDEX(PB:PB,_xlfn.XMATCH($U184,$U$1:$U183,0,-1))+COUNT(PB183:PG183))</f>
        <v>7</v>
      </c>
      <c r="PC184">
        <f t="shared" si="147"/>
        <v>8</v>
      </c>
      <c r="PD184">
        <f t="shared" si="147"/>
        <v>9</v>
      </c>
      <c r="PE184">
        <f t="shared" si="147"/>
        <v>10</v>
      </c>
      <c r="PF184">
        <f t="shared" si="147"/>
        <v>11</v>
      </c>
      <c r="PG184">
        <f t="shared" si="147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SUM(IF(ISNUMBER(FIND("TmAi",$BA$1:$ZZ$1)),IF(IFERROR(ISODD(SUBSTITUTE($BA185:$ZZ185,"A","")),FALSE),IF(ISODD(SUBSTITUTE($BA185:$ZZ185,"A","")),1,0),0)))</f>
        <v>2</v>
      </c>
      <c r="AA185" t="str">
        <f t="shared" si="142"/>
        <v>9A</v>
      </c>
      <c r="AB185" t="str">
        <f t="shared" si="143"/>
        <v>9B</v>
      </c>
      <c r="AL185" t="s">
        <v>137</v>
      </c>
      <c r="AN185" t="s">
        <v>1048</v>
      </c>
      <c r="AO185" t="s">
        <v>396</v>
      </c>
      <c r="OA185" s="27" t="str">
        <f>CONCATENATE("XT",$U185)</f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>CONCATENATE(REPLACE($AA185,LEN($AA185),1,"")+1,RIGHT($AA185))</f>
        <v>10A</v>
      </c>
      <c r="OG185" t="str">
        <f>CONCATENATE(REPLACE($AB185,LEN($AB185),1,"")+1,RIGHT($AB185))</f>
        <v>10B</v>
      </c>
      <c r="OH185" t="str">
        <f>CONCATENATE(REPLACE(OF185,LEN(OF185),1,"")+1,RIGHT(OF185))</f>
        <v>11A</v>
      </c>
      <c r="OI185" t="str">
        <f t="shared" si="145"/>
        <v>11B</v>
      </c>
      <c r="OJ185" t="str">
        <f t="shared" si="145"/>
        <v>12A</v>
      </c>
      <c r="OK185" t="str">
        <f t="shared" si="145"/>
        <v>12B</v>
      </c>
      <c r="OL185" t="str">
        <f t="shared" si="145"/>
        <v>13A</v>
      </c>
      <c r="OM185" t="str">
        <f t="shared" si="145"/>
        <v>13B</v>
      </c>
      <c r="ON185" t="str">
        <f t="shared" si="145"/>
        <v>14A</v>
      </c>
      <c r="OO185" t="str">
        <f t="shared" si="145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46"/>
        <v>F0-AI31-10A</v>
      </c>
      <c r="OS185" t="str">
        <f t="shared" si="146"/>
        <v>F0-AI31-10B</v>
      </c>
      <c r="OT185" t="str">
        <f t="shared" si="146"/>
        <v>F0-AI31-11A</v>
      </c>
      <c r="OU185" t="str">
        <f t="shared" si="146"/>
        <v>F0-AI31-11B</v>
      </c>
      <c r="OV185" t="str">
        <f t="shared" si="146"/>
        <v>F0-AI31-12A</v>
      </c>
      <c r="OW185" t="str">
        <f t="shared" si="146"/>
        <v>F0-AI31-12B</v>
      </c>
      <c r="OX185" t="str">
        <f t="shared" si="146"/>
        <v>F0-AI31-13A</v>
      </c>
      <c r="OY185" t="str">
        <f t="shared" si="146"/>
        <v>F0-AI31-13B</v>
      </c>
      <c r="OZ185" t="str">
        <f t="shared" si="146"/>
        <v>F0-AI31-14A</v>
      </c>
      <c r="PA185" t="str">
        <f t="shared" si="146"/>
        <v>F0-AI31-14B</v>
      </c>
      <c r="PB185">
        <f t="array" ref="PB185">IF(COUNTIFS($U$2:$U185,$U185)=1,1,INDEX(PB:PB,_xlfn.XMATCH($U185,$U$1:$U184,0,-1))+COUNT(PB184:PG184))</f>
        <v>13</v>
      </c>
      <c r="PC185">
        <f t="shared" si="147"/>
        <v>14</v>
      </c>
      <c r="PD185">
        <f t="shared" si="147"/>
        <v>15</v>
      </c>
      <c r="PE185">
        <f t="shared" si="147"/>
        <v>16</v>
      </c>
      <c r="PF185">
        <f t="shared" si="147"/>
        <v>17</v>
      </c>
      <c r="PG185">
        <f t="shared" si="147"/>
        <v>18</v>
      </c>
      <c r="PH185">
        <f t="shared" si="147"/>
        <v>19</v>
      </c>
      <c r="PI185">
        <f t="shared" si="147"/>
        <v>20</v>
      </c>
      <c r="PJ185">
        <f t="shared" si="147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SUM(IF(ISNUMBER(FIND("TmAi",$BA$1:$ZZ$1)),IF(IFERROR(ISODD(SUBSTITUTE($BA186:$ZZ186,"A","")),FALSE),IF(ISODD(SUBSTITUTE($BA186:$ZZ186,"A","")),1,0),0)))</f>
        <v>0</v>
      </c>
      <c r="AA186" t="str">
        <f>CONCATENATE($Y186*2-1,"B")</f>
        <v>1B</v>
      </c>
      <c r="AB186" t="str">
        <f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>KE186+1</f>
        <v>23</v>
      </c>
      <c r="KG186">
        <f>KF186+1</f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SUM(IF(ISNUMBER(FIND("TmAi",$BA$1:$ZZ$1)),IF(IFERROR(ISODD(SUBSTITUTE($BA187:$ZZ187,"A","")),FALSE),IF(ISODD(SUBSTITUTE($BA187:$ZZ187,"A","")),1,0),0)))</f>
        <v>11</v>
      </c>
      <c r="AA187" t="str">
        <f>CONCATENATE($Y187*2-1,"A")</f>
        <v>3A</v>
      </c>
      <c r="AB187" t="str">
        <f>CONCATENATE($Y187*2-1,"B")</f>
        <v>3B</v>
      </c>
      <c r="AN187" t="s">
        <v>1058</v>
      </c>
      <c r="AO187" t="s">
        <v>396</v>
      </c>
      <c r="JV187" s="27"/>
      <c r="KE187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>CONCATENATE(VALUE(SUBSTITUTE(PW187,"B",""))+2,"B")</f>
        <v>9B</v>
      </c>
      <c r="PZ187" s="12" t="str">
        <f>CONCATENATE(VALUE(SUBSTITUTE(PX187,"A",""))+2,"A")</f>
        <v>9A</v>
      </c>
      <c r="QA187" s="12" t="str">
        <f>CONCATENATE(VALUE(SUBSTITUTE(PY187,"B",""))+2,"B")</f>
        <v>11B</v>
      </c>
      <c r="QB187" s="12" t="str">
        <f>CONCATENATE(VALUE(SUBSTITUTE(PZ187,"A",""))+2,"A")</f>
        <v>11A</v>
      </c>
      <c r="QC187" s="12" t="str">
        <f>CONCATENATE(VALUE(SUBSTITUTE(QA187,"B",""))+2,"B")</f>
        <v>13B</v>
      </c>
      <c r="QD187" s="12" t="str">
        <f>CONCATENATE(VALUE(SUBSTITUTE(QB187,"A",""))+2,"A")</f>
        <v>13A</v>
      </c>
      <c r="QE187" s="12" t="s">
        <v>135</v>
      </c>
      <c r="QF187" s="12" t="s">
        <v>136</v>
      </c>
      <c r="QG187" s="12" t="str">
        <f>CONCATENATE(VALUE(SUBSTITUTE(QE187,"B",""))+2,"B")</f>
        <v>3B</v>
      </c>
      <c r="QH187" s="12" t="str">
        <f>CONCATENATE(VALUE(SUBSTITUTE(QF187,"A",""))+2,"A")</f>
        <v>3A</v>
      </c>
      <c r="QI187" s="12" t="str">
        <f>CONCATENATE(VALUE(SUBSTITUTE(QG187,"B",""))+2,"B")</f>
        <v>5B</v>
      </c>
      <c r="QJ187" s="12" t="str">
        <f>CONCATENATE(VALUE(SUBSTITUTE(QH187,"A",""))+2,"A")</f>
        <v>5A</v>
      </c>
      <c r="QK187" s="12" t="str">
        <f>CONCATENATE(VALUE(SUBSTITUTE(QI187,"B",""))+2,"B")</f>
        <v>7B</v>
      </c>
      <c r="QL187" s="12" t="str">
        <f>CONCATENATE(VALUE(SUBSTITUTE(QJ187,"A",""))+2,"A")</f>
        <v>7A</v>
      </c>
      <c r="QM187" s="12" t="str">
        <f>CONCATENATE(VALUE(SUBSTITUTE(QK187,"B",""))+2,"B")</f>
        <v>9B</v>
      </c>
      <c r="QN187" s="12" t="str">
        <f>CONCATENATE(VALUE(SUBSTITUTE(QL187,"A",""))+2,"A")</f>
        <v>9A</v>
      </c>
      <c r="QO187" s="12" t="str">
        <f>CONCATENATE(VALUE(SUBSTITUTE(QM187,"B",""))+2,"B")</f>
        <v>11B</v>
      </c>
      <c r="QP187" s="12" t="str">
        <f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48">CONCATENATE($T187,"-AI",REPLACE($X187,1,3,""),"-",PW187)</f>
        <v>F0-AI18-7B</v>
      </c>
      <c r="QV187" s="12" t="str">
        <f t="shared" si="148"/>
        <v>F0-AI18-7A</v>
      </c>
      <c r="QW187" s="12" t="str">
        <f t="shared" si="148"/>
        <v>F0-AI18-9B</v>
      </c>
      <c r="QX187" s="12" t="str">
        <f t="shared" si="148"/>
        <v>F0-AI18-9A</v>
      </c>
      <c r="QY187" s="12" t="str">
        <f t="shared" si="148"/>
        <v>F0-AI18-11B</v>
      </c>
      <c r="QZ187" s="12" t="str">
        <f t="shared" si="148"/>
        <v>F0-AI18-11A</v>
      </c>
      <c r="RA187" s="12" t="str">
        <f t="shared" si="148"/>
        <v>F0-AI18-13B</v>
      </c>
      <c r="RB187" s="12" t="str">
        <f t="shared" si="148"/>
        <v>F0-AI18-13A</v>
      </c>
      <c r="RC187" s="12" t="str">
        <f t="shared" ref="RC187:RN187" si="149">CONCATENATE($T187,"-AI",REPLACE($PT187,1,3,""),"-",QE187)</f>
        <v>F0-AI19-1B</v>
      </c>
      <c r="RD187" s="12" t="str">
        <f t="shared" si="149"/>
        <v>F0-AI19-1A</v>
      </c>
      <c r="RE187" s="12" t="str">
        <f t="shared" si="149"/>
        <v>F0-AI19-3B</v>
      </c>
      <c r="RF187" s="12" t="str">
        <f t="shared" si="149"/>
        <v>F0-AI19-3A</v>
      </c>
      <c r="RG187" s="12" t="str">
        <f t="shared" si="149"/>
        <v>F0-AI19-5B</v>
      </c>
      <c r="RH187" s="12" t="str">
        <f t="shared" si="149"/>
        <v>F0-AI19-5A</v>
      </c>
      <c r="RI187" s="12" t="str">
        <f t="shared" si="149"/>
        <v>F0-AI19-7B</v>
      </c>
      <c r="RJ187" s="12" t="str">
        <f t="shared" si="149"/>
        <v>F0-AI19-7A</v>
      </c>
      <c r="RK187" s="12" t="str">
        <f t="shared" si="149"/>
        <v>F0-AI19-9B</v>
      </c>
      <c r="RL187" s="12" t="str">
        <f t="shared" si="149"/>
        <v>F0-AI19-9A</v>
      </c>
      <c r="RM187" s="12" t="str">
        <f t="shared" si="149"/>
        <v>F0-AI19-11B</v>
      </c>
      <c r="RN187" s="12" t="str">
        <f t="shared" si="149"/>
        <v>F0-AI19-11A</v>
      </c>
      <c r="RO187" s="12" t="str">
        <f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SUM(IF(ISNUMBER(FIND("TmAi",$BA$1:$ZZ$1)),IF(IFERROR(ISODD(SUBSTITUTE($BA188:$ZZ188,"A","")),FALSE),IF(ISODD(SUBSTITUTE($BA188:$ZZ188,"A","")),1,0),0)))</f>
        <v>1</v>
      </c>
      <c r="AA188" t="str">
        <f>CONCATENATE($Y188*2-1,"A")</f>
        <v>1A</v>
      </c>
      <c r="AB188" t="str">
        <f>CONCATENATE($Y188*2-1,"B")</f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50">CONCATENATE(REPLACE(OG188,LEN(OG188),1,"")+1,RIGHT(OG188))</f>
        <v>3B</v>
      </c>
      <c r="OJ188" s="12" t="str">
        <f t="shared" si="150"/>
        <v>4A</v>
      </c>
      <c r="OK188" s="12" t="str">
        <f t="shared" si="150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51">CONCATENATE($T188,"-AI",REPLACE($X188,1,3,""),"-",OF188)</f>
        <v>F0-AI32-2A</v>
      </c>
      <c r="OS188" s="12" t="str">
        <f t="shared" si="151"/>
        <v>F0-AI32-2B</v>
      </c>
      <c r="OT188" s="12" t="str">
        <f t="shared" si="151"/>
        <v>F0-AI32-3A</v>
      </c>
      <c r="OU188" s="12" t="str">
        <f t="shared" si="151"/>
        <v>F0-AI32-3B</v>
      </c>
      <c r="OV188" s="12" t="str">
        <f t="shared" si="151"/>
        <v>F0-AI32-4A</v>
      </c>
      <c r="OW188" s="12" t="str">
        <f t="shared" si="151"/>
        <v>F0-AI32-4B</v>
      </c>
      <c r="OX188" s="12"/>
      <c r="OY188" s="12"/>
      <c r="OZ188" s="12"/>
      <c r="PA188" s="12"/>
      <c r="PB188" s="12">
        <f t="array" ref="PB188">IF(COUNTIFS($U$2:$U188,$U188)=1,1,INDEX(PB:PB,_xlfn.XMATCH($U188,$U$1:EB187,0,-1))+COUNT(PB187:PG187))</f>
        <v>1</v>
      </c>
      <c r="PC188" s="12">
        <f t="shared" ref="PC188:PE190" si="152">PB188+1</f>
        <v>2</v>
      </c>
      <c r="PD188" s="12">
        <f t="shared" si="152"/>
        <v>3</v>
      </c>
      <c r="PE188" s="12">
        <f>PD188+1</f>
        <v>4</v>
      </c>
      <c r="PF188" s="12">
        <f t="shared" ref="PF188:PJ190" si="153">PE188+1</f>
        <v>5</v>
      </c>
      <c r="PG188" s="12">
        <f t="shared" si="153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SUM(IF(ISNUMBER(FIND("TmAi",$BA$1:$ZZ$1)),IF(IFERROR(ISODD(SUBSTITUTE($BA189:$ZZ189,"A","")),FALSE),IF(ISODD(SUBSTITUTE($BA189:$ZZ189,"A","")),1,0),0)))</f>
        <v>1</v>
      </c>
      <c r="AA189" t="str">
        <f>CONCATENATE($Y189*2-1,"A")</f>
        <v>5A</v>
      </c>
      <c r="AB189" t="str">
        <f>CONCATENATE($Y189*2-1,"B")</f>
        <v>5B</v>
      </c>
      <c r="AL189" t="s">
        <v>137</v>
      </c>
      <c r="AN189" t="s">
        <v>1152</v>
      </c>
      <c r="AO189" t="s">
        <v>396</v>
      </c>
      <c r="OA189" s="27" t="str">
        <f>CONCATENATE("XT",$U189)</f>
        <v>XT60</v>
      </c>
      <c r="OB189" t="s">
        <v>1175</v>
      </c>
      <c r="OC189" t="s">
        <v>1181</v>
      </c>
      <c r="OF189" t="str">
        <f>CONCATENATE(REPLACE($AA189,LEN($AA189),1,"")+1,RIGHT($AA189))</f>
        <v>6A</v>
      </c>
      <c r="OG189" t="str">
        <f>CONCATENATE(REPLACE($AB189,LEN($AB189),1,"")+1,RIGHT($AB189))</f>
        <v>6B</v>
      </c>
      <c r="OH189" t="str">
        <f>CONCATENATE(REPLACE(OF189,LEN(OF189),1,"")+1,RIGHT(OF189))</f>
        <v>7A</v>
      </c>
      <c r="OI189" t="str">
        <f t="shared" si="150"/>
        <v>7B</v>
      </c>
      <c r="OJ189" t="str">
        <f t="shared" si="150"/>
        <v>8A</v>
      </c>
      <c r="OK189" t="str">
        <f t="shared" si="150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51"/>
        <v>F0-AI32-6A</v>
      </c>
      <c r="OS189" t="str">
        <f t="shared" si="151"/>
        <v>F0-AI32-6B</v>
      </c>
      <c r="OT189" t="str">
        <f t="shared" si="151"/>
        <v>F0-AI32-7A</v>
      </c>
      <c r="OU189" t="str">
        <f t="shared" si="151"/>
        <v>F0-AI32-7B</v>
      </c>
      <c r="OV189" t="str">
        <f t="shared" si="151"/>
        <v>F0-AI32-8A</v>
      </c>
      <c r="OW189" t="str">
        <f t="shared" si="151"/>
        <v>F0-AI32-8B</v>
      </c>
      <c r="PB189">
        <f t="array" ref="PB189">IF(COUNTIFS($U$2:$U189,$U189)=1,1,INDEX(PB:PB,_xlfn.XMATCH($U189,$U$1:$U188,0,-1))+COUNT(PB188:PG188))</f>
        <v>7</v>
      </c>
      <c r="PC189">
        <f t="shared" si="152"/>
        <v>8</v>
      </c>
      <c r="PD189">
        <f t="shared" si="152"/>
        <v>9</v>
      </c>
      <c r="PE189">
        <f t="shared" si="152"/>
        <v>10</v>
      </c>
      <c r="PF189">
        <f t="shared" si="153"/>
        <v>11</v>
      </c>
      <c r="PG189">
        <f t="shared" si="153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SUM(IF(ISNUMBER(FIND("TmAi",$BA$1:$ZZ$1)),IF(IFERROR(ISODD(SUBSTITUTE($BA190:$ZZ190,"A","")),FALSE),IF(ISODD(SUBSTITUTE($BA190:$ZZ190,"A","")),1,0),0)))</f>
        <v>2</v>
      </c>
      <c r="AA190" t="str">
        <f>CONCATENATE($Y190*2-1,"A")</f>
        <v>9A</v>
      </c>
      <c r="AB190" t="str">
        <f>CONCATENATE($Y190*2-1,"B")</f>
        <v>9B</v>
      </c>
      <c r="AL190" t="s">
        <v>137</v>
      </c>
      <c r="AN190" t="s">
        <v>1153</v>
      </c>
      <c r="AO190" t="s">
        <v>396</v>
      </c>
      <c r="OA190" s="27" t="str">
        <f>CONCATENATE("XT",$U190)</f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>CONCATENATE(REPLACE($AA190,LEN($AA190),1,"")+1,RIGHT($AA190))</f>
        <v>10A</v>
      </c>
      <c r="OG190" t="str">
        <f>CONCATENATE(REPLACE($AB190,LEN($AB190),1,"")+1,RIGHT($AB190))</f>
        <v>10B</v>
      </c>
      <c r="OH190" t="str">
        <f>CONCATENATE(REPLACE(OF190,LEN(OF190),1,"")+1,RIGHT(OF190))</f>
        <v>11A</v>
      </c>
      <c r="OI190" t="str">
        <f t="shared" si="150"/>
        <v>11B</v>
      </c>
      <c r="OJ190" t="str">
        <f t="shared" si="150"/>
        <v>12A</v>
      </c>
      <c r="OK190" t="str">
        <f t="shared" si="150"/>
        <v>12B</v>
      </c>
      <c r="OL190" t="str">
        <f t="shared" si="150"/>
        <v>13A</v>
      </c>
      <c r="OM190" t="str">
        <f t="shared" si="150"/>
        <v>13B</v>
      </c>
      <c r="ON190" t="str">
        <f t="shared" si="150"/>
        <v>14A</v>
      </c>
      <c r="OO190" t="str">
        <f t="shared" si="150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51"/>
        <v>F0-AI32-10A</v>
      </c>
      <c r="OS190" t="str">
        <f t="shared" si="151"/>
        <v>F0-AI32-10B</v>
      </c>
      <c r="OT190" t="str">
        <f t="shared" si="151"/>
        <v>F0-AI32-11A</v>
      </c>
      <c r="OU190" t="str">
        <f t="shared" si="151"/>
        <v>F0-AI32-11B</v>
      </c>
      <c r="OV190" t="str">
        <f t="shared" si="151"/>
        <v>F0-AI32-12A</v>
      </c>
      <c r="OW190" t="str">
        <f t="shared" si="151"/>
        <v>F0-AI32-12B</v>
      </c>
      <c r="OX190" t="str">
        <f t="shared" si="151"/>
        <v>F0-AI32-13A</v>
      </c>
      <c r="OY190" t="str">
        <f t="shared" si="151"/>
        <v>F0-AI32-13B</v>
      </c>
      <c r="OZ190" t="str">
        <f t="shared" si="151"/>
        <v>F0-AI32-14A</v>
      </c>
      <c r="PA190" t="str">
        <f t="shared" si="151"/>
        <v>F0-AI32-14B</v>
      </c>
      <c r="PB190">
        <f t="array" ref="PB190">IF(COUNTIFS($U$2:$U190,$U190)=1,1,INDEX(PB:PB,_xlfn.XMATCH($U190,$U$1:$U189,0,-1))+COUNT(PB189:PG189))</f>
        <v>13</v>
      </c>
      <c r="PC190">
        <f t="shared" si="152"/>
        <v>14</v>
      </c>
      <c r="PD190">
        <f t="shared" si="152"/>
        <v>15</v>
      </c>
      <c r="PE190">
        <f t="shared" si="152"/>
        <v>16</v>
      </c>
      <c r="PF190">
        <f t="shared" si="153"/>
        <v>17</v>
      </c>
      <c r="PG190">
        <f t="shared" si="153"/>
        <v>18</v>
      </c>
      <c r="PH190">
        <f t="shared" si="153"/>
        <v>19</v>
      </c>
      <c r="PI190">
        <f t="shared" si="153"/>
        <v>20</v>
      </c>
      <c r="PJ190">
        <f t="shared" si="153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SUM(IF(ISNUMBER(FIND("TmAi",$BA$1:$ZZ$1)),IF(IFERROR(ISODD(SUBSTITUTE($BA191:$ZZ191,"A","")),FALSE),IF(ISODD(SUBSTITUTE($BA191:$ZZ191,"A","")),1,0),0)))</f>
        <v>0</v>
      </c>
      <c r="AA191" t="str">
        <f>CONCATENATE($Y191*2-1,"B")</f>
        <v>1B</v>
      </c>
      <c r="AB191" t="str">
        <f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>KE191+1</f>
        <v>23</v>
      </c>
      <c r="KG191">
        <f>KF191+1</f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SUM(IF(ISNUMBER(FIND("TmAi",$BA$1:$ZZ$1)),IF(IFERROR(ISODD(SUBSTITUTE($BA192:$ZZ192,"A","")),FALSE),IF(ISODD(SUBSTITUTE($BA192:$ZZ192,"A","")),1,0),0)))</f>
        <v>11</v>
      </c>
      <c r="AA192" t="str">
        <f>CONCATENATE($Y192*2-1,"A")</f>
        <v>3A</v>
      </c>
      <c r="AB192" t="str">
        <f>CONCATENATE($Y192*2-1,"B")</f>
        <v>3B</v>
      </c>
      <c r="AN192" t="s">
        <v>1147</v>
      </c>
      <c r="AO192" t="s">
        <v>396</v>
      </c>
      <c r="JV192" s="27"/>
      <c r="KE192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>CONCATENATE(VALUE(SUBSTITUTE(PW192,"B",""))+2,"B")</f>
        <v>9B</v>
      </c>
      <c r="PZ192" s="12" t="str">
        <f>CONCATENATE(VALUE(SUBSTITUTE(PX192,"A",""))+2,"A")</f>
        <v>9A</v>
      </c>
      <c r="QA192" s="12" t="str">
        <f>CONCATENATE(VALUE(SUBSTITUTE(PY192,"B",""))+2,"B")</f>
        <v>11B</v>
      </c>
      <c r="QB192" s="12" t="str">
        <f>CONCATENATE(VALUE(SUBSTITUTE(PZ192,"A",""))+2,"A")</f>
        <v>11A</v>
      </c>
      <c r="QC192" s="12" t="str">
        <f>CONCATENATE(VALUE(SUBSTITUTE(QA192,"B",""))+2,"B")</f>
        <v>13B</v>
      </c>
      <c r="QD192" s="12" t="str">
        <f>CONCATENATE(VALUE(SUBSTITUTE(QB192,"A",""))+2,"A")</f>
        <v>13A</v>
      </c>
      <c r="QE192" s="12" t="s">
        <v>135</v>
      </c>
      <c r="QF192" s="12" t="s">
        <v>136</v>
      </c>
      <c r="QG192" s="12" t="str">
        <f>CONCATENATE(VALUE(SUBSTITUTE(QE192,"B",""))+2,"B")</f>
        <v>3B</v>
      </c>
      <c r="QH192" s="12" t="str">
        <f>CONCATENATE(VALUE(SUBSTITUTE(QF192,"A",""))+2,"A")</f>
        <v>3A</v>
      </c>
      <c r="QI192" s="12" t="str">
        <f>CONCATENATE(VALUE(SUBSTITUTE(QG192,"B",""))+2,"B")</f>
        <v>5B</v>
      </c>
      <c r="QJ192" s="12" t="str">
        <f>CONCATENATE(VALUE(SUBSTITUTE(QH192,"A",""))+2,"A")</f>
        <v>5A</v>
      </c>
      <c r="QK192" s="12" t="str">
        <f>CONCATENATE(VALUE(SUBSTITUTE(QI192,"B",""))+2,"B")</f>
        <v>7B</v>
      </c>
      <c r="QL192" s="12" t="str">
        <f>CONCATENATE(VALUE(SUBSTITUTE(QJ192,"A",""))+2,"A")</f>
        <v>7A</v>
      </c>
      <c r="QM192" s="12" t="str">
        <f>CONCATENATE(VALUE(SUBSTITUTE(QK192,"B",""))+2,"B")</f>
        <v>9B</v>
      </c>
      <c r="QN192" s="12" t="str">
        <f>CONCATENATE(VALUE(SUBSTITUTE(QL192,"A",""))+2,"A")</f>
        <v>9A</v>
      </c>
      <c r="QO192" s="12" t="str">
        <f>CONCATENATE(VALUE(SUBSTITUTE(QM192,"B",""))+2,"B")</f>
        <v>11B</v>
      </c>
      <c r="QP192" s="12" t="str">
        <f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154">CONCATENATE($T192,"-AI",REPLACE($X192,1,3,""),"-",PW192)</f>
        <v>F0-AI20-7B</v>
      </c>
      <c r="QV192" s="12" t="str">
        <f t="shared" si="154"/>
        <v>F0-AI20-7A</v>
      </c>
      <c r="QW192" s="12" t="str">
        <f t="shared" si="154"/>
        <v>F0-AI20-9B</v>
      </c>
      <c r="QX192" s="12" t="str">
        <f t="shared" si="154"/>
        <v>F0-AI20-9A</v>
      </c>
      <c r="QY192" s="12" t="str">
        <f t="shared" si="154"/>
        <v>F0-AI20-11B</v>
      </c>
      <c r="QZ192" s="12" t="str">
        <f t="shared" si="154"/>
        <v>F0-AI20-11A</v>
      </c>
      <c r="RA192" s="12" t="str">
        <f t="shared" si="154"/>
        <v>F0-AI20-13B</v>
      </c>
      <c r="RB192" s="12" t="str">
        <f t="shared" si="154"/>
        <v>F0-AI20-13A</v>
      </c>
      <c r="RC192" s="12" t="str">
        <f t="shared" ref="RC192:RN192" si="155">CONCATENATE($T192,"-AI",REPLACE($PT192,1,3,""),"-",QE192)</f>
        <v>F0-AI21-1B</v>
      </c>
      <c r="RD192" s="12" t="str">
        <f t="shared" si="155"/>
        <v>F0-AI21-1A</v>
      </c>
      <c r="RE192" s="12" t="str">
        <f t="shared" si="155"/>
        <v>F0-AI21-3B</v>
      </c>
      <c r="RF192" s="12" t="str">
        <f t="shared" si="155"/>
        <v>F0-AI21-3A</v>
      </c>
      <c r="RG192" s="12" t="str">
        <f t="shared" si="155"/>
        <v>F0-AI21-5B</v>
      </c>
      <c r="RH192" s="12" t="str">
        <f t="shared" si="155"/>
        <v>F0-AI21-5A</v>
      </c>
      <c r="RI192" s="12" t="str">
        <f t="shared" si="155"/>
        <v>F0-AI21-7B</v>
      </c>
      <c r="RJ192" s="12" t="str">
        <f t="shared" si="155"/>
        <v>F0-AI21-7A</v>
      </c>
      <c r="RK192" s="12" t="str">
        <f t="shared" si="155"/>
        <v>F0-AI21-9B</v>
      </c>
      <c r="RL192" s="12" t="str">
        <f t="shared" si="155"/>
        <v>F0-AI21-9A</v>
      </c>
      <c r="RM192" s="12" t="str">
        <f t="shared" si="155"/>
        <v>F0-AI21-11B</v>
      </c>
      <c r="RN192" s="12" t="str">
        <f t="shared" si="155"/>
        <v>F0-AI21-11A</v>
      </c>
      <c r="RO192" s="12" t="str">
        <f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SUM(IF(ISNUMBER(FIND("TmAi",$BA$1:$ZZ$1)),IF(IFERROR(ISODD(SUBSTITUTE($BA193:$ZZ193,"A","")),FALSE),IF(ISODD(SUBSTITUTE($BA193:$ZZ193,"A","")),1,0),0)))</f>
        <v>1</v>
      </c>
      <c r="AA193" t="str">
        <f>CONCATENATE($Y193*2-1,"A")</f>
        <v>1A</v>
      </c>
      <c r="AB193" t="str">
        <f>CONCATENATE($Y193*2-1,"B")</f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156">CONCATENATE(REPLACE(OG193,LEN(OG193),1,"")+1,RIGHT(OG193))</f>
        <v>3B</v>
      </c>
      <c r="OJ193" s="12" t="str">
        <f t="shared" si="156"/>
        <v>4A</v>
      </c>
      <c r="OK193" s="12" t="str">
        <f t="shared" si="156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157">CONCATENATE($T193,"-AI",REPLACE($X193,1,3,""),"-",OF193)</f>
        <v>F0-AI33-2A</v>
      </c>
      <c r="OS193" s="12" t="str">
        <f t="shared" si="157"/>
        <v>F0-AI33-2B</v>
      </c>
      <c r="OT193" s="12" t="str">
        <f t="shared" si="157"/>
        <v>F0-AI33-3A</v>
      </c>
      <c r="OU193" s="12" t="str">
        <f t="shared" si="157"/>
        <v>F0-AI33-3B</v>
      </c>
      <c r="OV193" s="12" t="str">
        <f t="shared" si="157"/>
        <v>F0-AI33-4A</v>
      </c>
      <c r="OW193" s="12" t="str">
        <f t="shared" si="157"/>
        <v>F0-AI33-4B</v>
      </c>
      <c r="OX193" s="12"/>
      <c r="OY193" s="12"/>
      <c r="OZ193" s="12"/>
      <c r="PA193" s="12"/>
      <c r="PB193" s="12">
        <f t="array" ref="PB193">IF(COUNTIFS($U$2:$U193,$U193)=1,1,INDEX(PB:PB,_xlfn.XMATCH($U193,$U$1:EB192,0,-1))+COUNT(PB192:PG192))</f>
        <v>1</v>
      </c>
      <c r="PC193" s="12">
        <f t="shared" ref="PC193:PE195" si="158">PB193+1</f>
        <v>2</v>
      </c>
      <c r="PD193" s="12">
        <f t="shared" si="158"/>
        <v>3</v>
      </c>
      <c r="PE193" s="12">
        <f>PD193+1</f>
        <v>4</v>
      </c>
      <c r="PF193" s="12">
        <f t="shared" ref="PF193:PJ195" si="159">PE193+1</f>
        <v>5</v>
      </c>
      <c r="PG193" s="12">
        <f t="shared" si="159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SUM(IF(ISNUMBER(FIND("TmAi",$BA$1:$ZZ$1)),IF(IFERROR(ISODD(SUBSTITUTE($BA194:$ZZ194,"A","")),FALSE),IF(ISODD(SUBSTITUTE($BA194:$ZZ194,"A","")),1,0),0)))</f>
        <v>1</v>
      </c>
      <c r="AA194" t="str">
        <f>CONCATENATE($Y194*2-1,"A")</f>
        <v>5A</v>
      </c>
      <c r="AB194" t="str">
        <f>CONCATENATE($Y194*2-1,"B")</f>
        <v>5B</v>
      </c>
      <c r="AL194" t="s">
        <v>137</v>
      </c>
      <c r="AN194" t="s">
        <v>1207</v>
      </c>
      <c r="AO194" t="s">
        <v>396</v>
      </c>
      <c r="OA194" s="27" t="str">
        <f>CONCATENATE("XT",$U194)</f>
        <v>XT61</v>
      </c>
      <c r="OB194" t="s">
        <v>1189</v>
      </c>
      <c r="OC194" t="s">
        <v>1324</v>
      </c>
      <c r="OF194" t="str">
        <f>CONCATENATE(REPLACE($AA194,LEN($AA194),1,"")+1,RIGHT($AA194))</f>
        <v>6A</v>
      </c>
      <c r="OG194" t="str">
        <f>CONCATENATE(REPLACE($AB194,LEN($AB194),1,"")+1,RIGHT($AB194))</f>
        <v>6B</v>
      </c>
      <c r="OH194" t="str">
        <f>CONCATENATE(REPLACE(OF194,LEN(OF194),1,"")+1,RIGHT(OF194))</f>
        <v>7A</v>
      </c>
      <c r="OI194" t="str">
        <f t="shared" si="156"/>
        <v>7B</v>
      </c>
      <c r="OJ194" t="str">
        <f t="shared" si="156"/>
        <v>8A</v>
      </c>
      <c r="OK194" t="str">
        <f t="shared" si="156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157"/>
        <v>F0-AI33-6A</v>
      </c>
      <c r="OS194" t="str">
        <f t="shared" si="157"/>
        <v>F0-AI33-6B</v>
      </c>
      <c r="OT194" t="str">
        <f t="shared" si="157"/>
        <v>F0-AI33-7A</v>
      </c>
      <c r="OU194" t="str">
        <f t="shared" si="157"/>
        <v>F0-AI33-7B</v>
      </c>
      <c r="OV194" t="str">
        <f t="shared" si="157"/>
        <v>F0-AI33-8A</v>
      </c>
      <c r="OW194" t="str">
        <f t="shared" si="157"/>
        <v>F0-AI33-8B</v>
      </c>
      <c r="PB194">
        <f t="array" ref="PB194">IF(COUNTIFS($U$2:$U194,$U194)=1,1,INDEX(PB:PB,_xlfn.XMATCH($U194,$U$1:$U193,0,-1))+COUNT(PB193:PG193))</f>
        <v>7</v>
      </c>
      <c r="PC194">
        <f t="shared" si="158"/>
        <v>8</v>
      </c>
      <c r="PD194">
        <f t="shared" si="158"/>
        <v>9</v>
      </c>
      <c r="PE194">
        <f t="shared" si="158"/>
        <v>10</v>
      </c>
      <c r="PF194">
        <f t="shared" si="159"/>
        <v>11</v>
      </c>
      <c r="PG194">
        <f t="shared" si="159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SUM(IF(ISNUMBER(FIND("TmAi",$BA$1:$ZZ$1)),IF(IFERROR(ISODD(SUBSTITUTE($BA195:$ZZ195,"A","")),FALSE),IF(ISODD(SUBSTITUTE($BA195:$ZZ195,"A","")),1,0),0)))</f>
        <v>2</v>
      </c>
      <c r="AA195" t="str">
        <f>CONCATENATE($Y195*2-1,"A")</f>
        <v>9A</v>
      </c>
      <c r="AB195" t="str">
        <f>CONCATENATE($Y195*2-1,"B")</f>
        <v>9B</v>
      </c>
      <c r="AL195" t="s">
        <v>137</v>
      </c>
      <c r="AN195" t="s">
        <v>1210</v>
      </c>
      <c r="AO195" t="s">
        <v>396</v>
      </c>
      <c r="OA195" s="27" t="str">
        <f>CONCATENATE("XT",$U195)</f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>CONCATENATE(REPLACE($AA195,LEN($AA195),1,"")+1,RIGHT($AA195))</f>
        <v>10A</v>
      </c>
      <c r="OG195" t="str">
        <f>CONCATENATE(REPLACE($AB195,LEN($AB195),1,"")+1,RIGHT($AB195))</f>
        <v>10B</v>
      </c>
      <c r="OH195" t="str">
        <f>CONCATENATE(REPLACE(OF195,LEN(OF195),1,"")+1,RIGHT(OF195))</f>
        <v>11A</v>
      </c>
      <c r="OI195" t="str">
        <f t="shared" si="156"/>
        <v>11B</v>
      </c>
      <c r="OJ195" t="str">
        <f t="shared" si="156"/>
        <v>12A</v>
      </c>
      <c r="OK195" t="str">
        <f t="shared" si="156"/>
        <v>12B</v>
      </c>
      <c r="OL195" t="str">
        <f t="shared" si="156"/>
        <v>13A</v>
      </c>
      <c r="OM195" t="str">
        <f t="shared" si="156"/>
        <v>13B</v>
      </c>
      <c r="ON195" t="str">
        <f t="shared" si="156"/>
        <v>14A</v>
      </c>
      <c r="OO195" t="str">
        <f t="shared" si="156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157"/>
        <v>F0-AI33-10A</v>
      </c>
      <c r="OS195" t="str">
        <f t="shared" si="157"/>
        <v>F0-AI33-10B</v>
      </c>
      <c r="OT195" t="str">
        <f t="shared" si="157"/>
        <v>F0-AI33-11A</v>
      </c>
      <c r="OU195" t="str">
        <f t="shared" si="157"/>
        <v>F0-AI33-11B</v>
      </c>
      <c r="OV195" t="str">
        <f t="shared" si="157"/>
        <v>F0-AI33-12A</v>
      </c>
      <c r="OW195" t="str">
        <f t="shared" si="157"/>
        <v>F0-AI33-12B</v>
      </c>
      <c r="OX195" t="str">
        <f t="shared" si="157"/>
        <v>F0-AI33-13A</v>
      </c>
      <c r="OY195" t="str">
        <f t="shared" si="157"/>
        <v>F0-AI33-13B</v>
      </c>
      <c r="OZ195" t="str">
        <f t="shared" si="157"/>
        <v>F0-AI33-14A</v>
      </c>
      <c r="PA195" t="str">
        <f t="shared" si="157"/>
        <v>F0-AI33-14B</v>
      </c>
      <c r="PB195">
        <f t="array" ref="PB195">IF(COUNTIFS($U$2:$U195,$U195)=1,1,INDEX(PB:PB,_xlfn.XMATCH($U195,$U$1:$U194,0,-1))+COUNT(PB194:PG194))</f>
        <v>13</v>
      </c>
      <c r="PC195">
        <f t="shared" si="158"/>
        <v>14</v>
      </c>
      <c r="PD195">
        <f t="shared" si="158"/>
        <v>15</v>
      </c>
      <c r="PE195">
        <f t="shared" si="158"/>
        <v>16</v>
      </c>
      <c r="PF195">
        <f t="shared" si="159"/>
        <v>17</v>
      </c>
      <c r="PG195">
        <f t="shared" si="159"/>
        <v>18</v>
      </c>
      <c r="PH195">
        <f t="shared" si="159"/>
        <v>19</v>
      </c>
      <c r="PI195">
        <f t="shared" si="159"/>
        <v>20</v>
      </c>
      <c r="PJ195">
        <f t="shared" si="159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SUM(IF(ISNUMBER(FIND("TmAi",$BA$1:$ZZ$1)),IF(IFERROR(ISODD(SUBSTITUTE($BA196:$ZZ196,"A","")),FALSE),IF(ISODD(SUBSTITUTE($BA196:$ZZ196,"A","")),1,0),0)))</f>
        <v>0</v>
      </c>
      <c r="AA196" t="str">
        <f>CONCATENATE($Y196*2-1,"B")</f>
        <v>1B</v>
      </c>
      <c r="AB196" t="str">
        <f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>KE196+1</f>
        <v>23</v>
      </c>
      <c r="KG196">
        <f>KF196+1</f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SUM(IF(ISNUMBER(FIND("TmAi",$BA$1:$ZZ$1)),IF(IFERROR(ISODD(SUBSTITUTE($BA197:$ZZ197,"A","")),FALSE),IF(ISODD(SUBSTITUTE($BA197:$ZZ197,"A","")),1,0),0)))</f>
        <v>11</v>
      </c>
      <c r="AA197" t="str">
        <f>CONCATENATE($Y197*2-1,"A")</f>
        <v>3A</v>
      </c>
      <c r="AB197" t="str">
        <f>CONCATENATE($Y197*2-1,"B")</f>
        <v>3B</v>
      </c>
      <c r="AN197" t="s">
        <v>1213</v>
      </c>
      <c r="AO197" t="s">
        <v>396</v>
      </c>
      <c r="JV197" s="27"/>
      <c r="KE197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>CONCATENATE(VALUE(SUBSTITUTE(PW197,"B",""))+2,"B")</f>
        <v>9B</v>
      </c>
      <c r="PZ197" s="12" t="str">
        <f>CONCATENATE(VALUE(SUBSTITUTE(PX197,"A",""))+2,"A")</f>
        <v>9A</v>
      </c>
      <c r="QA197" s="12" t="str">
        <f>CONCATENATE(VALUE(SUBSTITUTE(PY197,"B",""))+2,"B")</f>
        <v>11B</v>
      </c>
      <c r="QB197" s="12" t="str">
        <f>CONCATENATE(VALUE(SUBSTITUTE(PZ197,"A",""))+2,"A")</f>
        <v>11A</v>
      </c>
      <c r="QC197" s="12" t="str">
        <f>CONCATENATE(VALUE(SUBSTITUTE(QA197,"B",""))+2,"B")</f>
        <v>13B</v>
      </c>
      <c r="QD197" s="12" t="str">
        <f>CONCATENATE(VALUE(SUBSTITUTE(QB197,"A",""))+2,"A")</f>
        <v>13A</v>
      </c>
      <c r="QE197" s="12" t="s">
        <v>135</v>
      </c>
      <c r="QF197" s="12" t="s">
        <v>136</v>
      </c>
      <c r="QG197" s="12" t="str">
        <f>CONCATENATE(VALUE(SUBSTITUTE(QE197,"B",""))+2,"B")</f>
        <v>3B</v>
      </c>
      <c r="QH197" s="12" t="str">
        <f>CONCATENATE(VALUE(SUBSTITUTE(QF197,"A",""))+2,"A")</f>
        <v>3A</v>
      </c>
      <c r="QI197" s="12" t="str">
        <f>CONCATENATE(VALUE(SUBSTITUTE(QG197,"B",""))+2,"B")</f>
        <v>5B</v>
      </c>
      <c r="QJ197" s="12" t="str">
        <f>CONCATENATE(VALUE(SUBSTITUTE(QH197,"A",""))+2,"A")</f>
        <v>5A</v>
      </c>
      <c r="QK197" s="12" t="str">
        <f>CONCATENATE(VALUE(SUBSTITUTE(QI197,"B",""))+2,"B")</f>
        <v>7B</v>
      </c>
      <c r="QL197" s="12" t="str">
        <f>CONCATENATE(VALUE(SUBSTITUTE(QJ197,"A",""))+2,"A")</f>
        <v>7A</v>
      </c>
      <c r="QM197" s="12" t="str">
        <f>CONCATENATE(VALUE(SUBSTITUTE(QK197,"B",""))+2,"B")</f>
        <v>9B</v>
      </c>
      <c r="QN197" s="12" t="str">
        <f>CONCATENATE(VALUE(SUBSTITUTE(QL197,"A",""))+2,"A")</f>
        <v>9A</v>
      </c>
      <c r="QO197" s="12" t="str">
        <f>CONCATENATE(VALUE(SUBSTITUTE(QM197,"B",""))+2,"B")</f>
        <v>11B</v>
      </c>
      <c r="QP197" s="12" t="str">
        <f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160">CONCATENATE($T197,"-AI",REPLACE($X197,1,3,""),"-",PW197)</f>
        <v>F0-AI22-7B</v>
      </c>
      <c r="QV197" s="12" t="str">
        <f t="shared" si="160"/>
        <v>F0-AI22-7A</v>
      </c>
      <c r="QW197" s="12" t="str">
        <f t="shared" si="160"/>
        <v>F0-AI22-9B</v>
      </c>
      <c r="QX197" s="12" t="str">
        <f t="shared" si="160"/>
        <v>F0-AI22-9A</v>
      </c>
      <c r="QY197" s="12" t="str">
        <f t="shared" si="160"/>
        <v>F0-AI22-11B</v>
      </c>
      <c r="QZ197" s="12" t="str">
        <f t="shared" si="160"/>
        <v>F0-AI22-11A</v>
      </c>
      <c r="RA197" s="12" t="str">
        <f t="shared" si="160"/>
        <v>F0-AI22-13B</v>
      </c>
      <c r="RB197" s="12" t="str">
        <f t="shared" si="160"/>
        <v>F0-AI22-13A</v>
      </c>
      <c r="RC197" s="12" t="str">
        <f t="shared" ref="RC197:RN197" si="161">CONCATENATE($T197,"-AI",REPLACE($PT197,1,3,""),"-",QE197)</f>
        <v>F0-AI23-1B</v>
      </c>
      <c r="RD197" s="12" t="str">
        <f t="shared" si="161"/>
        <v>F0-AI23-1A</v>
      </c>
      <c r="RE197" s="12" t="str">
        <f t="shared" si="161"/>
        <v>F0-AI23-3B</v>
      </c>
      <c r="RF197" s="12" t="str">
        <f t="shared" si="161"/>
        <v>F0-AI23-3A</v>
      </c>
      <c r="RG197" s="12" t="str">
        <f t="shared" si="161"/>
        <v>F0-AI23-5B</v>
      </c>
      <c r="RH197" s="12" t="str">
        <f t="shared" si="161"/>
        <v>F0-AI23-5A</v>
      </c>
      <c r="RI197" s="12" t="str">
        <f t="shared" si="161"/>
        <v>F0-AI23-7B</v>
      </c>
      <c r="RJ197" s="12" t="str">
        <f t="shared" si="161"/>
        <v>F0-AI23-7A</v>
      </c>
      <c r="RK197" s="12" t="str">
        <f t="shared" si="161"/>
        <v>F0-AI23-9B</v>
      </c>
      <c r="RL197" s="12" t="str">
        <f t="shared" si="161"/>
        <v>F0-AI23-9A</v>
      </c>
      <c r="RM197" s="12" t="str">
        <f t="shared" si="161"/>
        <v>F0-AI23-11B</v>
      </c>
      <c r="RN197" s="12" t="str">
        <f t="shared" si="161"/>
        <v>F0-AI23-11A</v>
      </c>
      <c r="RO197" s="12" t="str">
        <f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SUM(IF(ISNUMBER(FIND("TmAi",$BA$1:$ZZ$1)),IF(IFERROR(ISODD(SUBSTITUTE($BA198:$ZZ198,"A","")),FALSE),IF(ISODD(SUBSTITUTE($BA198:$ZZ198,"A","")),1,0),0)))</f>
        <v>1</v>
      </c>
      <c r="AA198" t="str">
        <f>CONCATENATE($Y198*2-1,"A")</f>
        <v>1A</v>
      </c>
      <c r="AB198" t="str">
        <f>CONCATENATE($Y198*2-1,"B")</f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162">CONCATENATE(REPLACE(OG198,LEN(OG198),1,"")+1,RIGHT(OG198))</f>
        <v>3B</v>
      </c>
      <c r="OJ198" s="12" t="str">
        <f t="shared" si="162"/>
        <v>4A</v>
      </c>
      <c r="OK198" s="12" t="str">
        <f t="shared" si="162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163">CONCATENATE($T198,"-AI",REPLACE($X198,1,3,""),"-",OF198)</f>
        <v>F0-AI34-2A</v>
      </c>
      <c r="OS198" s="12" t="str">
        <f t="shared" si="163"/>
        <v>F0-AI34-2B</v>
      </c>
      <c r="OT198" s="12" t="str">
        <f t="shared" si="163"/>
        <v>F0-AI34-3A</v>
      </c>
      <c r="OU198" s="12" t="str">
        <f t="shared" si="163"/>
        <v>F0-AI34-3B</v>
      </c>
      <c r="OV198" s="12" t="str">
        <f t="shared" si="163"/>
        <v>F0-AI34-4A</v>
      </c>
      <c r="OW198" s="12" t="str">
        <f t="shared" si="163"/>
        <v>F0-AI34-4B</v>
      </c>
      <c r="OX198" s="12"/>
      <c r="OY198" s="12"/>
      <c r="OZ198" s="12"/>
      <c r="PA198" s="12"/>
      <c r="PB198" s="12">
        <f t="array" ref="PB198">IF(COUNTIFS($U$2:$U198,$U198)=1,1,INDEX(PB:PB,_xlfn.XMATCH($U198,$U$1:EB197,0,-1))+COUNT(PB197:PG197))</f>
        <v>1</v>
      </c>
      <c r="PC198" s="12">
        <f t="shared" ref="PC198:PE200" si="164">PB198+1</f>
        <v>2</v>
      </c>
      <c r="PD198" s="12">
        <f t="shared" si="164"/>
        <v>3</v>
      </c>
      <c r="PE198" s="12">
        <f>PD198+1</f>
        <v>4</v>
      </c>
      <c r="PF198" s="12">
        <f t="shared" ref="PF198:PJ200" si="165">PE198+1</f>
        <v>5</v>
      </c>
      <c r="PG198" s="12">
        <f t="shared" si="165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SUM(IF(ISNUMBER(FIND("TmAi",$BA$1:$ZZ$1)),IF(IFERROR(ISODD(SUBSTITUTE($BA199:$ZZ199,"A","")),FALSE),IF(ISODD(SUBSTITUTE($BA199:$ZZ199,"A","")),1,0),0)))</f>
        <v>1</v>
      </c>
      <c r="AA199" t="str">
        <f>CONCATENATE($Y199*2-1,"A")</f>
        <v>5A</v>
      </c>
      <c r="AB199" t="str">
        <f>CONCATENATE($Y199*2-1,"B")</f>
        <v>5B</v>
      </c>
      <c r="AL199" t="s">
        <v>137</v>
      </c>
      <c r="AN199" t="s">
        <v>1216</v>
      </c>
      <c r="AO199" t="s">
        <v>396</v>
      </c>
      <c r="OA199" s="27" t="str">
        <f>CONCATENATE("XT",$U199)</f>
        <v>XT62</v>
      </c>
      <c r="OB199" t="s">
        <v>1226</v>
      </c>
      <c r="OC199" t="s">
        <v>1328</v>
      </c>
      <c r="OF199" t="str">
        <f>CONCATENATE(REPLACE($AA199,LEN($AA199),1,"")+1,RIGHT($AA199))</f>
        <v>6A</v>
      </c>
      <c r="OG199" t="str">
        <f>CONCATENATE(REPLACE($AB199,LEN($AB199),1,"")+1,RIGHT($AB199))</f>
        <v>6B</v>
      </c>
      <c r="OH199" t="str">
        <f>CONCATENATE(REPLACE(OF199,LEN(OF199),1,"")+1,RIGHT(OF199))</f>
        <v>7A</v>
      </c>
      <c r="OI199" t="str">
        <f t="shared" si="162"/>
        <v>7B</v>
      </c>
      <c r="OJ199" t="str">
        <f t="shared" si="162"/>
        <v>8A</v>
      </c>
      <c r="OK199" t="str">
        <f t="shared" si="162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163"/>
        <v>F0-AI34-6A</v>
      </c>
      <c r="OS199" t="str">
        <f t="shared" si="163"/>
        <v>F0-AI34-6B</v>
      </c>
      <c r="OT199" t="str">
        <f t="shared" si="163"/>
        <v>F0-AI34-7A</v>
      </c>
      <c r="OU199" t="str">
        <f t="shared" si="163"/>
        <v>F0-AI34-7B</v>
      </c>
      <c r="OV199" t="str">
        <f t="shared" si="163"/>
        <v>F0-AI34-8A</v>
      </c>
      <c r="OW199" t="str">
        <f t="shared" si="163"/>
        <v>F0-AI34-8B</v>
      </c>
      <c r="PB199">
        <f t="array" ref="PB199">IF(COUNTIFS($U$2:$U199,$U199)=1,1,INDEX(PB:PB,_xlfn.XMATCH($U199,$U$1:$U198,0,-1))+COUNT(PB198:PG198))</f>
        <v>7</v>
      </c>
      <c r="PC199">
        <f t="shared" si="164"/>
        <v>8</v>
      </c>
      <c r="PD199">
        <f t="shared" si="164"/>
        <v>9</v>
      </c>
      <c r="PE199">
        <f t="shared" si="164"/>
        <v>10</v>
      </c>
      <c r="PF199">
        <f t="shared" si="165"/>
        <v>11</v>
      </c>
      <c r="PG199">
        <f t="shared" si="165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SUM(IF(ISNUMBER(FIND("TmAi",$BA$1:$ZZ$1)),IF(IFERROR(ISODD(SUBSTITUTE($BA200:$ZZ200,"A","")),FALSE),IF(ISODD(SUBSTITUTE($BA200:$ZZ200,"A","")),1,0),0)))</f>
        <v>2</v>
      </c>
      <c r="AA200" t="str">
        <f>CONCATENATE($Y200*2-1,"A")</f>
        <v>9A</v>
      </c>
      <c r="AB200" t="str">
        <f>CONCATENATE($Y200*2-1,"B")</f>
        <v>9B</v>
      </c>
      <c r="AL200" t="s">
        <v>137</v>
      </c>
      <c r="AN200" t="s">
        <v>1219</v>
      </c>
      <c r="AO200" t="s">
        <v>396</v>
      </c>
      <c r="OA200" s="27" t="str">
        <f>CONCATENATE("XT",$U200)</f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>CONCATENATE(REPLACE($AA200,LEN($AA200),1,"")+1,RIGHT($AA200))</f>
        <v>10A</v>
      </c>
      <c r="OG200" t="str">
        <f>CONCATENATE(REPLACE($AB200,LEN($AB200),1,"")+1,RIGHT($AB200))</f>
        <v>10B</v>
      </c>
      <c r="OH200" t="str">
        <f>CONCATENATE(REPLACE(OF200,LEN(OF200),1,"")+1,RIGHT(OF200))</f>
        <v>11A</v>
      </c>
      <c r="OI200" t="str">
        <f t="shared" si="162"/>
        <v>11B</v>
      </c>
      <c r="OJ200" t="str">
        <f t="shared" si="162"/>
        <v>12A</v>
      </c>
      <c r="OK200" t="str">
        <f t="shared" si="162"/>
        <v>12B</v>
      </c>
      <c r="OL200" t="str">
        <f t="shared" si="162"/>
        <v>13A</v>
      </c>
      <c r="OM200" t="str">
        <f t="shared" si="162"/>
        <v>13B</v>
      </c>
      <c r="ON200" t="str">
        <f t="shared" si="162"/>
        <v>14A</v>
      </c>
      <c r="OO200" t="str">
        <f t="shared" si="162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163"/>
        <v>F0-AI34-10A</v>
      </c>
      <c r="OS200" t="str">
        <f t="shared" si="163"/>
        <v>F0-AI34-10B</v>
      </c>
      <c r="OT200" t="str">
        <f t="shared" si="163"/>
        <v>F0-AI34-11A</v>
      </c>
      <c r="OU200" t="str">
        <f t="shared" si="163"/>
        <v>F0-AI34-11B</v>
      </c>
      <c r="OV200" t="str">
        <f t="shared" si="163"/>
        <v>F0-AI34-12A</v>
      </c>
      <c r="OW200" t="str">
        <f t="shared" si="163"/>
        <v>F0-AI34-12B</v>
      </c>
      <c r="OX200" t="str">
        <f t="shared" si="163"/>
        <v>F0-AI34-13A</v>
      </c>
      <c r="OY200" t="str">
        <f t="shared" si="163"/>
        <v>F0-AI34-13B</v>
      </c>
      <c r="OZ200" t="str">
        <f t="shared" si="163"/>
        <v>F0-AI34-14A</v>
      </c>
      <c r="PA200" t="str">
        <f t="shared" si="163"/>
        <v>F0-AI34-14B</v>
      </c>
      <c r="PB200">
        <f t="array" ref="PB200">IF(COUNTIFS($U$2:$U200,$U200)=1,1,INDEX(PB:PB,_xlfn.XMATCH($U200,$U$1:$U199,0,-1))+COUNT(PB199:PG199))</f>
        <v>13</v>
      </c>
      <c r="PC200">
        <f t="shared" si="164"/>
        <v>14</v>
      </c>
      <c r="PD200">
        <f t="shared" si="164"/>
        <v>15</v>
      </c>
      <c r="PE200">
        <f t="shared" si="164"/>
        <v>16</v>
      </c>
      <c r="PF200">
        <f t="shared" si="165"/>
        <v>17</v>
      </c>
      <c r="PG200">
        <f t="shared" si="165"/>
        <v>18</v>
      </c>
      <c r="PH200">
        <f t="shared" si="165"/>
        <v>19</v>
      </c>
      <c r="PI200">
        <f t="shared" si="165"/>
        <v>20</v>
      </c>
      <c r="PJ200">
        <f t="shared" si="165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SUM(IF(ISNUMBER(FIND("TmAi",$BA$1:$ZZ$1)),IF(IFERROR(ISODD(SUBSTITUTE($BA201:$ZZ201,"A","")),FALSE),IF(ISODD(SUBSTITUTE($BA201:$ZZ201,"A","")),1,0),0)))</f>
        <v>0</v>
      </c>
      <c r="AA201" t="str">
        <f>CONCATENATE($Y201*2-1,"B")</f>
        <v>1B</v>
      </c>
      <c r="AB201" t="str">
        <f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>KE201+1</f>
        <v>23</v>
      </c>
      <c r="KG201">
        <f>KF201+1</f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SUM(IF(ISNUMBER(FIND("TmAi",$BA$1:$ZZ$1)),IF(IFERROR(ISODD(SUBSTITUTE($BA202:$ZZ202,"A","")),FALSE),IF(ISODD(SUBSTITUTE($BA202:$ZZ202,"A","")),1,0),0)))</f>
        <v>11</v>
      </c>
      <c r="AA202" t="str">
        <f>CONCATENATE($Y202*2-1,"A")</f>
        <v>3A</v>
      </c>
      <c r="AB202" t="str">
        <f>CONCATENATE($Y202*2-1,"B")</f>
        <v>3B</v>
      </c>
      <c r="AN202" t="s">
        <v>1222</v>
      </c>
      <c r="AO202" t="s">
        <v>396</v>
      </c>
      <c r="JV202" s="27"/>
      <c r="KE202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>CONCATENATE(VALUE(SUBSTITUTE(PW202,"B",""))+2,"B")</f>
        <v>9B</v>
      </c>
      <c r="PZ202" s="12" t="str">
        <f>CONCATENATE(VALUE(SUBSTITUTE(PX202,"A",""))+2,"A")</f>
        <v>9A</v>
      </c>
      <c r="QA202" s="12" t="str">
        <f>CONCATENATE(VALUE(SUBSTITUTE(PY202,"B",""))+2,"B")</f>
        <v>11B</v>
      </c>
      <c r="QB202" s="12" t="str">
        <f>CONCATENATE(VALUE(SUBSTITUTE(PZ202,"A",""))+2,"A")</f>
        <v>11A</v>
      </c>
      <c r="QC202" s="12" t="str">
        <f>CONCATENATE(VALUE(SUBSTITUTE(QA202,"B",""))+2,"B")</f>
        <v>13B</v>
      </c>
      <c r="QD202" s="12" t="str">
        <f>CONCATENATE(VALUE(SUBSTITUTE(QB202,"A",""))+2,"A")</f>
        <v>13A</v>
      </c>
      <c r="QE202" s="12" t="s">
        <v>135</v>
      </c>
      <c r="QF202" s="12" t="s">
        <v>136</v>
      </c>
      <c r="QG202" s="12" t="str">
        <f>CONCATENATE(VALUE(SUBSTITUTE(QE202,"B",""))+2,"B")</f>
        <v>3B</v>
      </c>
      <c r="QH202" s="12" t="str">
        <f>CONCATENATE(VALUE(SUBSTITUTE(QF202,"A",""))+2,"A")</f>
        <v>3A</v>
      </c>
      <c r="QI202" s="12" t="str">
        <f>CONCATENATE(VALUE(SUBSTITUTE(QG202,"B",""))+2,"B")</f>
        <v>5B</v>
      </c>
      <c r="QJ202" s="12" t="str">
        <f>CONCATENATE(VALUE(SUBSTITUTE(QH202,"A",""))+2,"A")</f>
        <v>5A</v>
      </c>
      <c r="QK202" s="12" t="str">
        <f>CONCATENATE(VALUE(SUBSTITUTE(QI202,"B",""))+2,"B")</f>
        <v>7B</v>
      </c>
      <c r="QL202" s="12" t="str">
        <f>CONCATENATE(VALUE(SUBSTITUTE(QJ202,"A",""))+2,"A")</f>
        <v>7A</v>
      </c>
      <c r="QM202" s="12" t="str">
        <f>CONCATENATE(VALUE(SUBSTITUTE(QK202,"B",""))+2,"B")</f>
        <v>9B</v>
      </c>
      <c r="QN202" s="12" t="str">
        <f>CONCATENATE(VALUE(SUBSTITUTE(QL202,"A",""))+2,"A")</f>
        <v>9A</v>
      </c>
      <c r="QO202" s="12" t="str">
        <f>CONCATENATE(VALUE(SUBSTITUTE(QM202,"B",""))+2,"B")</f>
        <v>11B</v>
      </c>
      <c r="QP202" s="12" t="str">
        <f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166">CONCATENATE($T202,"-AI",REPLACE($X202,1,3,""),"-",PW202)</f>
        <v>F0-AI24-7B</v>
      </c>
      <c r="QV202" s="12" t="str">
        <f t="shared" si="166"/>
        <v>F0-AI24-7A</v>
      </c>
      <c r="QW202" s="12" t="str">
        <f t="shared" si="166"/>
        <v>F0-AI24-9B</v>
      </c>
      <c r="QX202" s="12" t="str">
        <f t="shared" si="166"/>
        <v>F0-AI24-9A</v>
      </c>
      <c r="QY202" s="12" t="str">
        <f t="shared" si="166"/>
        <v>F0-AI24-11B</v>
      </c>
      <c r="QZ202" s="12" t="str">
        <f t="shared" si="166"/>
        <v>F0-AI24-11A</v>
      </c>
      <c r="RA202" s="12" t="str">
        <f t="shared" si="166"/>
        <v>F0-AI24-13B</v>
      </c>
      <c r="RB202" s="12" t="str">
        <f t="shared" si="166"/>
        <v>F0-AI24-13A</v>
      </c>
      <c r="RC202" s="12" t="str">
        <f t="shared" ref="RC202:RN202" si="167">CONCATENATE($T202,"-AI",REPLACE($PT202,1,3,""),"-",QE202)</f>
        <v>F0-AI25-1B</v>
      </c>
      <c r="RD202" s="12" t="str">
        <f t="shared" si="167"/>
        <v>F0-AI25-1A</v>
      </c>
      <c r="RE202" s="12" t="str">
        <f t="shared" si="167"/>
        <v>F0-AI25-3B</v>
      </c>
      <c r="RF202" s="12" t="str">
        <f t="shared" si="167"/>
        <v>F0-AI25-3A</v>
      </c>
      <c r="RG202" s="12" t="str">
        <f t="shared" si="167"/>
        <v>F0-AI25-5B</v>
      </c>
      <c r="RH202" s="12" t="str">
        <f t="shared" si="167"/>
        <v>F0-AI25-5A</v>
      </c>
      <c r="RI202" s="12" t="str">
        <f t="shared" si="167"/>
        <v>F0-AI25-7B</v>
      </c>
      <c r="RJ202" s="12" t="str">
        <f t="shared" si="167"/>
        <v>F0-AI25-7A</v>
      </c>
      <c r="RK202" s="12" t="str">
        <f t="shared" si="167"/>
        <v>F0-AI25-9B</v>
      </c>
      <c r="RL202" s="12" t="str">
        <f t="shared" si="167"/>
        <v>F0-AI25-9A</v>
      </c>
      <c r="RM202" s="12" t="str">
        <f t="shared" si="167"/>
        <v>F0-AI25-11B</v>
      </c>
      <c r="RN202" s="12" t="str">
        <f t="shared" si="167"/>
        <v>F0-AI25-11A</v>
      </c>
      <c r="RO202" s="12" t="str">
        <f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SUM(IF(ISNUMBER(FIND("TmAi",$BA$1:$ZZ$1)),IF(IFERROR(ISODD(SUBSTITUTE($BA203:$ZZ203,"A","")),FALSE),IF(ISODD(SUBSTITUTE($BA203:$ZZ203,"A","")),1,0),0)))</f>
        <v>1</v>
      </c>
      <c r="AA203" t="str">
        <f>CONCATENATE($Y203*2-1,"A")</f>
        <v>1A</v>
      </c>
      <c r="AB203" t="str">
        <f>CONCATENATE($Y203*2-1,"B")</f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>CONCATENATE(REPLACE(OG203,LEN(OG203),1,"")+1,RIGHT(OG203))</f>
        <v>3B</v>
      </c>
      <c r="OJ203" s="12" t="str">
        <f>CONCATENATE(REPLACE(OH203,LEN(OH203),1,"")+1,RIGHT(OH203))</f>
        <v>4A</v>
      </c>
      <c r="OK203" s="12" t="str">
        <f>CONCATENATE(REPLACE(OI203,LEN(OI203),1,"")+1,RIGHT(OI203))</f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168">CONCATENATE($T203,"-AI",REPLACE($X203,1,3,""),"-",OF203)</f>
        <v>F0-AI35-2A</v>
      </c>
      <c r="OS203" s="12" t="str">
        <f t="shared" si="168"/>
        <v>F0-AI35-2B</v>
      </c>
      <c r="OT203" s="12" t="str">
        <f t="shared" si="168"/>
        <v>F0-AI35-3A</v>
      </c>
      <c r="OU203" s="12" t="str">
        <f t="shared" si="168"/>
        <v>F0-AI35-3B</v>
      </c>
      <c r="OV203" s="12" t="str">
        <f t="shared" si="168"/>
        <v>F0-AI35-4A</v>
      </c>
      <c r="OW203" s="12" t="str">
        <f t="shared" si="168"/>
        <v>F0-AI35-4B</v>
      </c>
      <c r="OX203" s="12"/>
      <c r="OY203" s="12"/>
      <c r="OZ203" s="12"/>
      <c r="PA203" s="12"/>
      <c r="PB203" s="12">
        <f t="array" ref="PB203">IF(COUNTIFS($U$2:$U203,$U203)=1,1,INDEX(PB:PB,_xlfn.XMATCH($U203,$U$1:EB202,0,-1))+COUNT(PB202:PG202))</f>
        <v>1</v>
      </c>
      <c r="PC203" s="12">
        <f>PB203+1</f>
        <v>2</v>
      </c>
      <c r="PD203" s="12">
        <f>PC203+1</f>
        <v>3</v>
      </c>
      <c r="PE203" s="12">
        <f>PD203+1</f>
        <v>4</v>
      </c>
      <c r="PF203" s="12">
        <f>PE203+1</f>
        <v>5</v>
      </c>
      <c r="PG203" s="12">
        <f>PF203+1</f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SUM(IF(ISNUMBER(FIND("TmAi",$BA$1:$ZZ$1)),IF(IFERROR(ISODD(SUBSTITUTE($BA204:$ZZ204,"A","")),FALSE),IF(ISODD(SUBSTITUTE($BA204:$ZZ204,"A","")),1,0),0)))</f>
        <v>0</v>
      </c>
      <c r="AA204" t="str">
        <f>CONCATENATE($Y204*2-1,"B")</f>
        <v>1B</v>
      </c>
      <c r="AB204" t="str">
        <f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>KE204+1</f>
        <v>8</v>
      </c>
      <c r="KG204">
        <f>KF204+1</f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SUM(IF(ISNUMBER(FIND("TmAi",$BA$1:$ZZ$1)),IF(IFERROR(ISODD(SUBSTITUTE($BA205:$ZZ205,"A","")),FALSE),IF(ISODD(SUBSTITUTE($BA205:$ZZ205,"A","")),1,0),0)))</f>
        <v>1</v>
      </c>
      <c r="AA205" t="str">
        <f>CONCATENATE($Y205*2-1,"A")</f>
        <v>5A</v>
      </c>
      <c r="AB205" t="str">
        <f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>CONCATENATE(REPLACE(OG205,LEN(OG205),1,"")+1,RIGHT(OG205))</f>
        <v>7B</v>
      </c>
      <c r="OJ205" s="12" t="str">
        <f>CONCATENATE(REPLACE(OH205,LEN(OH205),1,"")+1,RIGHT(OH205))</f>
        <v>8A</v>
      </c>
      <c r="OK205" s="12" t="str">
        <f>CONCATENATE(REPLACE(OI205,LEN(OI205),1,"")+1,RIGHT(OI205))</f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169">CONCATENATE($T205,"-AI",REPLACE($X205,1,3,""),"-",OF205)</f>
        <v>F0-AI35-6A</v>
      </c>
      <c r="OS205" s="12" t="str">
        <f t="shared" si="169"/>
        <v>F0-AI35-6B</v>
      </c>
      <c r="OT205" s="12" t="str">
        <f t="shared" si="169"/>
        <v>F0-AI35-7A</v>
      </c>
      <c r="OU205" s="12" t="str">
        <f t="shared" si="169"/>
        <v>F0-AI35-7B</v>
      </c>
      <c r="OV205" s="12" t="str">
        <f t="shared" si="169"/>
        <v>F0-AI35-8A</v>
      </c>
      <c r="OW205" s="12" t="str">
        <f t="shared" si="169"/>
        <v>F0-AI35-8B</v>
      </c>
      <c r="OX205" s="12"/>
      <c r="OY205" s="12"/>
      <c r="OZ205" s="12"/>
      <c r="PA205" s="12"/>
      <c r="PB205" s="12">
        <f t="array" ref="PB205">IF(COUNTIFS($U$2:$U205,$U205)=1,1,INDEX(PB:PB,_xlfn.XMATCH($U205,$U$1:EB204,0,-1))+COUNT(PB204:PG204))</f>
        <v>1</v>
      </c>
      <c r="PC205" s="12">
        <f>PB205+1</f>
        <v>2</v>
      </c>
      <c r="PD205" s="12">
        <f>PC205+1</f>
        <v>3</v>
      </c>
      <c r="PE205" s="12">
        <f>PD205+1</f>
        <v>4</v>
      </c>
      <c r="PF205" s="12">
        <f>PE205+1</f>
        <v>5</v>
      </c>
      <c r="PG205" s="12">
        <f>PF205+1</f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SUM(IF(ISNUMBER(FIND("TmAi",$BA$1:$ZZ$1)),IF(IFERROR(ISODD(SUBSTITUTE($BA206:$ZZ206,"A","")),FALSE),IF(ISODD(SUBSTITUTE($BA206:$ZZ206,"A","")),1,0),0)))</f>
        <v>0</v>
      </c>
      <c r="AA206" t="str">
        <f>CONCATENATE($Y206*2-1,"B")</f>
        <v>3B</v>
      </c>
      <c r="AB206" t="str">
        <f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>KE206+1</f>
        <v>8</v>
      </c>
      <c r="KG206">
        <f>KF206+1</f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SUM(IF(ISNUMBER(FIND("TmAi",$BA$1:$ZZ$1)),IF(IFERROR(ISODD(SUBSTITUTE($BA207:$ZZ207,"A","")),FALSE),IF(ISODD(SUBSTITUTE($BA207:$ZZ207,"A","")),1,0),0)))</f>
        <v>1</v>
      </c>
      <c r="AA207" t="str">
        <f>CONCATENATE($Y207*2-1,"A")</f>
        <v>1A</v>
      </c>
      <c r="AB207" t="str">
        <f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>CONCATENATE(REPLACE(OG207,LEN(OG207),1,"")+1,RIGHT(OG207))</f>
        <v>3B</v>
      </c>
      <c r="OJ207" s="12" t="str">
        <f>CONCATENATE(REPLACE(OH207,LEN(OH207),1,"")+1,RIGHT(OH207))</f>
        <v>4A</v>
      </c>
      <c r="OK207" s="12" t="str">
        <f>CONCATENATE(REPLACE(OI207,LEN(OI207),1,"")+1,RIGHT(OI207))</f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170">CONCATENATE($T207,"-AI",REPLACE($X207,1,3,""),"-",OF207)</f>
        <v>F0-AI36-2A</v>
      </c>
      <c r="OS207" s="12" t="str">
        <f t="shared" si="170"/>
        <v>F0-AI36-2B</v>
      </c>
      <c r="OT207" s="12" t="str">
        <f t="shared" si="170"/>
        <v>F0-AI36-3A</v>
      </c>
      <c r="OU207" s="12" t="str">
        <f t="shared" si="170"/>
        <v>F0-AI36-3B</v>
      </c>
      <c r="OV207" s="12" t="str">
        <f t="shared" si="170"/>
        <v>F0-AI36-4A</v>
      </c>
      <c r="OW207" s="12" t="str">
        <f t="shared" si="170"/>
        <v>F0-AI36-4B</v>
      </c>
      <c r="OX207" s="12"/>
      <c r="OY207" s="12"/>
      <c r="OZ207" s="12"/>
      <c r="PA207" s="12"/>
      <c r="PB207" s="12">
        <f t="array" ref="PB207">IF(COUNTIFS($U$2:$U207,$U207)=1,1,INDEX(PB:PB,_xlfn.XMATCH($U207,$U$1:EB206,0,-1))+COUNT(PB206:PG206))</f>
        <v>1</v>
      </c>
      <c r="PC207" s="12">
        <f>PB207+1</f>
        <v>2</v>
      </c>
      <c r="PD207" s="12">
        <f>PC207+1</f>
        <v>3</v>
      </c>
      <c r="PE207" s="12">
        <f>PD207+1</f>
        <v>4</v>
      </c>
      <c r="PF207" s="12">
        <f>PE207+1</f>
        <v>5</v>
      </c>
      <c r="PG207" s="12">
        <f>PF207+1</f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SUM(IF(ISNUMBER(FIND("TmAi",$BA$1:$ZZ$1)),IF(IFERROR(ISODD(SUBSTITUTE($BA208:$ZZ208,"A","")),FALSE),IF(ISODD(SUBSTITUTE($BA208:$ZZ208,"A","")),1,0),0)))</f>
        <v>0</v>
      </c>
      <c r="AA208" t="str">
        <f>CONCATENATE($Y208*2-1,"B")</f>
        <v>5B</v>
      </c>
      <c r="AB208" t="str">
        <f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>KE208+1</f>
        <v>8</v>
      </c>
      <c r="KG208">
        <f>KF208+1</f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SUM(IF(ISNUMBER(FIND("TmAi",$BA$1:$ZZ$1)),IF(IFERROR(ISODD(SUBSTITUTE($BA209:$ZZ209,"A","")),FALSE),IF(ISODD(SUBSTITUTE($BA209:$ZZ209,"A","")),1,0),0)))</f>
        <v>1</v>
      </c>
      <c r="AA209" t="str">
        <f>CONCATENATE($Y209*2-1,"A")</f>
        <v>5A</v>
      </c>
      <c r="AB209" t="str">
        <f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>CONCATENATE(REPLACE(OG209,LEN(OG209),1,"")+1,RIGHT(OG209))</f>
        <v>7B</v>
      </c>
      <c r="OJ209" s="12" t="str">
        <f>CONCATENATE(REPLACE(OH209,LEN(OH209),1,"")+1,RIGHT(OH209))</f>
        <v>8A</v>
      </c>
      <c r="OK209" s="12" t="str">
        <f>CONCATENATE(REPLACE(OI209,LEN(OI209),1,"")+1,RIGHT(OI209))</f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171">CONCATENATE($T209,"-AI",REPLACE($X209,1,3,""),"-",OF209)</f>
        <v>F0-AI36-6A</v>
      </c>
      <c r="OS209" s="12" t="str">
        <f t="shared" si="171"/>
        <v>F0-AI36-6B</v>
      </c>
      <c r="OT209" s="12" t="str">
        <f t="shared" si="171"/>
        <v>F0-AI36-7A</v>
      </c>
      <c r="OU209" s="12" t="str">
        <f t="shared" si="171"/>
        <v>F0-AI36-7B</v>
      </c>
      <c r="OV209" s="12" t="str">
        <f t="shared" si="171"/>
        <v>F0-AI36-8A</v>
      </c>
      <c r="OW209" s="12" t="str">
        <f t="shared" si="171"/>
        <v>F0-AI36-8B</v>
      </c>
      <c r="OX209" s="12"/>
      <c r="OY209" s="12"/>
      <c r="OZ209" s="12"/>
      <c r="PA209" s="12"/>
      <c r="PB209" s="12">
        <f t="array" ref="PB209">IF(COUNTIFS($U$2:$U209,$U209)=1,1,INDEX(PB:PB,_xlfn.XMATCH($U209,$U$1:EB208,0,-1))+COUNT(PB208:PG208))</f>
        <v>1</v>
      </c>
      <c r="PC209" s="12">
        <f>PB209+1</f>
        <v>2</v>
      </c>
      <c r="PD209" s="12">
        <f>PC209+1</f>
        <v>3</v>
      </c>
      <c r="PE209" s="12">
        <f>PD209+1</f>
        <v>4</v>
      </c>
      <c r="PF209" s="12">
        <f>PE209+1</f>
        <v>5</v>
      </c>
      <c r="PG209" s="12">
        <f>PF209+1</f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SUM(IF(ISNUMBER(FIND("TmAi",$BA$1:$ZZ$1)),IF(IFERROR(ISODD(SUBSTITUTE($BA210:$ZZ210,"A","")),FALSE),IF(ISODD(SUBSTITUTE($BA210:$ZZ210,"A","")),1,0),0)))</f>
        <v>0</v>
      </c>
      <c r="AA210" t="str">
        <f>CONCATENATE($Y210*2-1,"B")</f>
        <v>7B</v>
      </c>
      <c r="AB210" t="str">
        <f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>KE210+1</f>
        <v>8</v>
      </c>
      <c r="KG210">
        <f>KF210+1</f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SUM(IF(ISNUMBER(FIND("TmAi",$BA$1:$ZZ$1)),IF(IFERROR(ISODD(SUBSTITUTE($BA211:$ZZ211,"A","")),FALSE),IF(ISODD(SUBSTITUTE($BA211:$ZZ211,"A","")),1,0),0)))</f>
        <v>1</v>
      </c>
      <c r="AA211" t="str">
        <f>CONCATENATE($Y211*2-1,"A")</f>
        <v>9A</v>
      </c>
      <c r="AB211" t="str">
        <f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>CONCATENATE(REPLACE(OG211,LEN(OG211),1,"")+1,RIGHT(OG211))</f>
        <v>11B</v>
      </c>
      <c r="OJ211" s="12" t="str">
        <f>CONCATENATE(REPLACE(OH211,LEN(OH211),1,"")+1,RIGHT(OH211))</f>
        <v>12A</v>
      </c>
      <c r="OK211" s="12" t="str">
        <f>CONCATENATE(REPLACE(OI211,LEN(OI211),1,"")+1,RIGHT(OI211))</f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172">CONCATENATE($T211,"-AI",REPLACE($X211,1,3,""),"-",OF211)</f>
        <v>F0-AI36-10A</v>
      </c>
      <c r="OS211" s="12" t="str">
        <f t="shared" si="172"/>
        <v>F0-AI36-10B</v>
      </c>
      <c r="OT211" s="12" t="str">
        <f t="shared" si="172"/>
        <v>F0-AI36-11A</v>
      </c>
      <c r="OU211" s="12" t="str">
        <f t="shared" si="172"/>
        <v>F0-AI36-11B</v>
      </c>
      <c r="OV211" s="12" t="str">
        <f t="shared" si="172"/>
        <v>F0-AI36-12A</v>
      </c>
      <c r="OW211" s="12" t="str">
        <f t="shared" si="172"/>
        <v>F0-AI36-12B</v>
      </c>
      <c r="OX211" s="12"/>
      <c r="OY211" s="12"/>
      <c r="OZ211" s="12"/>
      <c r="PA211" s="12"/>
      <c r="PB211" s="12">
        <f t="array" ref="PB211">IF(COUNTIFS($U$2:$U211,$U211)=1,1,INDEX(PB:PB,_xlfn.XMATCH($U211,$U$1:EB210,0,-1))+COUNT(PB210:PG210))</f>
        <v>1</v>
      </c>
      <c r="PC211" s="12">
        <f>PB211+1</f>
        <v>2</v>
      </c>
      <c r="PD211" s="12">
        <f>PC211+1</f>
        <v>3</v>
      </c>
      <c r="PE211" s="12">
        <f>PD211+1</f>
        <v>4</v>
      </c>
      <c r="PF211" s="12">
        <f>PE211+1</f>
        <v>5</v>
      </c>
      <c r="PG211" s="12">
        <f>PF211+1</f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SUM(IF(ISNUMBER(FIND("TmAi",$BA$1:$ZZ$1)),IF(IFERROR(ISODD(SUBSTITUTE($BA212:$ZZ212,"A","")),FALSE),IF(ISODD(SUBSTITUTE($BA212:$ZZ212,"A","")),1,0),0)))</f>
        <v>0</v>
      </c>
      <c r="AA212" t="str">
        <f>CONCATENATE($Y212*2-1,"B")</f>
        <v>9B</v>
      </c>
      <c r="AB212" t="str">
        <f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>KE212+1</f>
        <v>8</v>
      </c>
      <c r="KG212">
        <f>KF212+1</f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SUM(IF(ISNUMBER(FIND("TmAi",$BA$1:$ZZ$1)),IF(IFERROR(ISODD(SUBSTITUTE($BA213:$ZZ213,"A","")),FALSE),IF(ISODD(SUBSTITUTE($BA213:$ZZ213,"A","")),1,0),0)))</f>
        <v>1</v>
      </c>
      <c r="AA213" t="str">
        <f>CONCATENATE($Y213*2-1,"A")</f>
        <v>1A</v>
      </c>
      <c r="AB213" t="str">
        <f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>CONCATENATE(REPLACE(OG213,LEN(OG213),1,"")+1,RIGHT(OG213))</f>
        <v>3B</v>
      </c>
      <c r="OJ213" s="12" t="str">
        <f>CONCATENATE(REPLACE(OH213,LEN(OH213),1,"")+1,RIGHT(OH213))</f>
        <v>4A</v>
      </c>
      <c r="OK213" s="12" t="str">
        <f>CONCATENATE(REPLACE(OI213,LEN(OI213),1,"")+1,RIGHT(OI213))</f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173">CONCATENATE($T213,"-AI",REPLACE($X213,1,3,""),"-",OF213)</f>
        <v>F0-AI37-2A</v>
      </c>
      <c r="OS213" s="12" t="str">
        <f t="shared" si="173"/>
        <v>F0-AI37-2B</v>
      </c>
      <c r="OT213" s="12" t="str">
        <f t="shared" si="173"/>
        <v>F0-AI37-3A</v>
      </c>
      <c r="OU213" s="12" t="str">
        <f t="shared" si="173"/>
        <v>F0-AI37-3B</v>
      </c>
      <c r="OV213" s="12" t="str">
        <f t="shared" si="173"/>
        <v>F0-AI37-4A</v>
      </c>
      <c r="OW213" s="12" t="str">
        <f t="shared" si="173"/>
        <v>F0-AI37-4B</v>
      </c>
      <c r="OX213" s="12"/>
      <c r="OY213" s="12"/>
      <c r="OZ213" s="12"/>
      <c r="PA213" s="12"/>
      <c r="PB213" s="12">
        <f t="array" ref="PB213">IF(COUNTIFS($U$2:$U213,$U213)=1,1,INDEX(PB:PB,_xlfn.XMATCH($U213,$U$1:EB212,0,-1))+COUNT(PB212:PG212))</f>
        <v>1</v>
      </c>
      <c r="PC213" s="12">
        <f>PB213+1</f>
        <v>2</v>
      </c>
      <c r="PD213" s="12">
        <f>PC213+1</f>
        <v>3</v>
      </c>
      <c r="PE213" s="12">
        <f>PD213+1</f>
        <v>4</v>
      </c>
      <c r="PF213" s="12">
        <f>PE213+1</f>
        <v>5</v>
      </c>
      <c r="PG213" s="12">
        <f>PF213+1</f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SUM(IF(ISNUMBER(FIND("TmAi",$BA$1:$ZZ$1)),IF(IFERROR(ISODD(SUBSTITUTE($BA214:$ZZ214,"A","")),FALSE),IF(ISODD(SUBSTITUTE($BA214:$ZZ214,"A","")),1,0),0)))</f>
        <v>0</v>
      </c>
      <c r="AA214" t="str">
        <f>CONCATENATE($Y214*2-1,"B")</f>
        <v>11B</v>
      </c>
      <c r="AB214" t="str">
        <f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>KE214+1</f>
        <v>8</v>
      </c>
      <c r="KG214">
        <f>KF214+1</f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SUM(IF(ISNUMBER(FIND("TmAi",$BA$1:$ZZ$1)),IF(IFERROR(ISODD(SUBSTITUTE($BA215:$ZZ215,"A","")),FALSE),IF(ISODD(SUBSTITUTE($BA215:$ZZ215,"A","")),1,0),0)))</f>
        <v>1</v>
      </c>
      <c r="AA215" t="str">
        <f>CONCATENATE($Y215*2-1,"A")</f>
        <v>5A</v>
      </c>
      <c r="AB215" t="str">
        <f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>CONCATENATE(REPLACE(OG215,LEN(OG215),1,"")+1,RIGHT(OG215))</f>
        <v>7B</v>
      </c>
      <c r="OJ215" s="12" t="str">
        <f>CONCATENATE(REPLACE(OH215,LEN(OH215),1,"")+1,RIGHT(OH215))</f>
        <v>8A</v>
      </c>
      <c r="OK215" s="12" t="str">
        <f>CONCATENATE(REPLACE(OI215,LEN(OI215),1,"")+1,RIGHT(OI215))</f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174">CONCATENATE($T215,"-AI",REPLACE($X215,1,3,""),"-",OF215)</f>
        <v>F0-AI37-6A</v>
      </c>
      <c r="OS215" s="12" t="str">
        <f t="shared" si="174"/>
        <v>F0-AI37-6B</v>
      </c>
      <c r="OT215" s="12" t="str">
        <f t="shared" si="174"/>
        <v>F0-AI37-7A</v>
      </c>
      <c r="OU215" s="12" t="str">
        <f t="shared" si="174"/>
        <v>F0-AI37-7B</v>
      </c>
      <c r="OV215" s="12" t="str">
        <f t="shared" si="174"/>
        <v>F0-AI37-8A</v>
      </c>
      <c r="OW215" s="12" t="str">
        <f t="shared" si="174"/>
        <v>F0-AI37-8B</v>
      </c>
      <c r="OX215" s="12"/>
      <c r="OY215" s="12"/>
      <c r="OZ215" s="12"/>
      <c r="PA215" s="12"/>
      <c r="PB215" s="12">
        <f t="array" ref="PB215">IF(COUNTIFS($U$2:$U215,$U215)=1,1,INDEX(PB:PB,_xlfn.XMATCH($U215,$U$1:EB214,0,-1))+COUNT(PB214:PG214))</f>
        <v>1</v>
      </c>
      <c r="PC215" s="12">
        <f>PB215+1</f>
        <v>2</v>
      </c>
      <c r="PD215" s="12">
        <f>PC215+1</f>
        <v>3</v>
      </c>
      <c r="PE215" s="12">
        <f>PD215+1</f>
        <v>4</v>
      </c>
      <c r="PF215" s="12">
        <f>PE215+1</f>
        <v>5</v>
      </c>
      <c r="PG215" s="12">
        <f>PF215+1</f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SUM(IF(ISNUMBER(FIND("TmAi",$BA$1:$ZZ$1)),IF(IFERROR(ISODD(SUBSTITUTE($BA216:$ZZ216,"A","")),FALSE),IF(ISODD(SUBSTITUTE($BA216:$ZZ216,"A","")),1,0),0)))</f>
        <v>0</v>
      </c>
      <c r="AA216" t="str">
        <f>CONCATENATE($Y216*2-1,"B")</f>
        <v>13B</v>
      </c>
      <c r="AB216" t="str">
        <f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175">CONCATENATE("XT",U216)</f>
        <v>XT69</v>
      </c>
      <c r="JY216" t="str">
        <f t="shared" ref="JY216:JY224" si="176">CONCATENATE(T216,"-AI",REPLACE($X216,1,3,""),"-",AA216)</f>
        <v>F0-AI25-13B</v>
      </c>
      <c r="JZ216" t="str">
        <f t="shared" ref="JZ216:JZ224" si="177">CONCATENATE(T216,"-AI",REPLACE($X216,1,3,""),"-",AB216)</f>
        <v>F0-AI25-14B</v>
      </c>
      <c r="KE216">
        <v>7</v>
      </c>
      <c r="KF216">
        <f t="shared" ref="KF216:KH224" si="178">KE216+1</f>
        <v>8</v>
      </c>
      <c r="KG216">
        <f t="shared" si="178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SUM(IF(ISNUMBER(FIND("TmAi",$BA$1:$ZZ$1)),IF(IFERROR(ISODD(SUBSTITUTE($BA217:$ZZ217,"A","")),FALSE),IF(ISODD(SUBSTITUTE($BA217:$ZZ217,"A","")),1,0),0)))</f>
        <v>0</v>
      </c>
      <c r="AA217" t="str">
        <f>CONCATENATE($Y217*2-1,"B")</f>
        <v>1B</v>
      </c>
      <c r="AB217" t="str">
        <f>CONCATENATE($Y217*2,"B")</f>
        <v>2B</v>
      </c>
      <c r="AL217" t="s">
        <v>137</v>
      </c>
      <c r="AM217" t="s">
        <v>1307</v>
      </c>
      <c r="AO217" t="s">
        <v>396</v>
      </c>
      <c r="JV217" s="27" t="str">
        <f t="shared" si="175"/>
        <v>XT70</v>
      </c>
      <c r="JY217" t="str">
        <f t="shared" si="176"/>
        <v>F0-AI26-1B</v>
      </c>
      <c r="JZ217" t="str">
        <f t="shared" si="177"/>
        <v>F0-AI26-2B</v>
      </c>
      <c r="KE217">
        <v>1</v>
      </c>
      <c r="KF217">
        <f t="shared" si="178"/>
        <v>2</v>
      </c>
      <c r="KG217">
        <f t="shared" si="178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SUM(IF(ISNUMBER(FIND("TmAi",$BA$1:$ZZ$1)),IF(IFERROR(ISODD(SUBSTITUTE($BA218:$ZZ218,"A","")),FALSE),IF(ISODD(SUBSTITUTE($BA218:$ZZ218,"A","")),1,0),0)))</f>
        <v>0</v>
      </c>
      <c r="AA218" t="str">
        <f>CONCATENATE($Y218*2-1,"B")</f>
        <v>3B</v>
      </c>
      <c r="AB218" t="str">
        <f>CONCATENATE($Y218*2,"B")</f>
        <v>4B</v>
      </c>
      <c r="AL218" t="s">
        <v>137</v>
      </c>
      <c r="AM218" t="s">
        <v>1307</v>
      </c>
      <c r="AO218" t="s">
        <v>396</v>
      </c>
      <c r="JV218" s="27" t="str">
        <f t="shared" si="175"/>
        <v>XT70</v>
      </c>
      <c r="JY218" t="str">
        <f t="shared" si="176"/>
        <v>F0-AI26-3B</v>
      </c>
      <c r="JZ218" t="str">
        <f t="shared" si="177"/>
        <v>F0-AI26-4B</v>
      </c>
      <c r="KE218">
        <f t="array" ref="KE218">IF(COUNTIFS($U$2:$U218,$U218)=1,1,INDEX(KE:KE,_xlfn.XMATCH(U218,U$1:U217,0,-1))+COUNT(KE217:KI217))</f>
        <v>4</v>
      </c>
      <c r="KF218">
        <f t="shared" si="178"/>
        <v>5</v>
      </c>
      <c r="KG218">
        <f t="shared" si="178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SUM(IF(ISNUMBER(FIND("TmAi",$BA$1:$ZZ$1)),IF(IFERROR(ISODD(SUBSTITUTE($BA219:$ZZ219,"A","")),FALSE),IF(ISODD(SUBSTITUTE($BA219:$ZZ219,"A","")),1,0),0)))</f>
        <v>0</v>
      </c>
      <c r="AA219" t="str">
        <f>CONCATENATE($Y219*2-1,"B")</f>
        <v>5B</v>
      </c>
      <c r="AB219" t="str">
        <f>CONCATENATE($Y219*2,"B")</f>
        <v>6B</v>
      </c>
      <c r="AL219" t="s">
        <v>137</v>
      </c>
      <c r="AM219" t="s">
        <v>1302</v>
      </c>
      <c r="AO219" t="s">
        <v>396</v>
      </c>
      <c r="JV219" s="27" t="str">
        <f t="shared" si="175"/>
        <v>XT70</v>
      </c>
      <c r="JY219" t="str">
        <f t="shared" si="176"/>
        <v>F0-AI26-5B</v>
      </c>
      <c r="JZ219" t="str">
        <f t="shared" si="177"/>
        <v>F0-AI26-6B</v>
      </c>
      <c r="KE219">
        <f t="array" ref="KE219">IF(COUNTIFS($U$2:$U219,$U219)=1,1,INDEX(KE:KE,_xlfn.XMATCH(U219,U$1:U218,0,-1))+COUNT(KE218:KI218))</f>
        <v>7</v>
      </c>
      <c r="KF219">
        <f t="shared" si="178"/>
        <v>8</v>
      </c>
      <c r="KG219">
        <f t="shared" si="178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SUM(IF(ISNUMBER(FIND("TmAi",$BA$1:$ZZ$1)),IF(IFERROR(ISODD(SUBSTITUTE($BA220:$ZZ220,"A","")),FALSE),IF(ISODD(SUBSTITUTE($BA220:$ZZ220,"A","")),1,0),0)))</f>
        <v>0</v>
      </c>
      <c r="AA220" t="str">
        <f>CONCATENATE($Y220*2-1,"B")</f>
        <v>7B</v>
      </c>
      <c r="AB220" t="str">
        <f>CONCATENATE($Y220*2,"B")</f>
        <v>8B</v>
      </c>
      <c r="AL220" t="s">
        <v>137</v>
      </c>
      <c r="AM220" t="s">
        <v>1302</v>
      </c>
      <c r="AO220" t="s">
        <v>396</v>
      </c>
      <c r="JV220" s="27" t="str">
        <f t="shared" si="175"/>
        <v>XT70</v>
      </c>
      <c r="JY220" t="str">
        <f t="shared" si="176"/>
        <v>F0-AI26-7B</v>
      </c>
      <c r="JZ220" t="str">
        <f t="shared" si="177"/>
        <v>F0-AI26-8B</v>
      </c>
      <c r="KE220">
        <f t="array" ref="KE220">IF(COUNTIFS($U$2:$U220,$U220)=1,1,INDEX(KE:KE,_xlfn.XMATCH(U220,U$1:U219,0,-1))+COUNT(KE219:KI219))</f>
        <v>10</v>
      </c>
      <c r="KF220">
        <f t="shared" si="178"/>
        <v>11</v>
      </c>
      <c r="KG220">
        <f t="shared" si="178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175"/>
        <v>XT71</v>
      </c>
      <c r="JW221" t="str">
        <f>REPLACE(AA221,1,1,LEFT(AA221,1)+1)</f>
        <v>2A</v>
      </c>
      <c r="JY221" t="str">
        <f t="shared" si="176"/>
        <v>F0-AI38-1A</v>
      </c>
      <c r="JZ221" t="str">
        <f t="shared" si="177"/>
        <v>F0-AI38-1B</v>
      </c>
      <c r="KA221" t="str">
        <f>CONCATENATE($T221,"-AI",REPLACE($X221,1,3,""),"-",JW221)</f>
        <v>F0-AI38-2A</v>
      </c>
      <c r="KB221" t="str">
        <f>CONCATENATE($T221,"-AI",REPLACE($X221,1,3,""),"-",JX221)</f>
        <v>F0-AI38-</v>
      </c>
      <c r="KE221">
        <f t="array" ref="KE221">IF(COUNTIFS($U$2:$U221,$U221)=1,1,INDEX(KE:KE,_xlfn.XMATCH(U221,U$1:U220,0,-1))+COUNT(KE220:KI220))</f>
        <v>1</v>
      </c>
      <c r="KF221">
        <f t="shared" si="178"/>
        <v>2</v>
      </c>
      <c r="KG221">
        <f t="shared" si="178"/>
        <v>3</v>
      </c>
      <c r="KH221">
        <f t="shared" si="178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175"/>
        <v>XT71</v>
      </c>
      <c r="JW222" t="str">
        <f>REPLACE(AA222,1,1,LEFT(AA222,1)+1)</f>
        <v>4A</v>
      </c>
      <c r="JY222" t="str">
        <f t="shared" si="176"/>
        <v>F0-AI38-3A</v>
      </c>
      <c r="JZ222" t="str">
        <f t="shared" si="177"/>
        <v>F0-AI38-3B</v>
      </c>
      <c r="KA222" t="str">
        <f>CONCATENATE($T222,"-AI",REPLACE($X222,1,3,""),"-",JW222)</f>
        <v>F0-AI38-4A</v>
      </c>
      <c r="KB222" t="str">
        <f>CONCATENATE($T222,"-AI",REPLACE($X222,1,3,""),"-",JX222)</f>
        <v>F0-AI38-</v>
      </c>
      <c r="KE222">
        <f t="array" ref="KE222">IF(COUNTIFS($U$2:$U222,$U222)=1,1,INDEX(KE:KE,_xlfn.XMATCH(U222,U$1:U221,0,-1))+COUNT(KE221:KI221))</f>
        <v>5</v>
      </c>
      <c r="KF222">
        <f t="shared" si="178"/>
        <v>6</v>
      </c>
      <c r="KG222">
        <f t="shared" si="178"/>
        <v>7</v>
      </c>
      <c r="KH222">
        <f t="shared" si="178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SUM(IF(ISNUMBER(FIND("TmAi",$BA$1:$ZZ$1)),IF(IFERROR(ISODD(SUBSTITUTE($BA223:$ZZ223,"A","")),FALSE),IF(ISODD(SUBSTITUTE($BA223:$ZZ223,"A","")),1,0),0)))</f>
        <v>0</v>
      </c>
      <c r="AA223" t="str">
        <f>CONCATENATE($Y223*2-1,"B")</f>
        <v>1B</v>
      </c>
      <c r="AB223" t="str">
        <f>CONCATENATE($Y223*2,"B")</f>
        <v>2B</v>
      </c>
      <c r="AL223" t="s">
        <v>137</v>
      </c>
      <c r="AO223" t="s">
        <v>396</v>
      </c>
      <c r="JV223" s="27" t="str">
        <f t="shared" si="175"/>
        <v>XT71</v>
      </c>
      <c r="JY223" t="str">
        <f t="shared" si="176"/>
        <v>F0-AI27-1B</v>
      </c>
      <c r="JZ223" t="str">
        <f t="shared" si="177"/>
        <v>F0-AI27-2B</v>
      </c>
      <c r="KE223">
        <f t="array" ref="KE223">IF(COUNTIFS($U$2:$U223,$U223)=1,1,INDEX(KE:KE,_xlfn.XMATCH(U223,U$1:U222,0,-1))+COUNT(KE222:KI222))</f>
        <v>9</v>
      </c>
      <c r="KF223">
        <f t="shared" si="178"/>
        <v>10</v>
      </c>
      <c r="KG223">
        <f t="shared" si="178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SUM(IF(ISNUMBER(FIND("TmAi",$BA$1:$ZZ$1)),IF(IFERROR(ISODD(SUBSTITUTE($BA224:$ZZ224,"A","")),FALSE),IF(ISODD(SUBSTITUTE($BA224:$ZZ224,"A","")),1,0),0)))</f>
        <v>0</v>
      </c>
      <c r="AA224" t="str">
        <f>CONCATENATE($Y224*2-1,"B")</f>
        <v>3B</v>
      </c>
      <c r="AB224" t="str">
        <f>CONCATENATE($Y224*2,"B")</f>
        <v>4B</v>
      </c>
      <c r="AL224" t="s">
        <v>137</v>
      </c>
      <c r="AO224" t="s">
        <v>396</v>
      </c>
      <c r="JV224" s="27" t="str">
        <f t="shared" si="175"/>
        <v>XT71</v>
      </c>
      <c r="JY224" t="str">
        <f t="shared" si="176"/>
        <v>F0-AI27-3B</v>
      </c>
      <c r="JZ224" t="str">
        <f t="shared" si="177"/>
        <v>F0-AI27-4B</v>
      </c>
      <c r="KE224">
        <f t="array" ref="KE224">IF(COUNTIFS($U$2:$U224,$U224)=1,1,INDEX(KE:KE,_xlfn.XMATCH(U224,U$1:U223,0,-1))+COUNT(KE223:KI223))</f>
        <v>12</v>
      </c>
      <c r="KF224">
        <f t="shared" si="178"/>
        <v>13</v>
      </c>
      <c r="KG224">
        <f t="shared" si="178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179">CONCATENATE("DI",REPLACE($AC225,1,3,""),"-",EO225)</f>
        <v>DI13-C2</v>
      </c>
      <c r="EX225" s="12" t="str">
        <f t="shared" si="179"/>
        <v>DI13-B2</v>
      </c>
      <c r="EY225" s="12" t="str">
        <f t="shared" si="179"/>
        <v>DI13-C3</v>
      </c>
      <c r="EZ225" s="12" t="str">
        <f t="shared" si="179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 t="shared" ref="FC225:FD227" si="180">CONCATENATE("DO",REPLACE($AF225,1,3,""),"-",ES225)</f>
        <v>DO7-2B</v>
      </c>
      <c r="FD225" s="12" t="str">
        <f t="shared" si="180"/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>CONCATENATE(AI226,"XT")</f>
        <v>2XT</v>
      </c>
      <c r="AK226" t="str">
        <f>CONCATENATE(AI226,"X")</f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>CONCATENATE("XT",U226)</f>
        <v>XT73</v>
      </c>
      <c r="EO226" t="str">
        <f>CONCATENATE("C",REPLACE(AD226,1,1,"")+1)</f>
        <v>C5</v>
      </c>
      <c r="EP226" t="str">
        <f>CONCATENATE("B",REPLACE(AE226,1,1,"")+1)</f>
        <v>B5</v>
      </c>
      <c r="EQ226" t="str">
        <f>CONCATENATE("C",REPLACE(EO226,1,1,"")+1)</f>
        <v>C6</v>
      </c>
      <c r="ER226" t="str">
        <f>CONCATENATE("B",REPLACE(EP226,1,1,"")+1)</f>
        <v>B6</v>
      </c>
      <c r="ES226" t="str">
        <f>CONCATENATE(REPLACE(AG226,LEN(AG226),1,"")+1,"B")</f>
        <v>4B</v>
      </c>
      <c r="ET226" t="str">
        <f>CONCATENATE(REPLACE(AH226,LEN(AH226),1,"")+1,"A")</f>
        <v>4A</v>
      </c>
      <c r="EU226" t="str">
        <f t="shared" ref="EU226:EV229" si="181">CONCATENATE("DI",REPLACE($AC226,1,3,""),"-",AD226)</f>
        <v>DI13-C4</v>
      </c>
      <c r="EV226" t="str">
        <f t="shared" si="181"/>
        <v>DI13-B4</v>
      </c>
      <c r="EW226" t="str">
        <f t="shared" si="179"/>
        <v>DI13-C5</v>
      </c>
      <c r="EX226" t="str">
        <f t="shared" si="179"/>
        <v>DI13-B5</v>
      </c>
      <c r="EY226" t="str">
        <f t="shared" si="179"/>
        <v>DI13-C6</v>
      </c>
      <c r="EZ226" t="str">
        <f t="shared" si="179"/>
        <v>DI13-B6</v>
      </c>
      <c r="FA226" t="str">
        <f t="shared" ref="FA226:FB229" si="182">CONCATENATE("DO",REPLACE($AF226,1,3,""),"-",AG226)</f>
        <v>DO7-3B</v>
      </c>
      <c r="FB226" t="str">
        <f t="shared" si="182"/>
        <v>DO7-3A</v>
      </c>
      <c r="FC226" t="str">
        <f t="shared" si="180"/>
        <v>DO7-4B</v>
      </c>
      <c r="FD226" t="str">
        <f t="shared" si="180"/>
        <v>DO7-4A</v>
      </c>
      <c r="FE226" t="str">
        <f>CONCATENATE("K",$U226,"-03")</f>
        <v>K73-03</v>
      </c>
      <c r="FF226" t="str">
        <f>CONCATENATE("K",$U226,"-04")</f>
        <v>K73-04</v>
      </c>
      <c r="FG226" t="str">
        <f>CONCATENATE("K",$U226,"-01")</f>
        <v>K73-01</v>
      </c>
      <c r="FH226" t="str">
        <f>CONCATENATE("K",$U226,"-02")</f>
        <v>K73-02</v>
      </c>
      <c r="FI226" t="str">
        <f>CONCATENATE("K",$U226,"-05")</f>
        <v>K73-05</v>
      </c>
      <c r="FJ226" t="str">
        <f>CONCATENATE($T226,"-M",$U226,"-H1")</f>
        <v>F0-M73-H1</v>
      </c>
      <c r="FK226" t="str">
        <f>CONCATENATE($T226,"-M",$U226,"-A1")</f>
        <v>F0-M73-A1</v>
      </c>
      <c r="FL226" t="str">
        <f>CONCATENATE($T226,"-M",$U226,"-3")</f>
        <v>F0-M73-3</v>
      </c>
      <c r="FM226" t="str">
        <f>CONCATENATE($T226,"-M",$U226,"-2")</f>
        <v>F0-M73-2</v>
      </c>
      <c r="FN226" t="str">
        <f>CONCATENATE($T226,"-M",$U226,"-16")</f>
        <v>F0-M73-16</v>
      </c>
      <c r="FO226" t="str">
        <f>CONCATENATE($T226,"-M",$U226,"-15")</f>
        <v>F0-M73-15</v>
      </c>
      <c r="FP226" t="str">
        <f>CONCATENATE($T226,"-A220-M",$U226,)</f>
        <v>F0-A220-M73</v>
      </c>
      <c r="FQ226" t="str">
        <f>CONCATENATE($T226,"-M",$U226,"-XM01")</f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>CONCATENATE(AI227,"XT")</f>
        <v>3XT</v>
      </c>
      <c r="AK227" t="str">
        <f>CONCATENATE(AI227,"X")</f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>CONCATENATE("XT",U227)</f>
        <v>XT74</v>
      </c>
      <c r="EO227" t="str">
        <f>CONCATENATE("C",REPLACE(AD227,1,1,"")+1)</f>
        <v>C8</v>
      </c>
      <c r="EP227" t="str">
        <f>CONCATENATE("B",REPLACE(AE227,1,1,"")+1)</f>
        <v>B8</v>
      </c>
      <c r="EQ227" t="str">
        <f>CONCATENATE("C",REPLACE(EO227,1,1,"")+1)</f>
        <v>C9</v>
      </c>
      <c r="ER227" t="str">
        <f>CONCATENATE("B",REPLACE(EP227,1,1,"")+1)</f>
        <v>B9</v>
      </c>
      <c r="ES227" t="str">
        <f>CONCATENATE(REPLACE(AG227,LEN(AG227),1,"")+1,"B")</f>
        <v>6B</v>
      </c>
      <c r="ET227" t="str">
        <f>CONCATENATE(REPLACE(AH227,LEN(AH227),1,"")+1,"A")</f>
        <v>6A</v>
      </c>
      <c r="EU227" t="str">
        <f t="shared" si="181"/>
        <v>DI13-C7</v>
      </c>
      <c r="EV227" t="str">
        <f t="shared" si="181"/>
        <v>DI13-B7</v>
      </c>
      <c r="EW227" t="str">
        <f t="shared" si="179"/>
        <v>DI13-C8</v>
      </c>
      <c r="EX227" t="str">
        <f t="shared" si="179"/>
        <v>DI13-B8</v>
      </c>
      <c r="EY227" t="str">
        <f t="shared" si="179"/>
        <v>DI13-C9</v>
      </c>
      <c r="EZ227" t="str">
        <f t="shared" si="179"/>
        <v>DI13-B9</v>
      </c>
      <c r="FA227" t="str">
        <f t="shared" si="182"/>
        <v>DO7-5B</v>
      </c>
      <c r="FB227" t="str">
        <f t="shared" si="182"/>
        <v>DO7-5A</v>
      </c>
      <c r="FC227" t="str">
        <f t="shared" si="180"/>
        <v>DO7-6B</v>
      </c>
      <c r="FD227" t="str">
        <f t="shared" si="180"/>
        <v>DO7-6A</v>
      </c>
      <c r="FE227" t="str">
        <f>CONCATENATE("K",$U227,"-03")</f>
        <v>K74-03</v>
      </c>
      <c r="FF227" t="str">
        <f>CONCATENATE("K",$U227,"-04")</f>
        <v>K74-04</v>
      </c>
      <c r="FG227" t="str">
        <f>CONCATENATE("K",$U227,"-01")</f>
        <v>K74-01</v>
      </c>
      <c r="FH227" t="str">
        <f>CONCATENATE("K",$U227,"-02")</f>
        <v>K74-02</v>
      </c>
      <c r="FI227" t="str">
        <f>CONCATENATE("K",$U227,"-05")</f>
        <v>K74-05</v>
      </c>
      <c r="FJ227" t="str">
        <f>CONCATENATE($T227,"-M",$U227,"-H1")</f>
        <v>F0-M74-H1</v>
      </c>
      <c r="FK227" t="str">
        <f>CONCATENATE($T227,"-M",$U227,"-A1")</f>
        <v>F0-M74-A1</v>
      </c>
      <c r="FL227" t="str">
        <f>CONCATENATE($T227,"-M",$U227,"-3")</f>
        <v>F0-M74-3</v>
      </c>
      <c r="FM227" t="str">
        <f>CONCATENATE($T227,"-M",$U227,"-2")</f>
        <v>F0-M74-2</v>
      </c>
      <c r="FN227" t="str">
        <f>CONCATENATE($T227,"-M",$U227,"-16")</f>
        <v>F0-M74-16</v>
      </c>
      <c r="FO227" t="str">
        <f>CONCATENATE($T227,"-M",$U227,"-15")</f>
        <v>F0-M74-15</v>
      </c>
      <c r="FP227" t="str">
        <f>CONCATENATE($T227,"-A220-M",$U227,)</f>
        <v>F0-A220-M74</v>
      </c>
      <c r="FQ227" t="str">
        <f>CONCATENATE($T227,"-M",$U227,"-XM01")</f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>CONCATENATE(AI228,"XT")</f>
        <v>4XT</v>
      </c>
      <c r="AK228" t="str">
        <f>CONCATENATE(AI228,"X")</f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>CONCATENATE("XT",U228)</f>
        <v>XT75</v>
      </c>
      <c r="EU228" t="str">
        <f t="shared" si="181"/>
        <v>DI13-C10</v>
      </c>
      <c r="EV228" t="str">
        <f t="shared" si="181"/>
        <v>DI13-B10</v>
      </c>
      <c r="FA228" t="str">
        <f t="shared" si="182"/>
        <v>DO7-7B</v>
      </c>
      <c r="FB228" t="str">
        <f t="shared" si="182"/>
        <v>DO7-7A</v>
      </c>
      <c r="FE228" t="str">
        <f>CONCATENATE("K",$U228,"-03")</f>
        <v>K75-03</v>
      </c>
      <c r="FI228" t="str">
        <f>CONCATENATE("K",$U228,"-05")</f>
        <v>K75-05</v>
      </c>
      <c r="FJ228" t="str">
        <f>CONCATENATE($T228,"-M",$U228,"-H1")</f>
        <v>F0-M75-H1</v>
      </c>
      <c r="FK228" t="str">
        <f>CONCATENATE($T228,"-M",$U228,"-A1")</f>
        <v>F0-M75-A1</v>
      </c>
      <c r="FL228" t="str">
        <f>CONCATENATE($T228,"-M",$U228,"-3")</f>
        <v>F0-M75-3</v>
      </c>
      <c r="FP228" t="str">
        <f>CONCATENATE($T228,"-A220-M",$U228,)</f>
        <v>F0-A220-M75</v>
      </c>
      <c r="FQ228" t="str">
        <f>CONCATENATE($T228,"-M",$U228,"-XM01")</f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>CONCATENATE(AI229,"XT")</f>
        <v>5XT</v>
      </c>
      <c r="AK229" t="str">
        <f>CONCATENATE(AI229,"X")</f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>CONCATENATE("XT",U229)</f>
        <v>XT76</v>
      </c>
      <c r="EU229" t="str">
        <f t="shared" si="181"/>
        <v>DI13-C11</v>
      </c>
      <c r="EV229" t="str">
        <f t="shared" si="181"/>
        <v>DI13-B11</v>
      </c>
      <c r="FA229" t="str">
        <f t="shared" si="182"/>
        <v>DO7-8B</v>
      </c>
      <c r="FB229" t="str">
        <f t="shared" si="182"/>
        <v>DO7-8A</v>
      </c>
      <c r="FE229" t="str">
        <f>CONCATENATE("K",$U229,"-03")</f>
        <v>K76-03</v>
      </c>
      <c r="FI229" t="str">
        <f>CONCATENATE("K",$U229,"-05")</f>
        <v>K76-05</v>
      </c>
      <c r="FJ229" t="str">
        <f>CONCATENATE($T229,"-M",$U229,"-H1")</f>
        <v>F0-M76-H1</v>
      </c>
      <c r="FK229" t="str">
        <f>CONCATENATE($T229,"-M",$U229,"-A1")</f>
        <v>F0-M76-A1</v>
      </c>
      <c r="FL229" t="str">
        <f>CONCATENATE($T229,"-M",$U229,"-3")</f>
        <v>F0-M76-3</v>
      </c>
      <c r="FP229" t="str">
        <f>CONCATENATE($T229,"-A220-M",$U229,)</f>
        <v>F0-A220-M76</v>
      </c>
      <c r="FQ229" t="str">
        <f>CONCATENATE($T229,"-M",$U229,"-XM01")</f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>CONCATENATE("XT",U231)</f>
        <v>XT77</v>
      </c>
      <c r="LT231" s="12" t="str">
        <f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>CONCATENATE("XT",U232)</f>
        <v>XT77</v>
      </c>
      <c r="LT232" s="12" t="str">
        <f>CONCATENATE("DI",REPLACE($AC232,1,3,""),"-",$AD232)</f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SUM(IF(ISNUMBER(FIND("TmAi",$BA$1:$ZZ$1)),IF(IFERROR(ISODD(SUBSTITUTE($BA233:$ZZ233,"A","")),FALSE),IF(ISODD(SUBSTITUTE($BA233:$ZZ233,"A","")),1,0),0)))</f>
        <v>0</v>
      </c>
      <c r="AA233" t="str">
        <f>CONCATENATE($Y233*2-1,"B")</f>
        <v>1B</v>
      </c>
      <c r="AB233" t="str">
        <f>CONCATENATE($Y233*2,"B")</f>
        <v>2B</v>
      </c>
      <c r="AL233" t="s">
        <v>137</v>
      </c>
      <c r="AO233" t="s">
        <v>396</v>
      </c>
      <c r="JV233" s="27" t="str">
        <f>CONCATENATE("XT",U233)</f>
        <v>XT78</v>
      </c>
      <c r="JY233" t="str">
        <f>CONCATENATE(T233,"-AI",REPLACE($X233,1,3,""),"-",AA233)</f>
        <v>F0-AI28-1B</v>
      </c>
      <c r="JZ233" t="str">
        <f>CONCATENATE(T233,"-AI",REPLACE($X233,1,3,""),"-",AB233)</f>
        <v>F0-AI28-2B</v>
      </c>
      <c r="KE233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SUM(IF(ISNUMBER(FIND("TmAi",$BA$1:$ZZ$1)),IF(IFERROR(ISODD(SUBSTITUTE($BA234:$ZZ234,"A","")),FALSE),IF(ISODD(SUBSTITUTE($BA234:$ZZ234,"A","")),1,0),0)))</f>
        <v>0</v>
      </c>
      <c r="AA234" t="str">
        <f>CONCATENATE($Y234*2-1,"B")</f>
        <v>3B</v>
      </c>
      <c r="AB234" t="str">
        <f>CONCATENATE($Y234*2,"B")</f>
        <v>4B</v>
      </c>
      <c r="AL234" t="s">
        <v>137</v>
      </c>
      <c r="AO234" t="s">
        <v>396</v>
      </c>
      <c r="JV234" s="27" t="str">
        <f>CONCATENATE("XT",U234)</f>
        <v>XT78</v>
      </c>
      <c r="JY234" t="str">
        <f>CONCATENATE(T234,"-AI",REPLACE($X234,1,3,""),"-",AA234)</f>
        <v>F0-AI28-3B</v>
      </c>
      <c r="JZ234" t="str">
        <f>CONCATENATE(T234,"-AI",REPLACE($X234,1,3,""),"-",AB234)</f>
        <v>F0-AI28-4B</v>
      </c>
      <c r="KE234">
        <f t="array" ref="KE234">IF(COUNTIFS($U$2:$U234,$U234)=1,1,INDEX(KE:KE,_xlfn.XMATCH(U234,U$1:U233,0,-1))+COUNT(KE233:KI233))</f>
        <v>4</v>
      </c>
      <c r="KF234">
        <f>KE234+1</f>
        <v>5</v>
      </c>
      <c r="KG234">
        <f>KF234+1</f>
        <v>6</v>
      </c>
      <c r="KJ234">
        <v>1</v>
      </c>
      <c r="KK234" s="16">
        <v>2</v>
      </c>
      <c r="KO234" s="16"/>
    </row>
  </sheetData>
  <autoFilter ref="P1:P224" xr:uid="{00000000-0009-0000-0000-000002000000}"/>
  <conditionalFormatting sqref="A1:A32">
    <cfRule type="duplicateValues" dxfId="4" priority="5"/>
  </conditionalFormatting>
  <conditionalFormatting sqref="A221:A224 A1:A32 A226:A227 A235:A1048576">
    <cfRule type="duplicateValues" dxfId="3" priority="4"/>
  </conditionalFormatting>
  <conditionalFormatting sqref="B1:B56 B221:B229 B235:B1048576">
    <cfRule type="duplicateValues" dxfId="2" priority="3"/>
  </conditionalFormatting>
  <conditionalFormatting sqref="V1:V182 V187 V192 V197 V202 W183:W220 V221:V222 W223:W224 V225:V1048576">
    <cfRule type="duplicateValues" dxfId="1" priority="2"/>
  </conditionalFormatting>
  <conditionalFormatting sqref="Y1:Y1048576">
    <cfRule type="cellIs" dxfId="0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opLeftCell="A12" workbookViewId="0">
      <selection activeCell="F29" sqref="F2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1922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1924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1925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1926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1927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1928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1929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1923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1921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2007</v>
      </c>
      <c r="C27" t="s">
        <v>2196</v>
      </c>
      <c r="D27" t="s">
        <v>1918</v>
      </c>
      <c r="E27" t="s">
        <v>1781</v>
      </c>
    </row>
    <row r="28" spans="1:5" x14ac:dyDescent="0.25">
      <c r="A28" t="s">
        <v>1917</v>
      </c>
      <c r="B28" t="s">
        <v>2011</v>
      </c>
      <c r="C28" t="s">
        <v>969</v>
      </c>
      <c r="D28" t="s">
        <v>1918</v>
      </c>
      <c r="E28" t="s">
        <v>1781</v>
      </c>
    </row>
    <row r="29" spans="1:5" x14ac:dyDescent="0.25">
      <c r="A29" t="s">
        <v>1918</v>
      </c>
      <c r="B29" t="s">
        <v>2008</v>
      </c>
      <c r="C29" t="s">
        <v>2015</v>
      </c>
      <c r="D29" t="s">
        <v>974</v>
      </c>
      <c r="E29" t="s">
        <v>1781</v>
      </c>
    </row>
    <row r="30" spans="1:5" x14ac:dyDescent="0.25">
      <c r="A30" t="s">
        <v>1918</v>
      </c>
      <c r="B30" t="s">
        <v>2012</v>
      </c>
      <c r="C30" t="s">
        <v>2015</v>
      </c>
      <c r="D30" t="s">
        <v>974</v>
      </c>
      <c r="E30" t="s">
        <v>1781</v>
      </c>
    </row>
    <row r="31" spans="1:5" x14ac:dyDescent="0.25">
      <c r="A31" t="s">
        <v>1919</v>
      </c>
      <c r="B31" t="s">
        <v>2009</v>
      </c>
      <c r="C31" t="s">
        <v>2015</v>
      </c>
      <c r="D31" t="s">
        <v>974</v>
      </c>
      <c r="E31" t="s">
        <v>1779</v>
      </c>
    </row>
    <row r="32" spans="1:5" x14ac:dyDescent="0.25">
      <c r="A32" t="s">
        <v>1919</v>
      </c>
      <c r="B32" t="s">
        <v>2013</v>
      </c>
      <c r="C32" t="s">
        <v>2015</v>
      </c>
      <c r="D32" t="s">
        <v>974</v>
      </c>
      <c r="E32" t="s">
        <v>1779</v>
      </c>
    </row>
    <row r="33" spans="1:5" x14ac:dyDescent="0.25">
      <c r="A33" t="s">
        <v>1920</v>
      </c>
      <c r="B33" t="s">
        <v>2010</v>
      </c>
      <c r="C33" t="s">
        <v>2015</v>
      </c>
      <c r="D33" t="s">
        <v>974</v>
      </c>
      <c r="E33" t="s">
        <v>1779</v>
      </c>
    </row>
    <row r="34" spans="1:5" x14ac:dyDescent="0.25">
      <c r="A34" t="s">
        <v>1920</v>
      </c>
      <c r="B34" t="s">
        <v>2014</v>
      </c>
      <c r="C34" t="s">
        <v>2015</v>
      </c>
      <c r="D34" t="s">
        <v>974</v>
      </c>
      <c r="E34" t="s">
        <v>1779</v>
      </c>
    </row>
    <row r="35" spans="1:5" x14ac:dyDescent="0.25">
      <c r="A35" t="s">
        <v>2197</v>
      </c>
      <c r="B35" t="s">
        <v>2194</v>
      </c>
      <c r="C35" t="s">
        <v>969</v>
      </c>
      <c r="D35" t="s">
        <v>974</v>
      </c>
    </row>
    <row r="36" spans="1:5" x14ac:dyDescent="0.25">
      <c r="A36" t="s">
        <v>2197</v>
      </c>
      <c r="B36" t="s">
        <v>2195</v>
      </c>
      <c r="C36" t="s">
        <v>969</v>
      </c>
      <c r="D36" t="s">
        <v>974</v>
      </c>
    </row>
    <row r="37" spans="1:5" x14ac:dyDescent="0.25">
      <c r="A37" t="s">
        <v>974</v>
      </c>
      <c r="B37" t="s">
        <v>2198</v>
      </c>
      <c r="C37" t="s">
        <v>969</v>
      </c>
      <c r="D37" t="s">
        <v>2200</v>
      </c>
    </row>
    <row r="38" spans="1:5" x14ac:dyDescent="0.25">
      <c r="A38" t="s">
        <v>974</v>
      </c>
      <c r="B38" t="s">
        <v>2199</v>
      </c>
      <c r="C38" t="s">
        <v>969</v>
      </c>
      <c r="D38" t="s">
        <v>2201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2025-12-03T19:58:03Z</dcterms:modified>
</cp:coreProperties>
</file>