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"/>
    </mc:Choice>
  </mc:AlternateContent>
  <xr:revisionPtr revIDLastSave="0" documentId="13_ncr:1_{C9A28516-F8C8-4763-9AD8-2F77E8CD217F}" xr6:coauthVersionLast="47" xr6:coauthVersionMax="47" xr10:uidLastSave="{00000000-0000-0000-0000-000000000000}"/>
  <bookViews>
    <workbookView xWindow="-120" yWindow="-120" windowWidth="29040" windowHeight="15840" tabRatio="688" activeTab="1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Лист1!$P$1:$P$315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Лист1!$P$1:$P$152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Лист1!$P$1:$P$186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Лист1!$P$1:$P$186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Лист1!$P$1:$P$186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Лист1!$P$1:$P$42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Лист1!$P$1:$P$42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Лист1!$P$1:$P$44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R303" i="1" l="1"/>
  <c r="MR304" i="1" s="1"/>
  <c r="MR305" i="1" s="1"/>
  <c r="MR306" i="1" s="1"/>
  <c r="MQ303" i="1"/>
  <c r="MQ304" i="1" s="1"/>
  <c r="MQ305" i="1" s="1"/>
  <c r="MQ306" i="1" s="1"/>
  <c r="MG303" i="1"/>
  <c r="MG304" i="1" s="1"/>
  <c r="MG305" i="1" s="1"/>
  <c r="MG306" i="1" s="1"/>
  <c r="MR302" i="1"/>
  <c r="MQ302" i="1"/>
  <c r="MJ302" i="1"/>
  <c r="MJ303" i="1" s="1"/>
  <c r="MJ304" i="1" s="1"/>
  <c r="MJ305" i="1" s="1"/>
  <c r="MJ306" i="1" s="1"/>
  <c r="MI302" i="1"/>
  <c r="MI303" i="1" s="1"/>
  <c r="MI304" i="1" s="1"/>
  <c r="MI305" i="1" s="1"/>
  <c r="MI306" i="1" s="1"/>
  <c r="MH302" i="1"/>
  <c r="MH303" i="1" s="1"/>
  <c r="MH304" i="1" s="1"/>
  <c r="MH305" i="1" s="1"/>
  <c r="MH306" i="1" s="1"/>
  <c r="MG302" i="1"/>
  <c r="MF302" i="1"/>
  <c r="MF303" i="1" s="1"/>
  <c r="MF304" i="1" s="1"/>
  <c r="MF305" i="1" s="1"/>
  <c r="MF306" i="1" s="1"/>
  <c r="ME302" i="1"/>
  <c r="ME303" i="1" s="1"/>
  <c r="ME304" i="1" s="1"/>
  <c r="ME305" i="1" s="1"/>
  <c r="ME306" i="1" s="1"/>
  <c r="MD302" i="1"/>
  <c r="MD303" i="1" s="1"/>
  <c r="MD304" i="1" s="1"/>
  <c r="MD305" i="1" s="1"/>
  <c r="MD306" i="1" s="1"/>
  <c r="MC302" i="1"/>
  <c r="MC303" i="1" s="1"/>
  <c r="MC304" i="1" s="1"/>
  <c r="MC305" i="1" s="1"/>
  <c r="MC306" i="1" s="1"/>
  <c r="MR296" i="1" l="1"/>
  <c r="MR297" i="1" s="1"/>
  <c r="MR298" i="1" s="1"/>
  <c r="MR299" i="1" s="1"/>
  <c r="MR300" i="1" s="1"/>
  <c r="MQ296" i="1"/>
  <c r="MQ297" i="1" s="1"/>
  <c r="MQ298" i="1" s="1"/>
  <c r="MQ299" i="1" s="1"/>
  <c r="MQ300" i="1" s="1"/>
  <c r="MJ296" i="1"/>
  <c r="MJ297" i="1" s="1"/>
  <c r="MJ298" i="1" s="1"/>
  <c r="MJ299" i="1" s="1"/>
  <c r="MJ300" i="1" s="1"/>
  <c r="MI296" i="1"/>
  <c r="MI297" i="1" s="1"/>
  <c r="MI298" i="1" s="1"/>
  <c r="MI299" i="1" s="1"/>
  <c r="MI300" i="1" s="1"/>
  <c r="MH296" i="1"/>
  <c r="MH297" i="1" s="1"/>
  <c r="MH298" i="1" s="1"/>
  <c r="MH299" i="1" s="1"/>
  <c r="MH300" i="1" s="1"/>
  <c r="MG296" i="1"/>
  <c r="MG297" i="1" s="1"/>
  <c r="MG298" i="1" s="1"/>
  <c r="MG299" i="1" s="1"/>
  <c r="MG300" i="1" s="1"/>
  <c r="MF296" i="1"/>
  <c r="MF297" i="1" s="1"/>
  <c r="MF298" i="1" s="1"/>
  <c r="MF299" i="1" s="1"/>
  <c r="MF300" i="1" s="1"/>
  <c r="ME296" i="1"/>
  <c r="ME297" i="1" s="1"/>
  <c r="ME298" i="1" s="1"/>
  <c r="ME299" i="1" s="1"/>
  <c r="ME300" i="1" s="1"/>
  <c r="MD296" i="1"/>
  <c r="MD297" i="1" s="1"/>
  <c r="MD298" i="1" s="1"/>
  <c r="MD299" i="1" s="1"/>
  <c r="MD300" i="1" s="1"/>
  <c r="MC296" i="1"/>
  <c r="MC297" i="1" s="1"/>
  <c r="MC298" i="1" s="1"/>
  <c r="MC299" i="1" s="1"/>
  <c r="MC300" i="1" s="1"/>
  <c r="AI12" i="1" l="1" a="1"/>
  <c r="AI12" i="1" s="1"/>
  <c r="AL12" i="1" s="1"/>
  <c r="BQ12" i="1" s="1"/>
  <c r="BS12" i="1" s="1"/>
  <c r="AI22" i="1" a="1"/>
  <c r="AI22" i="1" s="1"/>
  <c r="AL22" i="1" s="1"/>
  <c r="BQ22" i="1" s="1"/>
  <c r="BS22" i="1" s="1"/>
  <c r="AI32" i="1" a="1"/>
  <c r="AI32" i="1" s="1"/>
  <c r="AL32" i="1" s="1"/>
  <c r="BQ32" i="1" s="1"/>
  <c r="BS32" i="1" s="1"/>
  <c r="AI34" i="1" a="1"/>
  <c r="AI34" i="1" s="1"/>
  <c r="AK34" i="1" s="1"/>
  <c r="EW34" i="1" s="1"/>
  <c r="AI43" i="1" a="1"/>
  <c r="AI43" i="1" s="1"/>
  <c r="AL43" i="1" s="1"/>
  <c r="HF43" i="1" s="1"/>
  <c r="AI2" i="1" a="1"/>
  <c r="AI2" i="1" s="1"/>
  <c r="AK2" i="1" s="1"/>
  <c r="BP2" i="1" s="1"/>
  <c r="BR2" i="1" s="1"/>
  <c r="AI225" i="1" a="1"/>
  <c r="AI225" i="1" s="1"/>
  <c r="AL225" i="1" s="1"/>
  <c r="EX225" i="1" s="1"/>
  <c r="RW202" i="1"/>
  <c r="RX202" i="1" s="1"/>
  <c r="RY202" i="1" s="1"/>
  <c r="RZ202" i="1" s="1"/>
  <c r="SA202" i="1" s="1"/>
  <c r="SB202" i="1" s="1"/>
  <c r="SC202" i="1" s="1"/>
  <c r="SD202" i="1" s="1"/>
  <c r="SE202" i="1" s="1"/>
  <c r="SF202" i="1" s="1"/>
  <c r="SG202" i="1" s="1"/>
  <c r="SH202" i="1" s="1"/>
  <c r="SI202" i="1" s="1"/>
  <c r="SJ202" i="1" s="1"/>
  <c r="SK202" i="1" s="1"/>
  <c r="SL202" i="1" s="1"/>
  <c r="SM202" i="1" s="1"/>
  <c r="SN202" i="1" s="1"/>
  <c r="SO202" i="1" s="1"/>
  <c r="SP202" i="1" s="1"/>
  <c r="SQ202" i="1" s="1"/>
  <c r="SR202" i="1" s="1"/>
  <c r="SS202" i="1" s="1"/>
  <c r="ST202" i="1" s="1"/>
  <c r="RW197" i="1"/>
  <c r="RX197" i="1" s="1"/>
  <c r="RY197" i="1" s="1"/>
  <c r="RZ197" i="1" s="1"/>
  <c r="SA197" i="1" s="1"/>
  <c r="SB197" i="1" s="1"/>
  <c r="SC197" i="1" s="1"/>
  <c r="SD197" i="1" s="1"/>
  <c r="SE197" i="1" s="1"/>
  <c r="SF197" i="1" s="1"/>
  <c r="SG197" i="1" s="1"/>
  <c r="SH197" i="1" s="1"/>
  <c r="SI197" i="1" s="1"/>
  <c r="SJ197" i="1" s="1"/>
  <c r="SK197" i="1" s="1"/>
  <c r="SL197" i="1" s="1"/>
  <c r="SM197" i="1" s="1"/>
  <c r="SN197" i="1" s="1"/>
  <c r="SO197" i="1" s="1"/>
  <c r="SP197" i="1" s="1"/>
  <c r="SQ197" i="1" s="1"/>
  <c r="SR197" i="1" s="1"/>
  <c r="SS197" i="1" s="1"/>
  <c r="ST197" i="1" s="1"/>
  <c r="RW192" i="1"/>
  <c r="RX192" i="1" s="1"/>
  <c r="RY192" i="1" s="1"/>
  <c r="RZ192" i="1" s="1"/>
  <c r="SA192" i="1" s="1"/>
  <c r="SB192" i="1" s="1"/>
  <c r="SC192" i="1" s="1"/>
  <c r="SD192" i="1" s="1"/>
  <c r="SE192" i="1" s="1"/>
  <c r="SF192" i="1" s="1"/>
  <c r="SG192" i="1" s="1"/>
  <c r="SH192" i="1" s="1"/>
  <c r="SI192" i="1" s="1"/>
  <c r="SJ192" i="1" s="1"/>
  <c r="SK192" i="1" s="1"/>
  <c r="SL192" i="1" s="1"/>
  <c r="SM192" i="1" s="1"/>
  <c r="SN192" i="1" s="1"/>
  <c r="SO192" i="1" s="1"/>
  <c r="SP192" i="1" s="1"/>
  <c r="SQ192" i="1" s="1"/>
  <c r="SR192" i="1" s="1"/>
  <c r="SS192" i="1" s="1"/>
  <c r="ST192" i="1" s="1"/>
  <c r="RW187" i="1"/>
  <c r="RX187" i="1" s="1"/>
  <c r="RY187" i="1" s="1"/>
  <c r="RZ187" i="1" s="1"/>
  <c r="SA187" i="1" s="1"/>
  <c r="SB187" i="1" s="1"/>
  <c r="SC187" i="1" s="1"/>
  <c r="SD187" i="1" s="1"/>
  <c r="SE187" i="1" s="1"/>
  <c r="SF187" i="1" s="1"/>
  <c r="SG187" i="1" s="1"/>
  <c r="SH187" i="1" s="1"/>
  <c r="SI187" i="1" s="1"/>
  <c r="SJ187" i="1" s="1"/>
  <c r="SK187" i="1" s="1"/>
  <c r="SL187" i="1" s="1"/>
  <c r="SM187" i="1" s="1"/>
  <c r="SN187" i="1" s="1"/>
  <c r="SO187" i="1" s="1"/>
  <c r="SP187" i="1" s="1"/>
  <c r="SQ187" i="1" s="1"/>
  <c r="SR187" i="1" s="1"/>
  <c r="SS187" i="1" s="1"/>
  <c r="ST187" i="1" s="1"/>
  <c r="AK32" i="1" l="1"/>
  <c r="BP32" i="1" s="1"/>
  <c r="BR32" i="1" s="1"/>
  <c r="AL34" i="1"/>
  <c r="EX34" i="1" s="1"/>
  <c r="AK43" i="1"/>
  <c r="HE43" i="1" s="1"/>
  <c r="AL2" i="1"/>
  <c r="BQ2" i="1" s="1"/>
  <c r="BS2" i="1" s="1"/>
  <c r="AK22" i="1"/>
  <c r="BP22" i="1" s="1"/>
  <c r="BR22" i="1" s="1"/>
  <c r="AK12" i="1"/>
  <c r="BP12" i="1" s="1"/>
  <c r="BR12" i="1" s="1"/>
  <c r="AK225" i="1"/>
  <c r="EW225" i="1" s="1"/>
  <c r="LZ230" i="1" l="1"/>
  <c r="LY232" i="1"/>
  <c r="LY231" i="1"/>
  <c r="LY230" i="1"/>
  <c r="LZ231" i="1"/>
  <c r="LZ232" i="1"/>
  <c r="UA315" i="1" l="1"/>
  <c r="UA314" i="1"/>
  <c r="UA313" i="1"/>
  <c r="UA312" i="1"/>
  <c r="UA311" i="1"/>
  <c r="UA309" i="1"/>
  <c r="UA310" i="1"/>
  <c r="UA308" i="1"/>
  <c r="UB308" i="1"/>
  <c r="UB309" i="1" s="1"/>
  <c r="UC308" i="1" l="1"/>
  <c r="UD308" i="1" s="1"/>
  <c r="UC309" i="1"/>
  <c r="UD309" i="1" s="1"/>
  <c r="UB310" i="1"/>
  <c r="UC307" i="1"/>
  <c r="UD307" i="1" s="1"/>
  <c r="UA307" i="1"/>
  <c r="GT281" i="1"/>
  <c r="UC310" i="1" l="1"/>
  <c r="UD310" i="1" s="1"/>
  <c r="UB311" i="1"/>
  <c r="HS267" i="1"/>
  <c r="HT267" i="1"/>
  <c r="HS271" i="1"/>
  <c r="HT271" i="1"/>
  <c r="HS275" i="1"/>
  <c r="HT275" i="1"/>
  <c r="HS279" i="1"/>
  <c r="HT279" i="1"/>
  <c r="MR287" i="1"/>
  <c r="MR288" i="1" s="1"/>
  <c r="MR289" i="1" s="1"/>
  <c r="MR290" i="1" s="1"/>
  <c r="MR291" i="1" s="1"/>
  <c r="MR292" i="1" s="1"/>
  <c r="MR293" i="1" s="1"/>
  <c r="MR294" i="1" s="1"/>
  <c r="MQ287" i="1"/>
  <c r="MQ288" i="1" s="1"/>
  <c r="MQ289" i="1" s="1"/>
  <c r="MQ290" i="1" s="1"/>
  <c r="MQ291" i="1" s="1"/>
  <c r="MQ292" i="1" s="1"/>
  <c r="MQ293" i="1" s="1"/>
  <c r="MQ294" i="1" s="1"/>
  <c r="MJ287" i="1"/>
  <c r="MJ288" i="1" s="1"/>
  <c r="MJ289" i="1" s="1"/>
  <c r="MJ290" i="1" s="1"/>
  <c r="MJ291" i="1" s="1"/>
  <c r="MJ292" i="1" s="1"/>
  <c r="MJ293" i="1" s="1"/>
  <c r="MJ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MC287" i="1"/>
  <c r="MC288" i="1" s="1"/>
  <c r="MC289" i="1" s="1"/>
  <c r="MC290" i="1" s="1"/>
  <c r="MC291" i="1" s="1"/>
  <c r="MC292" i="1" s="1"/>
  <c r="MC293" i="1" s="1"/>
  <c r="MC294" i="1" s="1"/>
  <c r="BE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C268" i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Z234" i="1"/>
  <c r="JZ233" i="1"/>
  <c r="LX231" i="1"/>
  <c r="LX232" i="1"/>
  <c r="ML230" i="1"/>
  <c r="LX230" i="1"/>
  <c r="FM228" i="1"/>
  <c r="FM229" i="1"/>
  <c r="AN228" i="1"/>
  <c r="AO228" i="1"/>
  <c r="ER228" i="1"/>
  <c r="EY228" i="1"/>
  <c r="EZ228" i="1"/>
  <c r="FI228" i="1"/>
  <c r="FN228" i="1"/>
  <c r="FO228" i="1"/>
  <c r="FP228" i="1"/>
  <c r="FT228" i="1"/>
  <c r="FU228" i="1"/>
  <c r="AN229" i="1"/>
  <c r="AO229" i="1"/>
  <c r="ER229" i="1"/>
  <c r="EY229" i="1"/>
  <c r="EZ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Y226" i="1"/>
  <c r="EZ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Y227" i="1"/>
  <c r="EZ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FH225" i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JZ222" i="1"/>
  <c r="JZ221" i="1"/>
  <c r="JZ220" i="1"/>
  <c r="JZ219" i="1"/>
  <c r="JZ218" i="1"/>
  <c r="KJ217" i="1"/>
  <c r="KK217" i="1" s="1"/>
  <c r="JZ217" i="1"/>
  <c r="AC269" i="1" l="1"/>
  <c r="AC270" i="1" s="1"/>
  <c r="CD270" i="1" s="1"/>
  <c r="FG225" i="1"/>
  <c r="AJ225" i="1" a="1"/>
  <c r="AJ225" i="1" s="1"/>
  <c r="AI226" i="1" s="1" a="1"/>
  <c r="AI226" i="1" s="1"/>
  <c r="AL267" i="1"/>
  <c r="HF267" i="1" s="1"/>
  <c r="AK267" i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UC311" i="1"/>
  <c r="UD311" i="1" s="1"/>
  <c r="UB312" i="1"/>
  <c r="AG267" i="1"/>
  <c r="GU267" i="1"/>
  <c r="FA225" i="1"/>
  <c r="FB225" i="1"/>
  <c r="HI267" i="1"/>
  <c r="FB227" i="1"/>
  <c r="FA226" i="1"/>
  <c r="FA227" i="1"/>
  <c r="EV226" i="1"/>
  <c r="FD226" i="1" s="1"/>
  <c r="KJ216" i="1"/>
  <c r="KK216" i="1" s="1"/>
  <c r="JZ216" i="1"/>
  <c r="OG215" i="1"/>
  <c r="KJ214" i="1"/>
  <c r="KK214" i="1" s="1"/>
  <c r="JZ214" i="1"/>
  <c r="OG213" i="1"/>
  <c r="KJ212" i="1"/>
  <c r="KK212" i="1" s="1"/>
  <c r="JZ212" i="1"/>
  <c r="OG211" i="1"/>
  <c r="KJ210" i="1"/>
  <c r="KK210" i="1" s="1"/>
  <c r="JZ210" i="1"/>
  <c r="OG209" i="1"/>
  <c r="KJ208" i="1"/>
  <c r="KK208" i="1" s="1"/>
  <c r="JZ208" i="1"/>
  <c r="OG207" i="1"/>
  <c r="OG205" i="1"/>
  <c r="JZ206" i="1"/>
  <c r="KJ206" i="1"/>
  <c r="KK206" i="1" s="1"/>
  <c r="KJ204" i="1"/>
  <c r="KK204" i="1" s="1"/>
  <c r="JZ204" i="1"/>
  <c r="OG203" i="1"/>
  <c r="RU202" i="1"/>
  <c r="QN202" i="1"/>
  <c r="QP202" i="1" s="1"/>
  <c r="QR202" i="1" s="1"/>
  <c r="QT202" i="1" s="1"/>
  <c r="QV202" i="1" s="1"/>
  <c r="QM202" i="1"/>
  <c r="QO202" i="1" s="1"/>
  <c r="QQ202" i="1" s="1"/>
  <c r="QS202" i="1" s="1"/>
  <c r="QU202" i="1" s="1"/>
  <c r="KJ201" i="1"/>
  <c r="KK201" i="1" s="1"/>
  <c r="JZ201" i="1"/>
  <c r="OG200" i="1"/>
  <c r="OG199" i="1"/>
  <c r="OG198" i="1"/>
  <c r="RU197" i="1"/>
  <c r="QN197" i="1"/>
  <c r="QP197" i="1" s="1"/>
  <c r="QR197" i="1" s="1"/>
  <c r="QT197" i="1" s="1"/>
  <c r="QV197" i="1" s="1"/>
  <c r="QM197" i="1"/>
  <c r="QO197" i="1" s="1"/>
  <c r="QQ197" i="1" s="1"/>
  <c r="QS197" i="1" s="1"/>
  <c r="QU197" i="1" s="1"/>
  <c r="KJ196" i="1"/>
  <c r="KK196" i="1" s="1"/>
  <c r="JZ196" i="1"/>
  <c r="OG195" i="1"/>
  <c r="OG194" i="1"/>
  <c r="OG193" i="1"/>
  <c r="RU192" i="1"/>
  <c r="QN192" i="1"/>
  <c r="QP192" i="1" s="1"/>
  <c r="QR192" i="1" s="1"/>
  <c r="QT192" i="1" s="1"/>
  <c r="QV192" i="1" s="1"/>
  <c r="QM192" i="1"/>
  <c r="QO192" i="1" s="1"/>
  <c r="QQ192" i="1" s="1"/>
  <c r="QS192" i="1" s="1"/>
  <c r="QU192" i="1" s="1"/>
  <c r="KJ191" i="1"/>
  <c r="KK191" i="1" s="1"/>
  <c r="JZ191" i="1"/>
  <c r="OG190" i="1"/>
  <c r="OG189" i="1"/>
  <c r="OG188" i="1"/>
  <c r="RU187" i="1"/>
  <c r="QM187" i="1"/>
  <c r="QO187" i="1" s="1"/>
  <c r="QQ187" i="1" s="1"/>
  <c r="QS187" i="1" s="1"/>
  <c r="QU187" i="1" s="1"/>
  <c r="QN187" i="1"/>
  <c r="QP187" i="1" s="1"/>
  <c r="QR187" i="1" s="1"/>
  <c r="QT187" i="1" s="1"/>
  <c r="QV187" i="1" s="1"/>
  <c r="JZ186" i="1"/>
  <c r="OG184" i="1"/>
  <c r="OG185" i="1"/>
  <c r="OG183" i="1"/>
  <c r="JZ182" i="1"/>
  <c r="JZ181" i="1"/>
  <c r="MY180" i="1"/>
  <c r="MZ180" i="1"/>
  <c r="NB180" i="1" s="1"/>
  <c r="NA180" i="1"/>
  <c r="NI180" i="1" s="1"/>
  <c r="NH180" i="1"/>
  <c r="NA179" i="1"/>
  <c r="NC179" i="1" s="1"/>
  <c r="MZ179" i="1"/>
  <c r="NB179" i="1" s="1"/>
  <c r="ND179" i="1" s="1"/>
  <c r="NH179" i="1"/>
  <c r="MY179" i="1"/>
  <c r="LX178" i="1"/>
  <c r="MB178" i="1"/>
  <c r="MB177" i="1"/>
  <c r="MK178" i="1"/>
  <c r="ML178" i="1" s="1"/>
  <c r="MM178" i="1" s="1"/>
  <c r="MN178" i="1" s="1"/>
  <c r="LY178" i="1"/>
  <c r="LY177" i="1"/>
  <c r="KU169" i="1"/>
  <c r="LX177" i="1"/>
  <c r="ML177" i="1"/>
  <c r="MM177" i="1" s="1"/>
  <c r="MN177" i="1" s="1"/>
  <c r="LQ171" i="1"/>
  <c r="LR171" i="1" s="1"/>
  <c r="LS171" i="1" s="1"/>
  <c r="LN176" i="1"/>
  <c r="LN175" i="1"/>
  <c r="LN174" i="1"/>
  <c r="LN173" i="1"/>
  <c r="LN172" i="1"/>
  <c r="LN171" i="1"/>
  <c r="LR170" i="1"/>
  <c r="LS170" i="1" s="1"/>
  <c r="LN170" i="1"/>
  <c r="KT169" i="1"/>
  <c r="KW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I45" i="1"/>
  <c r="HJ45" i="1"/>
  <c r="GU46" i="1"/>
  <c r="GW46" i="1" s="1"/>
  <c r="GV46" i="1"/>
  <c r="GX46" i="1" s="1"/>
  <c r="HI46" i="1"/>
  <c r="HJ46" i="1"/>
  <c r="GU47" i="1"/>
  <c r="GW47" i="1" s="1"/>
  <c r="GV47" i="1"/>
  <c r="GX47" i="1" s="1"/>
  <c r="HI47" i="1"/>
  <c r="HJ47" i="1"/>
  <c r="GU48" i="1"/>
  <c r="GW48" i="1" s="1"/>
  <c r="GV48" i="1"/>
  <c r="GX48" i="1" s="1"/>
  <c r="HI48" i="1"/>
  <c r="HJ48" i="1"/>
  <c r="GU49" i="1"/>
  <c r="GW49" i="1" s="1"/>
  <c r="GV49" i="1"/>
  <c r="GX49" i="1" s="1"/>
  <c r="HI49" i="1"/>
  <c r="HJ49" i="1"/>
  <c r="GU50" i="1"/>
  <c r="GW50" i="1" s="1"/>
  <c r="GV50" i="1"/>
  <c r="GX50" i="1" s="1"/>
  <c r="HI50" i="1"/>
  <c r="HJ50" i="1"/>
  <c r="GU51" i="1"/>
  <c r="GW51" i="1" s="1"/>
  <c r="GV51" i="1"/>
  <c r="GX51" i="1" s="1"/>
  <c r="HI51" i="1"/>
  <c r="HJ51" i="1"/>
  <c r="GU52" i="1"/>
  <c r="GW52" i="1" s="1"/>
  <c r="GV52" i="1"/>
  <c r="GX52" i="1" s="1"/>
  <c r="HI52" i="1"/>
  <c r="HJ52" i="1"/>
  <c r="GU53" i="1"/>
  <c r="GW53" i="1" s="1"/>
  <c r="GV53" i="1"/>
  <c r="GX53" i="1" s="1"/>
  <c r="HI53" i="1"/>
  <c r="HJ53" i="1"/>
  <c r="GU54" i="1"/>
  <c r="GW54" i="1" s="1"/>
  <c r="GV54" i="1"/>
  <c r="GX54" i="1" s="1"/>
  <c r="HI54" i="1"/>
  <c r="HJ54" i="1"/>
  <c r="GU55" i="1"/>
  <c r="GW55" i="1" s="1"/>
  <c r="GV55" i="1"/>
  <c r="GX55" i="1" s="1"/>
  <c r="HI55" i="1"/>
  <c r="HJ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I44" i="1"/>
  <c r="HJ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X43" i="1"/>
  <c r="HV43" i="1"/>
  <c r="HW43" i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Y36" i="1"/>
  <c r="EZ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Y37" i="1"/>
  <c r="EZ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Y38" i="1"/>
  <c r="EZ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Y39" i="1"/>
  <c r="EZ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Y40" i="1"/>
  <c r="EZ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Y41" i="1"/>
  <c r="EZ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Y42" i="1"/>
  <c r="EZ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F34" i="1"/>
  <c r="FE34" i="1"/>
  <c r="EY35" i="1"/>
  <c r="EZ35" i="1"/>
  <c r="EZ34" i="1"/>
  <c r="EY34" i="1"/>
  <c r="FH34" i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G33" i="1"/>
  <c r="BI33" i="1" s="1"/>
  <c r="BU33" i="1"/>
  <c r="BF33" i="1"/>
  <c r="BH33" i="1" s="1"/>
  <c r="BJ33" i="1" s="1"/>
  <c r="BL33" i="1" s="1"/>
  <c r="BN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CI32" i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BU31" i="1"/>
  <c r="BT31" i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BU30" i="1"/>
  <c r="BT30" i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BU29" i="1"/>
  <c r="BT29" i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BU28" i="1"/>
  <c r="BT28" i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BU27" i="1"/>
  <c r="BT27" i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BU26" i="1"/>
  <c r="BT26" i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BU25" i="1"/>
  <c r="BT25" i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BU24" i="1"/>
  <c r="BT24" i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BU23" i="1"/>
  <c r="BT23" i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CK22" i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BU21" i="1"/>
  <c r="BT21" i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BU20" i="1"/>
  <c r="BT20" i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BU19" i="1"/>
  <c r="BT19" i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BU18" i="1"/>
  <c r="BT18" i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BU17" i="1"/>
  <c r="BT17" i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BU16" i="1"/>
  <c r="BT16" i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BU15" i="1"/>
  <c r="BT15" i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BU14" i="1"/>
  <c r="BT14" i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BU13" i="1"/>
  <c r="BT13" i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CI12" i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BU11" i="1"/>
  <c r="BT11" i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BU10" i="1"/>
  <c r="BT10" i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BU9" i="1"/>
  <c r="BT9" i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BU8" i="1"/>
  <c r="BT8" i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BU7" i="1"/>
  <c r="BT7" i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BU6" i="1"/>
  <c r="BT6" i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BU5" i="1"/>
  <c r="BT5" i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BU4" i="1"/>
  <c r="BT4" i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BU3" i="1"/>
  <c r="BT3" i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CK2" i="1"/>
  <c r="BG2" i="1"/>
  <c r="BI2" i="1" s="1"/>
  <c r="BY2" i="1" s="1"/>
  <c r="BF2" i="1"/>
  <c r="BV2" i="1" s="1"/>
  <c r="BE2" i="1"/>
  <c r="G2" i="1"/>
  <c r="HS269" i="1" l="1"/>
  <c r="CE270" i="1"/>
  <c r="HT269" i="1"/>
  <c r="HU267" i="1"/>
  <c r="HE267" i="1"/>
  <c r="HW267" i="1" s="1"/>
  <c r="CJ2" i="1"/>
  <c r="CH32" i="1"/>
  <c r="CH12" i="1"/>
  <c r="FG34" i="1"/>
  <c r="AJ34" i="1" a="1"/>
  <c r="AJ34" i="1" s="1"/>
  <c r="AI35" i="1" s="1" a="1"/>
  <c r="AI35" i="1" s="1"/>
  <c r="CH22" i="1"/>
  <c r="AL226" i="1"/>
  <c r="EX226" i="1" s="1"/>
  <c r="AK226" i="1"/>
  <c r="EW226" i="1" s="1"/>
  <c r="HY44" i="1"/>
  <c r="X57" i="1"/>
  <c r="X58" i="1" s="1"/>
  <c r="Y51" i="1" a="1"/>
  <c r="Y51" i="1" s="1"/>
  <c r="AA51" i="1" s="1"/>
  <c r="HG51" i="1" s="1"/>
  <c r="Y56" i="1" a="1"/>
  <c r="Y56" i="1" s="1"/>
  <c r="AA56" i="1" s="1"/>
  <c r="UC312" i="1"/>
  <c r="UD312" i="1" s="1"/>
  <c r="UB313" i="1"/>
  <c r="HV267" i="1"/>
  <c r="HX267" i="1"/>
  <c r="GW267" i="1"/>
  <c r="HM267" i="1" s="1"/>
  <c r="HK267" i="1"/>
  <c r="HJ267" i="1"/>
  <c r="GV267" i="1"/>
  <c r="AA43" i="1"/>
  <c r="AB43" i="1"/>
  <c r="HH43" i="1" s="1"/>
  <c r="U45" i="1"/>
  <c r="IJ45" i="1" s="1"/>
  <c r="KJ186" i="1"/>
  <c r="KK186" i="1" s="1"/>
  <c r="NE179" i="1"/>
  <c r="NK179" i="1" s="1"/>
  <c r="NJ179" i="1"/>
  <c r="NC180" i="1"/>
  <c r="NJ180" i="1" s="1"/>
  <c r="NI179" i="1"/>
  <c r="ND180" i="1"/>
  <c r="LQ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FB34" i="1"/>
  <c r="FB35" i="1"/>
  <c r="FA35" i="1"/>
  <c r="BV33" i="1"/>
  <c r="BI18" i="1"/>
  <c r="BY18" i="1" s="1"/>
  <c r="BW33" i="1"/>
  <c r="BK33" i="1"/>
  <c r="BM33" i="1" s="1"/>
  <c r="BO33" i="1" s="1"/>
  <c r="BY33" i="1"/>
  <c r="BZ33" i="1"/>
  <c r="BX33" i="1"/>
  <c r="BW2" i="1"/>
  <c r="BV14" i="1"/>
  <c r="BI11" i="1"/>
  <c r="BY11" i="1" s="1"/>
  <c r="BW3" i="1"/>
  <c r="CH2" i="1"/>
  <c r="BY3" i="1"/>
  <c r="BK3" i="1"/>
  <c r="BM3" i="1" s="1"/>
  <c r="BW7" i="1"/>
  <c r="BH10" i="1"/>
  <c r="BX10" i="1" s="1"/>
  <c r="BH28" i="1"/>
  <c r="BX28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BH24" i="1"/>
  <c r="BX24" i="1" s="1"/>
  <c r="BH30" i="1"/>
  <c r="BX30" i="1" s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J22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BV7" i="1"/>
  <c r="BV11" i="1"/>
  <c r="BV15" i="1"/>
  <c r="BV19" i="1"/>
  <c r="BV23" i="1"/>
  <c r="BV27" i="1"/>
  <c r="BV31" i="1"/>
  <c r="BJ14" i="1"/>
  <c r="BJ18" i="1"/>
  <c r="BJ26" i="1"/>
  <c r="BH5" i="1"/>
  <c r="BH9" i="1"/>
  <c r="BK10" i="1"/>
  <c r="BH13" i="1"/>
  <c r="BH17" i="1"/>
  <c r="BH21" i="1"/>
  <c r="BK22" i="1"/>
  <c r="BH25" i="1"/>
  <c r="BK26" i="1"/>
  <c r="BH29" i="1"/>
  <c r="BK30" i="1"/>
  <c r="BK2" i="1"/>
  <c r="BI5" i="1"/>
  <c r="BI9" i="1"/>
  <c r="CJ12" i="1"/>
  <c r="BI13" i="1"/>
  <c r="BI17" i="1"/>
  <c r="BI21" i="1"/>
  <c r="BI25" i="1"/>
  <c r="BI29" i="1"/>
  <c r="CJ32" i="1"/>
  <c r="CK12" i="1"/>
  <c r="CK32" i="1"/>
  <c r="BH32" i="1"/>
  <c r="BI4" i="1"/>
  <c r="BI8" i="1"/>
  <c r="BI12" i="1"/>
  <c r="BI16" i="1"/>
  <c r="BI20" i="1"/>
  <c r="BI24" i="1"/>
  <c r="BI28" i="1"/>
  <c r="BI32" i="1"/>
  <c r="AK35" i="1" l="1"/>
  <c r="EW35" i="1" s="1"/>
  <c r="AL35" i="1"/>
  <c r="EX35" i="1" s="1"/>
  <c r="FE226" i="1"/>
  <c r="FH226" i="1"/>
  <c r="FF226" i="1"/>
  <c r="AB56" i="1"/>
  <c r="AB51" i="1"/>
  <c r="HH51" i="1" s="1"/>
  <c r="UB314" i="1"/>
  <c r="UC313" i="1"/>
  <c r="UD313" i="1" s="1"/>
  <c r="GY267" i="1"/>
  <c r="HO267" i="1" s="1"/>
  <c r="GX267" i="1"/>
  <c r="HL267" i="1"/>
  <c r="CD268" i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NE180" i="1"/>
  <c r="LQ173" i="1"/>
  <c r="LR172" i="1"/>
  <c r="LS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CD33" i="1"/>
  <c r="CB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AJ2" i="1" l="1" a="1"/>
  <c r="AJ2" i="1" s="1"/>
  <c r="AI3" i="1" s="1" a="1"/>
  <c r="AI3" i="1" s="1"/>
  <c r="BL22" i="1"/>
  <c r="AJ22" i="1" a="1"/>
  <c r="AJ22" i="1" s="1"/>
  <c r="AI23" i="1" s="1" a="1"/>
  <c r="AI23" i="1" s="1"/>
  <c r="FE35" i="1"/>
  <c r="FH35" i="1"/>
  <c r="FF35" i="1"/>
  <c r="FG226" i="1"/>
  <c r="AJ226" i="1" a="1"/>
  <c r="AJ226" i="1" s="1"/>
  <c r="AI227" i="1" s="1" a="1"/>
  <c r="AI227" i="1" s="1"/>
  <c r="UB315" i="1"/>
  <c r="UC315" i="1" s="1"/>
  <c r="UD315" i="1" s="1"/>
  <c r="UC314" i="1"/>
  <c r="UD314" i="1" s="1"/>
  <c r="HA267" i="1"/>
  <c r="HN267" i="1"/>
  <c r="GZ267" i="1"/>
  <c r="CE268" i="1"/>
  <c r="Z180" i="1" a="1"/>
  <c r="Z180" i="1" s="1"/>
  <c r="IK46" i="1"/>
  <c r="GT46" i="1"/>
  <c r="IG46" i="1"/>
  <c r="NK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N46" i="1"/>
  <c r="IQ46" i="1"/>
  <c r="LQ174" i="1"/>
  <c r="LR173" i="1"/>
  <c r="LS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CE33" i="1"/>
  <c r="CC33" i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22" i="1"/>
  <c r="BN22" i="1"/>
  <c r="CD22" i="1" s="1"/>
  <c r="CB7" i="1"/>
  <c r="BN7" i="1"/>
  <c r="CD7" i="1" s="1"/>
  <c r="CA28" i="1"/>
  <c r="BM28" i="1"/>
  <c r="CB31" i="1"/>
  <c r="BN31" i="1"/>
  <c r="CD31" i="1" s="1"/>
  <c r="CA16" i="1"/>
  <c r="BM16" i="1"/>
  <c r="AJ32" i="1" l="1" a="1"/>
  <c r="AJ32" i="1" s="1"/>
  <c r="AI33" i="1" s="1" a="1"/>
  <c r="AI33" i="1" s="1"/>
  <c r="AK23" i="1"/>
  <c r="AL23" i="1"/>
  <c r="AL3" i="1"/>
  <c r="AK3" i="1"/>
  <c r="FG35" i="1"/>
  <c r="AJ35" i="1" a="1"/>
  <c r="AJ35" i="1" s="1"/>
  <c r="AI36" i="1" s="1" a="1"/>
  <c r="AI36" i="1" s="1"/>
  <c r="AL227" i="1"/>
  <c r="EX227" i="1" s="1"/>
  <c r="AK227" i="1"/>
  <c r="EW227" i="1" s="1"/>
  <c r="IP47" i="1"/>
  <c r="HQ267" i="1"/>
  <c r="HP267" i="1"/>
  <c r="HB267" i="1"/>
  <c r="X61" i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Q47" i="1"/>
  <c r="GT47" i="1"/>
  <c r="IL47" i="1"/>
  <c r="IN47" i="1"/>
  <c r="IG47" i="1"/>
  <c r="IM47" i="1"/>
  <c r="LR174" i="1"/>
  <c r="LS174" i="1" s="1"/>
  <c r="LQ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CD12" i="1" l="1"/>
  <c r="AJ12" i="1" a="1"/>
  <c r="AJ12" i="1" s="1"/>
  <c r="AI13" i="1" s="1" a="1"/>
  <c r="AI13" i="1" s="1"/>
  <c r="X62" i="1"/>
  <c r="X63" i="1" s="1"/>
  <c r="X64" i="1" s="1"/>
  <c r="X65" i="1" s="1"/>
  <c r="X67" i="1" s="1"/>
  <c r="X68" i="1" s="1"/>
  <c r="BP3" i="1"/>
  <c r="CF3" i="1"/>
  <c r="BQ3" i="1"/>
  <c r="CG3" i="1"/>
  <c r="BQ23" i="1"/>
  <c r="CG23" i="1"/>
  <c r="BP23" i="1"/>
  <c r="CF23" i="1"/>
  <c r="AL33" i="1"/>
  <c r="AK33" i="1"/>
  <c r="AL36" i="1"/>
  <c r="EX36" i="1" s="1"/>
  <c r="AK36" i="1"/>
  <c r="EW36" i="1" s="1"/>
  <c r="FE227" i="1"/>
  <c r="FH227" i="1"/>
  <c r="FF227" i="1"/>
  <c r="IE48" i="1"/>
  <c r="HR267" i="1"/>
  <c r="IM48" i="1"/>
  <c r="II48" i="1"/>
  <c r="IP48" i="1"/>
  <c r="IK48" i="1"/>
  <c r="U49" i="1"/>
  <c r="IC48" i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Q176" i="1"/>
  <c r="LR176" i="1" s="1"/>
  <c r="LS176" i="1" s="1"/>
  <c r="LR175" i="1"/>
  <c r="LS175" i="1" s="1"/>
  <c r="Y69" i="1" l="1" a="1"/>
  <c r="Y69" i="1" s="1"/>
  <c r="AA69" i="1" s="1"/>
  <c r="X70" i="1"/>
  <c r="BS23" i="1"/>
  <c r="CK23" i="1" s="1"/>
  <c r="CI23" i="1"/>
  <c r="BS3" i="1"/>
  <c r="CK3" i="1" s="1"/>
  <c r="CI3" i="1"/>
  <c r="BR23" i="1"/>
  <c r="CJ23" i="1" s="1"/>
  <c r="AJ23" i="1" a="1"/>
  <c r="AJ23" i="1" s="1"/>
  <c r="AI24" i="1" s="1" a="1"/>
  <c r="AI24" i="1" s="1"/>
  <c r="CH23" i="1"/>
  <c r="BR3" i="1"/>
  <c r="CJ3" i="1" s="1"/>
  <c r="AJ3" i="1" a="1"/>
  <c r="AJ3" i="1" s="1"/>
  <c r="AI4" i="1" s="1" a="1"/>
  <c r="AI4" i="1" s="1"/>
  <c r="CH3" i="1"/>
  <c r="AK13" i="1"/>
  <c r="AL13" i="1"/>
  <c r="BP33" i="1"/>
  <c r="CF33" i="1"/>
  <c r="BQ33" i="1"/>
  <c r="CG33" i="1"/>
  <c r="FE36" i="1"/>
  <c r="FH36" i="1"/>
  <c r="FF36" i="1"/>
  <c r="FG227" i="1"/>
  <c r="AJ227" i="1" a="1"/>
  <c r="AJ227" i="1" s="1"/>
  <c r="AI228" i="1" s="1" a="1"/>
  <c r="AI228" i="1" s="1"/>
  <c r="II49" i="1"/>
  <c r="GT49" i="1"/>
  <c r="HZ49" i="1"/>
  <c r="IE49" i="1"/>
  <c r="IK49" i="1"/>
  <c r="ID49" i="1"/>
  <c r="IA49" i="1"/>
  <c r="IB49" i="1"/>
  <c r="IN49" i="1"/>
  <c r="IM49" i="1"/>
  <c r="IO49" i="1"/>
  <c r="HY49" i="1"/>
  <c r="U50" i="1"/>
  <c r="IG49" i="1"/>
  <c r="IC49" i="1"/>
  <c r="IJ49" i="1"/>
  <c r="IF49" i="1"/>
  <c r="IP49" i="1"/>
  <c r="IQ49" i="1"/>
  <c r="IL49" i="1"/>
  <c r="IH49" i="1"/>
  <c r="AB69" i="1" l="1"/>
  <c r="KB69" i="1" s="1"/>
  <c r="KF69" i="1" s="1"/>
  <c r="AK4" i="1"/>
  <c r="AL4" i="1"/>
  <c r="AL24" i="1"/>
  <c r="AK24" i="1"/>
  <c r="BS33" i="1"/>
  <c r="CK33" i="1" s="1"/>
  <c r="CI33" i="1"/>
  <c r="BR33" i="1"/>
  <c r="CJ33" i="1" s="1"/>
  <c r="AJ33" i="1" a="1"/>
  <c r="AJ33" i="1" s="1"/>
  <c r="CH33" i="1"/>
  <c r="BQ13" i="1"/>
  <c r="CG13" i="1"/>
  <c r="BP13" i="1"/>
  <c r="CF13" i="1"/>
  <c r="FG36" i="1"/>
  <c r="AJ36" i="1" a="1"/>
  <c r="AJ36" i="1" s="1"/>
  <c r="AI37" i="1" s="1" a="1"/>
  <c r="AI37" i="1" s="1"/>
  <c r="AL228" i="1"/>
  <c r="FF228" i="1" s="1"/>
  <c r="AK228" i="1"/>
  <c r="FE228" i="1" s="1"/>
  <c r="IQ50" i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KD56" i="1"/>
  <c r="KC69" i="1"/>
  <c r="KA69" i="1"/>
  <c r="X72" i="1"/>
  <c r="KD69" i="1" l="1"/>
  <c r="BR13" i="1"/>
  <c r="CJ13" i="1" s="1"/>
  <c r="CH13" i="1"/>
  <c r="AJ13" i="1" a="1"/>
  <c r="AJ13" i="1" s="1"/>
  <c r="AI14" i="1" s="1" a="1"/>
  <c r="AI14" i="1" s="1"/>
  <c r="BS13" i="1"/>
  <c r="CK13" i="1" s="1"/>
  <c r="CI13" i="1"/>
  <c r="BP24" i="1"/>
  <c r="CF24" i="1"/>
  <c r="BQ24" i="1"/>
  <c r="CG24" i="1"/>
  <c r="BQ4" i="1"/>
  <c r="CG4" i="1"/>
  <c r="BP4" i="1"/>
  <c r="CF4" i="1"/>
  <c r="AK37" i="1"/>
  <c r="EW37" i="1" s="1"/>
  <c r="AL37" i="1"/>
  <c r="EX37" i="1" s="1"/>
  <c r="AJ228" i="1" a="1"/>
  <c r="AJ228" i="1" s="1"/>
  <c r="AI229" i="1" s="1" a="1"/>
  <c r="AI229" i="1" s="1"/>
  <c r="AL229" i="1" s="1"/>
  <c r="FF229" i="1" s="1"/>
  <c r="IJ51" i="1"/>
  <c r="IQ51" i="1"/>
  <c r="IA51" i="1"/>
  <c r="IP51" i="1"/>
  <c r="IG51" i="1"/>
  <c r="IH51" i="1"/>
  <c r="II51" i="1"/>
  <c r="HZ51" i="1"/>
  <c r="U52" i="1"/>
  <c r="IF51" i="1"/>
  <c r="IC51" i="1"/>
  <c r="IE51" i="1"/>
  <c r="HY51" i="1"/>
  <c r="GT51" i="1"/>
  <c r="IK51" i="1"/>
  <c r="IL51" i="1"/>
  <c r="IO51" i="1"/>
  <c r="IM51" i="1"/>
  <c r="IN51" i="1"/>
  <c r="ID51" i="1"/>
  <c r="KE69" i="1"/>
  <c r="X73" i="1"/>
  <c r="BR4" i="1" l="1"/>
  <c r="CJ4" i="1" s="1"/>
  <c r="CH4" i="1"/>
  <c r="AJ4" i="1" a="1"/>
  <c r="AJ4" i="1" s="1"/>
  <c r="AI5" i="1" s="1" a="1"/>
  <c r="AI5" i="1" s="1"/>
  <c r="BS4" i="1"/>
  <c r="CK4" i="1" s="1"/>
  <c r="CI4" i="1"/>
  <c r="BS24" i="1"/>
  <c r="CK24" i="1" s="1"/>
  <c r="CI24" i="1"/>
  <c r="BR24" i="1"/>
  <c r="CJ24" i="1" s="1"/>
  <c r="CH24" i="1"/>
  <c r="AJ24" i="1" a="1"/>
  <c r="AJ24" i="1" s="1"/>
  <c r="AI25" i="1" s="1" a="1"/>
  <c r="AI25" i="1" s="1"/>
  <c r="AL14" i="1"/>
  <c r="AK14" i="1"/>
  <c r="FE37" i="1"/>
  <c r="FH37" i="1"/>
  <c r="FF37" i="1"/>
  <c r="AK229" i="1"/>
  <c r="FE229" i="1" s="1"/>
  <c r="AJ229" i="1" s="1" a="1"/>
  <c r="AJ229" i="1" s="1"/>
  <c r="HY52" i="1"/>
  <c r="IO52" i="1"/>
  <c r="GT52" i="1"/>
  <c r="IM52" i="1"/>
  <c r="IJ52" i="1"/>
  <c r="IP52" i="1"/>
  <c r="IG52" i="1"/>
  <c r="IH52" i="1"/>
  <c r="IA52" i="1"/>
  <c r="IB52" i="1"/>
  <c r="IE52" i="1"/>
  <c r="U53" i="1"/>
  <c r="IH53" i="1" s="1"/>
  <c r="IQ52" i="1"/>
  <c r="II52" i="1"/>
  <c r="IL52" i="1"/>
  <c r="ID52" i="1"/>
  <c r="IF52" i="1"/>
  <c r="IK52" i="1"/>
  <c r="IN52" i="1"/>
  <c r="IC52" i="1"/>
  <c r="HZ52" i="1"/>
  <c r="X74" i="1"/>
  <c r="BP14" i="1" l="1"/>
  <c r="CF14" i="1"/>
  <c r="BQ14" i="1"/>
  <c r="CG14" i="1"/>
  <c r="AK25" i="1"/>
  <c r="AL25" i="1"/>
  <c r="AK5" i="1"/>
  <c r="AL5" i="1"/>
  <c r="FG37" i="1"/>
  <c r="AJ37" i="1" a="1"/>
  <c r="AJ37" i="1" s="1"/>
  <c r="AI38" i="1" s="1" a="1"/>
  <c r="AI38" i="1" s="1"/>
  <c r="IF53" i="1"/>
  <c r="IN53" i="1"/>
  <c r="IA53" i="1"/>
  <c r="IJ53" i="1"/>
  <c r="IO53" i="1"/>
  <c r="HZ53" i="1"/>
  <c r="IQ53" i="1"/>
  <c r="IE53" i="1"/>
  <c r="IM53" i="1"/>
  <c r="II53" i="1"/>
  <c r="IL53" i="1"/>
  <c r="ID53" i="1"/>
  <c r="IK53" i="1"/>
  <c r="HY53" i="1"/>
  <c r="IB53" i="1"/>
  <c r="IG53" i="1"/>
  <c r="IC53" i="1"/>
  <c r="IP53" i="1"/>
  <c r="GT53" i="1"/>
  <c r="U54" i="1"/>
  <c r="IH54" i="1" s="1"/>
  <c r="X75" i="1"/>
  <c r="X76" i="1" s="1"/>
  <c r="BQ5" i="1" l="1"/>
  <c r="CG5" i="1"/>
  <c r="BP5" i="1"/>
  <c r="CF5" i="1"/>
  <c r="BQ25" i="1"/>
  <c r="CG25" i="1"/>
  <c r="BP25" i="1"/>
  <c r="CF25" i="1"/>
  <c r="BS14" i="1"/>
  <c r="CK14" i="1" s="1"/>
  <c r="CI14" i="1"/>
  <c r="BR14" i="1"/>
  <c r="CJ14" i="1" s="1"/>
  <c r="CH14" i="1"/>
  <c r="AJ14" i="1" a="1"/>
  <c r="AJ14" i="1" s="1"/>
  <c r="AI15" i="1" s="1" a="1"/>
  <c r="AI15" i="1" s="1"/>
  <c r="AK38" i="1"/>
  <c r="EW38" i="1" s="1"/>
  <c r="AL38" i="1"/>
  <c r="EX38" i="1" s="1"/>
  <c r="IP54" i="1"/>
  <c r="HY54" i="1"/>
  <c r="IK54" i="1"/>
  <c r="IE54" i="1"/>
  <c r="IC54" i="1"/>
  <c r="GT54" i="1"/>
  <c r="HZ54" i="1"/>
  <c r="IF54" i="1"/>
  <c r="IG54" i="1"/>
  <c r="IA54" i="1"/>
  <c r="IQ54" i="1"/>
  <c r="IN54" i="1"/>
  <c r="IL54" i="1"/>
  <c r="II54" i="1"/>
  <c r="U55" i="1"/>
  <c r="IM54" i="1"/>
  <c r="IJ54" i="1"/>
  <c r="IB54" i="1"/>
  <c r="IO54" i="1"/>
  <c r="ID54" i="1"/>
  <c r="PH198" i="1" a="1"/>
  <c r="PH198" i="1" s="1"/>
  <c r="PH209" i="1" a="1"/>
  <c r="PH209" i="1" s="1"/>
  <c r="X77" i="1"/>
  <c r="PH215" i="1" l="1" a="1"/>
  <c r="PH215" i="1" s="1"/>
  <c r="PI215" i="1" s="1"/>
  <c r="PJ215" i="1" s="1"/>
  <c r="PK215" i="1" s="1"/>
  <c r="PL215" i="1" s="1"/>
  <c r="PM215" i="1" s="1"/>
  <c r="BR25" i="1"/>
  <c r="CJ25" i="1" s="1"/>
  <c r="CH25" i="1"/>
  <c r="AJ25" i="1" a="1"/>
  <c r="AJ25" i="1" s="1"/>
  <c r="AI26" i="1" s="1" a="1"/>
  <c r="AI26" i="1" s="1"/>
  <c r="BS25" i="1"/>
  <c r="CK25" i="1" s="1"/>
  <c r="CI25" i="1"/>
  <c r="IJ55" i="1"/>
  <c r="PH211" i="1" a="1"/>
  <c r="PH211" i="1" s="1"/>
  <c r="PI211" i="1" s="1"/>
  <c r="PJ211" i="1" s="1"/>
  <c r="PK211" i="1" s="1"/>
  <c r="PL211" i="1" s="1"/>
  <c r="PM211" i="1" s="1"/>
  <c r="BR5" i="1"/>
  <c r="CJ5" i="1" s="1"/>
  <c r="AJ5" i="1" a="1"/>
  <c r="AJ5" i="1" s="1"/>
  <c r="AI6" i="1" s="1" a="1"/>
  <c r="AI6" i="1" s="1"/>
  <c r="CH5" i="1"/>
  <c r="IB55" i="1"/>
  <c r="IE55" i="1"/>
  <c r="IG55" i="1"/>
  <c r="AL15" i="1"/>
  <c r="AK15" i="1"/>
  <c r="BS5" i="1"/>
  <c r="CK5" i="1" s="1"/>
  <c r="CI5" i="1"/>
  <c r="FE38" i="1"/>
  <c r="FH38" i="1"/>
  <c r="FF38" i="1"/>
  <c r="KI218" i="1" a="1"/>
  <c r="KI218" i="1" s="1"/>
  <c r="KJ218" i="1" s="1"/>
  <c r="KK218" i="1" s="1"/>
  <c r="PH205" i="1" a="1"/>
  <c r="PH205" i="1" s="1"/>
  <c r="PI205" i="1" s="1"/>
  <c r="PJ205" i="1" s="1"/>
  <c r="PK205" i="1" s="1"/>
  <c r="PL205" i="1" s="1"/>
  <c r="PM205" i="1" s="1"/>
  <c r="IL55" i="1"/>
  <c r="GT55" i="1"/>
  <c r="IM55" i="1"/>
  <c r="PH193" i="1" a="1"/>
  <c r="PH193" i="1" s="1"/>
  <c r="PI193" i="1" s="1"/>
  <c r="PJ193" i="1" s="1"/>
  <c r="PK193" i="1" s="1"/>
  <c r="PL193" i="1" s="1"/>
  <c r="PM193" i="1" s="1"/>
  <c r="PH194" i="1" s="1" a="1"/>
  <c r="PH194" i="1" s="1"/>
  <c r="PH183" i="1" a="1"/>
  <c r="PH183" i="1" s="1"/>
  <c r="PI183" i="1" s="1"/>
  <c r="PJ183" i="1" s="1"/>
  <c r="PK183" i="1" s="1"/>
  <c r="PL183" i="1" s="1"/>
  <c r="PM183" i="1" s="1"/>
  <c r="HZ55" i="1"/>
  <c r="IN55" i="1"/>
  <c r="PH203" i="1" a="1"/>
  <c r="PH203" i="1" s="1"/>
  <c r="PI203" i="1" s="1"/>
  <c r="PJ203" i="1" s="1"/>
  <c r="PK203" i="1" s="1"/>
  <c r="PL203" i="1" s="1"/>
  <c r="PM203" i="1" s="1"/>
  <c r="KI192" i="1" a="1"/>
  <c r="KI192" i="1" s="1"/>
  <c r="IK55" i="1"/>
  <c r="IA55" i="1"/>
  <c r="KI202" i="1" a="1"/>
  <c r="KI202" i="1" s="1"/>
  <c r="LF169" i="1" a="1"/>
  <c r="LF169" i="1" s="1"/>
  <c r="LG169" i="1" s="1"/>
  <c r="LH169" i="1" s="1"/>
  <c r="II55" i="1"/>
  <c r="IF55" i="1"/>
  <c r="KI197" i="1" a="1"/>
  <c r="KI197" i="1" s="1"/>
  <c r="IP55" i="1"/>
  <c r="IC55" i="1"/>
  <c r="IQ55" i="1"/>
  <c r="IH55" i="1"/>
  <c r="IO55" i="1"/>
  <c r="PH213" i="1" a="1"/>
  <c r="PH213" i="1" s="1"/>
  <c r="PI213" i="1" s="1"/>
  <c r="PJ213" i="1" s="1"/>
  <c r="PK213" i="1" s="1"/>
  <c r="PL213" i="1" s="1"/>
  <c r="PM213" i="1" s="1"/>
  <c r="ID55" i="1"/>
  <c r="PH188" i="1" a="1"/>
  <c r="PH188" i="1" s="1"/>
  <c r="PI188" i="1" s="1"/>
  <c r="PJ188" i="1" s="1"/>
  <c r="PK188" i="1" s="1"/>
  <c r="PL188" i="1" s="1"/>
  <c r="PM188" i="1" s="1"/>
  <c r="PH189" i="1" s="1" a="1"/>
  <c r="PH189" i="1" s="1"/>
  <c r="KI187" i="1" a="1"/>
  <c r="KI187" i="1" s="1"/>
  <c r="KI56" i="1" a="1"/>
  <c r="KI56" i="1" s="1"/>
  <c r="KJ56" i="1" s="1"/>
  <c r="KK56" i="1" s="1"/>
  <c r="KI57" i="1" s="1" a="1"/>
  <c r="KI57" i="1" s="1"/>
  <c r="PH207" i="1" a="1"/>
  <c r="PH207" i="1" s="1"/>
  <c r="PI207" i="1" s="1"/>
  <c r="PJ207" i="1" s="1"/>
  <c r="PK207" i="1" s="1"/>
  <c r="PL207" i="1" s="1"/>
  <c r="PM207" i="1" s="1"/>
  <c r="HY55" i="1"/>
  <c r="PI209" i="1"/>
  <c r="PJ209" i="1" s="1"/>
  <c r="PK209" i="1" s="1"/>
  <c r="PL209" i="1" s="1"/>
  <c r="PM209" i="1" s="1"/>
  <c r="PI198" i="1"/>
  <c r="PJ198" i="1" s="1"/>
  <c r="PK198" i="1" s="1"/>
  <c r="PL198" i="1" s="1"/>
  <c r="PM198" i="1" s="1"/>
  <c r="X78" i="1"/>
  <c r="AL6" i="1" l="1"/>
  <c r="AK6" i="1"/>
  <c r="AK26" i="1"/>
  <c r="AL26" i="1"/>
  <c r="BP15" i="1"/>
  <c r="CF15" i="1"/>
  <c r="BQ15" i="1"/>
  <c r="CG15" i="1"/>
  <c r="FG38" i="1"/>
  <c r="AJ38" i="1" a="1"/>
  <c r="AJ38" i="1" s="1"/>
  <c r="AI39" i="1" s="1" a="1"/>
  <c r="AI39" i="1" s="1"/>
  <c r="KI219" i="1" a="1"/>
  <c r="KI219" i="1" s="1"/>
  <c r="KJ219" i="1" s="1"/>
  <c r="KK219" i="1" s="1"/>
  <c r="KI220" i="1" s="1" a="1"/>
  <c r="KI220" i="1" s="1"/>
  <c r="PH184" i="1" a="1"/>
  <c r="PH184" i="1" s="1"/>
  <c r="PI184" i="1" s="1"/>
  <c r="PJ184" i="1" s="1"/>
  <c r="KC56" i="1"/>
  <c r="Z56" i="1" s="1" a="1"/>
  <c r="Z56" i="1" s="1"/>
  <c r="Y57" i="1" s="1" a="1"/>
  <c r="Y57" i="1" s="1"/>
  <c r="KJ57" i="1"/>
  <c r="KK57" i="1" s="1"/>
  <c r="KI58" i="1" s="1" a="1"/>
  <c r="KI58" i="1" s="1"/>
  <c r="KJ58" i="1" s="1"/>
  <c r="KK58" i="1" s="1"/>
  <c r="PH199" i="1" a="1"/>
  <c r="PH199" i="1" s="1"/>
  <c r="PI189" i="1"/>
  <c r="PI194" i="1"/>
  <c r="PJ194" i="1" s="1"/>
  <c r="PK194" i="1" s="1"/>
  <c r="PL194" i="1" s="1"/>
  <c r="PM194" i="1" s="1"/>
  <c r="X79" i="1"/>
  <c r="BS15" i="1" l="1"/>
  <c r="CK15" i="1" s="1"/>
  <c r="CI15" i="1"/>
  <c r="BR15" i="1"/>
  <c r="CJ15" i="1" s="1"/>
  <c r="CH15" i="1"/>
  <c r="AJ15" i="1" a="1"/>
  <c r="AJ15" i="1" s="1"/>
  <c r="AI16" i="1" s="1" a="1"/>
  <c r="AI16" i="1" s="1"/>
  <c r="BQ26" i="1"/>
  <c r="CG26" i="1"/>
  <c r="BP26" i="1"/>
  <c r="CF26" i="1"/>
  <c r="BP6" i="1"/>
  <c r="CF6" i="1"/>
  <c r="BQ6" i="1"/>
  <c r="CG6" i="1"/>
  <c r="AL39" i="1"/>
  <c r="EX39" i="1" s="1"/>
  <c r="AK39" i="1"/>
  <c r="EW39" i="1" s="1"/>
  <c r="KJ220" i="1"/>
  <c r="KK220" i="1" s="1"/>
  <c r="AA57" i="1"/>
  <c r="KC57" i="1" s="1"/>
  <c r="Z57" i="1" s="1" a="1"/>
  <c r="Z57" i="1" s="1"/>
  <c r="Y58" i="1" s="1" a="1"/>
  <c r="Y58" i="1" s="1"/>
  <c r="AB57" i="1"/>
  <c r="KD57" i="1" s="1"/>
  <c r="PH195" i="1" a="1"/>
  <c r="PH195" i="1" s="1"/>
  <c r="PI199" i="1"/>
  <c r="PJ199" i="1" s="1"/>
  <c r="PK184" i="1"/>
  <c r="PJ189" i="1"/>
  <c r="X80" i="1"/>
  <c r="KI59" i="1" a="1"/>
  <c r="KI59" i="1" s="1"/>
  <c r="BS6" i="1" l="1"/>
  <c r="CK6" i="1" s="1"/>
  <c r="CI6" i="1"/>
  <c r="BR6" i="1"/>
  <c r="CJ6" i="1" s="1"/>
  <c r="AJ6" i="1" a="1"/>
  <c r="AJ6" i="1" s="1"/>
  <c r="AI7" i="1" s="1" a="1"/>
  <c r="AI7" i="1" s="1"/>
  <c r="CH6" i="1"/>
  <c r="BR26" i="1"/>
  <c r="CJ26" i="1" s="1"/>
  <c r="AJ26" i="1" a="1"/>
  <c r="AJ26" i="1" s="1"/>
  <c r="AI27" i="1" s="1" a="1"/>
  <c r="AI27" i="1" s="1"/>
  <c r="CH26" i="1"/>
  <c r="BS26" i="1"/>
  <c r="CK26" i="1" s="1"/>
  <c r="CI26" i="1"/>
  <c r="AL16" i="1"/>
  <c r="AK16" i="1"/>
  <c r="FE39" i="1"/>
  <c r="FF39" i="1"/>
  <c r="FH39" i="1"/>
  <c r="AA58" i="1"/>
  <c r="KC58" i="1" s="1"/>
  <c r="Z58" i="1" s="1" a="1"/>
  <c r="Z58" i="1" s="1"/>
  <c r="Y59" i="1" s="1" a="1"/>
  <c r="Y59" i="1" s="1"/>
  <c r="AB58" i="1"/>
  <c r="KD58" i="1" s="1"/>
  <c r="PI195" i="1"/>
  <c r="PJ195" i="1" s="1"/>
  <c r="PK195" i="1" s="1"/>
  <c r="PL195" i="1" s="1"/>
  <c r="PM195" i="1" s="1"/>
  <c r="PN195" i="1" s="1"/>
  <c r="PO195" i="1" s="1"/>
  <c r="PP195" i="1" s="1"/>
  <c r="KJ59" i="1"/>
  <c r="KK59" i="1" s="1"/>
  <c r="PK199" i="1"/>
  <c r="PL184" i="1"/>
  <c r="PK189" i="1"/>
  <c r="X81" i="1"/>
  <c r="BQ16" i="1" l="1"/>
  <c r="CG16" i="1"/>
  <c r="BP16" i="1"/>
  <c r="CF16" i="1"/>
  <c r="AL27" i="1"/>
  <c r="AK27" i="1"/>
  <c r="AK7" i="1"/>
  <c r="AL7" i="1"/>
  <c r="FG39" i="1"/>
  <c r="AJ39" i="1" a="1"/>
  <c r="AJ39" i="1" s="1"/>
  <c r="AI40" i="1" s="1" a="1"/>
  <c r="AI40" i="1" s="1"/>
  <c r="KI60" i="1" a="1"/>
  <c r="KI60" i="1" s="1"/>
  <c r="AA59" i="1"/>
  <c r="KC59" i="1" s="1"/>
  <c r="AB59" i="1"/>
  <c r="KD59" i="1" s="1"/>
  <c r="PL199" i="1"/>
  <c r="PM184" i="1"/>
  <c r="PH185" i="1" s="1" a="1"/>
  <c r="PH185" i="1" s="1"/>
  <c r="PL189" i="1"/>
  <c r="X82" i="1"/>
  <c r="BQ7" i="1" l="1"/>
  <c r="CG7" i="1"/>
  <c r="BP7" i="1"/>
  <c r="CF7" i="1"/>
  <c r="BP27" i="1"/>
  <c r="CF27" i="1"/>
  <c r="BQ27" i="1"/>
  <c r="CG27" i="1"/>
  <c r="BR16" i="1"/>
  <c r="CJ16" i="1" s="1"/>
  <c r="CH16" i="1"/>
  <c r="AJ16" i="1" a="1"/>
  <c r="AJ16" i="1" s="1"/>
  <c r="AI17" i="1" s="1" a="1"/>
  <c r="AI17" i="1" s="1"/>
  <c r="BS16" i="1"/>
  <c r="CK16" i="1" s="1"/>
  <c r="CI16" i="1"/>
  <c r="AL40" i="1"/>
  <c r="EX40" i="1" s="1"/>
  <c r="AK40" i="1"/>
  <c r="EW40" i="1" s="1"/>
  <c r="KJ60" i="1"/>
  <c r="KK60" i="1" s="1"/>
  <c r="Z59" i="1" a="1"/>
  <c r="Z59" i="1" s="1"/>
  <c r="Y60" i="1" s="1" a="1"/>
  <c r="Y60" i="1" s="1"/>
  <c r="AB60" i="1" s="1"/>
  <c r="KD60" i="1" s="1"/>
  <c r="PM199" i="1"/>
  <c r="PI185" i="1"/>
  <c r="PJ185" i="1" s="1"/>
  <c r="PK185" i="1" s="1"/>
  <c r="PL185" i="1" s="1"/>
  <c r="PM185" i="1" s="1"/>
  <c r="PN185" i="1" s="1"/>
  <c r="PO185" i="1" s="1"/>
  <c r="PP185" i="1" s="1"/>
  <c r="PM189" i="1"/>
  <c r="BS27" i="1" l="1"/>
  <c r="CK27" i="1" s="1"/>
  <c r="CI27" i="1"/>
  <c r="BR27" i="1"/>
  <c r="CJ27" i="1" s="1"/>
  <c r="CH27" i="1"/>
  <c r="AJ27" i="1" a="1"/>
  <c r="AJ27" i="1" s="1"/>
  <c r="AI28" i="1" s="1" a="1"/>
  <c r="AI28" i="1" s="1"/>
  <c r="BR7" i="1"/>
  <c r="CJ7" i="1" s="1"/>
  <c r="AJ7" i="1" a="1"/>
  <c r="AJ7" i="1" s="1"/>
  <c r="AI8" i="1" s="1" a="1"/>
  <c r="AI8" i="1" s="1"/>
  <c r="CH7" i="1"/>
  <c r="AK17" i="1"/>
  <c r="AL17" i="1"/>
  <c r="BS7" i="1"/>
  <c r="CK7" i="1" s="1"/>
  <c r="CI7" i="1"/>
  <c r="FE40" i="1"/>
  <c r="FF40" i="1"/>
  <c r="FH40" i="1"/>
  <c r="KI61" i="1" a="1"/>
  <c r="KI61" i="1" s="1"/>
  <c r="KJ61" i="1" s="1"/>
  <c r="KK61" i="1" s="1"/>
  <c r="KI62" i="1" s="1" a="1"/>
  <c r="KI62" i="1" s="1"/>
  <c r="KJ62" i="1" s="1"/>
  <c r="KK62" i="1" s="1"/>
  <c r="AA60" i="1"/>
  <c r="KC60" i="1" s="1"/>
  <c r="Z60" i="1" s="1" a="1"/>
  <c r="Z60" i="1" s="1"/>
  <c r="Y61" i="1" s="1" a="1"/>
  <c r="Y61" i="1" s="1"/>
  <c r="AA61" i="1" s="1"/>
  <c r="KC61" i="1" s="1"/>
  <c r="PH200" i="1" a="1"/>
  <c r="PH200" i="1" s="1"/>
  <c r="PI200" i="1" s="1"/>
  <c r="PJ200" i="1" s="1"/>
  <c r="PK200" i="1" s="1"/>
  <c r="PL200" i="1" s="1"/>
  <c r="PM200" i="1" s="1"/>
  <c r="PN200" i="1" s="1"/>
  <c r="PO200" i="1" s="1"/>
  <c r="PP200" i="1" s="1"/>
  <c r="PH190" i="1" a="1"/>
  <c r="PH190" i="1" s="1"/>
  <c r="X84" i="1"/>
  <c r="BP17" i="1" l="1"/>
  <c r="CF17" i="1"/>
  <c r="AK8" i="1"/>
  <c r="AL8" i="1"/>
  <c r="AK28" i="1"/>
  <c r="AL28" i="1"/>
  <c r="BQ17" i="1"/>
  <c r="CG17" i="1"/>
  <c r="FG40" i="1"/>
  <c r="AJ40" i="1" a="1"/>
  <c r="AJ40" i="1" s="1"/>
  <c r="AI41" i="1" s="1" a="1"/>
  <c r="AI41" i="1" s="1"/>
  <c r="AB61" i="1"/>
  <c r="KD61" i="1" s="1"/>
  <c r="Z61" i="1" s="1" a="1"/>
  <c r="Z61" i="1" s="1"/>
  <c r="Y62" i="1" s="1" a="1"/>
  <c r="Y62" i="1" s="1"/>
  <c r="AB62" i="1" s="1"/>
  <c r="KD62" i="1" s="1"/>
  <c r="PI190" i="1"/>
  <c r="PJ190" i="1" s="1"/>
  <c r="PK190" i="1" s="1"/>
  <c r="PL190" i="1" s="1"/>
  <c r="PM190" i="1" s="1"/>
  <c r="PN190" i="1" s="1"/>
  <c r="PO190" i="1" s="1"/>
  <c r="PP190" i="1" s="1"/>
  <c r="X85" i="1"/>
  <c r="KI63" i="1" a="1"/>
  <c r="KI63" i="1" s="1"/>
  <c r="BS17" i="1" l="1"/>
  <c r="CK17" i="1" s="1"/>
  <c r="CI17" i="1"/>
  <c r="BQ28" i="1"/>
  <c r="CG28" i="1"/>
  <c r="BP28" i="1"/>
  <c r="CF28" i="1"/>
  <c r="BQ8" i="1"/>
  <c r="CG8" i="1"/>
  <c r="BP8" i="1"/>
  <c r="CF8" i="1"/>
  <c r="BR17" i="1"/>
  <c r="CJ17" i="1" s="1"/>
  <c r="CH17" i="1"/>
  <c r="AJ17" i="1" s="1" a="1"/>
  <c r="AJ17" i="1" s="1"/>
  <c r="AI18" i="1" s="1" a="1"/>
  <c r="AI18" i="1" s="1"/>
  <c r="AL41" i="1"/>
  <c r="EX41" i="1" s="1"/>
  <c r="AK41" i="1"/>
  <c r="EW41" i="1" s="1"/>
  <c r="AA62" i="1"/>
  <c r="KC62" i="1" s="1"/>
  <c r="Z62" i="1" s="1" a="1"/>
  <c r="Z62" i="1" s="1"/>
  <c r="Y63" i="1" s="1" a="1"/>
  <c r="Y63" i="1" s="1"/>
  <c r="KJ63" i="1"/>
  <c r="KK63" i="1" s="1"/>
  <c r="KI64" i="1" s="1" a="1"/>
  <c r="KI64" i="1" s="1"/>
  <c r="X86" i="1"/>
  <c r="AL18" i="1" l="1"/>
  <c r="AK18" i="1"/>
  <c r="BS8" i="1"/>
  <c r="CK8" i="1" s="1"/>
  <c r="CI8" i="1"/>
  <c r="BR28" i="1"/>
  <c r="CJ28" i="1" s="1"/>
  <c r="CH28" i="1"/>
  <c r="AJ28" i="1" a="1"/>
  <c r="AJ28" i="1" s="1"/>
  <c r="AI29" i="1" s="1" a="1"/>
  <c r="AI29" i="1" s="1"/>
  <c r="BS28" i="1"/>
  <c r="CK28" i="1" s="1"/>
  <c r="CI28" i="1"/>
  <c r="BR8" i="1"/>
  <c r="CJ8" i="1" s="1"/>
  <c r="AJ8" i="1" s="1" a="1"/>
  <c r="AJ8" i="1" s="1"/>
  <c r="AI9" i="1" s="1" a="1"/>
  <c r="AI9" i="1" s="1"/>
  <c r="CH8" i="1"/>
  <c r="FE41" i="1"/>
  <c r="FH41" i="1"/>
  <c r="FF41" i="1"/>
  <c r="AA63" i="1"/>
  <c r="KC63" i="1" s="1"/>
  <c r="AB63" i="1"/>
  <c r="KD63" i="1" s="1"/>
  <c r="Z63" i="1" s="1" a="1"/>
  <c r="Z63" i="1" s="1"/>
  <c r="Y64" i="1" s="1" a="1"/>
  <c r="Y64" i="1" s="1"/>
  <c r="KJ64" i="1"/>
  <c r="X87" i="1"/>
  <c r="AL9" i="1" l="1"/>
  <c r="AK9" i="1"/>
  <c r="AK29" i="1"/>
  <c r="AL29" i="1"/>
  <c r="BP18" i="1"/>
  <c r="CF18" i="1"/>
  <c r="BQ18" i="1"/>
  <c r="CG18" i="1"/>
  <c r="AB64" i="1"/>
  <c r="KD64" i="1" s="1"/>
  <c r="AA64" i="1"/>
  <c r="KC64" i="1" s="1"/>
  <c r="FG41" i="1"/>
  <c r="AJ41" i="1" a="1"/>
  <c r="AJ41" i="1" s="1"/>
  <c r="AI42" i="1" s="1" a="1"/>
  <c r="AI42" i="1" s="1"/>
  <c r="KK64" i="1"/>
  <c r="Z64" i="1" s="1" a="1"/>
  <c r="Z64" i="1" s="1"/>
  <c r="Y65" i="1" s="1" a="1"/>
  <c r="Y65" i="1" s="1"/>
  <c r="X88" i="1"/>
  <c r="BS18" i="1" l="1"/>
  <c r="CK18" i="1" s="1"/>
  <c r="CI18" i="1"/>
  <c r="BR18" i="1"/>
  <c r="CJ18" i="1" s="1"/>
  <c r="CH18" i="1"/>
  <c r="AJ18" i="1" a="1"/>
  <c r="AJ18" i="1" s="1"/>
  <c r="AI19" i="1" s="1" a="1"/>
  <c r="AI19" i="1" s="1"/>
  <c r="BQ29" i="1"/>
  <c r="CG29" i="1"/>
  <c r="BP29" i="1"/>
  <c r="CF29" i="1"/>
  <c r="BP9" i="1"/>
  <c r="CF9" i="1"/>
  <c r="BQ9" i="1"/>
  <c r="CG9" i="1"/>
  <c r="AL42" i="1"/>
  <c r="EX42" i="1" s="1"/>
  <c r="AK42" i="1"/>
  <c r="EW42" i="1" s="1"/>
  <c r="KI65" i="1" a="1"/>
  <c r="KI65" i="1" s="1"/>
  <c r="KJ65" i="1" s="1"/>
  <c r="AA65" i="1"/>
  <c r="KC65" i="1" s="1"/>
  <c r="AB65" i="1"/>
  <c r="KD65" i="1" s="1"/>
  <c r="BS9" i="1" l="1"/>
  <c r="CK9" i="1" s="1"/>
  <c r="CI9" i="1"/>
  <c r="BR9" i="1"/>
  <c r="CJ9" i="1" s="1"/>
  <c r="CH9" i="1"/>
  <c r="AJ9" i="1" a="1"/>
  <c r="AJ9" i="1" s="1"/>
  <c r="AI10" i="1" s="1" a="1"/>
  <c r="AI10" i="1" s="1"/>
  <c r="BR29" i="1"/>
  <c r="CJ29" i="1" s="1"/>
  <c r="CH29" i="1"/>
  <c r="AJ29" i="1" a="1"/>
  <c r="AJ29" i="1" s="1"/>
  <c r="AI30" i="1" s="1" a="1"/>
  <c r="AI30" i="1" s="1"/>
  <c r="BS29" i="1"/>
  <c r="CK29" i="1" s="1"/>
  <c r="CI29" i="1"/>
  <c r="AK19" i="1"/>
  <c r="AL19" i="1"/>
  <c r="FE42" i="1"/>
  <c r="FF42" i="1"/>
  <c r="FH42" i="1"/>
  <c r="Z65" i="1" a="1"/>
  <c r="Z65" i="1" s="1"/>
  <c r="Y66" i="1" s="1" a="1"/>
  <c r="Y66" i="1" s="1"/>
  <c r="KK65" i="1"/>
  <c r="KI66" i="1" a="1"/>
  <c r="KI66" i="1" s="1"/>
  <c r="X90" i="1"/>
  <c r="X91" i="1" s="1"/>
  <c r="BQ19" i="1" l="1"/>
  <c r="CG19" i="1"/>
  <c r="BP19" i="1"/>
  <c r="CF19" i="1"/>
  <c r="AL30" i="1"/>
  <c r="AK30" i="1"/>
  <c r="AL10" i="1"/>
  <c r="AK10" i="1"/>
  <c r="FG42" i="1"/>
  <c r="AJ42" i="1" a="1"/>
  <c r="AJ42" i="1" s="1"/>
  <c r="AA66" i="1"/>
  <c r="KC66" i="1" s="1"/>
  <c r="AB66" i="1"/>
  <c r="KD66" i="1" s="1"/>
  <c r="Z66" i="1" s="1" a="1"/>
  <c r="Z66" i="1" s="1"/>
  <c r="Y67" i="1" s="1" a="1"/>
  <c r="Y67" i="1" s="1"/>
  <c r="KJ66" i="1"/>
  <c r="KK66" i="1" s="1"/>
  <c r="BQ10" i="1" l="1"/>
  <c r="CG10" i="1"/>
  <c r="BP30" i="1"/>
  <c r="CF30" i="1"/>
  <c r="BP10" i="1"/>
  <c r="CF10" i="1"/>
  <c r="BQ30" i="1"/>
  <c r="CG30" i="1"/>
  <c r="BR19" i="1"/>
  <c r="CJ19" i="1" s="1"/>
  <c r="CH19" i="1"/>
  <c r="AJ19" i="1" a="1"/>
  <c r="AJ19" i="1" s="1"/>
  <c r="AI20" i="1" s="1" a="1"/>
  <c r="AI20" i="1" s="1"/>
  <c r="BS19" i="1"/>
  <c r="CK19" i="1" s="1"/>
  <c r="CI19" i="1"/>
  <c r="KI67" i="1" a="1"/>
  <c r="KI67" i="1" s="1"/>
  <c r="KJ67" i="1" s="1"/>
  <c r="KK67" i="1" s="1"/>
  <c r="KI68" i="1" s="1" a="1"/>
  <c r="KI68" i="1" s="1"/>
  <c r="AA67" i="1"/>
  <c r="AB67" i="1"/>
  <c r="KD67" i="1" s="1"/>
  <c r="BS30" i="1" l="1"/>
  <c r="CK30" i="1" s="1"/>
  <c r="CI30" i="1"/>
  <c r="AK20" i="1"/>
  <c r="AL20" i="1"/>
  <c r="BR10" i="1"/>
  <c r="CJ10" i="1" s="1"/>
  <c r="AJ10" i="1" a="1"/>
  <c r="AJ10" i="1" s="1"/>
  <c r="AI11" i="1" s="1" a="1"/>
  <c r="AI11" i="1" s="1"/>
  <c r="CH10" i="1"/>
  <c r="BR30" i="1"/>
  <c r="CJ30" i="1" s="1"/>
  <c r="CH30" i="1"/>
  <c r="AJ30" i="1" a="1"/>
  <c r="AJ30" i="1" s="1"/>
  <c r="AI31" i="1" s="1" a="1"/>
  <c r="AI31" i="1" s="1"/>
  <c r="BS10" i="1"/>
  <c r="CK10" i="1" s="1"/>
  <c r="CI10" i="1"/>
  <c r="KC67" i="1"/>
  <c r="Z67" i="1" s="1" a="1"/>
  <c r="Z67" i="1" s="1"/>
  <c r="Y68" i="1" s="1" a="1"/>
  <c r="Y68" i="1" s="1"/>
  <c r="AB68" i="1" s="1"/>
  <c r="KJ68" i="1"/>
  <c r="KK68" i="1" s="1"/>
  <c r="KL68" i="1" s="1"/>
  <c r="KM68" i="1" s="1"/>
  <c r="X93" i="1"/>
  <c r="AK31" i="1" l="1"/>
  <c r="AL31" i="1"/>
  <c r="AK11" i="1"/>
  <c r="AL11" i="1"/>
  <c r="BQ20" i="1"/>
  <c r="CG20" i="1"/>
  <c r="BP20" i="1"/>
  <c r="CF20" i="1"/>
  <c r="AA68" i="1"/>
  <c r="KC68" i="1" s="1"/>
  <c r="KI69" i="1" a="1"/>
  <c r="KI69" i="1" s="1"/>
  <c r="KJ69" i="1" s="1"/>
  <c r="X94" i="1"/>
  <c r="BR20" i="1" l="1"/>
  <c r="CJ20" i="1" s="1"/>
  <c r="CH20" i="1"/>
  <c r="AJ20" i="1" a="1"/>
  <c r="AJ20" i="1" s="1"/>
  <c r="AI21" i="1" s="1" a="1"/>
  <c r="AI21" i="1" s="1"/>
  <c r="BS20" i="1"/>
  <c r="CK20" i="1" s="1"/>
  <c r="CI20" i="1"/>
  <c r="BQ11" i="1"/>
  <c r="CG11" i="1"/>
  <c r="BP11" i="1"/>
  <c r="CF11" i="1"/>
  <c r="BQ31" i="1"/>
  <c r="CG31" i="1"/>
  <c r="BP31" i="1"/>
  <c r="CF31" i="1"/>
  <c r="KK69" i="1"/>
  <c r="KL69" i="1" s="1"/>
  <c r="KI70" i="1" s="1" a="1"/>
  <c r="KI70" i="1" s="1"/>
  <c r="KJ70" i="1" s="1"/>
  <c r="KK70" i="1" s="1"/>
  <c r="KL70" i="1" s="1"/>
  <c r="KD68" i="1"/>
  <c r="Z68" i="1" s="1" a="1"/>
  <c r="Z68" i="1" s="1"/>
  <c r="Y71" i="1" s="1" a="1"/>
  <c r="Y71" i="1" s="1"/>
  <c r="Z69" i="1" a="1"/>
  <c r="Z69" i="1" s="1"/>
  <c r="Y70" i="1" s="1" a="1"/>
  <c r="Y70" i="1" s="1"/>
  <c r="X95" i="1"/>
  <c r="BR31" i="1" l="1"/>
  <c r="CJ31" i="1" s="1"/>
  <c r="CH31" i="1"/>
  <c r="AJ31" i="1" a="1"/>
  <c r="AJ31" i="1" s="1"/>
  <c r="BS31" i="1"/>
  <c r="CK31" i="1" s="1"/>
  <c r="CI31" i="1"/>
  <c r="BR11" i="1"/>
  <c r="CJ11" i="1" s="1"/>
  <c r="AJ11" i="1" a="1"/>
  <c r="AJ11" i="1" s="1"/>
  <c r="CH11" i="1"/>
  <c r="BS11" i="1"/>
  <c r="CK11" i="1" s="1"/>
  <c r="CI11" i="1"/>
  <c r="AL21" i="1"/>
  <c r="AK21" i="1"/>
  <c r="AA70" i="1"/>
  <c r="AB70" i="1"/>
  <c r="AB71" i="1"/>
  <c r="KD71" i="1" s="1"/>
  <c r="AA71" i="1"/>
  <c r="KC71" i="1" s="1"/>
  <c r="KI71" i="1" a="1"/>
  <c r="KI71" i="1" s="1"/>
  <c r="KJ71" i="1" s="1"/>
  <c r="X96" i="1"/>
  <c r="BP21" i="1" l="1"/>
  <c r="CF21" i="1"/>
  <c r="BQ21" i="1"/>
  <c r="CG21" i="1"/>
  <c r="KB70" i="1"/>
  <c r="KF70" i="1" s="1"/>
  <c r="KD70" i="1"/>
  <c r="KC70" i="1"/>
  <c r="KA70" i="1"/>
  <c r="KK71" i="1"/>
  <c r="Z71" i="1" a="1"/>
  <c r="Z71" i="1" s="1"/>
  <c r="Y72" i="1" s="1" a="1"/>
  <c r="Y72" i="1" s="1"/>
  <c r="KI72" i="1" a="1"/>
  <c r="KI72" i="1" s="1"/>
  <c r="KJ72" i="1" s="1"/>
  <c r="X97" i="1"/>
  <c r="BS21" i="1" l="1"/>
  <c r="CK21" i="1" s="1"/>
  <c r="AJ21" i="1" s="1" a="1"/>
  <c r="AJ21" i="1" s="1"/>
  <c r="CI21" i="1"/>
  <c r="BR21" i="1"/>
  <c r="CJ21" i="1" s="1"/>
  <c r="CH21" i="1"/>
  <c r="KE70" i="1"/>
  <c r="Z70" i="1" a="1"/>
  <c r="Z70" i="1" s="1"/>
  <c r="AB72" i="1"/>
  <c r="KD72" i="1" s="1"/>
  <c r="AA72" i="1"/>
  <c r="KC72" i="1" s="1"/>
  <c r="KK72" i="1"/>
  <c r="KI73" i="1" s="1" a="1"/>
  <c r="KI73" i="1" s="1"/>
  <c r="KJ73" i="1" s="1"/>
  <c r="X98" i="1"/>
  <c r="Z72" i="1" l="1" a="1"/>
  <c r="Z72" i="1" s="1"/>
  <c r="Y73" i="1" s="1" a="1"/>
  <c r="Y73" i="1" s="1"/>
  <c r="KK73" i="1"/>
  <c r="KI74" i="1" s="1" a="1"/>
  <c r="KI74" i="1" s="1"/>
  <c r="KJ74" i="1" s="1"/>
  <c r="KK74" i="1" s="1"/>
  <c r="X99" i="1"/>
  <c r="AB73" i="1" l="1"/>
  <c r="KD73" i="1" s="1"/>
  <c r="AA73" i="1"/>
  <c r="KC73" i="1" s="1"/>
  <c r="Z73" i="1" s="1" a="1"/>
  <c r="Z73" i="1" s="1"/>
  <c r="Y74" i="1" s="1" a="1"/>
  <c r="Y74" i="1" s="1"/>
  <c r="KI75" i="1" a="1"/>
  <c r="KI75" i="1" s="1"/>
  <c r="KJ75" i="1" s="1"/>
  <c r="KK75" i="1" s="1"/>
  <c r="X100" i="1"/>
  <c r="AB74" i="1" l="1"/>
  <c r="KD74" i="1" s="1"/>
  <c r="AA74" i="1"/>
  <c r="KC74" i="1" s="1"/>
  <c r="Z74" i="1" s="1" a="1"/>
  <c r="Z74" i="1" s="1"/>
  <c r="Y75" i="1" s="1" a="1"/>
  <c r="Y75" i="1" s="1"/>
  <c r="AA75" i="1" s="1"/>
  <c r="KI76" i="1" a="1"/>
  <c r="KI76" i="1" s="1"/>
  <c r="KJ76" i="1" s="1"/>
  <c r="KK76" i="1" s="1"/>
  <c r="KL76" i="1" s="1"/>
  <c r="KM76" i="1" s="1"/>
  <c r="X101" i="1"/>
  <c r="AB75" i="1" l="1"/>
  <c r="KD75" i="1" s="1"/>
  <c r="KC75" i="1"/>
  <c r="KI77" i="1" a="1"/>
  <c r="KI77" i="1" s="1"/>
  <c r="KJ77" i="1" s="1"/>
  <c r="KK77" i="1" s="1"/>
  <c r="X102" i="1"/>
  <c r="Z75" i="1" l="1" a="1"/>
  <c r="Z75" i="1" s="1"/>
  <c r="Y76" i="1" s="1" a="1"/>
  <c r="Y76" i="1" s="1"/>
  <c r="AA76" i="1" s="1"/>
  <c r="KC76" i="1" s="1"/>
  <c r="KI78" i="1" a="1"/>
  <c r="KI78" i="1" s="1"/>
  <c r="KJ78" i="1" s="1"/>
  <c r="KK78" i="1" s="1"/>
  <c r="X103" i="1"/>
  <c r="AB76" i="1" l="1"/>
  <c r="KD76" i="1" s="1"/>
  <c r="Z76" i="1" s="1" a="1"/>
  <c r="Z76" i="1" s="1"/>
  <c r="Y77" i="1" s="1" a="1"/>
  <c r="Y77" i="1" s="1"/>
  <c r="AA77" i="1" s="1"/>
  <c r="KC77" i="1" s="1"/>
  <c r="KI79" i="1" a="1"/>
  <c r="KI79" i="1" s="1"/>
  <c r="KJ79" i="1" s="1"/>
  <c r="KK79" i="1" s="1"/>
  <c r="X104" i="1"/>
  <c r="AB77" i="1" l="1"/>
  <c r="KD77" i="1" s="1"/>
  <c r="Z77" i="1" a="1"/>
  <c r="Z77" i="1" s="1"/>
  <c r="Y78" i="1" s="1" a="1"/>
  <c r="Y78" i="1" s="1"/>
  <c r="AB78" i="1" s="1"/>
  <c r="KD78" i="1" s="1"/>
  <c r="KI80" i="1" a="1"/>
  <c r="KI80" i="1" s="1"/>
  <c r="KJ80" i="1" s="1"/>
  <c r="KK80" i="1" s="1"/>
  <c r="X105" i="1"/>
  <c r="AA78" i="1" l="1"/>
  <c r="KC78" i="1" s="1"/>
  <c r="Z78" i="1" s="1" a="1"/>
  <c r="Z78" i="1" s="1"/>
  <c r="Y79" i="1" s="1" a="1"/>
  <c r="Y79" i="1" s="1"/>
  <c r="AB79" i="1" s="1"/>
  <c r="KD79" i="1" s="1"/>
  <c r="KI81" i="1" a="1"/>
  <c r="KI81" i="1" s="1"/>
  <c r="KJ81" i="1" s="1"/>
  <c r="KK81" i="1" s="1"/>
  <c r="X106" i="1"/>
  <c r="AA79" i="1" l="1"/>
  <c r="KC79" i="1" s="1"/>
  <c r="Z79" i="1" s="1" a="1"/>
  <c r="Z79" i="1" s="1"/>
  <c r="Y80" i="1" s="1" a="1"/>
  <c r="Y80" i="1" s="1"/>
  <c r="AB80" i="1" s="1"/>
  <c r="KD80" i="1" s="1"/>
  <c r="KI82" i="1" a="1"/>
  <c r="KI82" i="1" s="1"/>
  <c r="KJ82" i="1" s="1"/>
  <c r="KK82" i="1" s="1"/>
  <c r="X107" i="1"/>
  <c r="AA80" i="1" l="1"/>
  <c r="KC80" i="1" s="1"/>
  <c r="Z80" i="1" s="1" a="1"/>
  <c r="Z80" i="1" s="1"/>
  <c r="Y81" i="1" s="1" a="1"/>
  <c r="Y81" i="1" s="1"/>
  <c r="KI83" i="1" a="1"/>
  <c r="KI83" i="1" s="1"/>
  <c r="KJ83" i="1" s="1"/>
  <c r="KK83" i="1" s="1"/>
  <c r="KI84" i="1" s="1" a="1"/>
  <c r="KI84" i="1" s="1"/>
  <c r="AB81" i="1" l="1"/>
  <c r="KD81" i="1" s="1"/>
  <c r="AA81" i="1"/>
  <c r="KC81" i="1" s="1"/>
  <c r="Z81" i="1" s="1" a="1"/>
  <c r="Z81" i="1" s="1"/>
  <c r="Y82" i="1" s="1" a="1"/>
  <c r="Y82" i="1" s="1"/>
  <c r="KJ84" i="1"/>
  <c r="KK84" i="1" s="1"/>
  <c r="KI85" i="1" s="1" a="1"/>
  <c r="KI85" i="1" s="1"/>
  <c r="X109" i="1"/>
  <c r="AB82" i="1" l="1"/>
  <c r="KD82" i="1" s="1"/>
  <c r="AA82" i="1"/>
  <c r="KC82" i="1" s="1"/>
  <c r="Z82" i="1" s="1" a="1"/>
  <c r="Z82" i="1" s="1"/>
  <c r="Y83" i="1" s="1" a="1"/>
  <c r="Y83" i="1" s="1"/>
  <c r="KJ85" i="1"/>
  <c r="KK85" i="1" s="1"/>
  <c r="KI86" i="1" s="1" a="1"/>
  <c r="KI86" i="1" s="1"/>
  <c r="X110" i="1"/>
  <c r="AB83" i="1" l="1"/>
  <c r="KD83" i="1" s="1"/>
  <c r="AA83" i="1"/>
  <c r="KC83" i="1" s="1"/>
  <c r="Z83" i="1" s="1" a="1"/>
  <c r="Z83" i="1" s="1"/>
  <c r="Y84" i="1" s="1" a="1"/>
  <c r="Y84" i="1" s="1"/>
  <c r="KJ86" i="1"/>
  <c r="KK86" i="1" s="1"/>
  <c r="X111" i="1"/>
  <c r="AB84" i="1" l="1"/>
  <c r="KD84" i="1" s="1"/>
  <c r="AA84" i="1"/>
  <c r="KC84" i="1" s="1"/>
  <c r="Z84" i="1" s="1" a="1"/>
  <c r="Z84" i="1" s="1"/>
  <c r="Y85" i="1" s="1" a="1"/>
  <c r="Y85" i="1" s="1"/>
  <c r="AB85" i="1" s="1"/>
  <c r="KD85" i="1" s="1"/>
  <c r="KI87" i="1" a="1"/>
  <c r="KI87" i="1" s="1"/>
  <c r="KJ87" i="1" s="1"/>
  <c r="KK87" i="1" s="1"/>
  <c r="AA85" i="1" l="1"/>
  <c r="KC85" i="1" s="1"/>
  <c r="Z85" i="1" s="1" a="1"/>
  <c r="Z85" i="1" s="1"/>
  <c r="Y86" i="1" s="1" a="1"/>
  <c r="Y86" i="1" s="1"/>
  <c r="AA86" i="1" s="1"/>
  <c r="KC86" i="1" s="1"/>
  <c r="KI88" i="1" a="1"/>
  <c r="KI88" i="1" s="1"/>
  <c r="KJ88" i="1" s="1"/>
  <c r="X113" i="1"/>
  <c r="Z86" i="1" l="1" a="1"/>
  <c r="Z86" i="1" s="1"/>
  <c r="Y87" i="1" s="1" a="1"/>
  <c r="Y87" i="1" s="1"/>
  <c r="AB87" i="1" s="1"/>
  <c r="KD87" i="1" s="1"/>
  <c r="AB86" i="1"/>
  <c r="KD86" i="1" s="1"/>
  <c r="KK88" i="1"/>
  <c r="KI89" i="1" s="1" a="1"/>
  <c r="KI89" i="1" s="1"/>
  <c r="KJ89" i="1" s="1"/>
  <c r="X114" i="1"/>
  <c r="AA87" i="1" l="1"/>
  <c r="KC87" i="1" s="1"/>
  <c r="Z87" i="1" s="1" a="1"/>
  <c r="Z87" i="1" s="1"/>
  <c r="Y88" i="1" s="1" a="1"/>
  <c r="Y88" i="1" s="1"/>
  <c r="AB88" i="1" s="1"/>
  <c r="KK89" i="1"/>
  <c r="KL89" i="1" s="1"/>
  <c r="KM89" i="1" s="1"/>
  <c r="X115" i="1"/>
  <c r="AA88" i="1" l="1"/>
  <c r="KC88" i="1" s="1"/>
  <c r="Z88" i="1" s="1" a="1"/>
  <c r="Z88" i="1" s="1"/>
  <c r="Y89" i="1" s="1" a="1"/>
  <c r="Y89" i="1" s="1"/>
  <c r="KI90" i="1" a="1"/>
  <c r="KI90" i="1" s="1"/>
  <c r="KJ90" i="1" s="1"/>
  <c r="KK90" i="1" s="1"/>
  <c r="KD88" i="1"/>
  <c r="X116" i="1"/>
  <c r="KI91" i="1" l="1" a="1"/>
  <c r="KI91" i="1" s="1"/>
  <c r="KJ91" i="1" s="1"/>
  <c r="KK91" i="1" s="1"/>
  <c r="AB89" i="1"/>
  <c r="KD89" i="1" s="1"/>
  <c r="AA89" i="1"/>
  <c r="KC89" i="1" s="1"/>
  <c r="KI92" i="1" l="1" a="1"/>
  <c r="KI92" i="1" s="1"/>
  <c r="KJ92" i="1" s="1"/>
  <c r="KK92" i="1" s="1"/>
  <c r="KI93" i="1" s="1" a="1"/>
  <c r="KI93" i="1" s="1"/>
  <c r="KJ93" i="1" s="1"/>
  <c r="Z89" i="1" a="1"/>
  <c r="Z89" i="1" s="1"/>
  <c r="Y90" i="1" s="1" a="1"/>
  <c r="Y90" i="1" s="1"/>
  <c r="X118" i="1"/>
  <c r="AB90" i="1" l="1"/>
  <c r="KD90" i="1" s="1"/>
  <c r="AA90" i="1"/>
  <c r="KC90" i="1" s="1"/>
  <c r="Z90" i="1" s="1" a="1"/>
  <c r="Z90" i="1" s="1"/>
  <c r="Y91" i="1" s="1" a="1"/>
  <c r="Y91" i="1" s="1"/>
  <c r="KK93" i="1"/>
  <c r="KI94" i="1" s="1" a="1"/>
  <c r="KI94" i="1" s="1"/>
  <c r="KJ94" i="1" s="1"/>
  <c r="X119" i="1"/>
  <c r="AB91" i="1" l="1"/>
  <c r="KD91" i="1" s="1"/>
  <c r="AA91" i="1"/>
  <c r="KC91" i="1" s="1"/>
  <c r="Z91" i="1" s="1" a="1"/>
  <c r="Z91" i="1" s="1"/>
  <c r="Y92" i="1" s="1" a="1"/>
  <c r="Y92" i="1" s="1"/>
  <c r="KK94" i="1"/>
  <c r="KI95" i="1" s="1" a="1"/>
  <c r="KI95" i="1" s="1"/>
  <c r="KJ95" i="1" s="1"/>
  <c r="X120" i="1"/>
  <c r="AB92" i="1" l="1"/>
  <c r="KD92" i="1" s="1"/>
  <c r="AA92" i="1"/>
  <c r="KC92" i="1" s="1"/>
  <c r="Z92" i="1" s="1" a="1"/>
  <c r="Z92" i="1" s="1"/>
  <c r="Y93" i="1" s="1" a="1"/>
  <c r="Y93" i="1" s="1"/>
  <c r="KK95" i="1"/>
  <c r="KI96" i="1" s="1" a="1"/>
  <c r="KI96" i="1" s="1"/>
  <c r="KJ96" i="1" s="1"/>
  <c r="KK96" i="1" s="1"/>
  <c r="KI97" i="1" s="1" a="1"/>
  <c r="KI97" i="1" s="1"/>
  <c r="X121" i="1"/>
  <c r="AB93" i="1" l="1"/>
  <c r="KD93" i="1" s="1"/>
  <c r="AA93" i="1"/>
  <c r="KC93" i="1" s="1"/>
  <c r="Z93" i="1" s="1" a="1"/>
  <c r="Z93" i="1" s="1"/>
  <c r="Y94" i="1" s="1" a="1"/>
  <c r="Y94" i="1" s="1"/>
  <c r="KJ97" i="1"/>
  <c r="KK97" i="1" s="1"/>
  <c r="X122" i="1"/>
  <c r="AB94" i="1" l="1"/>
  <c r="KD94" i="1" s="1"/>
  <c r="AA94" i="1"/>
  <c r="KC94" i="1" s="1"/>
  <c r="Z94" i="1" s="1" a="1"/>
  <c r="Z94" i="1" s="1"/>
  <c r="Y95" i="1" s="1" a="1"/>
  <c r="Y95" i="1" s="1"/>
  <c r="KI98" i="1" a="1"/>
  <c r="KI98" i="1" s="1"/>
  <c r="KJ98" i="1" s="1"/>
  <c r="AB95" i="1" l="1"/>
  <c r="KD95" i="1" s="1"/>
  <c r="AA95" i="1"/>
  <c r="KC95" i="1" s="1"/>
  <c r="Z95" i="1" s="1" a="1"/>
  <c r="Z95" i="1" s="1"/>
  <c r="Y96" i="1" s="1" a="1"/>
  <c r="Y96" i="1" s="1"/>
  <c r="KK98" i="1"/>
  <c r="KI99" i="1" s="1" a="1"/>
  <c r="KI99" i="1" s="1"/>
  <c r="X124" i="1"/>
  <c r="AB96" i="1" l="1"/>
  <c r="KD96" i="1" s="1"/>
  <c r="AA96" i="1"/>
  <c r="KC96" i="1" s="1"/>
  <c r="Z96" i="1" s="1" a="1"/>
  <c r="Z96" i="1" s="1"/>
  <c r="Y97" i="1" s="1" a="1"/>
  <c r="Y97" i="1" s="1"/>
  <c r="KJ99" i="1"/>
  <c r="KK99" i="1" s="1"/>
  <c r="X125" i="1"/>
  <c r="AA97" i="1" l="1"/>
  <c r="KC97" i="1" s="1"/>
  <c r="AB97" i="1"/>
  <c r="KD97" i="1" s="1"/>
  <c r="KI100" i="1" a="1"/>
  <c r="KI100" i="1" s="1"/>
  <c r="KJ100" i="1" s="1"/>
  <c r="KK100" i="1" s="1"/>
  <c r="X126" i="1"/>
  <c r="Z97" i="1" l="1" a="1"/>
  <c r="Z97" i="1" s="1"/>
  <c r="Y98" i="1" s="1" a="1"/>
  <c r="Y98" i="1" s="1"/>
  <c r="AA98" i="1" s="1"/>
  <c r="KC98" i="1" s="1"/>
  <c r="KI101" i="1" a="1"/>
  <c r="KI101" i="1" s="1"/>
  <c r="KJ101" i="1" s="1"/>
  <c r="KK101" i="1" s="1"/>
  <c r="KI102" i="1" s="1" a="1"/>
  <c r="KI102" i="1" s="1"/>
  <c r="KJ102" i="1" s="1"/>
  <c r="KK102" i="1" s="1"/>
  <c r="X127" i="1"/>
  <c r="Z98" i="1" l="1" a="1"/>
  <c r="Z98" i="1" s="1"/>
  <c r="Y99" i="1" s="1" a="1"/>
  <c r="Y99" i="1" s="1"/>
  <c r="AA99" i="1" s="1"/>
  <c r="KC99" i="1" s="1"/>
  <c r="AB98" i="1"/>
  <c r="KD98" i="1" s="1"/>
  <c r="KI103" i="1" a="1"/>
  <c r="KI103" i="1" s="1"/>
  <c r="KJ103" i="1" s="1"/>
  <c r="KK103" i="1" s="1"/>
  <c r="X128" i="1"/>
  <c r="Z99" i="1" l="1" a="1"/>
  <c r="Z99" i="1" s="1"/>
  <c r="Y100" i="1" s="1" a="1"/>
  <c r="Y100" i="1" s="1"/>
  <c r="AA100" i="1" s="1"/>
  <c r="KC100" i="1" s="1"/>
  <c r="AB99" i="1"/>
  <c r="KD99" i="1" s="1"/>
  <c r="KI104" i="1" a="1"/>
  <c r="KI104" i="1" s="1"/>
  <c r="KJ104" i="1" s="1"/>
  <c r="Z100" i="1" l="1" a="1"/>
  <c r="Z100" i="1" s="1"/>
  <c r="Y101" i="1" s="1" a="1"/>
  <c r="Y101" i="1" s="1"/>
  <c r="AA101" i="1" s="1"/>
  <c r="KC101" i="1" s="1"/>
  <c r="AB100" i="1"/>
  <c r="KD100" i="1" s="1"/>
  <c r="KK104" i="1"/>
  <c r="KI105" i="1" s="1" a="1"/>
  <c r="KI105" i="1" s="1"/>
  <c r="KJ105" i="1" s="1"/>
  <c r="X130" i="1"/>
  <c r="Z101" i="1" l="1" a="1"/>
  <c r="Z101" i="1" s="1"/>
  <c r="Y102" i="1" s="1" a="1"/>
  <c r="Y102" i="1" s="1"/>
  <c r="AB102" i="1" s="1"/>
  <c r="KD102" i="1" s="1"/>
  <c r="AB101" i="1"/>
  <c r="KD101" i="1" s="1"/>
  <c r="KK105" i="1"/>
  <c r="KI106" i="1" s="1" a="1"/>
  <c r="KI106" i="1" s="1"/>
  <c r="X131" i="1"/>
  <c r="AA102" i="1" l="1"/>
  <c r="KC102" i="1" s="1"/>
  <c r="Z102" i="1" s="1" a="1"/>
  <c r="Z102" i="1" s="1"/>
  <c r="Y103" i="1" s="1" a="1"/>
  <c r="Y103" i="1" s="1"/>
  <c r="AB103" i="1" s="1"/>
  <c r="KD103" i="1" s="1"/>
  <c r="KJ106" i="1"/>
  <c r="X132" i="1"/>
  <c r="AA103" i="1" l="1"/>
  <c r="KC103" i="1" s="1"/>
  <c r="Z103" i="1" s="1" a="1"/>
  <c r="Z103" i="1" s="1"/>
  <c r="Y104" i="1" s="1" a="1"/>
  <c r="Y104" i="1" s="1"/>
  <c r="AA104" i="1" s="1"/>
  <c r="KC104" i="1" s="1"/>
  <c r="KK106" i="1"/>
  <c r="KI107" i="1" s="1" a="1"/>
  <c r="KI107" i="1" s="1"/>
  <c r="KJ107" i="1" s="1"/>
  <c r="KK107" i="1" s="1"/>
  <c r="X133" i="1"/>
  <c r="Z104" i="1" l="1" a="1"/>
  <c r="Z104" i="1" s="1"/>
  <c r="Y105" i="1" s="1" a="1"/>
  <c r="Y105" i="1" s="1"/>
  <c r="AA105" i="1" s="1"/>
  <c r="KC105" i="1" s="1"/>
  <c r="AB104" i="1"/>
  <c r="KD104" i="1" s="1"/>
  <c r="KI108" i="1" a="1"/>
  <c r="KI108" i="1" s="1"/>
  <c r="KJ108" i="1" s="1"/>
  <c r="KK108" i="1" s="1"/>
  <c r="X134" i="1"/>
  <c r="Z105" i="1" l="1" a="1"/>
  <c r="Z105" i="1" s="1"/>
  <c r="Y106" i="1" s="1" a="1"/>
  <c r="Y106" i="1" s="1"/>
  <c r="AB106" i="1" s="1"/>
  <c r="KD106" i="1" s="1"/>
  <c r="AB105" i="1"/>
  <c r="KD105" i="1" s="1"/>
  <c r="KI109" i="1" a="1"/>
  <c r="KI109" i="1" s="1"/>
  <c r="KJ109" i="1" s="1"/>
  <c r="KK109" i="1" s="1"/>
  <c r="KI110" i="1" s="1" a="1"/>
  <c r="KI110" i="1" s="1"/>
  <c r="KJ110" i="1" s="1"/>
  <c r="AA106" i="1" l="1"/>
  <c r="KC106" i="1" s="1"/>
  <c r="Z106" i="1" s="1" a="1"/>
  <c r="Z106" i="1" s="1"/>
  <c r="Y107" i="1" s="1" a="1"/>
  <c r="Y107" i="1" s="1"/>
  <c r="AA107" i="1" s="1"/>
  <c r="KC107" i="1" s="1"/>
  <c r="KK110" i="1"/>
  <c r="KI111" i="1" s="1" a="1"/>
  <c r="KI111" i="1" s="1"/>
  <c r="KJ111" i="1" s="1"/>
  <c r="KK111" i="1" s="1"/>
  <c r="KI112" i="1" s="1" a="1"/>
  <c r="KI112" i="1" s="1"/>
  <c r="X136" i="1"/>
  <c r="Z107" i="1" l="1" a="1"/>
  <c r="Z107" i="1" s="1"/>
  <c r="Y108" i="1" s="1" a="1"/>
  <c r="Y108" i="1" s="1"/>
  <c r="AB108" i="1" s="1"/>
  <c r="KD108" i="1" s="1"/>
  <c r="AB107" i="1"/>
  <c r="KD107" i="1" s="1"/>
  <c r="KJ112" i="1"/>
  <c r="KK112" i="1" s="1"/>
  <c r="KI113" i="1" s="1" a="1"/>
  <c r="KI113" i="1" s="1"/>
  <c r="X137" i="1"/>
  <c r="AA108" i="1" l="1"/>
  <c r="KC108" i="1" s="1"/>
  <c r="Z108" i="1" s="1" a="1"/>
  <c r="Z108" i="1" s="1"/>
  <c r="Y109" i="1" s="1" a="1"/>
  <c r="Y109" i="1" s="1"/>
  <c r="AA109" i="1" s="1"/>
  <c r="KC109" i="1" s="1"/>
  <c r="KJ113" i="1"/>
  <c r="KK113" i="1" s="1"/>
  <c r="X138" i="1"/>
  <c r="Z109" i="1" l="1" a="1"/>
  <c r="Z109" i="1" s="1"/>
  <c r="Y110" i="1" s="1" a="1"/>
  <c r="Y110" i="1" s="1"/>
  <c r="AA110" i="1" s="1"/>
  <c r="KC110" i="1" s="1"/>
  <c r="AB109" i="1"/>
  <c r="KD109" i="1" s="1"/>
  <c r="KI114" i="1" a="1"/>
  <c r="KI114" i="1" s="1"/>
  <c r="KJ114" i="1" s="1"/>
  <c r="X139" i="1"/>
  <c r="AB110" i="1" l="1"/>
  <c r="KD110" i="1" s="1"/>
  <c r="Z110" i="1" s="1" a="1"/>
  <c r="Z110" i="1" s="1"/>
  <c r="Y111" i="1" s="1" a="1"/>
  <c r="Y111" i="1" s="1"/>
  <c r="AA111" i="1" s="1"/>
  <c r="KC111" i="1" s="1"/>
  <c r="KK114" i="1"/>
  <c r="KI115" i="1" s="1" a="1"/>
  <c r="KI115" i="1" s="1"/>
  <c r="KJ115" i="1" s="1"/>
  <c r="X140" i="1"/>
  <c r="AB111" i="1" l="1"/>
  <c r="KD111" i="1" s="1"/>
  <c r="Z111" i="1" s="1" a="1"/>
  <c r="Z111" i="1" s="1"/>
  <c r="Y112" i="1" s="1" a="1"/>
  <c r="Y112" i="1" s="1"/>
  <c r="AA112" i="1" s="1"/>
  <c r="KC112" i="1" s="1"/>
  <c r="KK115" i="1"/>
  <c r="KI116" i="1" s="1" a="1"/>
  <c r="KI116" i="1" s="1"/>
  <c r="KJ116" i="1" s="1"/>
  <c r="Z112" i="1" l="1" a="1"/>
  <c r="Z112" i="1" s="1"/>
  <c r="Y113" i="1" s="1" a="1"/>
  <c r="Y113" i="1" s="1"/>
  <c r="AA113" i="1" s="1"/>
  <c r="KC113" i="1" s="1"/>
  <c r="AB112" i="1"/>
  <c r="KD112" i="1" s="1"/>
  <c r="KK116" i="1"/>
  <c r="KI117" i="1" s="1" a="1"/>
  <c r="KI117" i="1" s="1"/>
  <c r="KJ117" i="1" s="1"/>
  <c r="KK117" i="1" s="1"/>
  <c r="X142" i="1"/>
  <c r="Z113" i="1" l="1" a="1"/>
  <c r="Z113" i="1" s="1"/>
  <c r="Y114" i="1" s="1" a="1"/>
  <c r="Y114" i="1" s="1"/>
  <c r="AA114" i="1" s="1"/>
  <c r="KC114" i="1" s="1"/>
  <c r="AB113" i="1"/>
  <c r="KD113" i="1" s="1"/>
  <c r="KI118" i="1" a="1"/>
  <c r="KI118" i="1" s="1"/>
  <c r="KJ118" i="1" s="1"/>
  <c r="Z114" i="1" l="1" a="1"/>
  <c r="Z114" i="1" s="1"/>
  <c r="Y115" i="1" s="1" a="1"/>
  <c r="Y115" i="1" s="1"/>
  <c r="AA115" i="1" s="1"/>
  <c r="KC115" i="1" s="1"/>
  <c r="AB114" i="1"/>
  <c r="KD114" i="1" s="1"/>
  <c r="KK118" i="1"/>
  <c r="KI119" i="1" s="1" a="1"/>
  <c r="KI119" i="1" s="1"/>
  <c r="KJ119" i="1" s="1"/>
  <c r="KK119" i="1" s="1"/>
  <c r="X144" i="1"/>
  <c r="Z115" i="1" l="1" a="1"/>
  <c r="Z115" i="1" s="1"/>
  <c r="Y116" i="1" s="1" a="1"/>
  <c r="Y116" i="1" s="1"/>
  <c r="AA116" i="1" s="1"/>
  <c r="KC116" i="1" s="1"/>
  <c r="AB115" i="1"/>
  <c r="KD115" i="1" s="1"/>
  <c r="KI120" i="1" a="1"/>
  <c r="KI120" i="1" s="1"/>
  <c r="KJ120" i="1" s="1"/>
  <c r="X145" i="1"/>
  <c r="Z116" i="1" l="1" a="1"/>
  <c r="Z116" i="1" s="1"/>
  <c r="Y117" i="1" s="1" a="1"/>
  <c r="Y117" i="1" s="1"/>
  <c r="AA117" i="1" s="1"/>
  <c r="KC117" i="1" s="1"/>
  <c r="AB116" i="1"/>
  <c r="KD116" i="1" s="1"/>
  <c r="KK120" i="1"/>
  <c r="KI121" i="1" s="1" a="1"/>
  <c r="KI121" i="1" s="1"/>
  <c r="KJ121" i="1" s="1"/>
  <c r="X146" i="1"/>
  <c r="Z117" i="1" l="1" a="1"/>
  <c r="Z117" i="1" s="1"/>
  <c r="Y118" i="1" s="1" a="1"/>
  <c r="Y118" i="1" s="1"/>
  <c r="AA118" i="1" s="1"/>
  <c r="KC118" i="1" s="1"/>
  <c r="AB117" i="1"/>
  <c r="KD117" i="1" s="1"/>
  <c r="KK121" i="1"/>
  <c r="KI122" i="1" s="1" a="1"/>
  <c r="KI122" i="1" s="1"/>
  <c r="KJ122" i="1" s="1"/>
  <c r="X147" i="1"/>
  <c r="Z118" i="1" l="1" a="1"/>
  <c r="Z118" i="1" s="1"/>
  <c r="Y119" i="1" s="1" a="1"/>
  <c r="Y119" i="1" s="1"/>
  <c r="AA119" i="1" s="1"/>
  <c r="KC119" i="1" s="1"/>
  <c r="AB118" i="1"/>
  <c r="KD118" i="1" s="1"/>
  <c r="KK122" i="1"/>
  <c r="KI123" i="1" s="1" a="1"/>
  <c r="KI123" i="1" s="1"/>
  <c r="KJ123" i="1" s="1"/>
  <c r="KK123" i="1" s="1"/>
  <c r="X148" i="1"/>
  <c r="Z119" i="1" l="1" a="1"/>
  <c r="Z119" i="1" s="1"/>
  <c r="Y120" i="1" s="1" a="1"/>
  <c r="Y120" i="1" s="1"/>
  <c r="AB120" i="1" s="1"/>
  <c r="KD120" i="1" s="1"/>
  <c r="AB119" i="1"/>
  <c r="KD119" i="1" s="1"/>
  <c r="KI124" i="1" a="1"/>
  <c r="KI124" i="1" s="1"/>
  <c r="KJ124" i="1" s="1"/>
  <c r="X149" i="1"/>
  <c r="AA120" i="1" l="1"/>
  <c r="KC120" i="1" s="1"/>
  <c r="Z120" i="1" s="1" a="1"/>
  <c r="Z120" i="1" s="1"/>
  <c r="Y121" i="1" s="1" a="1"/>
  <c r="Y121" i="1" s="1"/>
  <c r="AA121" i="1" s="1"/>
  <c r="KC121" i="1" s="1"/>
  <c r="KK124" i="1"/>
  <c r="KI125" i="1" s="1" a="1"/>
  <c r="KI125" i="1" s="1"/>
  <c r="KJ125" i="1" s="1"/>
  <c r="X150" i="1"/>
  <c r="Z121" i="1" l="1" a="1"/>
  <c r="Z121" i="1" s="1"/>
  <c r="Y122" i="1" s="1" a="1"/>
  <c r="Y122" i="1" s="1"/>
  <c r="AA122" i="1" s="1"/>
  <c r="KC122" i="1" s="1"/>
  <c r="AB121" i="1"/>
  <c r="KD121" i="1" s="1"/>
  <c r="KK125" i="1"/>
  <c r="KI126" i="1" s="1" a="1"/>
  <c r="KI126" i="1" s="1"/>
  <c r="KJ126" i="1" s="1"/>
  <c r="X151" i="1"/>
  <c r="Z122" i="1" l="1" a="1"/>
  <c r="Z122" i="1" s="1"/>
  <c r="Y123" i="1" s="1" a="1"/>
  <c r="Y123" i="1" s="1"/>
  <c r="AB123" i="1" s="1"/>
  <c r="KD123" i="1" s="1"/>
  <c r="AB122" i="1"/>
  <c r="KD122" i="1" s="1"/>
  <c r="KK126" i="1"/>
  <c r="KI127" i="1" s="1" a="1"/>
  <c r="KI127" i="1" s="1"/>
  <c r="KJ127" i="1" s="1"/>
  <c r="KK127" i="1" s="1"/>
  <c r="X152" i="1"/>
  <c r="AA123" i="1" l="1"/>
  <c r="KC123" i="1" s="1"/>
  <c r="Z123" i="1" s="1" a="1"/>
  <c r="Z123" i="1" s="1"/>
  <c r="Y124" i="1" s="1" a="1"/>
  <c r="Y124" i="1" s="1"/>
  <c r="AA124" i="1" s="1"/>
  <c r="KC124" i="1" s="1"/>
  <c r="KI128" i="1" a="1"/>
  <c r="KI128" i="1" s="1"/>
  <c r="KJ128" i="1" s="1"/>
  <c r="KK128" i="1" s="1"/>
  <c r="X153" i="1"/>
  <c r="AB124" i="1" l="1"/>
  <c r="KD124" i="1" s="1"/>
  <c r="Z124" i="1" s="1" a="1"/>
  <c r="Z124" i="1" s="1"/>
  <c r="Y125" i="1" s="1" a="1"/>
  <c r="Y125" i="1" s="1"/>
  <c r="AA125" i="1" s="1"/>
  <c r="KC125" i="1" s="1"/>
  <c r="KI129" i="1" a="1"/>
  <c r="KI129" i="1" s="1"/>
  <c r="KJ129" i="1" s="1"/>
  <c r="X154" i="1"/>
  <c r="Z125" i="1" l="1" a="1"/>
  <c r="Z125" i="1" s="1"/>
  <c r="Y126" i="1" s="1" a="1"/>
  <c r="Y126" i="1" s="1"/>
  <c r="AB126" i="1" s="1"/>
  <c r="KD126" i="1" s="1"/>
  <c r="AB125" i="1"/>
  <c r="KD125" i="1" s="1"/>
  <c r="KK129" i="1"/>
  <c r="KI130" i="1" s="1" a="1"/>
  <c r="KI130" i="1" s="1"/>
  <c r="KJ130" i="1" s="1"/>
  <c r="X155" i="1"/>
  <c r="AA126" i="1" l="1"/>
  <c r="KC126" i="1" s="1"/>
  <c r="Z126" i="1" s="1" a="1"/>
  <c r="Z126" i="1" s="1"/>
  <c r="Y127" i="1" s="1" a="1"/>
  <c r="Y127" i="1" s="1"/>
  <c r="AB127" i="1" s="1"/>
  <c r="KD127" i="1" s="1"/>
  <c r="KK130" i="1"/>
  <c r="KI131" i="1" s="1" a="1"/>
  <c r="KI131" i="1" s="1"/>
  <c r="KJ131" i="1" s="1"/>
  <c r="X156" i="1"/>
  <c r="AA127" i="1" l="1"/>
  <c r="KC127" i="1" s="1"/>
  <c r="Z127" i="1" s="1" a="1"/>
  <c r="Z127" i="1" s="1"/>
  <c r="Y128" i="1" s="1" a="1"/>
  <c r="Y128" i="1" s="1"/>
  <c r="AA128" i="1" s="1"/>
  <c r="KC128" i="1" s="1"/>
  <c r="KK131" i="1"/>
  <c r="KI132" i="1" s="1" a="1"/>
  <c r="KI132" i="1" s="1"/>
  <c r="KJ132" i="1" s="1"/>
  <c r="X157" i="1"/>
  <c r="AB128" i="1" l="1"/>
  <c r="KD128" i="1" s="1"/>
  <c r="Z128" i="1" s="1" a="1"/>
  <c r="Z128" i="1" s="1"/>
  <c r="Y129" i="1" s="1" a="1"/>
  <c r="Y129" i="1" s="1"/>
  <c r="AA129" i="1" s="1"/>
  <c r="KC129" i="1" s="1"/>
  <c r="KK132" i="1"/>
  <c r="KI133" i="1" s="1" a="1"/>
  <c r="KI133" i="1" s="1"/>
  <c r="KJ133" i="1" s="1"/>
  <c r="X158" i="1"/>
  <c r="Z129" i="1" l="1" a="1"/>
  <c r="Z129" i="1" s="1"/>
  <c r="Y130" i="1" s="1" a="1"/>
  <c r="Y130" i="1" s="1"/>
  <c r="AA130" i="1" s="1"/>
  <c r="KC130" i="1" s="1"/>
  <c r="AB129" i="1"/>
  <c r="KD129" i="1" s="1"/>
  <c r="KK133" i="1"/>
  <c r="KI134" i="1" s="1" a="1"/>
  <c r="KI134" i="1" s="1"/>
  <c r="KJ134" i="1" s="1"/>
  <c r="Z130" i="1" l="1" a="1"/>
  <c r="Z130" i="1" s="1"/>
  <c r="Y131" i="1" s="1" a="1"/>
  <c r="Y131" i="1" s="1"/>
  <c r="AA131" i="1" s="1"/>
  <c r="KC131" i="1" s="1"/>
  <c r="AB130" i="1"/>
  <c r="KD130" i="1" s="1"/>
  <c r="KK134" i="1"/>
  <c r="KI135" i="1" s="1" a="1"/>
  <c r="KI135" i="1" s="1"/>
  <c r="KJ135" i="1" s="1"/>
  <c r="KK135" i="1" s="1"/>
  <c r="X160" i="1"/>
  <c r="AB131" i="1" l="1"/>
  <c r="KD131" i="1" s="1"/>
  <c r="Z131" i="1" a="1"/>
  <c r="Z131" i="1" s="1"/>
  <c r="Y132" i="1" s="1" a="1"/>
  <c r="Y132" i="1" s="1"/>
  <c r="AA132" i="1" s="1"/>
  <c r="KC132" i="1" s="1"/>
  <c r="KI136" i="1" a="1"/>
  <c r="KI136" i="1" s="1"/>
  <c r="KJ136" i="1" s="1"/>
  <c r="X161" i="1"/>
  <c r="Z132" i="1" l="1" a="1"/>
  <c r="Z132" i="1" s="1"/>
  <c r="Y133" i="1" s="1" a="1"/>
  <c r="Y133" i="1" s="1"/>
  <c r="AB133" i="1" s="1"/>
  <c r="KD133" i="1" s="1"/>
  <c r="AB132" i="1"/>
  <c r="KD132" i="1" s="1"/>
  <c r="KK136" i="1"/>
  <c r="KI137" i="1" s="1" a="1"/>
  <c r="KI137" i="1" s="1"/>
  <c r="X162" i="1"/>
  <c r="AA133" i="1" l="1"/>
  <c r="KC133" i="1" s="1"/>
  <c r="Z133" i="1" s="1" a="1"/>
  <c r="Z133" i="1" s="1"/>
  <c r="Y134" i="1" s="1" a="1"/>
  <c r="Y134" i="1" s="1"/>
  <c r="AA134" i="1" s="1"/>
  <c r="KC134" i="1" s="1"/>
  <c r="KJ137" i="1"/>
  <c r="KK137" i="1" s="1"/>
  <c r="X163" i="1"/>
  <c r="Z134" i="1" l="1" a="1"/>
  <c r="Z134" i="1" s="1"/>
  <c r="Y135" i="1" s="1" a="1"/>
  <c r="Y135" i="1" s="1"/>
  <c r="AA135" i="1" s="1"/>
  <c r="KC135" i="1" s="1"/>
  <c r="AB134" i="1"/>
  <c r="KD134" i="1" s="1"/>
  <c r="KI138" i="1" a="1"/>
  <c r="KI138" i="1" s="1"/>
  <c r="KJ138" i="1" s="1"/>
  <c r="KK138" i="1" s="1"/>
  <c r="X164" i="1"/>
  <c r="X167" i="1" s="1"/>
  <c r="X168" i="1" s="1"/>
  <c r="Z135" i="1" l="1" a="1"/>
  <c r="Z135" i="1" s="1"/>
  <c r="Y136" i="1" s="1" a="1"/>
  <c r="Y136" i="1" s="1"/>
  <c r="AA136" i="1" s="1"/>
  <c r="KC136" i="1" s="1"/>
  <c r="AB135" i="1"/>
  <c r="KD135" i="1" s="1"/>
  <c r="KI139" i="1" a="1"/>
  <c r="KI139" i="1" s="1"/>
  <c r="KJ139" i="1" s="1"/>
  <c r="KK139" i="1" s="1"/>
  <c r="KI140" i="1" s="1" a="1"/>
  <c r="KI140" i="1" s="1"/>
  <c r="KJ140" i="1" s="1"/>
  <c r="Y166" i="1" a="1"/>
  <c r="Y166" i="1" s="1"/>
  <c r="AB136" i="1" l="1"/>
  <c r="KD136" i="1" s="1"/>
  <c r="Z136" i="1" s="1" a="1"/>
  <c r="Z136" i="1" s="1"/>
  <c r="Y137" i="1" s="1" a="1"/>
  <c r="Y137" i="1" s="1"/>
  <c r="AA137" i="1" s="1"/>
  <c r="KC137" i="1" s="1"/>
  <c r="AB166" i="1"/>
  <c r="AA166" i="1"/>
  <c r="KK140" i="1"/>
  <c r="KI141" i="1" s="1" a="1"/>
  <c r="KI141" i="1" s="1"/>
  <c r="KJ141" i="1" s="1"/>
  <c r="Z137" i="1" l="1" a="1"/>
  <c r="Z137" i="1" s="1"/>
  <c r="Y138" i="1" s="1" a="1"/>
  <c r="Y138" i="1" s="1"/>
  <c r="AB138" i="1" s="1"/>
  <c r="KD138" i="1" s="1"/>
  <c r="AB137" i="1"/>
  <c r="KD137" i="1" s="1"/>
  <c r="KK141" i="1"/>
  <c r="KI142" i="1" s="1" a="1"/>
  <c r="KI142" i="1" s="1"/>
  <c r="KJ142" i="1" s="1"/>
  <c r="KA166" i="1"/>
  <c r="KC166" i="1"/>
  <c r="X171" i="1"/>
  <c r="KD166" i="1"/>
  <c r="KB166" i="1"/>
  <c r="KF166" i="1" s="1"/>
  <c r="AA138" i="1" l="1"/>
  <c r="KC138" i="1" s="1"/>
  <c r="Z138" i="1" s="1" a="1"/>
  <c r="Z138" i="1" s="1"/>
  <c r="Y139" i="1" s="1" a="1"/>
  <c r="Y139" i="1" s="1"/>
  <c r="AA139" i="1" s="1"/>
  <c r="KC139" i="1" s="1"/>
  <c r="KK142" i="1"/>
  <c r="KI143" i="1" s="1" a="1"/>
  <c r="KI143" i="1" s="1"/>
  <c r="KJ143" i="1" s="1"/>
  <c r="KE166" i="1"/>
  <c r="X172" i="1"/>
  <c r="AB139" i="1" l="1"/>
  <c r="KD139" i="1" s="1"/>
  <c r="Z139" i="1" s="1" a="1"/>
  <c r="Z139" i="1" s="1"/>
  <c r="Y140" i="1" s="1" a="1"/>
  <c r="Y140" i="1" s="1"/>
  <c r="AA140" i="1" s="1"/>
  <c r="KC140" i="1" s="1"/>
  <c r="KK143" i="1"/>
  <c r="KI144" i="1" s="1" a="1"/>
  <c r="KI144" i="1" s="1"/>
  <c r="KJ144" i="1" s="1"/>
  <c r="X173" i="1"/>
  <c r="Z140" i="1" l="1" a="1"/>
  <c r="Z140" i="1" s="1"/>
  <c r="Y141" i="1" s="1" a="1"/>
  <c r="Y141" i="1" s="1"/>
  <c r="AA141" i="1" s="1"/>
  <c r="KC141" i="1" s="1"/>
  <c r="AB140" i="1"/>
  <c r="KD140" i="1" s="1"/>
  <c r="KK144" i="1"/>
  <c r="KI145" i="1" s="1" a="1"/>
  <c r="KI145" i="1" s="1"/>
  <c r="KJ145" i="1" s="1"/>
  <c r="KK145" i="1" s="1"/>
  <c r="KI146" i="1" s="1" a="1"/>
  <c r="KI146" i="1" s="1"/>
  <c r="X174" i="1"/>
  <c r="Z141" i="1" l="1" a="1"/>
  <c r="Z141" i="1" s="1"/>
  <c r="Y142" i="1" s="1" a="1"/>
  <c r="Y142" i="1" s="1"/>
  <c r="AA142" i="1" s="1"/>
  <c r="KC142" i="1" s="1"/>
  <c r="AB141" i="1"/>
  <c r="KD141" i="1" s="1"/>
  <c r="KJ146" i="1"/>
  <c r="KK146" i="1" s="1"/>
  <c r="X175" i="1"/>
  <c r="AB142" i="1" l="1"/>
  <c r="KD142" i="1" s="1"/>
  <c r="Z142" i="1" s="1" a="1"/>
  <c r="Z142" i="1" s="1"/>
  <c r="Y143" i="1" s="1" a="1"/>
  <c r="Y143" i="1" s="1"/>
  <c r="AA143" i="1" s="1"/>
  <c r="KC143" i="1" s="1"/>
  <c r="KI147" i="1" a="1"/>
  <c r="KI147" i="1" s="1"/>
  <c r="KJ147" i="1" s="1"/>
  <c r="X176" i="1"/>
  <c r="AB143" i="1" l="1"/>
  <c r="KD143" i="1" s="1"/>
  <c r="Z143" i="1" s="1" a="1"/>
  <c r="Z143" i="1" s="1"/>
  <c r="Y144" i="1" s="1" a="1"/>
  <c r="Y144" i="1" s="1"/>
  <c r="AA144" i="1" s="1"/>
  <c r="KC144" i="1" s="1"/>
  <c r="KK147" i="1"/>
  <c r="KI148" i="1" s="1" a="1"/>
  <c r="KI148" i="1" s="1"/>
  <c r="KJ148" i="1" s="1"/>
  <c r="X180" i="1"/>
  <c r="AB144" i="1" l="1"/>
  <c r="KD144" i="1" s="1"/>
  <c r="Z144" i="1" s="1" a="1"/>
  <c r="Z144" i="1" s="1"/>
  <c r="Y145" i="1" s="1" a="1"/>
  <c r="Y145" i="1" s="1"/>
  <c r="AA145" i="1" s="1"/>
  <c r="KC145" i="1" s="1"/>
  <c r="KK148" i="1"/>
  <c r="KI149" i="1" s="1" a="1"/>
  <c r="KI149" i="1" s="1"/>
  <c r="KJ149" i="1" s="1"/>
  <c r="KK149" i="1" s="1"/>
  <c r="X181" i="1"/>
  <c r="AB145" i="1" l="1"/>
  <c r="KD145" i="1" s="1"/>
  <c r="Z145" i="1" s="1" a="1"/>
  <c r="Z145" i="1" s="1"/>
  <c r="Y146" i="1" s="1" a="1"/>
  <c r="Y146" i="1" s="1"/>
  <c r="AA146" i="1" s="1"/>
  <c r="KC146" i="1" s="1"/>
  <c r="KI150" i="1" a="1"/>
  <c r="KI150" i="1" s="1"/>
  <c r="KJ150" i="1" s="1"/>
  <c r="KK150" i="1" s="1"/>
  <c r="KI151" i="1" s="1" a="1"/>
  <c r="KI151" i="1" s="1"/>
  <c r="X182" i="1"/>
  <c r="Y183" i="1" s="1" a="1"/>
  <c r="Y183" i="1" s="1"/>
  <c r="Z146" i="1" l="1" a="1"/>
  <c r="Z146" i="1" s="1"/>
  <c r="Y147" i="1" s="1" a="1"/>
  <c r="Y147" i="1" s="1"/>
  <c r="AA147" i="1" s="1"/>
  <c r="KC147" i="1" s="1"/>
  <c r="AB146" i="1"/>
  <c r="KD146" i="1" s="1"/>
  <c r="AA183" i="1"/>
  <c r="AB183" i="1"/>
  <c r="KJ151" i="1"/>
  <c r="KK151" i="1" s="1"/>
  <c r="X184" i="1"/>
  <c r="Z147" i="1" l="1" a="1"/>
  <c r="Z147" i="1" s="1"/>
  <c r="Y148" i="1" s="1" a="1"/>
  <c r="Y148" i="1" s="1"/>
  <c r="AA148" i="1" s="1"/>
  <c r="KC148" i="1" s="1"/>
  <c r="AB147" i="1"/>
  <c r="KD147" i="1" s="1"/>
  <c r="KI152" i="1" a="1"/>
  <c r="KI152" i="1" s="1"/>
  <c r="KJ152" i="1" s="1"/>
  <c r="KK152" i="1" s="1"/>
  <c r="OW183" i="1"/>
  <c r="OM183" i="1"/>
  <c r="OL183" i="1"/>
  <c r="OV183" i="1"/>
  <c r="X185" i="1"/>
  <c r="Z148" i="1" l="1" a="1"/>
  <c r="Z148" i="1" s="1"/>
  <c r="Y149" i="1" s="1" a="1"/>
  <c r="Y149" i="1" s="1"/>
  <c r="AA149" i="1" s="1"/>
  <c r="KC149" i="1" s="1"/>
  <c r="AB148" i="1"/>
  <c r="KD148" i="1" s="1"/>
  <c r="KI153" i="1" a="1"/>
  <c r="KI153" i="1" s="1"/>
  <c r="KJ153" i="1" s="1"/>
  <c r="KK153" i="1" s="1"/>
  <c r="KI154" i="1" s="1" a="1"/>
  <c r="KI154" i="1" s="1"/>
  <c r="X187" i="1"/>
  <c r="OX183" i="1"/>
  <c r="ON183" i="1"/>
  <c r="OO183" i="1"/>
  <c r="OY183" i="1"/>
  <c r="Z149" i="1" l="1" a="1"/>
  <c r="Z149" i="1" s="1"/>
  <c r="Y150" i="1" s="1" a="1"/>
  <c r="Y150" i="1" s="1"/>
  <c r="AA150" i="1" s="1"/>
  <c r="KC150" i="1" s="1"/>
  <c r="AB149" i="1"/>
  <c r="KD149" i="1" s="1"/>
  <c r="KJ154" i="1"/>
  <c r="KK154" i="1" s="1"/>
  <c r="OP183" i="1"/>
  <c r="OZ183" i="1"/>
  <c r="X189" i="1"/>
  <c r="PZ187" i="1"/>
  <c r="PA183" i="1"/>
  <c r="OQ183" i="1"/>
  <c r="PC183" i="1" s="1"/>
  <c r="Z150" i="1" l="1" a="1"/>
  <c r="Z150" i="1" s="1"/>
  <c r="Y151" i="1" s="1" a="1"/>
  <c r="Y151" i="1" s="1"/>
  <c r="AB151" i="1" s="1"/>
  <c r="KD151" i="1" s="1"/>
  <c r="AB150" i="1"/>
  <c r="KD150" i="1" s="1"/>
  <c r="KI155" i="1" a="1"/>
  <c r="KI155" i="1" s="1"/>
  <c r="KJ155" i="1" s="1"/>
  <c r="KK155" i="1" s="1"/>
  <c r="Z183" i="1" a="1"/>
  <c r="Z183" i="1" s="1"/>
  <c r="Y184" i="1" s="1" a="1"/>
  <c r="Y184" i="1" s="1"/>
  <c r="PB183" i="1"/>
  <c r="RQ187" i="1"/>
  <c r="RR187" i="1"/>
  <c r="RS187" i="1"/>
  <c r="RT187" i="1"/>
  <c r="RJ187" i="1"/>
  <c r="RI187" i="1"/>
  <c r="RK187" i="1"/>
  <c r="RL187" i="1"/>
  <c r="RM187" i="1"/>
  <c r="RN187" i="1"/>
  <c r="RO187" i="1"/>
  <c r="RP187" i="1"/>
  <c r="X190" i="1"/>
  <c r="AA151" i="1" l="1"/>
  <c r="KC151" i="1" s="1"/>
  <c r="Z151" i="1" s="1" a="1"/>
  <c r="Z151" i="1" s="1"/>
  <c r="Y152" i="1" s="1" a="1"/>
  <c r="Y152" i="1" s="1"/>
  <c r="AA152" i="1" s="1"/>
  <c r="KC152" i="1" s="1"/>
  <c r="KI156" i="1" a="1"/>
  <c r="KI156" i="1" s="1"/>
  <c r="KJ156" i="1" s="1"/>
  <c r="KK156" i="1" s="1"/>
  <c r="AA184" i="1"/>
  <c r="AB184" i="1"/>
  <c r="X192" i="1"/>
  <c r="Y193" i="1" s="1" a="1"/>
  <c r="Y193" i="1" s="1"/>
  <c r="AB152" i="1" l="1"/>
  <c r="KD152" i="1" s="1"/>
  <c r="Z152" i="1" s="1" a="1"/>
  <c r="Z152" i="1" s="1"/>
  <c r="Y153" i="1" s="1" a="1"/>
  <c r="Y153" i="1" s="1"/>
  <c r="AA153" i="1" s="1"/>
  <c r="KC153" i="1" s="1"/>
  <c r="KI157" i="1" a="1"/>
  <c r="KI157" i="1" s="1"/>
  <c r="KJ157" i="1" s="1"/>
  <c r="KK157" i="1" s="1"/>
  <c r="KI158" i="1" s="1" a="1"/>
  <c r="KI158" i="1" s="1"/>
  <c r="AB193" i="1"/>
  <c r="OW193" i="1" s="1"/>
  <c r="AA193" i="1"/>
  <c r="OM184" i="1"/>
  <c r="OW184" i="1"/>
  <c r="OL184" i="1"/>
  <c r="OV184" i="1"/>
  <c r="X194" i="1"/>
  <c r="PZ192" i="1"/>
  <c r="Z153" i="1" l="1" a="1"/>
  <c r="Z153" i="1" s="1"/>
  <c r="Y154" i="1" s="1" a="1"/>
  <c r="Y154" i="1" s="1"/>
  <c r="AA154" i="1" s="1"/>
  <c r="KC154" i="1" s="1"/>
  <c r="AB153" i="1"/>
  <c r="KD153" i="1" s="1"/>
  <c r="OM193" i="1"/>
  <c r="OY193" i="1" s="1"/>
  <c r="ON184" i="1"/>
  <c r="OX184" i="1"/>
  <c r="OO184" i="1"/>
  <c r="OY184" i="1"/>
  <c r="KJ158" i="1"/>
  <c r="KK158" i="1" s="1"/>
  <c r="OV193" i="1"/>
  <c r="OL193" i="1"/>
  <c r="RO192" i="1"/>
  <c r="RM192" i="1"/>
  <c r="RK192" i="1"/>
  <c r="RJ192" i="1"/>
  <c r="RL192" i="1"/>
  <c r="RI192" i="1"/>
  <c r="RT192" i="1"/>
  <c r="RS192" i="1"/>
  <c r="RR192" i="1"/>
  <c r="RN192" i="1"/>
  <c r="RQ192" i="1"/>
  <c r="RP192" i="1"/>
  <c r="X195" i="1"/>
  <c r="Y196" i="1" s="1" a="1"/>
  <c r="Y196" i="1" s="1"/>
  <c r="Z154" i="1" l="1" a="1"/>
  <c r="Z154" i="1" s="1"/>
  <c r="Y155" i="1" s="1" a="1"/>
  <c r="Y155" i="1" s="1"/>
  <c r="AA155" i="1" s="1"/>
  <c r="KC155" i="1" s="1"/>
  <c r="AB154" i="1"/>
  <c r="KD154" i="1" s="1"/>
  <c r="KI159" i="1" a="1"/>
  <c r="KI159" i="1" s="1"/>
  <c r="KJ159" i="1" s="1"/>
  <c r="KK159" i="1" s="1"/>
  <c r="OO193" i="1"/>
  <c r="OQ193" i="1" s="1"/>
  <c r="PC193" i="1" s="1"/>
  <c r="OQ184" i="1"/>
  <c r="PC184" i="1" s="1"/>
  <c r="PA184" i="1"/>
  <c r="OZ184" i="1"/>
  <c r="OP184" i="1"/>
  <c r="AB196" i="1"/>
  <c r="KD196" i="1" s="1"/>
  <c r="AA196" i="1"/>
  <c r="ON193" i="1"/>
  <c r="OP193" i="1" s="1"/>
  <c r="OX193" i="1"/>
  <c r="X197" i="1"/>
  <c r="Y198" i="1" s="1" a="1"/>
  <c r="Y198" i="1" s="1"/>
  <c r="Z155" i="1" l="1" a="1"/>
  <c r="Z155" i="1" s="1"/>
  <c r="Y156" i="1" s="1" a="1"/>
  <c r="Y156" i="1" s="1"/>
  <c r="AA156" i="1" s="1"/>
  <c r="KC156" i="1" s="1"/>
  <c r="AB155" i="1"/>
  <c r="KD155" i="1" s="1"/>
  <c r="PA193" i="1"/>
  <c r="AB198" i="1"/>
  <c r="AA198" i="1"/>
  <c r="OL198" i="1" s="1"/>
  <c r="PB184" i="1"/>
  <c r="Z184" i="1" a="1"/>
  <c r="Z184" i="1" s="1"/>
  <c r="Y185" i="1" s="1" a="1"/>
  <c r="Y185" i="1" s="1"/>
  <c r="KI160" i="1" a="1"/>
  <c r="KI160" i="1" s="1"/>
  <c r="KJ160" i="1" s="1"/>
  <c r="KK160" i="1" s="1"/>
  <c r="OZ193" i="1"/>
  <c r="Z193" i="1" s="1" a="1"/>
  <c r="Z193" i="1" s="1"/>
  <c r="Y194" i="1" s="1" a="1"/>
  <c r="Y194" i="1" s="1"/>
  <c r="KC196" i="1"/>
  <c r="Z196" i="1" s="1" a="1"/>
  <c r="Z196" i="1" s="1"/>
  <c r="Y197" i="1" s="1" a="1"/>
  <c r="Y197" i="1" s="1"/>
  <c r="PB193" i="1"/>
  <c r="X199" i="1"/>
  <c r="X200" i="1" s="1"/>
  <c r="PZ197" i="1"/>
  <c r="Z156" i="1" l="1" a="1"/>
  <c r="Z156" i="1" s="1"/>
  <c r="Y157" i="1" s="1" a="1"/>
  <c r="Y157" i="1" s="1"/>
  <c r="AB157" i="1" s="1"/>
  <c r="KD157" i="1" s="1"/>
  <c r="AB156" i="1"/>
  <c r="KD156" i="1" s="1"/>
  <c r="AA197" i="1"/>
  <c r="AB197" i="1"/>
  <c r="AB194" i="1"/>
  <c r="AA194" i="1"/>
  <c r="AA185" i="1"/>
  <c r="AB185" i="1"/>
  <c r="KI161" i="1" a="1"/>
  <c r="KI161" i="1" s="1"/>
  <c r="KJ161" i="1" s="1"/>
  <c r="OV198" i="1"/>
  <c r="OW198" i="1"/>
  <c r="OM198" i="1"/>
  <c r="OX198" i="1"/>
  <c r="ON198" i="1"/>
  <c r="X202" i="1"/>
  <c r="RL197" i="1"/>
  <c r="RK197" i="1"/>
  <c r="RN197" i="1"/>
  <c r="RJ197" i="1"/>
  <c r="RR197" i="1"/>
  <c r="RI197" i="1"/>
  <c r="RT197" i="1"/>
  <c r="RS197" i="1"/>
  <c r="RQ197" i="1"/>
  <c r="RM197" i="1"/>
  <c r="RO197" i="1"/>
  <c r="RP197" i="1"/>
  <c r="AA157" i="1" l="1"/>
  <c r="KC157" i="1" s="1"/>
  <c r="Z157" i="1" s="1" a="1"/>
  <c r="Z157" i="1" s="1"/>
  <c r="Y158" i="1" s="1" a="1"/>
  <c r="Y158" i="1" s="1"/>
  <c r="AA158" i="1" s="1"/>
  <c r="KC158" i="1" s="1"/>
  <c r="QA197" i="1"/>
  <c r="QW197" i="1"/>
  <c r="QB197" i="1"/>
  <c r="QX197" i="1"/>
  <c r="OV194" i="1"/>
  <c r="OL194" i="1"/>
  <c r="OM194" i="1"/>
  <c r="OW194" i="1"/>
  <c r="OM185" i="1"/>
  <c r="OW185" i="1"/>
  <c r="OL185" i="1"/>
  <c r="OV185" i="1"/>
  <c r="KK161" i="1"/>
  <c r="KI162" i="1" s="1" a="1"/>
  <c r="KI162" i="1" s="1"/>
  <c r="Y203" i="1" a="1"/>
  <c r="Y203" i="1" s="1"/>
  <c r="Y204" i="1" a="1"/>
  <c r="Y204" i="1" s="1"/>
  <c r="OZ198" i="1"/>
  <c r="OP198" i="1"/>
  <c r="PB198" i="1" s="1"/>
  <c r="OO198" i="1"/>
  <c r="OY198" i="1"/>
  <c r="PZ202" i="1"/>
  <c r="X217" i="1"/>
  <c r="AB158" i="1" l="1"/>
  <c r="KD158" i="1" s="1"/>
  <c r="Z158" i="1" s="1" a="1"/>
  <c r="Z158" i="1" s="1"/>
  <c r="Y159" i="1" s="1" a="1"/>
  <c r="Y159" i="1" s="1"/>
  <c r="AA159" i="1" s="1"/>
  <c r="KC159" i="1" s="1"/>
  <c r="AB203" i="1"/>
  <c r="AA203" i="1"/>
  <c r="QD197" i="1"/>
  <c r="QZ197" i="1"/>
  <c r="QC197" i="1"/>
  <c r="QY197" i="1"/>
  <c r="OO194" i="1"/>
  <c r="OY194" i="1"/>
  <c r="OX194" i="1"/>
  <c r="ON194" i="1"/>
  <c r="OX185" i="1"/>
  <c r="ON185" i="1"/>
  <c r="OO185" i="1"/>
  <c r="OY185" i="1"/>
  <c r="KJ162" i="1"/>
  <c r="AB204" i="1"/>
  <c r="KD204" i="1" s="1"/>
  <c r="AA204" i="1"/>
  <c r="KC204" i="1" s="1"/>
  <c r="Z198" i="1" a="1"/>
  <c r="Z198" i="1" s="1"/>
  <c r="Y199" i="1" s="1" a="1"/>
  <c r="Y199" i="1" s="1"/>
  <c r="PA198" i="1"/>
  <c r="OQ198" i="1"/>
  <c r="PC198" i="1" s="1"/>
  <c r="RS202" i="1"/>
  <c r="RR202" i="1"/>
  <c r="RP202" i="1"/>
  <c r="RN202" i="1"/>
  <c r="RO202" i="1"/>
  <c r="RK202" i="1"/>
  <c r="RJ202" i="1"/>
  <c r="RI202" i="1"/>
  <c r="RM202" i="1"/>
  <c r="RL202" i="1"/>
  <c r="RQ202" i="1"/>
  <c r="RT202" i="1"/>
  <c r="X218" i="1"/>
  <c r="X219" i="1" s="1"/>
  <c r="X220" i="1" s="1"/>
  <c r="Z159" i="1" l="1" a="1"/>
  <c r="Z159" i="1" s="1"/>
  <c r="Y160" i="1" s="1" a="1"/>
  <c r="Y160" i="1" s="1"/>
  <c r="AA160" i="1" s="1"/>
  <c r="KC160" i="1" s="1"/>
  <c r="AB159" i="1"/>
  <c r="KD159" i="1" s="1"/>
  <c r="OL203" i="1"/>
  <c r="OV203" i="1"/>
  <c r="OM203" i="1"/>
  <c r="OW203" i="1"/>
  <c r="QE197" i="1"/>
  <c r="RA197" i="1"/>
  <c r="QF197" i="1"/>
  <c r="RB197" i="1"/>
  <c r="AB199" i="1"/>
  <c r="AA199" i="1"/>
  <c r="OP194" i="1"/>
  <c r="PB194" i="1" s="1"/>
  <c r="OZ194" i="1"/>
  <c r="OQ194" i="1"/>
  <c r="PC194" i="1" s="1"/>
  <c r="PA194" i="1"/>
  <c r="OQ185" i="1"/>
  <c r="PA185" i="1"/>
  <c r="OP185" i="1"/>
  <c r="OZ185" i="1"/>
  <c r="KK162" i="1"/>
  <c r="KI163" i="1" s="1" a="1"/>
  <c r="KI163" i="1" s="1"/>
  <c r="Z204" i="1" a="1"/>
  <c r="Z204" i="1" s="1"/>
  <c r="Y206" i="1" s="1" a="1"/>
  <c r="Y206" i="1" s="1"/>
  <c r="X222" i="1"/>
  <c r="X224" i="1" s="1"/>
  <c r="AB160" i="1" l="1"/>
  <c r="KD160" i="1" s="1"/>
  <c r="Z160" i="1" s="1" a="1"/>
  <c r="Z160" i="1" s="1"/>
  <c r="Y161" i="1" s="1" a="1"/>
  <c r="Y161" i="1" s="1"/>
  <c r="AA161" i="1" s="1"/>
  <c r="KC161" i="1" s="1"/>
  <c r="Z194" i="1" a="1"/>
  <c r="Z194" i="1" s="1"/>
  <c r="Y195" i="1" s="1" a="1"/>
  <c r="Y195" i="1" s="1"/>
  <c r="AA195" i="1" s="1"/>
  <c r="X234" i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OY203" i="1"/>
  <c r="OO203" i="1"/>
  <c r="OX203" i="1"/>
  <c r="ON203" i="1"/>
  <c r="QH197" i="1"/>
  <c r="RD197" i="1"/>
  <c r="QG197" i="1"/>
  <c r="RC197" i="1"/>
  <c r="OL199" i="1"/>
  <c r="OV199" i="1"/>
  <c r="OM199" i="1"/>
  <c r="OW199" i="1"/>
  <c r="PB185" i="1"/>
  <c r="OR185" i="1"/>
  <c r="OS185" i="1"/>
  <c r="PC185" i="1"/>
  <c r="KJ163" i="1"/>
  <c r="KK163" i="1" s="1"/>
  <c r="AB206" i="1"/>
  <c r="KD206" i="1" s="1"/>
  <c r="AA206" i="1"/>
  <c r="KC206" i="1" s="1"/>
  <c r="KF221" i="1"/>
  <c r="Z161" i="1" l="1" a="1"/>
  <c r="Z161" i="1" s="1"/>
  <c r="Y162" i="1" s="1" a="1"/>
  <c r="Y162" i="1" s="1"/>
  <c r="AB162" i="1" s="1"/>
  <c r="KD162" i="1" s="1"/>
  <c r="AB161" i="1"/>
  <c r="KD161" i="1" s="1"/>
  <c r="AB195" i="1"/>
  <c r="OM195" i="1" s="1"/>
  <c r="KI164" i="1" a="1"/>
  <c r="KI164" i="1" s="1"/>
  <c r="KJ164" i="1" s="1"/>
  <c r="OZ203" i="1"/>
  <c r="OP203" i="1"/>
  <c r="OQ203" i="1"/>
  <c r="PC203" i="1" s="1"/>
  <c r="PA203" i="1"/>
  <c r="QI197" i="1"/>
  <c r="RE197" i="1"/>
  <c r="QJ197" i="1"/>
  <c r="RH197" i="1" s="1"/>
  <c r="RF197" i="1"/>
  <c r="OO199" i="1"/>
  <c r="OY199" i="1"/>
  <c r="ON199" i="1"/>
  <c r="OX199" i="1"/>
  <c r="OL195" i="1"/>
  <c r="OV195" i="1"/>
  <c r="OU185" i="1"/>
  <c r="PG185" i="1" s="1"/>
  <c r="PE185" i="1"/>
  <c r="OT185" i="1"/>
  <c r="PD185" i="1"/>
  <c r="Z206" i="1" a="1"/>
  <c r="Z206" i="1" s="1"/>
  <c r="Y208" i="1" s="1" a="1"/>
  <c r="Y208" i="1" s="1"/>
  <c r="AA162" i="1" l="1"/>
  <c r="KC162" i="1" s="1"/>
  <c r="Z162" i="1" s="1" a="1"/>
  <c r="Z162" i="1" s="1"/>
  <c r="Y163" i="1" s="1" a="1"/>
  <c r="Y163" i="1" s="1"/>
  <c r="AA163" i="1" s="1"/>
  <c r="KC163" i="1" s="1"/>
  <c r="X267" i="1"/>
  <c r="OW195" i="1"/>
  <c r="KK164" i="1"/>
  <c r="KI165" i="1" s="1" a="1"/>
  <c r="KI165" i="1" s="1"/>
  <c r="KJ165" i="1" s="1"/>
  <c r="PB203" i="1"/>
  <c r="Z203" i="1" a="1"/>
  <c r="Z203" i="1" s="1"/>
  <c r="Y205" i="1" s="1" a="1"/>
  <c r="Y205" i="1" s="1"/>
  <c r="RG197" i="1"/>
  <c r="Z197" i="1" a="1"/>
  <c r="Z197" i="1" s="1"/>
  <c r="OP199" i="1"/>
  <c r="PB199" i="1" s="1"/>
  <c r="OZ199" i="1"/>
  <c r="Z199" i="1" s="1" a="1"/>
  <c r="Z199" i="1" s="1"/>
  <c r="Y200" i="1" s="1" a="1"/>
  <c r="Y200" i="1" s="1"/>
  <c r="OQ199" i="1"/>
  <c r="PC199" i="1" s="1"/>
  <c r="PA199" i="1"/>
  <c r="OO195" i="1"/>
  <c r="OY195" i="1"/>
  <c r="ON195" i="1"/>
  <c r="OX195" i="1"/>
  <c r="PF185" i="1"/>
  <c r="Z185" i="1" a="1"/>
  <c r="Z185" i="1" s="1"/>
  <c r="AB208" i="1"/>
  <c r="KD208" i="1" s="1"/>
  <c r="AA208" i="1"/>
  <c r="Z163" i="1" l="1" a="1"/>
  <c r="Z163" i="1" s="1"/>
  <c r="Y164" i="1" s="1" a="1"/>
  <c r="Y164" i="1" s="1"/>
  <c r="AA164" i="1" s="1"/>
  <c r="KC164" i="1" s="1"/>
  <c r="AB163" i="1"/>
  <c r="KD163" i="1" s="1"/>
  <c r="Y188" i="1" a="1"/>
  <c r="Y188" i="1" s="1"/>
  <c r="AB188" i="1" s="1"/>
  <c r="X269" i="1" a="1"/>
  <c r="X269" i="1" s="1"/>
  <c r="X271" i="1" s="1" a="1"/>
  <c r="X271" i="1" s="1"/>
  <c r="KK165" i="1"/>
  <c r="KI166" i="1" s="1" a="1"/>
  <c r="KI166" i="1" s="1"/>
  <c r="KJ166" i="1" s="1"/>
  <c r="AA205" i="1"/>
  <c r="AB205" i="1"/>
  <c r="AB200" i="1"/>
  <c r="AA200" i="1"/>
  <c r="OP195" i="1"/>
  <c r="OZ195" i="1"/>
  <c r="OQ195" i="1"/>
  <c r="PA195" i="1"/>
  <c r="KI221" i="1" a="1"/>
  <c r="KI221" i="1" s="1"/>
  <c r="Z164" i="1" l="1" a="1"/>
  <c r="Z164" i="1" s="1"/>
  <c r="Y165" i="1" s="1" a="1"/>
  <c r="Y165" i="1" s="1"/>
  <c r="AA165" i="1" s="1"/>
  <c r="KC165" i="1" s="1"/>
  <c r="AB164" i="1"/>
  <c r="KD164" i="1" s="1"/>
  <c r="AA188" i="1"/>
  <c r="OL188" i="1" s="1"/>
  <c r="X273" i="1" a="1"/>
  <c r="X273" i="1" s="1"/>
  <c r="OW188" i="1"/>
  <c r="OM188" i="1"/>
  <c r="KK166" i="1"/>
  <c r="KL166" i="1" s="1"/>
  <c r="KI167" i="1" a="1"/>
  <c r="KI167" i="1" s="1"/>
  <c r="KJ167" i="1" s="1"/>
  <c r="Z166" i="1" a="1"/>
  <c r="Z166" i="1" s="1"/>
  <c r="Y167" i="1" s="1" a="1"/>
  <c r="Y167" i="1" s="1"/>
  <c r="AB167" i="1" s="1"/>
  <c r="OW205" i="1"/>
  <c r="OM205" i="1"/>
  <c r="OV200" i="1"/>
  <c r="OL200" i="1"/>
  <c r="OM200" i="1"/>
  <c r="OW200" i="1"/>
  <c r="OS195" i="1"/>
  <c r="PC195" i="1"/>
  <c r="OR195" i="1"/>
  <c r="PB195" i="1"/>
  <c r="KJ221" i="1"/>
  <c r="KK221" i="1" s="1"/>
  <c r="KL221" i="1" s="1"/>
  <c r="KI222" i="1" a="1"/>
  <c r="KI222" i="1" s="1"/>
  <c r="OL205" i="1"/>
  <c r="OV205" i="1"/>
  <c r="Z165" i="1" l="1" a="1"/>
  <c r="Z165" i="1" s="1"/>
  <c r="Y170" i="1" s="1" a="1"/>
  <c r="Y170" i="1" s="1"/>
  <c r="AA170" i="1" s="1"/>
  <c r="LO170" i="1" s="1"/>
  <c r="AB165" i="1"/>
  <c r="KD165" i="1" s="1"/>
  <c r="OV188" i="1"/>
  <c r="X275" i="1" a="1"/>
  <c r="X275" i="1" s="1"/>
  <c r="OY188" i="1"/>
  <c r="OO188" i="1"/>
  <c r="OX188" i="1"/>
  <c r="ON188" i="1"/>
  <c r="KK167" i="1"/>
  <c r="KL167" i="1" s="1"/>
  <c r="AA167" i="1"/>
  <c r="KA167" i="1" s="1"/>
  <c r="KJ222" i="1"/>
  <c r="KK222" i="1" s="1"/>
  <c r="KL222" i="1" s="1"/>
  <c r="OY205" i="1"/>
  <c r="OO205" i="1"/>
  <c r="OO200" i="1"/>
  <c r="OY200" i="1"/>
  <c r="ON200" i="1"/>
  <c r="OX200" i="1"/>
  <c r="OT195" i="1"/>
  <c r="PD195" i="1"/>
  <c r="OU195" i="1"/>
  <c r="PG195" i="1" s="1"/>
  <c r="PE195" i="1"/>
  <c r="KD167" i="1"/>
  <c r="KB167" i="1"/>
  <c r="KF167" i="1" s="1"/>
  <c r="KC208" i="1"/>
  <c r="Z208" i="1" s="1" a="1"/>
  <c r="Z208" i="1" s="1"/>
  <c r="Y210" i="1" s="1" a="1"/>
  <c r="Y210" i="1" s="1"/>
  <c r="OX205" i="1"/>
  <c r="ON205" i="1"/>
  <c r="Z170" i="1" l="1" a="1"/>
  <c r="Z170" i="1" s="1"/>
  <c r="Y171" i="1" s="1" a="1"/>
  <c r="Y171" i="1" s="1"/>
  <c r="AA171" i="1" s="1"/>
  <c r="LO171" i="1" s="1"/>
  <c r="AB170" i="1"/>
  <c r="LP170" i="1" s="1"/>
  <c r="X277" i="1" a="1"/>
  <c r="X277" i="1" s="1"/>
  <c r="OP188" i="1"/>
  <c r="OZ188" i="1"/>
  <c r="OQ188" i="1"/>
  <c r="PC188" i="1" s="1"/>
  <c r="PA188" i="1"/>
  <c r="KI223" i="1" a="1"/>
  <c r="KI223" i="1" s="1"/>
  <c r="KJ223" i="1" s="1"/>
  <c r="KC167" i="1"/>
  <c r="KI168" i="1" a="1"/>
  <c r="KI168" i="1" s="1"/>
  <c r="KJ168" i="1" s="1"/>
  <c r="KK168" i="1" s="1"/>
  <c r="KL168" i="1" s="1"/>
  <c r="PA205" i="1"/>
  <c r="OQ205" i="1"/>
  <c r="PC205" i="1" s="1"/>
  <c r="OP200" i="1"/>
  <c r="OZ200" i="1"/>
  <c r="OQ200" i="1"/>
  <c r="PA200" i="1"/>
  <c r="PF195" i="1"/>
  <c r="Z195" i="1" a="1"/>
  <c r="Z195" i="1" s="1"/>
  <c r="KE167" i="1"/>
  <c r="Z167" i="1" a="1"/>
  <c r="Z167" i="1" s="1"/>
  <c r="Y168" i="1" s="1" a="1"/>
  <c r="Y168" i="1" s="1"/>
  <c r="AB210" i="1"/>
  <c r="AA210" i="1"/>
  <c r="KC210" i="1" s="1"/>
  <c r="OZ205" i="1"/>
  <c r="OP205" i="1"/>
  <c r="AB171" i="1" l="1"/>
  <c r="LP171" i="1" s="1"/>
  <c r="Z171" i="1" s="1" a="1"/>
  <c r="Z171" i="1" s="1"/>
  <c r="Y172" i="1" s="1" a="1"/>
  <c r="Y172" i="1" s="1"/>
  <c r="AA172" i="1" s="1"/>
  <c r="LO172" i="1" s="1"/>
  <c r="X279" i="1" a="1"/>
  <c r="X279" i="1" s="1"/>
  <c r="X281" i="1" s="1" a="1"/>
  <c r="X281" i="1" s="1"/>
  <c r="PB188" i="1"/>
  <c r="Z188" i="1" a="1"/>
  <c r="Z188" i="1" s="1"/>
  <c r="Y189" i="1" s="1" a="1"/>
  <c r="Y189" i="1" s="1"/>
  <c r="KK223" i="1"/>
  <c r="KI224" i="1" s="1" a="1"/>
  <c r="KI224" i="1" s="1"/>
  <c r="KJ224" i="1" s="1"/>
  <c r="KK224" i="1" s="1"/>
  <c r="KI181" i="1" a="1"/>
  <c r="KI181" i="1" s="1"/>
  <c r="KJ181" i="1" s="1"/>
  <c r="KK181" i="1" s="1"/>
  <c r="OS200" i="1"/>
  <c r="PC200" i="1"/>
  <c r="PB200" i="1"/>
  <c r="OR200" i="1"/>
  <c r="AB168" i="1"/>
  <c r="AA168" i="1"/>
  <c r="KD210" i="1"/>
  <c r="Z210" i="1" a="1"/>
  <c r="Z210" i="1" s="1"/>
  <c r="Y212" i="1" s="1" a="1"/>
  <c r="Y212" i="1" s="1"/>
  <c r="Z205" i="1" a="1"/>
  <c r="Z205" i="1" s="1"/>
  <c r="PB205" i="1"/>
  <c r="AB172" i="1" l="1"/>
  <c r="LP172" i="1" s="1"/>
  <c r="Z172" i="1" s="1" a="1"/>
  <c r="Z172" i="1" s="1"/>
  <c r="Y173" i="1" s="1" a="1"/>
  <c r="Y173" i="1" s="1"/>
  <c r="AA173" i="1" s="1"/>
  <c r="LO173" i="1" s="1"/>
  <c r="AA189" i="1"/>
  <c r="AB189" i="1"/>
  <c r="KL181" i="1"/>
  <c r="KM181" i="1" s="1"/>
  <c r="OT200" i="1"/>
  <c r="PD200" i="1"/>
  <c r="OU200" i="1"/>
  <c r="PG200" i="1" s="1"/>
  <c r="PE200" i="1"/>
  <c r="KA168" i="1"/>
  <c r="KC168" i="1"/>
  <c r="KB168" i="1"/>
  <c r="KF168" i="1" s="1"/>
  <c r="KD168" i="1"/>
  <c r="AB212" i="1"/>
  <c r="KD212" i="1" s="1"/>
  <c r="AA212" i="1"/>
  <c r="KC212" i="1" s="1"/>
  <c r="AB173" i="1" l="1"/>
  <c r="LP173" i="1" s="1"/>
  <c r="Z173" i="1" s="1" a="1"/>
  <c r="Z173" i="1" s="1"/>
  <c r="Y174" i="1" s="1" a="1"/>
  <c r="Y174" i="1" s="1"/>
  <c r="AA174" i="1" s="1"/>
  <c r="LO174" i="1" s="1"/>
  <c r="KI182" i="1" a="1"/>
  <c r="KI182" i="1" s="1"/>
  <c r="OM189" i="1"/>
  <c r="OW189" i="1"/>
  <c r="OV189" i="1"/>
  <c r="OL189" i="1"/>
  <c r="KI233" i="1" a="1"/>
  <c r="KI233" i="1" s="1"/>
  <c r="PF200" i="1"/>
  <c r="Z200" i="1" s="1" a="1"/>
  <c r="Z200" i="1" s="1"/>
  <c r="KE168" i="1"/>
  <c r="Z168" i="1" a="1"/>
  <c r="Z168" i="1" s="1"/>
  <c r="Z212" i="1" a="1"/>
  <c r="Z212" i="1" s="1"/>
  <c r="Y214" i="1" s="1" a="1"/>
  <c r="Y214" i="1" s="1"/>
  <c r="Z174" i="1" l="1" a="1"/>
  <c r="Z174" i="1" s="1"/>
  <c r="Y175" i="1" s="1" a="1"/>
  <c r="Y175" i="1" s="1"/>
  <c r="AA175" i="1" s="1"/>
  <c r="LO175" i="1" s="1"/>
  <c r="AB174" i="1"/>
  <c r="LP174" i="1" s="1"/>
  <c r="Y207" i="1" a="1"/>
  <c r="Y207" i="1" s="1"/>
  <c r="KJ182" i="1"/>
  <c r="KK182" i="1" s="1"/>
  <c r="KL182" i="1" s="1"/>
  <c r="KM182" i="1" s="1"/>
  <c r="OX189" i="1"/>
  <c r="ON189" i="1"/>
  <c r="OO189" i="1"/>
  <c r="OY189" i="1"/>
  <c r="KJ233" i="1"/>
  <c r="KK233" i="1" s="1"/>
  <c r="AB214" i="1"/>
  <c r="KD214" i="1" s="1"/>
  <c r="Z214" i="1" s="1" a="1"/>
  <c r="Z214" i="1" s="1"/>
  <c r="Y216" i="1" s="1" a="1"/>
  <c r="Y216" i="1" s="1"/>
  <c r="AA214" i="1"/>
  <c r="KC214" i="1" s="1"/>
  <c r="Z175" i="1" l="1" a="1"/>
  <c r="Z175" i="1" s="1"/>
  <c r="Y176" i="1" s="1" a="1"/>
  <c r="Y176" i="1" s="1"/>
  <c r="AB176" i="1" s="1"/>
  <c r="LP176" i="1" s="1"/>
  <c r="AB175" i="1"/>
  <c r="LP175" i="1" s="1"/>
  <c r="AA207" i="1"/>
  <c r="AB207" i="1"/>
  <c r="PA189" i="1"/>
  <c r="OQ189" i="1"/>
  <c r="PC189" i="1" s="1"/>
  <c r="OP189" i="1"/>
  <c r="PB189" i="1" s="1"/>
  <c r="OZ189" i="1"/>
  <c r="Z189" i="1" s="1" a="1"/>
  <c r="Z189" i="1" s="1"/>
  <c r="Y190" i="1" s="1" a="1"/>
  <c r="Y190" i="1" s="1"/>
  <c r="KI234" i="1" a="1"/>
  <c r="KI234" i="1" s="1"/>
  <c r="KJ234" i="1" s="1"/>
  <c r="KK234" i="1" s="1"/>
  <c r="KI235" i="1" a="1"/>
  <c r="KI235" i="1" s="1"/>
  <c r="AB216" i="1"/>
  <c r="KD216" i="1" s="1"/>
  <c r="AA216" i="1"/>
  <c r="KC216" i="1" s="1"/>
  <c r="AA176" i="1" l="1"/>
  <c r="LO176" i="1" s="1"/>
  <c r="Z176" i="1" s="1" a="1"/>
  <c r="Z176" i="1" s="1"/>
  <c r="Y179" i="1" s="1" a="1"/>
  <c r="Y179" i="1" s="1"/>
  <c r="AB179" i="1" s="1"/>
  <c r="NG179" i="1" s="1"/>
  <c r="Y191" i="1" a="1"/>
  <c r="Y191" i="1" s="1"/>
  <c r="OM207" i="1"/>
  <c r="OW207" i="1"/>
  <c r="OL207" i="1"/>
  <c r="OV207" i="1"/>
  <c r="AB190" i="1"/>
  <c r="AA190" i="1"/>
  <c r="KJ235" i="1"/>
  <c r="KK235" i="1" s="1"/>
  <c r="KI236" i="1" a="1"/>
  <c r="KI236" i="1" s="1"/>
  <c r="Z216" i="1" a="1"/>
  <c r="Z216" i="1" s="1"/>
  <c r="Y217" i="1" l="1" a="1"/>
  <c r="Y217" i="1" s="1"/>
  <c r="AA217" i="1" s="1"/>
  <c r="KC217" i="1" s="1"/>
  <c r="Y243" i="1" a="1"/>
  <c r="Y243" i="1" s="1"/>
  <c r="AA179" i="1"/>
  <c r="NF179" i="1" s="1"/>
  <c r="Z179" i="1" s="1" a="1"/>
  <c r="Z179" i="1" s="1"/>
  <c r="Y180" i="1" s="1" a="1"/>
  <c r="Y180" i="1" s="1"/>
  <c r="Y181" i="1" s="1" a="1"/>
  <c r="Y181" i="1" s="1"/>
  <c r="AB181" i="1" s="1"/>
  <c r="KD181" i="1" s="1"/>
  <c r="AB191" i="1"/>
  <c r="KD191" i="1" s="1"/>
  <c r="AA191" i="1"/>
  <c r="KC191" i="1" s="1"/>
  <c r="Z191" i="1" s="1" a="1"/>
  <c r="Z191" i="1" s="1"/>
  <c r="ON207" i="1"/>
  <c r="OX207" i="1"/>
  <c r="OY207" i="1"/>
  <c r="OO207" i="1"/>
  <c r="OL190" i="1"/>
  <c r="OV190" i="1"/>
  <c r="OW190" i="1"/>
  <c r="OM190" i="1"/>
  <c r="KJ236" i="1"/>
  <c r="KK236" i="1" s="1"/>
  <c r="KI237" i="1" a="1"/>
  <c r="KI237" i="1" s="1"/>
  <c r="HG43" i="1"/>
  <c r="AJ43" i="1" s="1" a="1"/>
  <c r="AJ43" i="1" s="1"/>
  <c r="AI44" i="1" s="1" a="1"/>
  <c r="AI44" i="1" s="1"/>
  <c r="Z217" i="1" l="1" a="1"/>
  <c r="Z217" i="1" s="1"/>
  <c r="Y218" i="1" s="1" a="1"/>
  <c r="Y218" i="1" s="1"/>
  <c r="AB218" i="1" s="1"/>
  <c r="KD218" i="1" s="1"/>
  <c r="AB217" i="1"/>
  <c r="KD217" i="1" s="1"/>
  <c r="AA243" i="1"/>
  <c r="KC243" i="1" s="1"/>
  <c r="AB243" i="1"/>
  <c r="KD243" i="1" s="1"/>
  <c r="AA180" i="1"/>
  <c r="AB180" i="1"/>
  <c r="AA181" i="1"/>
  <c r="KC181" i="1" s="1"/>
  <c r="Z181" i="1" s="1" a="1"/>
  <c r="Z181" i="1" s="1"/>
  <c r="Y182" i="1" s="1" a="1"/>
  <c r="Y182" i="1" s="1"/>
  <c r="AA182" i="1" s="1"/>
  <c r="KC182" i="1" s="1"/>
  <c r="PA207" i="1"/>
  <c r="OQ207" i="1"/>
  <c r="PC207" i="1" s="1"/>
  <c r="OP207" i="1"/>
  <c r="OZ207" i="1"/>
  <c r="AL44" i="1"/>
  <c r="HF44" i="1" s="1"/>
  <c r="AK44" i="1"/>
  <c r="HE44" i="1" s="1"/>
  <c r="Z43" i="1" a="1"/>
  <c r="Z43" i="1" s="1"/>
  <c r="Y44" i="1" s="1" a="1"/>
  <c r="Y44" i="1" s="1"/>
  <c r="AA44" i="1" s="1"/>
  <c r="HG44" i="1" s="1"/>
  <c r="OO190" i="1"/>
  <c r="OY190" i="1"/>
  <c r="OX190" i="1"/>
  <c r="ON190" i="1"/>
  <c r="KJ237" i="1"/>
  <c r="KK237" i="1" s="1"/>
  <c r="AA218" i="1" l="1"/>
  <c r="KC218" i="1" s="1"/>
  <c r="Z218" i="1" s="1" a="1"/>
  <c r="Z218" i="1" s="1"/>
  <c r="Y219" i="1" s="1" a="1"/>
  <c r="Y219" i="1" s="1"/>
  <c r="AA219" i="1" s="1"/>
  <c r="KC219" i="1" s="1"/>
  <c r="Z182" i="1" a="1"/>
  <c r="Z182" i="1" s="1"/>
  <c r="Y186" i="1" s="1" a="1"/>
  <c r="Y186" i="1" s="1"/>
  <c r="AA186" i="1" s="1"/>
  <c r="KC186" i="1" s="1"/>
  <c r="AB182" i="1"/>
  <c r="KD182" i="1" s="1"/>
  <c r="Y192" i="1" a="1"/>
  <c r="Y192" i="1" s="1"/>
  <c r="PB207" i="1"/>
  <c r="Z207" i="1" a="1"/>
  <c r="Z207" i="1" s="1"/>
  <c r="Y209" i="1" s="1" a="1"/>
  <c r="Y209" i="1" s="1"/>
  <c r="HW44" i="1"/>
  <c r="HU44" i="1"/>
  <c r="HV44" i="1"/>
  <c r="HX44" i="1"/>
  <c r="AJ44" i="1" a="1"/>
  <c r="AJ44" i="1" s="1"/>
  <c r="AI45" i="1" s="1" a="1"/>
  <c r="AI45" i="1" s="1"/>
  <c r="Z44" i="1" a="1"/>
  <c r="Z44" i="1" s="1"/>
  <c r="Y45" i="1" s="1" a="1"/>
  <c r="Y45" i="1" s="1"/>
  <c r="AA45" i="1" s="1"/>
  <c r="HG45" i="1" s="1"/>
  <c r="AB44" i="1"/>
  <c r="HH44" i="1" s="1"/>
  <c r="KI238" i="1" a="1"/>
  <c r="KI238" i="1" s="1"/>
  <c r="KJ238" i="1" s="1"/>
  <c r="KK238" i="1" s="1"/>
  <c r="OP190" i="1"/>
  <c r="OZ190" i="1"/>
  <c r="OQ190" i="1"/>
  <c r="PA190" i="1"/>
  <c r="KI239" i="1" a="1"/>
  <c r="KI239" i="1" s="1"/>
  <c r="Z219" i="1" l="1" a="1"/>
  <c r="Z219" i="1" s="1"/>
  <c r="Y220" i="1" s="1" a="1"/>
  <c r="Y220" i="1" s="1"/>
  <c r="AB220" i="1" s="1"/>
  <c r="KD220" i="1" s="1"/>
  <c r="AB219" i="1"/>
  <c r="KD219" i="1" s="1"/>
  <c r="Z186" i="1" a="1"/>
  <c r="Z186" i="1" s="1"/>
  <c r="Y187" i="1" s="1" a="1"/>
  <c r="Y187" i="1" s="1"/>
  <c r="AA187" i="1" s="1"/>
  <c r="AB186" i="1"/>
  <c r="KD186" i="1" s="1"/>
  <c r="AB192" i="1"/>
  <c r="AA192" i="1"/>
  <c r="AA209" i="1"/>
  <c r="AB209" i="1"/>
  <c r="AL45" i="1"/>
  <c r="HF45" i="1" s="1"/>
  <c r="AK45" i="1"/>
  <c r="HE45" i="1" s="1"/>
  <c r="AB45" i="1"/>
  <c r="HH45" i="1" s="1"/>
  <c r="OS190" i="1"/>
  <c r="PC190" i="1"/>
  <c r="OR190" i="1"/>
  <c r="PB190" i="1"/>
  <c r="KJ239" i="1"/>
  <c r="KK239" i="1" s="1"/>
  <c r="KF222" i="1"/>
  <c r="AA220" i="1" l="1"/>
  <c r="KC220" i="1" s="1"/>
  <c r="Z220" i="1" s="1" a="1"/>
  <c r="Z220" i="1" s="1"/>
  <c r="Y223" i="1" s="1" a="1"/>
  <c r="Y223" i="1" s="1"/>
  <c r="AB223" i="1" s="1"/>
  <c r="KD223" i="1" s="1"/>
  <c r="AB187" i="1"/>
  <c r="QA187" i="1" s="1"/>
  <c r="QB192" i="1"/>
  <c r="QX192" i="1"/>
  <c r="QA192" i="1"/>
  <c r="QW192" i="1"/>
  <c r="OM209" i="1"/>
  <c r="OW209" i="1"/>
  <c r="OV209" i="1"/>
  <c r="OL209" i="1"/>
  <c r="QB187" i="1"/>
  <c r="QX187" i="1"/>
  <c r="HU45" i="1"/>
  <c r="HX45" i="1"/>
  <c r="HV45" i="1"/>
  <c r="KI240" i="1" a="1"/>
  <c r="KI240" i="1" s="1"/>
  <c r="KJ240" i="1" s="1"/>
  <c r="PD190" i="1"/>
  <c r="OT190" i="1"/>
  <c r="PE190" i="1"/>
  <c r="OU190" i="1"/>
  <c r="PG190" i="1" s="1"/>
  <c r="QW187" i="1" l="1"/>
  <c r="AA223" i="1"/>
  <c r="KC223" i="1" s="1"/>
  <c r="Z223" i="1" s="1" a="1"/>
  <c r="Z223" i="1" s="1"/>
  <c r="Y224" i="1" s="1" a="1"/>
  <c r="Y224" i="1" s="1"/>
  <c r="AA224" i="1" s="1"/>
  <c r="KC224" i="1" s="1"/>
  <c r="QY192" i="1"/>
  <c r="QC192" i="1"/>
  <c r="QZ192" i="1"/>
  <c r="QD192" i="1"/>
  <c r="ON209" i="1"/>
  <c r="OX209" i="1"/>
  <c r="OY209" i="1"/>
  <c r="OO209" i="1"/>
  <c r="QD187" i="1"/>
  <c r="QZ187" i="1"/>
  <c r="QC187" i="1"/>
  <c r="QY187" i="1"/>
  <c r="HW45" i="1"/>
  <c r="AJ45" i="1" a="1"/>
  <c r="AJ45" i="1" s="1"/>
  <c r="AI46" i="1" s="1" a="1"/>
  <c r="AI46" i="1" s="1"/>
  <c r="Z45" i="1" a="1"/>
  <c r="Z45" i="1" s="1"/>
  <c r="Y46" i="1" s="1" a="1"/>
  <c r="Y46" i="1" s="1"/>
  <c r="KK240" i="1"/>
  <c r="KI241" i="1" a="1"/>
  <c r="KI241" i="1" s="1"/>
  <c r="KJ241" i="1" s="1"/>
  <c r="PF190" i="1"/>
  <c r="Z190" i="1" a="1"/>
  <c r="Z190" i="1" s="1"/>
  <c r="Z224" i="1" l="1" a="1"/>
  <c r="Z224" i="1" s="1"/>
  <c r="AB224" i="1"/>
  <c r="KD224" i="1" s="1"/>
  <c r="QF192" i="1"/>
  <c r="RB192" i="1"/>
  <c r="RA192" i="1"/>
  <c r="QE192" i="1"/>
  <c r="OQ209" i="1"/>
  <c r="PC209" i="1" s="1"/>
  <c r="PA209" i="1"/>
  <c r="OP209" i="1"/>
  <c r="OZ209" i="1"/>
  <c r="QE187" i="1"/>
  <c r="RA187" i="1"/>
  <c r="QF187" i="1"/>
  <c r="RB187" i="1"/>
  <c r="AL46" i="1"/>
  <c r="HF46" i="1" s="1"/>
  <c r="AK46" i="1"/>
  <c r="HE46" i="1" s="1"/>
  <c r="AA46" i="1"/>
  <c r="HG46" i="1" s="1"/>
  <c r="AB46" i="1"/>
  <c r="HH46" i="1" s="1"/>
  <c r="KK241" i="1"/>
  <c r="KI242" i="1" a="1"/>
  <c r="KI242" i="1" s="1"/>
  <c r="KJ242" i="1" s="1"/>
  <c r="KK242" i="1" s="1"/>
  <c r="KI243" i="1" a="1"/>
  <c r="KI243" i="1" s="1"/>
  <c r="RC192" i="1" l="1"/>
  <c r="QG192" i="1"/>
  <c r="RD192" i="1"/>
  <c r="QH192" i="1"/>
  <c r="PB209" i="1"/>
  <c r="Z209" i="1" a="1"/>
  <c r="Z209" i="1" s="1"/>
  <c r="Y211" i="1" s="1" a="1"/>
  <c r="Y211" i="1" s="1"/>
  <c r="QH187" i="1"/>
  <c r="RD187" i="1"/>
  <c r="QG187" i="1"/>
  <c r="RC187" i="1"/>
  <c r="HU46" i="1"/>
  <c r="HV46" i="1"/>
  <c r="HX46" i="1"/>
  <c r="KJ243" i="1"/>
  <c r="KK243" i="1" s="1"/>
  <c r="KI244" i="1" a="1"/>
  <c r="KI244" i="1" s="1"/>
  <c r="Z243" i="1" a="1"/>
  <c r="Z243" i="1" s="1"/>
  <c r="Y244" i="1" s="1" a="1"/>
  <c r="Y244" i="1" s="1"/>
  <c r="QJ192" i="1" l="1"/>
  <c r="RH192" i="1" s="1"/>
  <c r="RF192" i="1"/>
  <c r="QI192" i="1"/>
  <c r="RE192" i="1"/>
  <c r="AB211" i="1"/>
  <c r="AA211" i="1"/>
  <c r="RE187" i="1"/>
  <c r="QI187" i="1"/>
  <c r="QJ187" i="1"/>
  <c r="RH187" i="1" s="1"/>
  <c r="RF187" i="1"/>
  <c r="HW46" i="1"/>
  <c r="AJ46" i="1" a="1"/>
  <c r="AJ46" i="1" s="1"/>
  <c r="AI47" i="1" s="1" a="1"/>
  <c r="AI47" i="1" s="1"/>
  <c r="Z46" i="1" a="1"/>
  <c r="Z46" i="1" s="1"/>
  <c r="Y47" i="1" s="1" a="1"/>
  <c r="Y47" i="1" s="1"/>
  <c r="AB244" i="1"/>
  <c r="KD244" i="1" s="1"/>
  <c r="AA244" i="1"/>
  <c r="KC244" i="1" s="1"/>
  <c r="Z244" i="1" s="1" a="1"/>
  <c r="Z244" i="1" s="1"/>
  <c r="Y245" i="1" s="1" a="1"/>
  <c r="Y245" i="1" s="1"/>
  <c r="KJ244" i="1"/>
  <c r="KK244" i="1" s="1"/>
  <c r="KI245" i="1" a="1"/>
  <c r="KI245" i="1" s="1"/>
  <c r="RG192" i="1" l="1"/>
  <c r="Z192" i="1" a="1"/>
  <c r="Z192" i="1" s="1"/>
  <c r="Y201" i="1" s="1" a="1"/>
  <c r="Y201" i="1" s="1"/>
  <c r="OV211" i="1"/>
  <c r="OL211" i="1"/>
  <c r="OW211" i="1"/>
  <c r="OM211" i="1"/>
  <c r="RG187" i="1"/>
  <c r="Z187" i="1" a="1"/>
  <c r="Z187" i="1" s="1"/>
  <c r="AK47" i="1"/>
  <c r="HE47" i="1" s="1"/>
  <c r="AL47" i="1"/>
  <c r="HF47" i="1" s="1"/>
  <c r="AB47" i="1"/>
  <c r="HH47" i="1" s="1"/>
  <c r="AA47" i="1"/>
  <c r="HG47" i="1" s="1"/>
  <c r="AA245" i="1"/>
  <c r="KC245" i="1" s="1"/>
  <c r="Z245" i="1" s="1" a="1"/>
  <c r="Z245" i="1" s="1"/>
  <c r="AB245" i="1"/>
  <c r="KD245" i="1" s="1"/>
  <c r="KJ245" i="1"/>
  <c r="KK245" i="1" s="1"/>
  <c r="KI246" i="1" a="1"/>
  <c r="KI246" i="1" s="1"/>
  <c r="AB201" i="1" l="1"/>
  <c r="KD201" i="1" s="1"/>
  <c r="AA201" i="1"/>
  <c r="KC201" i="1" s="1"/>
  <c r="Z201" i="1" s="1" a="1"/>
  <c r="Z201" i="1" s="1"/>
  <c r="Y202" i="1" s="1" a="1"/>
  <c r="Y202" i="1" s="1"/>
  <c r="OO211" i="1"/>
  <c r="OY211" i="1"/>
  <c r="OX211" i="1"/>
  <c r="ON211" i="1"/>
  <c r="HU47" i="1"/>
  <c r="HX47" i="1"/>
  <c r="HV47" i="1"/>
  <c r="KJ246" i="1"/>
  <c r="KK246" i="1" s="1"/>
  <c r="AB202" i="1" l="1"/>
  <c r="AA202" i="1"/>
  <c r="OP211" i="1"/>
  <c r="PB211" i="1" s="1"/>
  <c r="Z211" i="1" s="1" a="1"/>
  <c r="Z211" i="1" s="1"/>
  <c r="Y213" i="1" s="1" a="1"/>
  <c r="Y213" i="1" s="1"/>
  <c r="OZ211" i="1"/>
  <c r="OQ211" i="1"/>
  <c r="PC211" i="1" s="1"/>
  <c r="PA211" i="1"/>
  <c r="HW47" i="1"/>
  <c r="AJ47" i="1" s="1" a="1"/>
  <c r="AJ47" i="1" s="1"/>
  <c r="AI48" i="1" s="1" a="1"/>
  <c r="AI48" i="1" s="1"/>
  <c r="Z47" i="1" a="1"/>
  <c r="Z47" i="1" s="1"/>
  <c r="Y48" i="1" s="1" a="1"/>
  <c r="Y48" i="1" s="1"/>
  <c r="KI247" i="1" a="1"/>
  <c r="KI247" i="1" s="1"/>
  <c r="AB213" i="1" l="1"/>
  <c r="AA213" i="1"/>
  <c r="QB202" i="1"/>
  <c r="QX202" i="1"/>
  <c r="QW202" i="1"/>
  <c r="QA202" i="1"/>
  <c r="AL48" i="1"/>
  <c r="HF48" i="1" s="1"/>
  <c r="AK48" i="1"/>
  <c r="HE48" i="1" s="1"/>
  <c r="AA48" i="1"/>
  <c r="HG48" i="1" s="1"/>
  <c r="AB48" i="1"/>
  <c r="HH48" i="1" s="1"/>
  <c r="KJ247" i="1"/>
  <c r="KK247" i="1" s="1"/>
  <c r="KI248" i="1" a="1"/>
  <c r="KI248" i="1" s="1"/>
  <c r="OL213" i="1" l="1"/>
  <c r="OV213" i="1"/>
  <c r="OM213" i="1"/>
  <c r="OW213" i="1"/>
  <c r="QC202" i="1"/>
  <c r="QY202" i="1"/>
  <c r="QD202" i="1"/>
  <c r="QZ202" i="1"/>
  <c r="HU48" i="1"/>
  <c r="HX48" i="1"/>
  <c r="HV48" i="1"/>
  <c r="KJ248" i="1"/>
  <c r="KK248" i="1" s="1"/>
  <c r="OO213" i="1" l="1"/>
  <c r="OY213" i="1"/>
  <c r="ON213" i="1"/>
  <c r="OX213" i="1"/>
  <c r="QF202" i="1"/>
  <c r="RB202" i="1"/>
  <c r="QE202" i="1"/>
  <c r="RA202" i="1"/>
  <c r="HW48" i="1"/>
  <c r="AJ48" i="1" s="1" a="1"/>
  <c r="AJ48" i="1" s="1"/>
  <c r="AI49" i="1" s="1" a="1"/>
  <c r="AI49" i="1" s="1"/>
  <c r="Z48" i="1" a="1"/>
  <c r="Z48" i="1" s="1"/>
  <c r="Y49" i="1" s="1" a="1"/>
  <c r="Y49" i="1" s="1"/>
  <c r="KI249" i="1" a="1"/>
  <c r="KI249" i="1" s="1"/>
  <c r="KJ249" i="1" s="1"/>
  <c r="KK249" i="1" s="1"/>
  <c r="OP213" i="1" l="1"/>
  <c r="PB213" i="1" s="1"/>
  <c r="Z213" i="1" s="1" a="1"/>
  <c r="Z213" i="1" s="1"/>
  <c r="Y215" i="1" s="1" a="1"/>
  <c r="Y215" i="1" s="1"/>
  <c r="OZ213" i="1"/>
  <c r="OQ213" i="1"/>
  <c r="PC213" i="1" s="1"/>
  <c r="PA213" i="1"/>
  <c r="QG202" i="1"/>
  <c r="RC202" i="1"/>
  <c r="RD202" i="1"/>
  <c r="QH202" i="1"/>
  <c r="AK49" i="1"/>
  <c r="HE49" i="1" s="1"/>
  <c r="AL49" i="1"/>
  <c r="HF49" i="1" s="1"/>
  <c r="AA49" i="1"/>
  <c r="HG49" i="1" s="1"/>
  <c r="AB49" i="1"/>
  <c r="HH49" i="1" s="1"/>
  <c r="KI250" i="1" a="1"/>
  <c r="KI250" i="1" s="1"/>
  <c r="KJ250" i="1" s="1"/>
  <c r="KK250" i="1" s="1"/>
  <c r="KI251" i="1" a="1"/>
  <c r="KI251" i="1" s="1"/>
  <c r="AB215" i="1" l="1"/>
  <c r="AA215" i="1"/>
  <c r="RF202" i="1"/>
  <c r="QJ202" i="1"/>
  <c r="RH202" i="1" s="1"/>
  <c r="RE202" i="1"/>
  <c r="QI202" i="1"/>
  <c r="HU49" i="1"/>
  <c r="HV49" i="1"/>
  <c r="HX49" i="1"/>
  <c r="KJ251" i="1"/>
  <c r="KK251" i="1" s="1"/>
  <c r="KI252" i="1" a="1"/>
  <c r="KI252" i="1" s="1"/>
  <c r="OV215" i="1" l="1"/>
  <c r="OL215" i="1"/>
  <c r="OM215" i="1"/>
  <c r="OW215" i="1"/>
  <c r="RG202" i="1"/>
  <c r="Z202" i="1" a="1"/>
  <c r="Z202" i="1" s="1"/>
  <c r="Y233" i="1" s="1" a="1"/>
  <c r="Y233" i="1" s="1"/>
  <c r="HW49" i="1"/>
  <c r="AJ49" i="1" s="1" a="1"/>
  <c r="AJ49" i="1" s="1"/>
  <c r="AI50" i="1" s="1" a="1"/>
  <c r="AI50" i="1" s="1"/>
  <c r="Z49" i="1" a="1"/>
  <c r="Z49" i="1" s="1"/>
  <c r="Y50" i="1" s="1" a="1"/>
  <c r="Y50" i="1" s="1"/>
  <c r="KJ252" i="1"/>
  <c r="KK252" i="1" s="1"/>
  <c r="OO215" i="1" l="1"/>
  <c r="OY215" i="1"/>
  <c r="ON215" i="1"/>
  <c r="OX215" i="1"/>
  <c r="AB233" i="1"/>
  <c r="KD233" i="1" s="1"/>
  <c r="AA233" i="1"/>
  <c r="KC233" i="1" s="1"/>
  <c r="Z233" i="1" s="1" a="1"/>
  <c r="Z233" i="1" s="1"/>
  <c r="Y234" i="1" s="1" a="1"/>
  <c r="Y234" i="1" s="1"/>
  <c r="AL50" i="1"/>
  <c r="HF50" i="1" s="1"/>
  <c r="AK50" i="1"/>
  <c r="HE50" i="1" s="1"/>
  <c r="AA50" i="1"/>
  <c r="HG50" i="1" s="1"/>
  <c r="AB50" i="1"/>
  <c r="HH50" i="1" s="1"/>
  <c r="KI253" i="1" a="1"/>
  <c r="KI253" i="1" s="1"/>
  <c r="KJ253" i="1" s="1"/>
  <c r="KK253" i="1" s="1"/>
  <c r="OP215" i="1" l="1"/>
  <c r="OZ215" i="1"/>
  <c r="PA215" i="1"/>
  <c r="OQ215" i="1"/>
  <c r="PC215" i="1" s="1"/>
  <c r="AB234" i="1"/>
  <c r="KD234" i="1" s="1"/>
  <c r="AA234" i="1"/>
  <c r="KC234" i="1" s="1"/>
  <c r="Z234" i="1" s="1" a="1"/>
  <c r="Z234" i="1" s="1"/>
  <c r="Y235" i="1" s="1" a="1"/>
  <c r="Y235" i="1" s="1"/>
  <c r="HW50" i="1"/>
  <c r="HU50" i="1"/>
  <c r="HX50" i="1"/>
  <c r="HV50" i="1"/>
  <c r="Z50" i="1" a="1"/>
  <c r="Z50" i="1" s="1"/>
  <c r="AJ50" i="1" a="1"/>
  <c r="AJ50" i="1" s="1"/>
  <c r="AI51" i="1" s="1" a="1"/>
  <c r="AI51" i="1" s="1"/>
  <c r="KI254" i="1" a="1"/>
  <c r="KI254" i="1" s="1"/>
  <c r="KJ254" i="1" s="1"/>
  <c r="KK254" i="1" s="1"/>
  <c r="KI255" i="1" a="1"/>
  <c r="KI255" i="1" s="1"/>
  <c r="PB215" i="1" l="1"/>
  <c r="Z215" i="1" a="1"/>
  <c r="Z215" i="1" s="1"/>
  <c r="Y221" i="1" s="1" a="1"/>
  <c r="Y221" i="1" s="1"/>
  <c r="Y246" i="1" a="1"/>
  <c r="Y246" i="1" s="1"/>
  <c r="AA235" i="1"/>
  <c r="KC235" i="1" s="1"/>
  <c r="Z235" i="1" s="1" a="1"/>
  <c r="Z235" i="1" s="1"/>
  <c r="Y236" i="1" s="1" a="1"/>
  <c r="Y236" i="1" s="1"/>
  <c r="AB235" i="1"/>
  <c r="KD235" i="1" s="1"/>
  <c r="AL51" i="1"/>
  <c r="HF51" i="1" s="1"/>
  <c r="AK51" i="1"/>
  <c r="HE51" i="1" s="1"/>
  <c r="KJ255" i="1"/>
  <c r="KK255" i="1" s="1"/>
  <c r="AB221" i="1" l="1"/>
  <c r="KD221" i="1" s="1"/>
  <c r="AA221" i="1"/>
  <c r="AA246" i="1"/>
  <c r="KC246" i="1" s="1"/>
  <c r="Z246" i="1" s="1" a="1"/>
  <c r="Z246" i="1" s="1"/>
  <c r="Y247" i="1" s="1" a="1"/>
  <c r="Y247" i="1" s="1"/>
  <c r="AB246" i="1"/>
  <c r="KD246" i="1" s="1"/>
  <c r="AA236" i="1"/>
  <c r="KC236" i="1" s="1"/>
  <c r="Z236" i="1" s="1" a="1"/>
  <c r="Z236" i="1" s="1"/>
  <c r="Y237" i="1" s="1" a="1"/>
  <c r="Y237" i="1" s="1"/>
  <c r="AB236" i="1"/>
  <c r="KD236" i="1" s="1"/>
  <c r="HU51" i="1"/>
  <c r="HX51" i="1"/>
  <c r="HV51" i="1"/>
  <c r="KI256" i="1" a="1"/>
  <c r="KI256" i="1" s="1"/>
  <c r="KJ256" i="1" s="1"/>
  <c r="KC221" i="1" l="1"/>
  <c r="KA221" i="1"/>
  <c r="KE221" i="1" s="1"/>
  <c r="Z221" i="1" s="1" a="1"/>
  <c r="Z221" i="1" s="1"/>
  <c r="Y222" i="1" s="1" a="1"/>
  <c r="Y222" i="1" s="1"/>
  <c r="AB247" i="1"/>
  <c r="KD247" i="1" s="1"/>
  <c r="AA247" i="1"/>
  <c r="KC247" i="1" s="1"/>
  <c r="Z247" i="1" s="1" a="1"/>
  <c r="Z247" i="1" s="1"/>
  <c r="Y248" i="1" s="1" a="1"/>
  <c r="Y248" i="1" s="1"/>
  <c r="AA237" i="1"/>
  <c r="KC237" i="1" s="1"/>
  <c r="Z237" i="1" s="1" a="1"/>
  <c r="Z237" i="1" s="1"/>
  <c r="Y238" i="1" s="1" a="1"/>
  <c r="Y238" i="1" s="1"/>
  <c r="AB237" i="1"/>
  <c r="KD237" i="1" s="1"/>
  <c r="HW51" i="1"/>
  <c r="AJ51" i="1" a="1"/>
  <c r="AJ51" i="1" s="1"/>
  <c r="AI52" i="1" s="1" a="1"/>
  <c r="AI52" i="1" s="1"/>
  <c r="Z51" i="1" a="1"/>
  <c r="Z51" i="1" s="1"/>
  <c r="Y52" i="1" s="1" a="1"/>
  <c r="Y52" i="1" s="1"/>
  <c r="KK256" i="1"/>
  <c r="KI257" i="1" a="1"/>
  <c r="KI257" i="1" s="1"/>
  <c r="KJ257" i="1" s="1"/>
  <c r="KK257" i="1" s="1"/>
  <c r="AA222" i="1" l="1"/>
  <c r="AB222" i="1"/>
  <c r="KD222" i="1" s="1"/>
  <c r="AA248" i="1"/>
  <c r="KC248" i="1" s="1"/>
  <c r="Z248" i="1" s="1" a="1"/>
  <c r="Z248" i="1" s="1"/>
  <c r="Y249" i="1" s="1" a="1"/>
  <c r="Y249" i="1" s="1"/>
  <c r="AB248" i="1"/>
  <c r="KD248" i="1" s="1"/>
  <c r="AA238" i="1"/>
  <c r="KC238" i="1" s="1"/>
  <c r="Z238" i="1" s="1" a="1"/>
  <c r="Z238" i="1" s="1"/>
  <c r="Y239" i="1" s="1" a="1"/>
  <c r="Y239" i="1" s="1"/>
  <c r="AB238" i="1"/>
  <c r="KD238" i="1" s="1"/>
  <c r="AL52" i="1"/>
  <c r="HF52" i="1" s="1"/>
  <c r="AK52" i="1"/>
  <c r="HE52" i="1" s="1"/>
  <c r="AB52" i="1"/>
  <c r="HH52" i="1" s="1"/>
  <c r="AA52" i="1"/>
  <c r="HG52" i="1" s="1"/>
  <c r="KI258" i="1" a="1"/>
  <c r="KI258" i="1" s="1"/>
  <c r="KJ258" i="1" s="1"/>
  <c r="KK258" i="1" s="1"/>
  <c r="KI259" i="1" a="1"/>
  <c r="KI259" i="1" s="1"/>
  <c r="KC222" i="1" l="1"/>
  <c r="KA222" i="1"/>
  <c r="AB249" i="1"/>
  <c r="KD249" i="1" s="1"/>
  <c r="AA249" i="1"/>
  <c r="KC249" i="1" s="1"/>
  <c r="Z249" i="1" s="1" a="1"/>
  <c r="Z249" i="1" s="1"/>
  <c r="Y250" i="1" s="1" a="1"/>
  <c r="Y250" i="1" s="1"/>
  <c r="AA239" i="1"/>
  <c r="KC239" i="1" s="1"/>
  <c r="Z239" i="1" s="1" a="1"/>
  <c r="Z239" i="1" s="1"/>
  <c r="Y240" i="1" s="1" a="1"/>
  <c r="Y240" i="1" s="1"/>
  <c r="AB239" i="1"/>
  <c r="KD239" i="1" s="1"/>
  <c r="HU52" i="1"/>
  <c r="HV52" i="1"/>
  <c r="HX52" i="1"/>
  <c r="KJ259" i="1"/>
  <c r="KK259" i="1" s="1"/>
  <c r="KI260" i="1" a="1"/>
  <c r="KI260" i="1" s="1"/>
  <c r="Z222" i="1" l="1" a="1"/>
  <c r="Z222" i="1" s="1"/>
  <c r="KE222" i="1"/>
  <c r="AB250" i="1"/>
  <c r="KD250" i="1" s="1"/>
  <c r="AA250" i="1"/>
  <c r="KC250" i="1" s="1"/>
  <c r="Z250" i="1" s="1" a="1"/>
  <c r="Z250" i="1" s="1"/>
  <c r="Y251" i="1" s="1" a="1"/>
  <c r="Y251" i="1" s="1"/>
  <c r="AB240" i="1"/>
  <c r="KD240" i="1" s="1"/>
  <c r="AA240" i="1"/>
  <c r="KC240" i="1" s="1"/>
  <c r="Z240" i="1" s="1" a="1"/>
  <c r="Z240" i="1" s="1"/>
  <c r="Y241" i="1" s="1" a="1"/>
  <c r="Y241" i="1" s="1"/>
  <c r="HW52" i="1"/>
  <c r="AJ52" i="1" s="1" a="1"/>
  <c r="AJ52" i="1" s="1"/>
  <c r="AI53" i="1" s="1" a="1"/>
  <c r="AI53" i="1" s="1"/>
  <c r="Z52" i="1" a="1"/>
  <c r="Z52" i="1" s="1"/>
  <c r="Y53" i="1" s="1" a="1"/>
  <c r="Y53" i="1" s="1"/>
  <c r="KJ260" i="1"/>
  <c r="KK260" i="1" s="1"/>
  <c r="KI261" i="1" a="1"/>
  <c r="KI261" i="1" s="1"/>
  <c r="AB251" i="1" l="1"/>
  <c r="KD251" i="1" s="1"/>
  <c r="AA251" i="1"/>
  <c r="KC251" i="1" s="1"/>
  <c r="Z251" i="1" s="1" a="1"/>
  <c r="Z251" i="1" s="1"/>
  <c r="Y252" i="1" s="1" a="1"/>
  <c r="Y252" i="1" s="1"/>
  <c r="AB241" i="1"/>
  <c r="KD241" i="1" s="1"/>
  <c r="AA241" i="1"/>
  <c r="KC241" i="1" s="1"/>
  <c r="Z241" i="1" s="1" a="1"/>
  <c r="Z241" i="1" s="1"/>
  <c r="Y242" i="1" s="1" a="1"/>
  <c r="Y242" i="1" s="1"/>
  <c r="AL53" i="1"/>
  <c r="HF53" i="1" s="1"/>
  <c r="AK53" i="1"/>
  <c r="HE53" i="1" s="1"/>
  <c r="AA53" i="1"/>
  <c r="HG53" i="1" s="1"/>
  <c r="AB53" i="1"/>
  <c r="HH53" i="1" s="1"/>
  <c r="KJ261" i="1"/>
  <c r="KK261" i="1" s="1"/>
  <c r="KI262" i="1" a="1"/>
  <c r="KI262" i="1" s="1"/>
  <c r="AA252" i="1" l="1"/>
  <c r="KC252" i="1" s="1"/>
  <c r="Z252" i="1" s="1" a="1"/>
  <c r="Z252" i="1" s="1"/>
  <c r="Y253" i="1" s="1" a="1"/>
  <c r="Y253" i="1" s="1"/>
  <c r="AB252" i="1"/>
  <c r="KD252" i="1" s="1"/>
  <c r="AA242" i="1"/>
  <c r="KC242" i="1" s="1"/>
  <c r="Z242" i="1" s="1" a="1"/>
  <c r="Z242" i="1" s="1"/>
  <c r="AB242" i="1"/>
  <c r="KD242" i="1" s="1"/>
  <c r="HU53" i="1"/>
  <c r="HX53" i="1"/>
  <c r="HV53" i="1"/>
  <c r="KI263" i="1" a="1"/>
  <c r="KI263" i="1" s="1"/>
  <c r="KJ262" i="1"/>
  <c r="KK262" i="1" s="1"/>
  <c r="AA253" i="1" l="1"/>
  <c r="KC253" i="1" s="1"/>
  <c r="Z253" i="1" s="1" a="1"/>
  <c r="Z253" i="1" s="1"/>
  <c r="Y254" i="1" s="1" a="1"/>
  <c r="Y254" i="1" s="1"/>
  <c r="AB253" i="1"/>
  <c r="KD253" i="1" s="1"/>
  <c r="HW53" i="1"/>
  <c r="AJ53" i="1" a="1"/>
  <c r="AJ53" i="1" s="1"/>
  <c r="AI54" i="1" s="1" a="1"/>
  <c r="AI54" i="1" s="1"/>
  <c r="Z53" i="1" a="1"/>
  <c r="Z53" i="1" s="1"/>
  <c r="Y54" i="1" s="1" a="1"/>
  <c r="Y54" i="1" s="1"/>
  <c r="KJ263" i="1"/>
  <c r="KK263" i="1" s="1"/>
  <c r="KI264" i="1" a="1"/>
  <c r="KI264" i="1" s="1"/>
  <c r="AA254" i="1" l="1"/>
  <c r="KC254" i="1" s="1"/>
  <c r="Z254" i="1" s="1" a="1"/>
  <c r="Z254" i="1" s="1"/>
  <c r="Y255" i="1" s="1" a="1"/>
  <c r="Y255" i="1" s="1"/>
  <c r="AB254" i="1"/>
  <c r="KD254" i="1" s="1"/>
  <c r="AL54" i="1"/>
  <c r="HF54" i="1" s="1"/>
  <c r="AK54" i="1"/>
  <c r="HE54" i="1" s="1"/>
  <c r="AA54" i="1"/>
  <c r="HG54" i="1" s="1"/>
  <c r="AB54" i="1"/>
  <c r="HH54" i="1" s="1"/>
  <c r="KJ264" i="1"/>
  <c r="KK264" i="1" s="1"/>
  <c r="AA255" i="1" l="1"/>
  <c r="KC255" i="1" s="1"/>
  <c r="Z255" i="1" s="1" a="1"/>
  <c r="Z255" i="1" s="1"/>
  <c r="Y256" i="1" s="1" a="1"/>
  <c r="Y256" i="1" s="1"/>
  <c r="AB255" i="1"/>
  <c r="KD255" i="1" s="1"/>
  <c r="HU54" i="1"/>
  <c r="HX54" i="1"/>
  <c r="HV54" i="1"/>
  <c r="KI265" i="1" a="1"/>
  <c r="KI265" i="1" s="1"/>
  <c r="KJ265" i="1" s="1"/>
  <c r="AA256" i="1" l="1"/>
  <c r="KC256" i="1" s="1"/>
  <c r="Z256" i="1" s="1" a="1"/>
  <c r="Z256" i="1" s="1"/>
  <c r="Y257" i="1" s="1" a="1"/>
  <c r="Y257" i="1" s="1"/>
  <c r="AB256" i="1"/>
  <c r="KD256" i="1" s="1"/>
  <c r="HW54" i="1"/>
  <c r="AJ54" i="1" s="1" a="1"/>
  <c r="AJ54" i="1" s="1"/>
  <c r="AI55" i="1" s="1" a="1"/>
  <c r="AI55" i="1" s="1"/>
  <c r="Z54" i="1" a="1"/>
  <c r="Z54" i="1" s="1"/>
  <c r="Y55" i="1" s="1" a="1"/>
  <c r="Y55" i="1" s="1"/>
  <c r="KK265" i="1"/>
  <c r="KI266" i="1" a="1"/>
  <c r="KI266" i="1" s="1"/>
  <c r="KJ266" i="1" s="1"/>
  <c r="KK266" i="1" s="1"/>
  <c r="AB257" i="1" l="1"/>
  <c r="KD257" i="1" s="1"/>
  <c r="AA257" i="1"/>
  <c r="KC257" i="1" s="1"/>
  <c r="Z257" i="1" s="1" a="1"/>
  <c r="Z257" i="1" s="1"/>
  <c r="Y258" i="1" s="1" a="1"/>
  <c r="Y258" i="1" s="1"/>
  <c r="AL55" i="1"/>
  <c r="HF55" i="1" s="1"/>
  <c r="AK55" i="1"/>
  <c r="HE55" i="1" s="1"/>
  <c r="AB55" i="1"/>
  <c r="HH55" i="1" s="1"/>
  <c r="AA55" i="1"/>
  <c r="HG55" i="1" s="1"/>
  <c r="AA258" i="1" l="1"/>
  <c r="KC258" i="1" s="1"/>
  <c r="Z258" i="1" s="1" a="1"/>
  <c r="Z258" i="1" s="1"/>
  <c r="Y259" i="1" s="1" a="1"/>
  <c r="Y259" i="1" s="1"/>
  <c r="AB258" i="1"/>
  <c r="KD258" i="1" s="1"/>
  <c r="HU55" i="1"/>
  <c r="HV55" i="1"/>
  <c r="HX55" i="1"/>
  <c r="AA259" i="1" l="1"/>
  <c r="KC259" i="1" s="1"/>
  <c r="Z259" i="1" s="1" a="1"/>
  <c r="Z259" i="1" s="1"/>
  <c r="Y260" i="1" s="1" a="1"/>
  <c r="Y260" i="1" s="1"/>
  <c r="AB259" i="1"/>
  <c r="KD259" i="1" s="1"/>
  <c r="HW55" i="1"/>
  <c r="AJ55" i="1" s="1" a="1"/>
  <c r="AJ55" i="1" s="1"/>
  <c r="Z55" i="1" a="1"/>
  <c r="Z55" i="1" s="1"/>
  <c r="AB260" i="1" l="1"/>
  <c r="KD260" i="1" s="1"/>
  <c r="AA260" i="1"/>
  <c r="KC260" i="1" s="1"/>
  <c r="Z260" i="1" s="1" a="1"/>
  <c r="Z260" i="1" s="1"/>
  <c r="Y261" i="1" s="1" a="1"/>
  <c r="Y261" i="1" s="1"/>
  <c r="AA261" i="1" l="1"/>
  <c r="KC261" i="1" s="1"/>
  <c r="Z261" i="1" s="1" a="1"/>
  <c r="Z261" i="1" s="1"/>
  <c r="Y262" i="1" s="1" a="1"/>
  <c r="Y262" i="1" s="1"/>
  <c r="AB261" i="1"/>
  <c r="KD261" i="1" s="1"/>
  <c r="AB262" i="1" l="1"/>
  <c r="KD262" i="1" s="1"/>
  <c r="AA262" i="1"/>
  <c r="KC262" i="1" s="1"/>
  <c r="Z262" i="1" s="1" a="1"/>
  <c r="Z262" i="1" s="1"/>
  <c r="Y263" i="1" s="1" a="1"/>
  <c r="Y263" i="1" s="1"/>
  <c r="AB263" i="1" l="1"/>
  <c r="KD263" i="1" s="1"/>
  <c r="AA263" i="1"/>
  <c r="KC263" i="1" s="1"/>
  <c r="Z263" i="1" s="1" a="1"/>
  <c r="Z263" i="1" s="1"/>
  <c r="Y264" i="1" s="1" a="1"/>
  <c r="Y264" i="1" s="1"/>
  <c r="AB264" i="1" l="1"/>
  <c r="KD264" i="1" s="1"/>
  <c r="AA264" i="1"/>
  <c r="KC264" i="1" s="1"/>
  <c r="Z264" i="1" s="1" a="1"/>
  <c r="Z264" i="1" s="1"/>
  <c r="Y265" i="1" s="1" a="1"/>
  <c r="Y265" i="1" s="1"/>
  <c r="AB265" i="1" l="1"/>
  <c r="KD265" i="1" s="1"/>
  <c r="AA265" i="1"/>
  <c r="KC265" i="1" s="1"/>
  <c r="Z265" i="1" s="1" a="1"/>
  <c r="Z265" i="1" s="1"/>
  <c r="Y266" i="1" s="1" a="1"/>
  <c r="Y266" i="1" s="1"/>
  <c r="AA266" i="1" l="1"/>
  <c r="KC266" i="1" s="1"/>
  <c r="Z266" i="1" s="1" a="1"/>
  <c r="Z266" i="1" s="1"/>
  <c r="Y267" i="1" s="1" a="1"/>
  <c r="Y267" i="1" s="1"/>
  <c r="AB266" i="1"/>
  <c r="KD266" i="1" s="1"/>
  <c r="AB267" i="1" l="1"/>
  <c r="HH267" i="1" s="1"/>
  <c r="AA267" i="1"/>
  <c r="HG267" i="1" s="1"/>
  <c r="AJ267" i="1" l="1" a="1"/>
  <c r="AJ267" i="1" s="1"/>
  <c r="AH268" i="1" s="1"/>
  <c r="AE267" i="1" a="1"/>
  <c r="AE267" i="1" s="1"/>
  <c r="AD268" i="1" s="1" a="1"/>
  <c r="AD268" i="1" s="1"/>
  <c r="Z267" i="1" a="1"/>
  <c r="Z267" i="1" s="1"/>
  <c r="Y269" i="1" s="1" a="1"/>
  <c r="Y269" i="1" s="1"/>
  <c r="AB269" i="1" l="1"/>
  <c r="HH269" i="1" s="1"/>
  <c r="AA269" i="1"/>
  <c r="HG269" i="1" s="1"/>
  <c r="AF268" i="1"/>
  <c r="AG268" i="1"/>
  <c r="AI268" i="1" a="1"/>
  <c r="AI268" i="1" s="1"/>
  <c r="AL268" i="1" l="1"/>
  <c r="AK268" i="1"/>
  <c r="BU268" i="1"/>
  <c r="BG268" i="1"/>
  <c r="BF268" i="1"/>
  <c r="BT268" i="1"/>
  <c r="BV268" i="1" l="1"/>
  <c r="BH268" i="1"/>
  <c r="BI268" i="1"/>
  <c r="BW268" i="1"/>
  <c r="BP268" i="1"/>
  <c r="CF268" i="1"/>
  <c r="BQ268" i="1"/>
  <c r="CG268" i="1"/>
  <c r="BS268" i="1" l="1"/>
  <c r="CK268" i="1" s="1"/>
  <c r="CI268" i="1"/>
  <c r="BR268" i="1"/>
  <c r="CJ268" i="1" s="1"/>
  <c r="CH268" i="1"/>
  <c r="BK268" i="1"/>
  <c r="BY268" i="1"/>
  <c r="BJ268" i="1"/>
  <c r="BX268" i="1"/>
  <c r="BZ268" i="1" l="1"/>
  <c r="BL268" i="1"/>
  <c r="CB268" i="1" s="1"/>
  <c r="AE268" i="1" a="1"/>
  <c r="AE268" i="1" s="1"/>
  <c r="AD269" i="1" s="1" a="1"/>
  <c r="AD269" i="1" s="1"/>
  <c r="AJ268" i="1" a="1"/>
  <c r="AJ268" i="1" s="1"/>
  <c r="AH269" i="1" s="1"/>
  <c r="BM268" i="1"/>
  <c r="CC268" i="1" s="1"/>
  <c r="CA268" i="1"/>
  <c r="AI269" i="1" l="1" a="1"/>
  <c r="AI269" i="1" s="1"/>
  <c r="AG269" i="1"/>
  <c r="AF269" i="1"/>
  <c r="HI269" i="1" l="1"/>
  <c r="GU269" i="1"/>
  <c r="HJ269" i="1"/>
  <c r="GV269" i="1"/>
  <c r="AL269" i="1"/>
  <c r="AK269" i="1"/>
  <c r="HE269" i="1" l="1"/>
  <c r="HW269" i="1" s="1"/>
  <c r="HU269" i="1"/>
  <c r="HF269" i="1"/>
  <c r="HX269" i="1" s="1"/>
  <c r="HV269" i="1"/>
  <c r="GX269" i="1"/>
  <c r="HL269" i="1"/>
  <c r="GW269" i="1"/>
  <c r="HK269" i="1"/>
  <c r="HM269" i="1" l="1"/>
  <c r="GY269" i="1"/>
  <c r="GZ269" i="1"/>
  <c r="HN269" i="1"/>
  <c r="HP269" i="1" l="1"/>
  <c r="HB269" i="1"/>
  <c r="HR269" i="1" s="1"/>
  <c r="HO269" i="1"/>
  <c r="HA269" i="1"/>
  <c r="HQ269" i="1" s="1"/>
  <c r="AE269" i="1" a="1"/>
  <c r="AE269" i="1" s="1"/>
  <c r="AD270" i="1" s="1" a="1"/>
  <c r="AD270" i="1" s="1"/>
  <c r="Z269" i="1" a="1"/>
  <c r="Z269" i="1" s="1"/>
  <c r="Y271" i="1" s="1" a="1"/>
  <c r="Y271" i="1" s="1"/>
  <c r="AJ269" i="1" a="1"/>
  <c r="AJ269" i="1" s="1"/>
  <c r="AH270" i="1" s="1"/>
  <c r="AI270" i="1" l="1" a="1"/>
  <c r="AI270" i="1" s="1"/>
  <c r="AB271" i="1"/>
  <c r="HH271" i="1" s="1"/>
  <c r="AA271" i="1"/>
  <c r="HG271" i="1" s="1"/>
  <c r="AF270" i="1"/>
  <c r="AG270" i="1"/>
  <c r="BU270" i="1" l="1"/>
  <c r="BG270" i="1"/>
  <c r="BT270" i="1"/>
  <c r="BF270" i="1"/>
  <c r="AK270" i="1"/>
  <c r="AL270" i="1"/>
  <c r="BQ270" i="1" l="1"/>
  <c r="CG270" i="1"/>
  <c r="BV270" i="1"/>
  <c r="BH270" i="1"/>
  <c r="BP270" i="1"/>
  <c r="CF270" i="1"/>
  <c r="BI270" i="1"/>
  <c r="BW270" i="1"/>
  <c r="BK270" i="1" l="1"/>
  <c r="BY270" i="1"/>
  <c r="BJ270" i="1"/>
  <c r="BX270" i="1"/>
  <c r="BR270" i="1"/>
  <c r="CJ270" i="1" s="1"/>
  <c r="CH270" i="1"/>
  <c r="BS270" i="1"/>
  <c r="CK270" i="1" s="1"/>
  <c r="CI270" i="1"/>
  <c r="BL270" i="1" l="1"/>
  <c r="CB270" i="1" s="1"/>
  <c r="BZ270" i="1"/>
  <c r="AJ270" i="1" a="1"/>
  <c r="AJ270" i="1" s="1"/>
  <c r="AH271" i="1" s="1"/>
  <c r="AE270" i="1" a="1"/>
  <c r="AE270" i="1" s="1"/>
  <c r="AD271" i="1" s="1" a="1"/>
  <c r="AD271" i="1" s="1"/>
  <c r="CA270" i="1"/>
  <c r="BM270" i="1"/>
  <c r="CC270" i="1" s="1"/>
  <c r="AF271" i="1" l="1"/>
  <c r="AG271" i="1"/>
  <c r="AI271" i="1" a="1"/>
  <c r="AI271" i="1" s="1"/>
  <c r="AK271" i="1" l="1"/>
  <c r="AL271" i="1"/>
  <c r="GV271" i="1"/>
  <c r="HJ271" i="1"/>
  <c r="HI271" i="1"/>
  <c r="GU271" i="1"/>
  <c r="GW271" i="1" l="1"/>
  <c r="HK271" i="1"/>
  <c r="HL271" i="1"/>
  <c r="GX271" i="1"/>
  <c r="HF271" i="1"/>
  <c r="HX271" i="1" s="1"/>
  <c r="HV271" i="1"/>
  <c r="HE271" i="1"/>
  <c r="HW271" i="1" s="1"/>
  <c r="HU271" i="1"/>
  <c r="GZ271" i="1" l="1"/>
  <c r="HN271" i="1"/>
  <c r="GY271" i="1"/>
  <c r="HM271" i="1"/>
  <c r="HO271" i="1" l="1"/>
  <c r="HA271" i="1"/>
  <c r="HQ271" i="1" s="1"/>
  <c r="Z271" i="1" a="1"/>
  <c r="Z271" i="1" s="1"/>
  <c r="Y273" i="1" s="1" a="1"/>
  <c r="Y273" i="1" s="1"/>
  <c r="AE271" i="1" a="1"/>
  <c r="AE271" i="1" s="1"/>
  <c r="AC272" i="1" s="1"/>
  <c r="AJ271" i="1" a="1"/>
  <c r="AJ271" i="1" s="1"/>
  <c r="AH272" i="1" s="1"/>
  <c r="HP271" i="1"/>
  <c r="HB271" i="1"/>
  <c r="HR271" i="1" s="1"/>
  <c r="AI272" i="1" l="1" a="1"/>
  <c r="AI272" i="1" s="1"/>
  <c r="AD272" i="1" a="1"/>
  <c r="AD272" i="1" s="1"/>
  <c r="CD272" i="1"/>
  <c r="CE272" i="1"/>
  <c r="AA273" i="1"/>
  <c r="HG273" i="1" s="1"/>
  <c r="AB273" i="1"/>
  <c r="HH273" i="1" s="1"/>
  <c r="AG272" i="1" l="1"/>
  <c r="AF272" i="1"/>
  <c r="AK272" i="1"/>
  <c r="AL272" i="1"/>
  <c r="BP272" i="1" l="1"/>
  <c r="CF272" i="1"/>
  <c r="BF272" i="1"/>
  <c r="BT272" i="1"/>
  <c r="BQ272" i="1"/>
  <c r="CG272" i="1"/>
  <c r="BG272" i="1"/>
  <c r="BU272" i="1"/>
  <c r="BS272" i="1" l="1"/>
  <c r="CK272" i="1" s="1"/>
  <c r="CI272" i="1"/>
  <c r="BH272" i="1"/>
  <c r="BV272" i="1"/>
  <c r="BI272" i="1"/>
  <c r="BW272" i="1"/>
  <c r="BR272" i="1"/>
  <c r="CJ272" i="1" s="1"/>
  <c r="CH272" i="1"/>
  <c r="BK272" i="1" l="1"/>
  <c r="BY272" i="1"/>
  <c r="BJ272" i="1"/>
  <c r="BX272" i="1"/>
  <c r="BL272" i="1" l="1"/>
  <c r="CB272" i="1" s="1"/>
  <c r="BZ272" i="1"/>
  <c r="AJ272" i="1" a="1"/>
  <c r="AJ272" i="1" s="1"/>
  <c r="AH273" i="1" s="1"/>
  <c r="AE272" i="1" a="1"/>
  <c r="AE272" i="1" s="1"/>
  <c r="AC273" i="1" s="1"/>
  <c r="BM272" i="1"/>
  <c r="CC272" i="1" s="1"/>
  <c r="CA272" i="1"/>
  <c r="HT273" i="1" l="1"/>
  <c r="HS273" i="1"/>
  <c r="AD273" i="1" a="1"/>
  <c r="AD273" i="1" s="1"/>
  <c r="AI273" i="1" a="1"/>
  <c r="AI273" i="1" s="1"/>
  <c r="AK273" i="1" l="1"/>
  <c r="AL273" i="1"/>
  <c r="AF273" i="1"/>
  <c r="AG273" i="1"/>
  <c r="GV273" i="1" l="1"/>
  <c r="HJ273" i="1"/>
  <c r="GU273" i="1"/>
  <c r="HI273" i="1"/>
  <c r="HF273" i="1"/>
  <c r="HX273" i="1" s="1"/>
  <c r="HV273" i="1"/>
  <c r="HE273" i="1"/>
  <c r="HW273" i="1" s="1"/>
  <c r="HU273" i="1"/>
  <c r="GW273" i="1" l="1"/>
  <c r="HK273" i="1"/>
  <c r="GX273" i="1"/>
  <c r="HL273" i="1"/>
  <c r="GZ273" i="1" l="1"/>
  <c r="HN273" i="1"/>
  <c r="GY273" i="1"/>
  <c r="HM273" i="1"/>
  <c r="HA273" i="1" l="1"/>
  <c r="HQ273" i="1" s="1"/>
  <c r="HO273" i="1"/>
  <c r="Z273" i="1" a="1"/>
  <c r="Z273" i="1" s="1"/>
  <c r="Y275" i="1" s="1" a="1"/>
  <c r="Y275" i="1" s="1"/>
  <c r="AE273" i="1" a="1"/>
  <c r="AE273" i="1" s="1"/>
  <c r="AC274" i="1" s="1"/>
  <c r="AJ273" i="1" a="1"/>
  <c r="AJ273" i="1" s="1"/>
  <c r="AH274" i="1" s="1"/>
  <c r="HB273" i="1"/>
  <c r="HR273" i="1" s="1"/>
  <c r="HP273" i="1"/>
  <c r="AI274" i="1" l="1" a="1"/>
  <c r="AI274" i="1" s="1"/>
  <c r="AI275" i="1" a="1"/>
  <c r="AI275" i="1" s="1"/>
  <c r="CD274" i="1"/>
  <c r="CE274" i="1"/>
  <c r="AD274" i="1" a="1"/>
  <c r="AD274" i="1" s="1"/>
  <c r="AD275" i="1" a="1"/>
  <c r="AD275" i="1" s="1"/>
  <c r="AB275" i="1"/>
  <c r="HH275" i="1" s="1"/>
  <c r="AA275" i="1"/>
  <c r="HG275" i="1" s="1"/>
  <c r="AF275" i="1" l="1"/>
  <c r="AG275" i="1"/>
  <c r="AK275" i="1"/>
  <c r="AL275" i="1"/>
  <c r="AF274" i="1"/>
  <c r="AG274" i="1"/>
  <c r="AK274" i="1"/>
  <c r="AL274" i="1"/>
  <c r="BQ274" i="1" l="1"/>
  <c r="CG274" i="1"/>
  <c r="BP274" i="1"/>
  <c r="CF274" i="1"/>
  <c r="HV275" i="1"/>
  <c r="HF275" i="1"/>
  <c r="HX275" i="1" s="1"/>
  <c r="HE275" i="1"/>
  <c r="HW275" i="1" s="1"/>
  <c r="HU275" i="1"/>
  <c r="GV275" i="1"/>
  <c r="HJ275" i="1"/>
  <c r="BG274" i="1"/>
  <c r="BU274" i="1"/>
  <c r="BF274" i="1"/>
  <c r="BT274" i="1"/>
  <c r="GU275" i="1"/>
  <c r="HI275" i="1"/>
  <c r="BI274" i="1" l="1"/>
  <c r="BW274" i="1"/>
  <c r="GX275" i="1"/>
  <c r="HL275" i="1"/>
  <c r="HK275" i="1"/>
  <c r="GW275" i="1"/>
  <c r="BR274" i="1"/>
  <c r="CJ274" i="1" s="1"/>
  <c r="CH274" i="1"/>
  <c r="BH274" i="1"/>
  <c r="BV274" i="1"/>
  <c r="BS274" i="1"/>
  <c r="CK274" i="1" s="1"/>
  <c r="CI274" i="1"/>
  <c r="BJ274" i="1" l="1"/>
  <c r="BX274" i="1"/>
  <c r="GY275" i="1"/>
  <c r="HM275" i="1"/>
  <c r="GZ275" i="1"/>
  <c r="HN275" i="1"/>
  <c r="BK274" i="1"/>
  <c r="BY274" i="1"/>
  <c r="HB275" i="1" l="1"/>
  <c r="HR275" i="1" s="1"/>
  <c r="HP275" i="1"/>
  <c r="HA275" i="1"/>
  <c r="HQ275" i="1" s="1"/>
  <c r="HO275" i="1"/>
  <c r="AE275" i="1" a="1"/>
  <c r="AE275" i="1" s="1"/>
  <c r="AC276" i="1" s="1"/>
  <c r="Z275" i="1" a="1"/>
  <c r="Z275" i="1" s="1"/>
  <c r="Y277" i="1" s="1" a="1"/>
  <c r="Y277" i="1" s="1"/>
  <c r="AJ275" i="1" a="1"/>
  <c r="AJ275" i="1" s="1"/>
  <c r="AH276" i="1" s="1"/>
  <c r="BM274" i="1"/>
  <c r="CC274" i="1" s="1"/>
  <c r="CA274" i="1"/>
  <c r="BL274" i="1"/>
  <c r="CB274" i="1" s="1"/>
  <c r="BZ274" i="1"/>
  <c r="AJ274" i="1" a="1"/>
  <c r="AJ274" i="1" s="1"/>
  <c r="AE274" i="1" a="1"/>
  <c r="AE274" i="1" s="1"/>
  <c r="AD276" i="1" l="1" a="1"/>
  <c r="AD276" i="1" s="1"/>
  <c r="CD276" i="1"/>
  <c r="CE276" i="1"/>
  <c r="AI276" i="1" a="1"/>
  <c r="AI276" i="1" s="1"/>
  <c r="AB277" i="1"/>
  <c r="HH277" i="1" s="1"/>
  <c r="AA277" i="1"/>
  <c r="HG277" i="1" s="1"/>
  <c r="AK276" i="1" l="1"/>
  <c r="AL276" i="1"/>
  <c r="AF276" i="1"/>
  <c r="AG276" i="1"/>
  <c r="BG276" i="1" l="1"/>
  <c r="BU276" i="1"/>
  <c r="BF276" i="1"/>
  <c r="BT276" i="1"/>
  <c r="BP276" i="1"/>
  <c r="CF276" i="1"/>
  <c r="BQ276" i="1"/>
  <c r="CG276" i="1"/>
  <c r="BR276" i="1" l="1"/>
  <c r="CJ276" i="1" s="1"/>
  <c r="CH276" i="1"/>
  <c r="BV276" i="1"/>
  <c r="BH276" i="1"/>
  <c r="BS276" i="1"/>
  <c r="CK276" i="1" s="1"/>
  <c r="CI276" i="1"/>
  <c r="BI276" i="1"/>
  <c r="BW276" i="1"/>
  <c r="BJ276" i="1" l="1"/>
  <c r="BX276" i="1"/>
  <c r="BK276" i="1"/>
  <c r="BY276" i="1"/>
  <c r="BM276" i="1" l="1"/>
  <c r="CC276" i="1" s="1"/>
  <c r="CA276" i="1"/>
  <c r="BL276" i="1"/>
  <c r="CB276" i="1" s="1"/>
  <c r="BZ276" i="1"/>
  <c r="AJ276" i="1" a="1"/>
  <c r="AJ276" i="1" s="1"/>
  <c r="AH277" i="1" s="1"/>
  <c r="AE276" i="1" a="1"/>
  <c r="AE276" i="1" s="1"/>
  <c r="AC277" i="1" s="1"/>
  <c r="HS277" i="1" l="1"/>
  <c r="HT277" i="1"/>
  <c r="AD277" i="1" a="1"/>
  <c r="AD277" i="1" s="1"/>
  <c r="AI277" i="1" a="1"/>
  <c r="AI277" i="1" s="1"/>
  <c r="AG277" i="1" l="1"/>
  <c r="AF277" i="1"/>
  <c r="AK277" i="1"/>
  <c r="AL277" i="1"/>
  <c r="HF277" i="1" l="1"/>
  <c r="HX277" i="1" s="1"/>
  <c r="HV277" i="1"/>
  <c r="HE277" i="1"/>
  <c r="HW277" i="1" s="1"/>
  <c r="HU277" i="1"/>
  <c r="GU277" i="1"/>
  <c r="HI277" i="1"/>
  <c r="GV277" i="1"/>
  <c r="HJ277" i="1"/>
  <c r="GX277" i="1" l="1"/>
  <c r="HL277" i="1"/>
  <c r="GW277" i="1"/>
  <c r="HK277" i="1"/>
  <c r="GZ277" i="1" l="1"/>
  <c r="HN277" i="1"/>
  <c r="GY277" i="1"/>
  <c r="HM277" i="1"/>
  <c r="HA277" i="1" l="1"/>
  <c r="HO277" i="1"/>
  <c r="HB277" i="1"/>
  <c r="HR277" i="1" s="1"/>
  <c r="HP277" i="1"/>
  <c r="HQ277" i="1" l="1"/>
  <c r="Z277" i="1" a="1"/>
  <c r="Z277" i="1" s="1"/>
  <c r="Y279" i="1" s="1" a="1"/>
  <c r="Y279" i="1" s="1"/>
  <c r="AE277" i="1" a="1"/>
  <c r="AE277" i="1" s="1"/>
  <c r="AC278" i="1" s="1"/>
  <c r="AJ277" i="1" a="1"/>
  <c r="AJ277" i="1" s="1"/>
  <c r="AH278" i="1" s="1"/>
  <c r="AI278" i="1" l="1" a="1"/>
  <c r="AI278" i="1" s="1"/>
  <c r="CE278" i="1"/>
  <c r="AD278" i="1" a="1"/>
  <c r="AD278" i="1" s="1"/>
  <c r="CD278" i="1"/>
  <c r="AB279" i="1"/>
  <c r="HH279" i="1" s="1"/>
  <c r="AA279" i="1"/>
  <c r="HG279" i="1" s="1"/>
  <c r="AL278" i="1" l="1"/>
  <c r="BQ278" i="1" s="1"/>
  <c r="BS278" i="1" s="1"/>
  <c r="AK278" i="1"/>
  <c r="AF278" i="1"/>
  <c r="AG278" i="1"/>
  <c r="CG278" i="1" l="1"/>
  <c r="BG278" i="1"/>
  <c r="BU278" i="1"/>
  <c r="BF278" i="1"/>
  <c r="BT278" i="1"/>
  <c r="BP278" i="1"/>
  <c r="CF278" i="1"/>
  <c r="CI278" i="1"/>
  <c r="CK278" i="1"/>
  <c r="BR278" i="1" l="1"/>
  <c r="CJ278" i="1" s="1"/>
  <c r="CH278" i="1"/>
  <c r="BV278" i="1"/>
  <c r="BH278" i="1"/>
  <c r="BW278" i="1"/>
  <c r="BI278" i="1"/>
  <c r="AD279" i="1" a="1"/>
  <c r="AD279" i="1" s="1"/>
  <c r="BK278" i="1" l="1"/>
  <c r="BY278" i="1"/>
  <c r="BX278" i="1"/>
  <c r="BJ278" i="1"/>
  <c r="AF279" i="1"/>
  <c r="AG279" i="1"/>
  <c r="BL278" i="1" l="1"/>
  <c r="BZ278" i="1"/>
  <c r="CA278" i="1"/>
  <c r="BM278" i="1"/>
  <c r="CC278" i="1" s="1"/>
  <c r="GV279" i="1"/>
  <c r="HJ279" i="1"/>
  <c r="GU279" i="1"/>
  <c r="HI279" i="1"/>
  <c r="CB278" i="1" l="1"/>
  <c r="AE278" i="1" a="1"/>
  <c r="AE278" i="1" s="1"/>
  <c r="AJ278" i="1" a="1"/>
  <c r="AJ278" i="1" s="1"/>
  <c r="AH279" i="1" s="1"/>
  <c r="GW279" i="1"/>
  <c r="HK279" i="1"/>
  <c r="GX279" i="1"/>
  <c r="HL279" i="1"/>
  <c r="AI279" i="1" l="1" a="1"/>
  <c r="AI279" i="1" s="1"/>
  <c r="GZ279" i="1"/>
  <c r="HN279" i="1"/>
  <c r="GY279" i="1"/>
  <c r="HM279" i="1"/>
  <c r="AK279" i="1" l="1"/>
  <c r="AL279" i="1"/>
  <c r="HA279" i="1"/>
  <c r="HO279" i="1"/>
  <c r="HB279" i="1"/>
  <c r="HP279" i="1"/>
  <c r="HF279" i="1" l="1"/>
  <c r="HX279" i="1" s="1"/>
  <c r="HV279" i="1"/>
  <c r="HE279" i="1"/>
  <c r="HW279" i="1" s="1"/>
  <c r="HU279" i="1"/>
  <c r="HR279" i="1"/>
  <c r="HQ279" i="1"/>
  <c r="AJ279" i="1" l="1" a="1"/>
  <c r="AJ279" i="1" s="1"/>
  <c r="AE279" i="1" a="1"/>
  <c r="AE279" i="1" s="1"/>
  <c r="Z279" i="1" a="1"/>
  <c r="Z279" i="1" s="1"/>
  <c r="Y281" i="1" s="1" a="1"/>
  <c r="Y281" i="1" s="1"/>
  <c r="AH280" i="1" l="1"/>
  <c r="AI280" i="1" s="1" a="1"/>
  <c r="AI280" i="1" s="1"/>
  <c r="AA281" i="1"/>
  <c r="HG281" i="1" s="1"/>
  <c r="AB281" i="1"/>
  <c r="HH281" i="1" s="1"/>
  <c r="AC280" i="1"/>
  <c r="AL280" i="1" l="1"/>
  <c r="BQ280" i="1" s="1"/>
  <c r="BS280" i="1" s="1"/>
  <c r="AK280" i="1"/>
  <c r="BP280" i="1" s="1"/>
  <c r="BR280" i="1" s="1"/>
  <c r="CE280" i="1"/>
  <c r="CD280" i="1"/>
  <c r="AD280" i="1" a="1"/>
  <c r="AD280" i="1" s="1"/>
  <c r="CF280" i="1" l="1"/>
  <c r="CJ280" i="1"/>
  <c r="AF280" i="1"/>
  <c r="AG280" i="1"/>
  <c r="CH280" i="1" l="1"/>
  <c r="BG280" i="1"/>
  <c r="BU280" i="1"/>
  <c r="BF280" i="1"/>
  <c r="BT280" i="1"/>
  <c r="BH280" i="1" l="1"/>
  <c r="BV280" i="1"/>
  <c r="BI280" i="1"/>
  <c r="BW280" i="1"/>
  <c r="CG280" i="1" l="1"/>
  <c r="BK280" i="1"/>
  <c r="BY280" i="1"/>
  <c r="BJ280" i="1"/>
  <c r="BX280" i="1"/>
  <c r="CI280" i="1" l="1"/>
  <c r="CK280" i="1"/>
  <c r="BL280" i="1"/>
  <c r="CB280" i="1" s="1"/>
  <c r="BZ280" i="1"/>
  <c r="AE280" i="1" a="1"/>
  <c r="AE280" i="1" s="1"/>
  <c r="AJ280" i="1" a="1"/>
  <c r="AJ280" i="1" s="1"/>
  <c r="BM280" i="1"/>
  <c r="CC280" i="1" s="1"/>
  <c r="CA280" i="1"/>
  <c r="AH281" i="1" l="1"/>
  <c r="AI281" i="1" s="1" a="1"/>
  <c r="AI281" i="1" s="1"/>
  <c r="AC281" i="1"/>
  <c r="AL281" i="1" l="1"/>
  <c r="AK281" i="1"/>
  <c r="HS281" i="1"/>
  <c r="HT281" i="1"/>
  <c r="AD281" i="1" a="1"/>
  <c r="AD281" i="1" s="1"/>
  <c r="HF281" i="1" l="1"/>
  <c r="HX281" i="1" s="1"/>
  <c r="HU281" i="1"/>
  <c r="HE281" i="1"/>
  <c r="HW281" i="1" s="1"/>
  <c r="HV281" i="1"/>
  <c r="AG281" i="1"/>
  <c r="AF281" i="1"/>
  <c r="GU281" i="1" l="1"/>
  <c r="HI281" i="1"/>
  <c r="GV281" i="1"/>
  <c r="HJ281" i="1"/>
  <c r="GX281" i="1" l="1"/>
  <c r="HL281" i="1"/>
  <c r="GW281" i="1"/>
  <c r="HK281" i="1"/>
  <c r="GZ281" i="1" l="1"/>
  <c r="HN281" i="1"/>
  <c r="GY281" i="1"/>
  <c r="HM281" i="1"/>
  <c r="HA281" i="1" l="1"/>
  <c r="HO281" i="1"/>
  <c r="HB281" i="1"/>
  <c r="HP281" i="1"/>
  <c r="HR281" i="1" l="1"/>
  <c r="HQ281" i="1"/>
  <c r="Z281" i="1" l="1" a="1"/>
  <c r="Z281" i="1" s="1"/>
  <c r="AJ281" i="1" a="1"/>
  <c r="AJ281" i="1" s="1"/>
  <c r="AE281" i="1" a="1"/>
  <c r="AE281" i="1" s="1"/>
  <c r="AH282" i="1" l="1"/>
  <c r="AC282" i="1"/>
  <c r="AI282" i="1" l="1" a="1"/>
  <c r="AI282" i="1" s="1"/>
  <c r="AI283" i="1" a="1"/>
  <c r="AI283" i="1" s="1"/>
  <c r="CE282" i="1"/>
  <c r="CD282" i="1"/>
  <c r="AD282" i="1" a="1"/>
  <c r="AD282" i="1" s="1"/>
  <c r="AK283" i="1" l="1"/>
  <c r="BP283" i="1" s="1"/>
  <c r="BR283" i="1" s="1"/>
  <c r="AL283" i="1"/>
  <c r="BQ283" i="1" s="1"/>
  <c r="BS283" i="1" s="1"/>
  <c r="AL282" i="1"/>
  <c r="BQ282" i="1" s="1"/>
  <c r="BS282" i="1" s="1"/>
  <c r="AK282" i="1"/>
  <c r="BP282" i="1" s="1"/>
  <c r="BR282" i="1" s="1"/>
  <c r="AG282" i="1"/>
  <c r="AF282" i="1"/>
  <c r="CF282" i="1" l="1"/>
  <c r="CG283" i="1"/>
  <c r="CF283" i="1"/>
  <c r="BF282" i="1"/>
  <c r="BT282" i="1"/>
  <c r="BG282" i="1"/>
  <c r="BU282" i="1"/>
  <c r="CJ283" i="1" l="1"/>
  <c r="CH283" i="1"/>
  <c r="CK283" i="1"/>
  <c r="CI283" i="1"/>
  <c r="CH282" i="1"/>
  <c r="CJ282" i="1"/>
  <c r="BI282" i="1"/>
  <c r="BW282" i="1"/>
  <c r="BH282" i="1"/>
  <c r="BV282" i="1"/>
  <c r="CG282" i="1" l="1"/>
  <c r="BJ282" i="1"/>
  <c r="BX282" i="1"/>
  <c r="BK282" i="1"/>
  <c r="BY282" i="1"/>
  <c r="CK282" i="1" l="1"/>
  <c r="CI282" i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3" i="1" l="1" a="1"/>
  <c r="AD283" i="1" s="1"/>
  <c r="AF283" i="1" l="1"/>
  <c r="AG283" i="1"/>
  <c r="BG283" i="1" l="1"/>
  <c r="BU283" i="1"/>
  <c r="BF283" i="1"/>
  <c r="BT283" i="1"/>
  <c r="BH283" i="1" l="1"/>
  <c r="BV283" i="1"/>
  <c r="BI283" i="1"/>
  <c r="BW283" i="1"/>
  <c r="BK283" i="1" l="1"/>
  <c r="BY283" i="1"/>
  <c r="BJ283" i="1"/>
  <c r="BX283" i="1"/>
  <c r="BL283" i="1" l="1"/>
  <c r="BZ283" i="1"/>
  <c r="BM283" i="1"/>
  <c r="CA283" i="1"/>
  <c r="BO283" i="1" l="1"/>
  <c r="CE283" i="1" s="1"/>
  <c r="CC283" i="1"/>
  <c r="BN283" i="1"/>
  <c r="CB283" i="1"/>
  <c r="AJ283" i="1" l="1" a="1"/>
  <c r="AJ283" i="1" s="1"/>
  <c r="AH284" i="1" s="1"/>
  <c r="CD283" i="1"/>
  <c r="AE283" i="1" a="1"/>
  <c r="AE283" i="1" s="1"/>
  <c r="AC284" i="1" s="1"/>
  <c r="AI284" i="1" l="1" a="1"/>
  <c r="AI284" i="1" s="1"/>
  <c r="AD284" i="1" a="1"/>
  <c r="AD284" i="1" s="1"/>
  <c r="AK284" i="1" l="1"/>
  <c r="BP284" i="1" s="1"/>
  <c r="BR284" i="1" s="1"/>
  <c r="AL284" i="1"/>
  <c r="BQ284" i="1" s="1"/>
  <c r="BS284" i="1" s="1"/>
  <c r="AF284" i="1"/>
  <c r="AG284" i="1"/>
  <c r="CG284" i="1" l="1"/>
  <c r="CF284" i="1"/>
  <c r="BG284" i="1"/>
  <c r="BU284" i="1"/>
  <c r="BF284" i="1"/>
  <c r="BT284" i="1"/>
  <c r="CJ284" i="1" l="1"/>
  <c r="CH284" i="1"/>
  <c r="CK284" i="1"/>
  <c r="CI284" i="1"/>
  <c r="BH284" i="1"/>
  <c r="BV284" i="1"/>
  <c r="BI284" i="1"/>
  <c r="BW284" i="1"/>
  <c r="BK284" i="1" l="1"/>
  <c r="BY284" i="1"/>
  <c r="BJ284" i="1"/>
  <c r="BX284" i="1"/>
  <c r="BL284" i="1" l="1"/>
  <c r="BZ284" i="1"/>
  <c r="BM284" i="1"/>
  <c r="CA284" i="1"/>
  <c r="BO284" i="1" l="1"/>
  <c r="CE284" i="1" s="1"/>
  <c r="CC284" i="1"/>
  <c r="BN284" i="1"/>
  <c r="CB284" i="1"/>
  <c r="CD284" i="1" l="1"/>
  <c r="AJ284" i="1" a="1"/>
  <c r="AJ284" i="1" s="1"/>
  <c r="AH285" i="1" s="1"/>
  <c r="AE284" i="1" a="1"/>
  <c r="AE284" i="1" s="1"/>
  <c r="AC285" i="1" s="1"/>
  <c r="AD286" i="1" s="1" a="1"/>
  <c r="AD286" i="1" s="1"/>
  <c r="AF286" i="1" l="1"/>
  <c r="LY286" i="1" s="1"/>
  <c r="AE286" i="1" s="1" a="1"/>
  <c r="AE286" i="1" s="1"/>
  <c r="AC287" i="1" s="1"/>
  <c r="AG286" i="1"/>
  <c r="AI285" i="1" a="1"/>
  <c r="AI285" i="1" s="1"/>
  <c r="AD285" i="1" a="1"/>
  <c r="AD285" i="1" s="1"/>
  <c r="AK285" i="1" l="1"/>
  <c r="BP285" i="1" s="1"/>
  <c r="BR285" i="1" s="1"/>
  <c r="AL285" i="1"/>
  <c r="BQ285" i="1" s="1"/>
  <c r="BS285" i="1" s="1"/>
  <c r="AD287" i="1" a="1"/>
  <c r="AD287" i="1" s="1"/>
  <c r="AF285" i="1"/>
  <c r="AG285" i="1"/>
  <c r="CG285" i="1" l="1"/>
  <c r="CF285" i="1"/>
  <c r="AF287" i="1"/>
  <c r="AG287" i="1"/>
  <c r="BG285" i="1"/>
  <c r="BU285" i="1"/>
  <c r="BF285" i="1"/>
  <c r="BT285" i="1"/>
  <c r="CJ285" i="1" l="1"/>
  <c r="CH285" i="1"/>
  <c r="CK285" i="1"/>
  <c r="CI285" i="1"/>
  <c r="AE287" i="1" a="1"/>
  <c r="AE287" i="1" s="1"/>
  <c r="AC288" i="1" s="1"/>
  <c r="LY287" i="1"/>
  <c r="BH285" i="1"/>
  <c r="BV285" i="1"/>
  <c r="BI285" i="1"/>
  <c r="BW285" i="1"/>
  <c r="AD288" i="1" l="1" a="1"/>
  <c r="AD288" i="1" s="1"/>
  <c r="AF288" i="1" s="1"/>
  <c r="LY288" i="1" s="1"/>
  <c r="AE288" i="1" s="1" a="1"/>
  <c r="AE288" i="1" s="1"/>
  <c r="BK285" i="1"/>
  <c r="BY285" i="1"/>
  <c r="BJ285" i="1"/>
  <c r="BX285" i="1"/>
  <c r="AG288" i="1" l="1"/>
  <c r="AC289" i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Y289" i="1" s="1"/>
  <c r="AE289" i="1" s="1" a="1"/>
  <c r="AE289" i="1" s="1"/>
  <c r="AC290" i="1" s="1"/>
  <c r="AG289" i="1"/>
  <c r="CD285" i="1"/>
  <c r="AE285" i="1" a="1"/>
  <c r="AE285" i="1" s="1"/>
  <c r="AJ285" i="1" a="1"/>
  <c r="AJ285" i="1" s="1"/>
  <c r="AD290" i="1" l="1" a="1"/>
  <c r="AD290" i="1" s="1"/>
  <c r="AF290" i="1" l="1"/>
  <c r="LY290" i="1" s="1"/>
  <c r="AE290" i="1" s="1" a="1"/>
  <c r="AE290" i="1" s="1"/>
  <c r="AC291" i="1" s="1"/>
  <c r="AG290" i="1"/>
  <c r="AD291" i="1" l="1" a="1"/>
  <c r="AD291" i="1" s="1"/>
  <c r="AF291" i="1" l="1"/>
  <c r="LY291" i="1" s="1"/>
  <c r="AE291" i="1" s="1" a="1"/>
  <c r="AE291" i="1" s="1"/>
  <c r="AC292" i="1" s="1"/>
  <c r="AG291" i="1"/>
  <c r="AD292" i="1" l="1" a="1"/>
  <c r="AD292" i="1" s="1"/>
  <c r="AF292" i="1" l="1"/>
  <c r="LY292" i="1" s="1"/>
  <c r="AE292" i="1" s="1" a="1"/>
  <c r="AE292" i="1" s="1"/>
  <c r="AC293" i="1" s="1"/>
  <c r="AG292" i="1"/>
  <c r="AD293" i="1" l="1" a="1"/>
  <c r="AD293" i="1" s="1"/>
  <c r="AG293" i="1" l="1"/>
  <c r="AF293" i="1"/>
  <c r="LY293" i="1" s="1"/>
  <c r="AE293" i="1" s="1" a="1"/>
  <c r="AE293" i="1" s="1"/>
  <c r="AC294" i="1" s="1"/>
  <c r="AD294" i="1" l="1" a="1"/>
  <c r="AD294" i="1" s="1"/>
  <c r="AF294" i="1" l="1"/>
  <c r="LY294" i="1" s="1"/>
  <c r="AE294" i="1" s="1" a="1"/>
  <c r="AE294" i="1" s="1"/>
  <c r="AD295" i="1" s="1" a="1"/>
  <c r="AD295" i="1" s="1"/>
  <c r="AG294" i="1"/>
  <c r="AG295" i="1" l="1"/>
  <c r="AF295" i="1"/>
  <c r="LY295" i="1" s="1"/>
  <c r="AE295" i="1" s="1" a="1"/>
  <c r="AE295" i="1" s="1"/>
  <c r="AC296" i="1" s="1"/>
  <c r="AD296" i="1" l="1" a="1"/>
  <c r="AD296" i="1" s="1"/>
  <c r="AG296" i="1" l="1"/>
  <c r="AF296" i="1"/>
  <c r="LY296" i="1" s="1"/>
  <c r="AE296" i="1" s="1" a="1"/>
  <c r="AE296" i="1" s="1"/>
  <c r="AC297" i="1" s="1"/>
  <c r="AD297" i="1" l="1" a="1"/>
  <c r="AD297" i="1" s="1"/>
  <c r="AF297" i="1" l="1"/>
  <c r="LY297" i="1" s="1"/>
  <c r="AE297" i="1" s="1" a="1"/>
  <c r="AE297" i="1" s="1"/>
  <c r="AC298" i="1" s="1"/>
  <c r="AG297" i="1"/>
  <c r="AD298" i="1" l="1" a="1"/>
  <c r="AD298" i="1" s="1"/>
  <c r="AG298" i="1" l="1"/>
  <c r="AF298" i="1"/>
  <c r="LY298" i="1" s="1"/>
  <c r="AE298" i="1" s="1" a="1"/>
  <c r="AE298" i="1" s="1"/>
  <c r="AC299" i="1" s="1"/>
  <c r="AD299" i="1" l="1" a="1"/>
  <c r="AD299" i="1" s="1"/>
  <c r="AF299" i="1" l="1"/>
  <c r="LY299" i="1" s="1"/>
  <c r="AE299" i="1" s="1" a="1"/>
  <c r="AE299" i="1" s="1"/>
  <c r="AC300" i="1" s="1"/>
  <c r="AG299" i="1"/>
  <c r="AD300" i="1" l="1" a="1"/>
  <c r="AD300" i="1" s="1"/>
  <c r="AF300" i="1" l="1"/>
  <c r="AG300" i="1"/>
  <c r="AE300" i="1" l="1" a="1"/>
  <c r="AE300" i="1" s="1"/>
  <c r="AD301" i="1" s="1" a="1"/>
  <c r="AD301" i="1" s="1"/>
  <c r="LY300" i="1"/>
  <c r="AG301" i="1" l="1"/>
  <c r="AF301" i="1"/>
  <c r="LY301" i="1" s="1"/>
  <c r="AE301" i="1" s="1" a="1"/>
  <c r="AE301" i="1" s="1"/>
  <c r="AC302" i="1" s="1"/>
  <c r="AD302" i="1" l="1" a="1"/>
  <c r="AD302" i="1" s="1"/>
  <c r="AF302" i="1" l="1"/>
  <c r="LY302" i="1" s="1"/>
  <c r="AE302" i="1" s="1" a="1"/>
  <c r="AE302" i="1" s="1"/>
  <c r="AC303" i="1" s="1"/>
  <c r="AG302" i="1"/>
  <c r="AD303" i="1" l="1" a="1"/>
  <c r="AD303" i="1" s="1"/>
  <c r="AG303" i="1" l="1"/>
  <c r="AF303" i="1"/>
  <c r="LY303" i="1" s="1"/>
  <c r="AE303" i="1" s="1" a="1"/>
  <c r="AE303" i="1" s="1"/>
  <c r="AC304" i="1" s="1"/>
  <c r="AD304" i="1" l="1" a="1"/>
  <c r="AD304" i="1" s="1"/>
  <c r="AF304" i="1" l="1"/>
  <c r="LY304" i="1" s="1"/>
  <c r="AE304" i="1" s="1" a="1"/>
  <c r="AE304" i="1" s="1"/>
  <c r="AC305" i="1" s="1"/>
  <c r="AG304" i="1"/>
  <c r="AD305" i="1" l="1" a="1"/>
  <c r="AD305" i="1" s="1"/>
  <c r="AG305" i="1" l="1"/>
  <c r="AF305" i="1"/>
  <c r="LY305" i="1" s="1"/>
  <c r="AE305" i="1" s="1" a="1"/>
  <c r="AE305" i="1" s="1"/>
  <c r="AC306" i="1" s="1"/>
  <c r="AD306" i="1" l="1" a="1"/>
  <c r="AD306" i="1" s="1"/>
  <c r="AF306" i="1" l="1"/>
  <c r="LY306" i="1" s="1"/>
  <c r="AE306" i="1" s="1" a="1"/>
  <c r="AE306" i="1" s="1"/>
  <c r="AG3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<sst xmlns="http://schemas.openxmlformats.org/spreadsheetml/2006/main" count="4812" uniqueCount="1800">
  <si>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</si>
  <si>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</si>
  <si>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</si>
  <si>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</si>
  <si>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</si>
  <si>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</si>
  <si>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</si>
  <si>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</si>
  <si>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</si>
  <si>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</si>
  <si>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</si>
  <si>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</si>
  <si>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</si>
  <si>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</si>
  <si>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</si>
  <si>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</si>
  <si>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</si>
  <si>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</si>
  <si>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</si>
  <si>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</si>
  <si>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</si>
  <si>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</si>
  <si>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</si>
  <si>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</si>
  <si>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</si>
  <si>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</si>
  <si>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</si>
  <si>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</si>
  <si>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</si>
  <si>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</si>
  <si>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</si>
  <si>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</si>
  <si>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</si>
  <si>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</si>
  <si>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</si>
  <si>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</si>
  <si>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</si>
  <si>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</si>
  <si>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</si>
  <si>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</si>
  <si>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</si>
  <si>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</si>
  <si>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</si>
  <si>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</si>
  <si>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</si>
  <si>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</si>
  <si>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</si>
  <si>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</si>
  <si>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</si>
  <si>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</si>
  <si>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</si>
  <si>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</si>
  <si>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</si>
  <si>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</si>
  <si>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</si>
  <si>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</si>
  <si>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</si>
  <si>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</si>
  <si>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</si>
  <si>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</si>
  <si>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</si>
  <si>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</si>
  <si>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</si>
  <si>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</si>
  <si>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</si>
  <si>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</si>
  <si>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</si>
  <si>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</si>
  <si>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</si>
  <si>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</si>
  <si>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</si>
  <si>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</si>
  <si>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</si>
  <si>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</si>
  <si>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</si>
  <si>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</si>
  <si>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</si>
  <si>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</si>
  <si>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</si>
  <si>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</si>
  <si>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</si>
  <si>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</si>
  <si>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</si>
  <si>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</si>
  <si>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</si>
  <si>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</si>
  <si>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</si>
  <si>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</si>
  <si>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</si>
  <si>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</si>
  <si>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</si>
  <si>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</si>
  <si>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</si>
  <si>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</si>
  <si>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</si>
  <si>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</si>
  <si>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</si>
  <si>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</si>
  <si>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</si>
  <si>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</si>
  <si>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</si>
  <si>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</si>
  <si>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</si>
  <si>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</si>
  <si>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</si>
  <si>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</si>
  <si>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</si>
  <si>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</si>
  <si>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</si>
  <si>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</si>
  <si>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</si>
  <si>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</si>
  <si>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</si>
  <si>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</si>
  <si>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</si>
  <si>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</si>
  <si>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</si>
  <si>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</si>
  <si>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</si>
  <si>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</si>
  <si>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</si>
  <si>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</si>
  <si>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</si>
  <si>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</si>
  <si>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</si>
  <si>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</si>
  <si>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</si>
  <si>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</si>
  <si>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</si>
  <si>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</si>
  <si>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</si>
  <si>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</si>
  <si>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</si>
  <si>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</si>
  <si>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</si>
  <si>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</si>
  <si>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</si>
  <si>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</si>
  <si>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</si>
  <si>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</si>
  <si>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</si>
  <si>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</si>
  <si>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</si>
  <si>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</si>
  <si>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</si>
  <si>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</si>
  <si>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</si>
  <si>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</si>
  <si>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</si>
  <si>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</si>
  <si>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</si>
  <si>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</si>
  <si>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</si>
  <si>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</si>
  <si>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</si>
  <si>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</si>
  <si>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</si>
  <si>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</si>
  <si>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</si>
  <si>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</si>
  <si>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</si>
  <si>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</si>
  <si>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</si>
  <si>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</si>
  <si>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</si>
  <si>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</si>
  <si>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</si>
  <si>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</si>
  <si>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</si>
  <si>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</si>
  <si>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</si>
  <si>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</si>
  <si>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</si>
  <si>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</si>
  <si>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</si>
  <si>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</si>
  <si>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</si>
  <si>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</si>
  <si>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</si>
  <si>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</si>
  <si>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</si>
  <si>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</si>
  <si>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</si>
  <si>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</si>
  <si>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</si>
  <si>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</si>
  <si>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</si>
  <si>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</si>
  <si>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</si>
  <si>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</si>
  <si>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</si>
  <si>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</si>
  <si>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</si>
  <si>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</si>
  <si>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</si>
  <si>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</si>
  <si>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</si>
  <si>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</si>
  <si>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</si>
  <si>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</si>
  <si>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</si>
  <si>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</si>
  <si>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</si>
  <si>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</si>
  <si>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</si>
  <si>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</si>
  <si>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</si>
  <si>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</si>
  <si>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</si>
  <si>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</si>
  <si>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</si>
  <si>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</si>
  <si>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</si>
  <si>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</si>
  <si>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</si>
  <si>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</si>
  <si>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</si>
  <si>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</si>
  <si>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</si>
  <si>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</si>
  <si>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</si>
  <si>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</si>
  <si>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</si>
  <si>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</si>
  <si>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</si>
  <si>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</si>
  <si>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</si>
  <si>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</si>
  <si>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</si>
  <si>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</si>
  <si>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</si>
  <si>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</si>
  <si>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</si>
  <si>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</si>
  <si>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</si>
  <si>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</si>
  <si>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</si>
  <si>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</si>
  <si>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</si>
  <si>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</si>
  <si>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</si>
  <si>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</si>
  <si>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</si>
  <si>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</si>
  <si>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</si>
  <si>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</si>
  <si>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</si>
  <si>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</si>
  <si>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</si>
  <si>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</si>
  <si>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</si>
  <si>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</si>
  <si>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</si>
  <si>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</si>
  <si>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</si>
  <si>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</si>
  <si>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</si>
  <si>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</si>
  <si>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</si>
  <si>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</si>
  <si>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</si>
  <si>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</si>
  <si>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</si>
  <si>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</si>
  <si>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</si>
  <si>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</si>
  <si>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</si>
  <si>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</si>
  <si>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</si>
  <si>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</si>
  <si>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</si>
  <si>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</si>
  <si>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</si>
  <si>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</si>
  <si>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</si>
  <si>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</si>
  <si>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</si>
  <si>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</si>
  <si>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</si>
  <si>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</si>
  <si>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</si>
  <si>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</si>
  <si>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</si>
  <si>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</si>
  <si>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</si>
  <si>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</si>
  <si>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</si>
  <si>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</si>
  <si>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</si>
  <si>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</si>
  <si>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</si>
  <si>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</si>
  <si>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</si>
  <si>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</si>
  <si>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</si>
  <si>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</si>
  <si>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</si>
  <si>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</si>
  <si>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</si>
  <si>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</si>
  <si>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</si>
  <si>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</si>
  <si>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</si>
  <si>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</si>
  <si>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</si>
  <si>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</si>
  <si>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</si>
  <si>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</si>
  <si>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</si>
  <si>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</si>
  <si>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</si>
  <si>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</si>
  <si>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</si>
  <si>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</si>
  <si>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</si>
  <si>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</si>
  <si>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</si>
  <si>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</si>
  <si>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</si>
  <si>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</si>
  <si>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</si>
  <si>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</si>
  <si>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</si>
  <si>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</si>
  <si>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</si>
  <si>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</si>
  <si>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</si>
  <si>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</si>
  <si>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</si>
  <si>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</si>
  <si>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</si>
  <si>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</si>
  <si>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</si>
  <si>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</si>
  <si>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</si>
  <si>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</si>
  <si>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</si>
  <si>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</si>
  <si>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</si>
  <si>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</si>
  <si>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</si>
  <si>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</si>
  <si>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</si>
  <si>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</si>
  <si>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</si>
  <si>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</si>
  <si>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</si>
  <si>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</si>
  <si>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</si>
  <si>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</si>
  <si>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</si>
  <si>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C10</t>
  </si>
  <si>
    <t>B10</t>
  </si>
  <si>
    <t>C16</t>
  </si>
  <si>
    <t>B16</t>
  </si>
  <si>
    <t>C22</t>
  </si>
  <si>
    <t>B22</t>
  </si>
  <si>
    <t>A6.5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</si>
  <si>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</si>
  <si>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</si>
  <si>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</si>
  <si>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</si>
  <si>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</si>
  <si>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</si>
  <si>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</si>
  <si>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</si>
  <si>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</si>
  <si>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</si>
  <si>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</si>
  <si>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</si>
  <si>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</si>
  <si>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</si>
  <si>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</si>
  <si>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</si>
  <si>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</si>
  <si>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</si>
  <si>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</si>
  <si>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</si>
  <si>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</si>
  <si>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</si>
  <si>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</si>
  <si>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</si>
  <si>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</si>
  <si>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</si>
  <si>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</si>
  <si>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</si>
  <si>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</si>
  <si>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</si>
  <si>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</si>
  <si>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</si>
  <si>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</si>
  <si>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</si>
  <si>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</si>
  <si>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</si>
  <si>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</si>
  <si>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</si>
  <si>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</si>
  <si>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</si>
  <si>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</si>
  <si>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</si>
  <si>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</si>
  <si>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</si>
  <si>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</si>
  <si>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</si>
  <si>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</si>
  <si>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</si>
  <si>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</si>
  <si>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</si>
  <si>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</si>
  <si>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</si>
  <si>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</si>
  <si>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</si>
  <si>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</si>
  <si>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</si>
  <si>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</si>
  <si>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</si>
  <si>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</si>
  <si>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</si>
  <si>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</si>
  <si>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</si>
  <si>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</si>
  <si>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</si>
  <si>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</si>
  <si>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</si>
  <si>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</si>
  <si>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</si>
  <si>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</si>
  <si>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</si>
  <si>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</si>
  <si>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</si>
  <si>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</si>
  <si>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</si>
  <si>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</si>
  <si>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</si>
  <si>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</si>
  <si>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</si>
  <si>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</si>
  <si>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</si>
  <si>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</si>
  <si>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</si>
  <si>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</si>
  <si>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</si>
  <si>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</si>
  <si>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</si>
  <si>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</si>
  <si>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</si>
  <si>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</si>
  <si>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</si>
  <si>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</si>
  <si>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</si>
  <si>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</si>
  <si>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</si>
  <si>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</si>
  <si>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</si>
  <si>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</si>
  <si>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</si>
  <si>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</si>
  <si>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</si>
  <si>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</si>
  <si>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</si>
  <si>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</si>
  <si>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</si>
  <si>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</si>
  <si>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</si>
  <si>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</si>
  <si>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</si>
  <si>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</si>
  <si>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</si>
  <si>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</si>
  <si>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</si>
  <si>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</si>
  <si>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</si>
  <si>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</si>
  <si>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</si>
  <si>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</si>
  <si>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</si>
  <si>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</si>
  <si>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</si>
  <si>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</si>
  <si>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</si>
  <si>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</si>
  <si>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</si>
  <si>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</si>
  <si>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</si>
  <si>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</si>
  <si>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</si>
  <si>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</si>
  <si>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</si>
  <si>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</si>
  <si>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</si>
  <si>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</si>
  <si>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</si>
  <si>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</si>
  <si>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</si>
  <si>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</si>
  <si>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</si>
  <si>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</si>
  <si>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</si>
  <si>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</si>
  <si>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</si>
  <si>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</si>
  <si>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</si>
  <si>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</si>
  <si>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</si>
  <si>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</si>
  <si>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</si>
  <si>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</si>
  <si>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</si>
  <si>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</si>
  <si>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</si>
  <si>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</si>
  <si>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</si>
  <si>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</si>
  <si>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</si>
  <si>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</si>
  <si>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</si>
  <si>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</si>
  <si>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</si>
  <si>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</si>
  <si>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</si>
  <si>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</si>
  <si>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</si>
  <si>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</si>
  <si>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</si>
  <si>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</si>
  <si>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</si>
  <si>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</si>
  <si>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</si>
  <si>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</si>
  <si>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</si>
  <si>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</si>
  <si>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</si>
  <si>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</si>
  <si>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</si>
  <si>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</si>
  <si>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</si>
  <si>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</si>
  <si>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</si>
  <si>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</si>
  <si>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</si>
  <si>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</si>
  <si>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</si>
  <si>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</si>
  <si>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</si>
  <si>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</si>
  <si>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</si>
  <si>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</si>
  <si>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</si>
  <si>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</si>
  <si>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</si>
  <si>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</si>
  <si>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</si>
  <si>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</si>
  <si>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</si>
  <si>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</si>
  <si>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</si>
  <si>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</si>
  <si>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</si>
  <si>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</si>
  <si>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</si>
  <si>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</si>
  <si>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</si>
  <si>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</si>
  <si>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</si>
  <si>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</si>
  <si>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</si>
  <si>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</si>
  <si>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</si>
  <si>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</si>
  <si>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</si>
  <si>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</si>
  <si>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</si>
  <si>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</si>
  <si>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</si>
  <si>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</si>
  <si>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</si>
  <si>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</si>
  <si>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</si>
  <si>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</si>
  <si>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</si>
  <si>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</si>
  <si>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</si>
  <si>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</si>
  <si>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</si>
  <si>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</si>
  <si>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</si>
  <si>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</si>
  <si>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</si>
  <si>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</si>
  <si>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</si>
  <si>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</si>
  <si>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</si>
  <si>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</si>
  <si>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</si>
  <si>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</si>
  <si>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</si>
  <si>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</si>
  <si>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</si>
  <si>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</si>
  <si>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</si>
  <si>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</si>
  <si>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</si>
  <si>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</si>
  <si>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</si>
  <si>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</si>
  <si>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</si>
  <si>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</si>
  <si>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</si>
  <si>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</si>
  <si>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</si>
  <si>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</si>
  <si>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</si>
  <si>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</si>
  <si>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</si>
  <si>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</si>
  <si>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</si>
  <si>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</si>
  <si>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</si>
  <si>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</si>
  <si>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</si>
  <si>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</si>
  <si>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</si>
  <si>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</si>
  <si>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</si>
  <si>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</si>
  <si>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</si>
  <si>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</si>
  <si>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</si>
  <si>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</si>
  <si>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</si>
  <si>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</si>
  <si>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</si>
  <si>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</si>
  <si>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</si>
  <si>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</si>
  <si>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</si>
  <si>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</si>
  <si>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</si>
  <si>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</si>
  <si>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</si>
  <si>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</si>
  <si>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</si>
  <si>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</si>
  <si>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</si>
  <si>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</si>
  <si>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</si>
  <si>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</si>
  <si>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</si>
  <si>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</si>
  <si>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</si>
  <si>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</si>
  <si>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</si>
  <si>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</si>
  <si>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</si>
  <si>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</si>
  <si>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</si>
  <si>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</si>
  <si>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</si>
  <si>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</si>
  <si>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</si>
  <si>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</si>
  <si>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</si>
  <si>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</si>
  <si>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</si>
  <si>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</si>
  <si>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</si>
  <si>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</si>
  <si>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</si>
  <si>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</si>
  <si>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</si>
  <si>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</si>
  <si>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</si>
  <si>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</si>
  <si>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</si>
  <si>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</si>
  <si>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</si>
  <si>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</si>
  <si>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</si>
  <si>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</si>
  <si>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</si>
  <si>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</si>
  <si>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</si>
  <si>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</si>
  <si>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</si>
  <si>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</si>
  <si>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</si>
  <si>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</si>
  <si>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</si>
  <si>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</si>
  <si>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</si>
  <si>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</si>
  <si>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</si>
  <si>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</si>
  <si>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</si>
  <si>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</si>
  <si>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</si>
  <si>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</si>
  <si>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</si>
  <si>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</si>
  <si>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</si>
  <si>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</si>
  <si>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</si>
  <si>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</si>
  <si>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</si>
  <si>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</si>
  <si>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</si>
  <si>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</si>
  <si>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</si>
  <si>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</si>
  <si>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</si>
  <si>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</si>
  <si>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</si>
  <si>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</si>
  <si>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</si>
  <si>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</si>
  <si>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</si>
  <si>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</si>
  <si>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</si>
  <si>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</si>
  <si>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</si>
  <si>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</si>
  <si>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</si>
  <si>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</si>
  <si>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</si>
  <si>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</si>
  <si>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</si>
  <si>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</si>
  <si>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</si>
  <si>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</si>
  <si>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</si>
  <si>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</si>
  <si>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</si>
  <si>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</si>
  <si>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</si>
  <si>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</si>
  <si>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</si>
  <si>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</si>
  <si>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</si>
  <si>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</si>
  <si>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</si>
  <si>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</si>
  <si>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</si>
  <si>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</si>
  <si>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</si>
  <si>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</si>
  <si>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</si>
  <si>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</si>
  <si>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</si>
  <si>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</si>
  <si>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</si>
  <si>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</si>
  <si>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</si>
  <si>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</si>
  <si>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</si>
  <si>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</si>
  <si>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</si>
  <si>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</si>
  <si>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</si>
  <si>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</si>
  <si>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</si>
  <si>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</si>
  <si>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</si>
  <si>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</si>
  <si>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</si>
  <si>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</si>
  <si>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</si>
  <si>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</si>
  <si>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</si>
  <si>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</si>
  <si>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</si>
  <si>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</si>
  <si>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</si>
  <si>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</si>
  <si>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</si>
  <si>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</si>
  <si>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</si>
  <si>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</si>
  <si>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</si>
  <si>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</si>
  <si>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</si>
  <si>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</si>
  <si>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</si>
  <si>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</si>
  <si>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</si>
  <si>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</si>
  <si>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</si>
  <si>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</si>
  <si>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</si>
  <si>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</si>
  <si>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</si>
  <si>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</si>
  <si>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</si>
  <si>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</si>
  <si>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</si>
  <si>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</si>
  <si>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</si>
  <si>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</si>
  <si>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</si>
  <si>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</si>
  <si>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</si>
  <si>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</si>
  <si>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</si>
  <si>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</si>
  <si>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</si>
  <si>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</si>
  <si>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</si>
  <si>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</si>
  <si>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</si>
  <si>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</si>
  <si>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</si>
  <si>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</si>
  <si>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</si>
  <si>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</si>
  <si>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</si>
  <si>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</si>
  <si>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</si>
  <si>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</si>
  <si>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</si>
  <si>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</si>
  <si>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</si>
  <si>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</si>
  <si>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</si>
  <si>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</si>
  <si>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</si>
  <si>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</si>
  <si>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</si>
  <si>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</si>
  <si>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</si>
  <si>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</si>
  <si>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</si>
  <si>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</si>
  <si>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</si>
  <si>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</si>
  <si>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</si>
  <si>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</si>
  <si>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</si>
  <si>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</si>
  <si>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</si>
  <si>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</si>
  <si>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</si>
  <si>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</si>
  <si>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</si>
  <si>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</si>
  <si>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</si>
  <si>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</si>
  <si>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</si>
  <si>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</si>
  <si>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</si>
  <si>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</si>
  <si>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</si>
  <si>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</si>
  <si>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</si>
  <si>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</si>
  <si>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</si>
  <si>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</si>
  <si>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</si>
  <si>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</si>
  <si>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</si>
  <si>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</si>
  <si>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</si>
  <si>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</si>
  <si>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</si>
  <si>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</si>
  <si>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</si>
  <si>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</si>
  <si>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</si>
  <si>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</si>
  <si>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</si>
  <si>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</si>
  <si>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</si>
  <si>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</si>
  <si>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</si>
  <si>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</si>
  <si>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</si>
  <si>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</si>
  <si>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</si>
  <si>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</si>
  <si>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</si>
  <si>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</si>
  <si>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</si>
  <si>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</si>
  <si>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</si>
  <si>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</si>
  <si>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</si>
  <si>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</si>
  <si>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</si>
  <si>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</si>
  <si>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</si>
  <si>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</si>
  <si>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</si>
  <si>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</si>
  <si>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</si>
  <si>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</si>
  <si>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</si>
  <si>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</si>
  <si>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</si>
  <si>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</si>
  <si>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</si>
  <si>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</si>
  <si>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</si>
  <si>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</si>
  <si>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</si>
  <si>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</si>
  <si>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</si>
  <si>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</si>
  <si>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</si>
  <si>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</si>
  <si>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</si>
  <si>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</si>
  <si>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</si>
  <si>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</si>
  <si>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</si>
  <si>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</si>
  <si>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</si>
  <si>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</si>
  <si>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</si>
  <si>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</si>
  <si>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</si>
  <si>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</si>
  <si>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</si>
  <si>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</si>
  <si>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</si>
  <si>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</si>
  <si>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</si>
  <si>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</si>
  <si>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</si>
  <si>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</si>
  <si>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</si>
  <si>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</si>
  <si>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</si>
  <si>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</si>
  <si>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</si>
  <si>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</si>
  <si>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</si>
  <si>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</si>
  <si>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</si>
  <si>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</si>
  <si>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</si>
  <si>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</si>
  <si>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</si>
  <si>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</si>
  <si>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</si>
  <si>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</si>
  <si>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</si>
  <si>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</si>
  <si>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</si>
  <si>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</si>
  <si>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</si>
  <si>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</si>
  <si>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</si>
  <si>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</si>
  <si>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</si>
  <si>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</si>
  <si>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</si>
  <si>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</si>
  <si>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</si>
  <si>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</si>
  <si>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</si>
  <si>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</si>
  <si>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</si>
  <si>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</si>
  <si>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</si>
  <si>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</si>
  <si>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</si>
  <si>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</si>
  <si>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</si>
  <si>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</si>
  <si>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</si>
  <si>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</si>
  <si>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</si>
  <si>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</si>
  <si>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</si>
  <si>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</si>
  <si>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</si>
  <si>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</si>
  <si>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</si>
  <si>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</si>
  <si>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</si>
  <si>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</si>
  <si>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</si>
  <si>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</si>
  <si>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</si>
  <si>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</si>
  <si>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</si>
  <si>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</si>
  <si>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</si>
  <si>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</si>
  <si>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</si>
  <si>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</si>
  <si>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</si>
  <si>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</si>
  <si>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</si>
  <si>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</si>
  <si>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</si>
  <si>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</si>
  <si>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</si>
  <si>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</si>
  <si>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</si>
  <si>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</si>
  <si>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</si>
  <si>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</si>
  <si>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</si>
  <si>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</si>
  <si>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</si>
  <si>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</si>
  <si>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</si>
  <si>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</si>
  <si>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</si>
  <si>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</si>
  <si>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</si>
  <si>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</si>
  <si>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</si>
  <si>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</si>
  <si>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</si>
  <si>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</si>
  <si>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</si>
  <si>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</si>
  <si>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</si>
  <si>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</si>
  <si>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</si>
  <si>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</si>
  <si>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</si>
  <si>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</si>
  <si>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</si>
  <si>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</si>
  <si>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</si>
  <si>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</si>
  <si>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</si>
  <si>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</si>
  <si>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</si>
  <si>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</si>
  <si>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</si>
  <si>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</si>
  <si>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</si>
  <si>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</si>
  <si>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</si>
  <si>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</si>
  <si>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</si>
  <si>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</si>
  <si>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</si>
  <si>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</si>
  <si>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</si>
  <si>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</si>
  <si>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</si>
  <si>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</si>
  <si>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</si>
  <si>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</si>
  <si>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</si>
  <si>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</si>
  <si>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</si>
  <si>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</si>
  <si>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</si>
  <si>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</si>
  <si>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</si>
  <si>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</si>
  <si>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</si>
  <si>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</si>
  <si>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</si>
  <si>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</si>
  <si>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</si>
  <si>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</si>
  <si>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</si>
  <si>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</si>
  <si>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</si>
  <si>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</si>
  <si>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</si>
  <si>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</si>
  <si>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</si>
  <si>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</si>
  <si>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</si>
  <si>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</si>
  <si>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</si>
  <si>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</si>
  <si>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</si>
  <si>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</si>
  <si>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</si>
  <si>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</si>
  <si>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</si>
  <si>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</si>
  <si>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</si>
  <si>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</si>
  <si>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</si>
  <si>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</si>
  <si>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</si>
  <si>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</si>
  <si>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</si>
  <si>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</si>
  <si>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</si>
  <si>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</si>
  <si>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</si>
  <si>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</si>
  <si>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</si>
  <si>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</si>
  <si>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</si>
  <si>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</si>
  <si>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</si>
  <si>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</si>
  <si>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</si>
  <si>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</si>
  <si>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</si>
  <si>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</si>
  <si>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</si>
  <si>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</si>
  <si>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</si>
  <si>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</si>
  <si>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</si>
  <si>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</si>
  <si>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</si>
  <si>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</si>
  <si>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</si>
  <si>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</si>
  <si>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</si>
  <si>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</si>
  <si>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</si>
  <si>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</si>
  <si>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</si>
  <si>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</si>
  <si>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</si>
  <si>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</si>
  <si>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</si>
  <si>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</si>
  <si>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</si>
  <si>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</si>
  <si>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</si>
  <si>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</si>
  <si>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</si>
  <si>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</si>
  <si>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</si>
  <si>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</si>
  <si>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</si>
  <si>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</si>
  <si>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</si>
  <si>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</si>
  <si>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</si>
  <si>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</si>
  <si>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</si>
  <si>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</si>
  <si>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</si>
  <si>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</si>
  <si>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</si>
  <si>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</si>
  <si>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</si>
  <si>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</si>
  <si>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</si>
  <si>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</si>
  <si>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</si>
  <si>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</si>
  <si>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</si>
  <si>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</si>
  <si>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</si>
  <si>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</si>
  <si>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</si>
  <si>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</si>
  <si>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</si>
  <si>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</si>
  <si>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</si>
  <si>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</si>
  <si>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</si>
  <si>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</si>
  <si>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</si>
  <si>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</si>
  <si>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</si>
  <si>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</si>
  <si>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</si>
  <si>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</si>
  <si>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</si>
  <si>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</si>
  <si>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</si>
  <si>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</si>
  <si>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</si>
  <si>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</si>
  <si>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</si>
  <si>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</si>
  <si>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</si>
  <si>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</si>
  <si>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</si>
  <si>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</si>
  <si>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</si>
  <si>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</si>
  <si>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</si>
  <si>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</si>
  <si>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</si>
  <si>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</si>
  <si>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</si>
  <si>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</si>
  <si>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</si>
  <si>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</si>
  <si>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</si>
  <si>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</si>
  <si>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</si>
  <si>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</si>
  <si>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</si>
  <si>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</si>
  <si>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</si>
  <si>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</si>
  <si>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</si>
  <si>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</si>
  <si>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</si>
  <si>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</si>
  <si>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</si>
  <si>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</si>
  <si>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</si>
  <si>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</si>
  <si>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</si>
  <si>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</si>
  <si>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Соединительная коробка СК-1 К5.1</t>
  </si>
  <si>
    <t>F0GAF02CT102</t>
  </si>
  <si>
    <t>F0GAF01CE012</t>
  </si>
  <si>
    <t>F0-K23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</si>
  <si>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</si>
  <si>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</si>
  <si>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</si>
  <si>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</si>
  <si>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</si>
  <si>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</si>
  <si>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</si>
  <si>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</si>
  <si>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</si>
  <si>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</si>
  <si>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</si>
  <si>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</si>
  <si>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</si>
  <si>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</si>
  <si>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</si>
  <si>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</si>
  <si>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</si>
  <si>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</si>
  <si>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</si>
  <si>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</si>
  <si>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</si>
  <si>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</si>
  <si>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</si>
  <si>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</si>
  <si>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</si>
  <si>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</si>
  <si>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</si>
  <si>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</si>
  <si>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</si>
  <si>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</si>
  <si>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</si>
  <si>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</si>
  <si>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</si>
  <si>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</si>
  <si>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</si>
  <si>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</si>
  <si>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</si>
  <si>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</si>
  <si>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</si>
  <si>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</si>
  <si>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</si>
  <si>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</si>
  <si>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</si>
  <si>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</si>
  <si>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</si>
  <si>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</si>
  <si>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</si>
  <si>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</si>
  <si>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</si>
  <si>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</si>
  <si>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</si>
  <si>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</si>
  <si>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</si>
  <si>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</si>
  <si>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</si>
  <si>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</si>
  <si>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</si>
  <si>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</si>
  <si>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</si>
  <si>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</si>
  <si>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</si>
  <si>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</si>
  <si>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</si>
  <si>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</si>
  <si>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</si>
  <si>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</si>
  <si>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</si>
  <si>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</si>
  <si>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</si>
  <si>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</si>
  <si>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</si>
  <si>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</si>
  <si>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</si>
  <si>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</si>
  <si>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</si>
  <si>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</si>
  <si>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</si>
  <si>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</si>
  <si>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</si>
  <si>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</si>
  <si>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</si>
  <si>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</si>
  <si>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</si>
  <si>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</si>
  <si>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</si>
  <si>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</si>
  <si>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</si>
  <si>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</si>
  <si>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</si>
  <si>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</si>
  <si>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</si>
  <si>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</si>
  <si>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</si>
  <si>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</si>
  <si>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</si>
  <si>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</si>
  <si>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</si>
  <si>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</si>
  <si>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A3.38</t>
  </si>
  <si>
    <t>Метран - 150TGR</t>
  </si>
  <si>
    <t>№chanAi</t>
  </si>
  <si>
    <t>AiCount</t>
  </si>
  <si>
    <t>A3.28</t>
  </si>
  <si>
    <t>se0018</t>
  </si>
  <si>
    <t>Клапан регулирующий К5 по сети Т1 до теплообменника К1 отопления и ГВС</t>
  </si>
  <si>
    <t>F0NDF24AA801</t>
  </si>
  <si>
    <t>A5.13</t>
  </si>
  <si>
    <t>A6.7</t>
  </si>
  <si>
    <t>F0NDF24AA802</t>
  </si>
  <si>
    <t>se0019</t>
  </si>
  <si>
    <t>F0NDF24AA803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</si>
  <si>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</si>
  <si>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</si>
  <si>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</si>
  <si>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</si>
  <si>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</si>
  <si>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</si>
  <si>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</si>
  <si>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</si>
  <si>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</si>
  <si>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TP-O</t>
  </si>
  <si>
    <t>ШУ К12</t>
  </si>
  <si>
    <t>МКЭШвнг (А)-LS 1x2x0.75</t>
  </si>
  <si>
    <t>Сигнализация "сухого хода" насосов К3 раб, К3 рез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</si>
  <si>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</si>
  <si>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</si>
  <si>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</si>
  <si>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</si>
  <si>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</si>
  <si>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</si>
  <si>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</si>
  <si>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</si>
  <si>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</si>
  <si>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Шкаф ШУ-К12</t>
  </si>
  <si>
    <t>F0-SD4-1</t>
  </si>
  <si>
    <t>K77-01</t>
  </si>
  <si>
    <t>K77-02</t>
  </si>
  <si>
    <t>K77-03</t>
  </si>
  <si>
    <t>F2-1</t>
  </si>
  <si>
    <t>F2-2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</si>
  <si>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</si>
  <si>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</si>
  <si>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</si>
  <si>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</si>
  <si>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</si>
  <si>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</si>
  <si>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</si>
  <si>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</si>
  <si>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</si>
  <si>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</si>
  <si>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</si>
  <si>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</si>
  <si>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Давление газа перед фильтром котла №2</t>
  </si>
  <si>
    <t>Давление газа после фильтра котла №2</t>
  </si>
  <si>
    <t>Давление газа перед котлом до регулятора №2</t>
  </si>
  <si>
    <t>Давление газа перед котлом после регулятора №2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</si>
  <si>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</si>
  <si>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</si>
  <si>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</si>
  <si>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</si>
  <si>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</si>
  <si>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Давление газа после фильтра котла №3</t>
  </si>
  <si>
    <t>Давление газа перед котлом до регулятора №3</t>
  </si>
  <si>
    <t>Давление газа перед котлом после регулятора №3</t>
  </si>
  <si>
    <t>Давление газа перед фильтром котла №4</t>
  </si>
  <si>
    <t>F3HHG20СР001</t>
  </si>
  <si>
    <t>F3HHG20СР002</t>
  </si>
  <si>
    <t>F3HHG20СР003</t>
  </si>
  <si>
    <t>F3HHG20СР004</t>
  </si>
  <si>
    <t>Давление газа после фильтра котла №4</t>
  </si>
  <si>
    <t>Давление газа перед котлом до регулятора №4</t>
  </si>
  <si>
    <t>Давление газа перед котлом после регулятора №4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</si>
  <si>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</si>
  <si>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</si>
  <si>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</si>
  <si>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</si>
  <si>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</si>
  <si>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</si>
  <si>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</si>
  <si>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</si>
  <si>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</si>
  <si>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</si>
  <si>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</si>
  <si>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</si>
  <si>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</si>
  <si>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Давление газа после фильтра котла №8</t>
  </si>
  <si>
    <t>Давление газа перед котлом до регулятора №8</t>
  </si>
  <si>
    <t>Давление газа перед котлом после регулятора №8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</si>
  <si>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</si>
  <si>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</si>
  <si>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</si>
  <si>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</si>
  <si>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</si>
  <si>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</si>
  <si>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</si>
  <si>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</si>
  <si>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</si>
  <si>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</si>
  <si>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</si>
  <si>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</si>
  <si>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</si>
  <si>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</si>
  <si>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</si>
  <si>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</si>
  <si>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</si>
  <si>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</si>
  <si>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</si>
  <si>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</si>
  <si>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</si>
  <si>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</si>
  <si>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</si>
  <si>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</si>
  <si>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</si>
  <si>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</si>
  <si>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</si>
  <si>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</si>
  <si>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</si>
  <si>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</si>
  <si>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</si>
  <si>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</si>
  <si>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</si>
  <si>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</si>
  <si>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</si>
  <si>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</si>
  <si>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</si>
  <si>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Заслонка регулирующая газа котла №2</t>
  </si>
  <si>
    <t>A5.15</t>
  </si>
  <si>
    <t>A6.9</t>
  </si>
  <si>
    <t>Затвор продувной свечи газа котла №2</t>
  </si>
  <si>
    <t>L7</t>
  </si>
  <si>
    <t>Заслонка регулирующая газа котла №3</t>
  </si>
  <si>
    <t>A5.16</t>
  </si>
  <si>
    <t>Затвор продувной свечи газа котла №3</t>
  </si>
  <si>
    <t>L8</t>
  </si>
  <si>
    <t>Заслонка регулирующая газа котла №4</t>
  </si>
  <si>
    <t>A5.17</t>
  </si>
  <si>
    <t>Затвор продувной свечи газа котла №4</t>
  </si>
  <si>
    <t>L9</t>
  </si>
  <si>
    <t>Заслонка регулирующая газа котла №5</t>
  </si>
  <si>
    <t>Затвор продувной свечи газа котла №5</t>
  </si>
  <si>
    <t>L10</t>
  </si>
  <si>
    <t>Заслонка регулирующая газа котла №6</t>
  </si>
  <si>
    <t>Затвор продувной свечи газа котла №6</t>
  </si>
  <si>
    <t>L11</t>
  </si>
  <si>
    <t>Заслонка регулирующая газа котла №7</t>
  </si>
  <si>
    <t>Затвор продувной свечи газа котла №7</t>
  </si>
  <si>
    <t>L12</t>
  </si>
  <si>
    <t>Заслонка регулирующая газа котла №8</t>
  </si>
  <si>
    <t>Затвор продувной свечи газа котла №8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</si>
  <si>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</si>
  <si>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</si>
  <si>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</si>
  <si>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</si>
  <si>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</si>
  <si>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</si>
  <si>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</si>
  <si>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</si>
  <si>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</si>
  <si>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</si>
  <si>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</si>
  <si>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</si>
  <si>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</si>
  <si>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</si>
  <si>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</si>
  <si>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</si>
  <si>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</si>
  <si>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A5.18</t>
  </si>
  <si>
    <t>A6.10</t>
  </si>
  <si>
    <t>F0EKG10AA002</t>
  </si>
  <si>
    <t>A5.19</t>
  </si>
  <si>
    <t>Затвор дисковый на котлы №1-5</t>
  </si>
  <si>
    <t>F0EKG10AA003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</si>
  <si>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</si>
  <si>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</si>
  <si>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</si>
  <si>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</si>
  <si>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</si>
  <si>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</si>
  <si>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</si>
  <si>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</si>
  <si>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</si>
  <si>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</si>
  <si>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</si>
  <si>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</si>
  <si>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</si>
  <si>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</si>
  <si>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</si>
  <si>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</si>
  <si>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</si>
  <si>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</si>
  <si>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</si>
  <si>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</si>
  <si>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</si>
  <si>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</si>
  <si>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</si>
  <si>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</si>
  <si>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</si>
  <si>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</si>
  <si>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</si>
  <si>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</si>
  <si>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</si>
  <si>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</si>
  <si>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</si>
  <si>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</si>
  <si>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</si>
  <si>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</si>
  <si>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</si>
  <si>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</si>
  <si>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</si>
  <si>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</si>
  <si>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</si>
  <si>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</si>
  <si>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</si>
  <si>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</si>
  <si>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</si>
  <si>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</si>
  <si>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</si>
  <si>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</si>
  <si>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</si>
  <si>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</si>
  <si>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</si>
  <si>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</si>
  <si>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</si>
  <si>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</si>
  <si>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</si>
  <si>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</si>
  <si>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</si>
  <si>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</si>
  <si>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</si>
  <si>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</si>
  <si>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</si>
  <si>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</si>
  <si>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</si>
  <si>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</si>
  <si>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</si>
  <si>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</si>
  <si>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</si>
  <si>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</si>
  <si>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</si>
  <si>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</si>
  <si>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</si>
  <si>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</si>
  <si>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</si>
  <si>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</si>
  <si>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</si>
  <si>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</si>
  <si>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</si>
  <si>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</si>
  <si>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</si>
  <si>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</si>
  <si>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</si>
  <si>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</si>
  <si>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</si>
  <si>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</si>
  <si>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</si>
  <si>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</si>
  <si>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</si>
  <si>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</si>
  <si>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</si>
  <si>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</si>
  <si>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</si>
  <si>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</si>
  <si>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</si>
  <si>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</si>
  <si>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</si>
  <si>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</si>
  <si>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</si>
  <si>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</si>
  <si>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</si>
  <si>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</si>
  <si>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</si>
  <si>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</si>
  <si>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</si>
  <si>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A3.5</t>
  </si>
  <si>
    <t>A3.8</t>
  </si>
  <si>
    <t>A3.9</t>
  </si>
  <si>
    <t>F0NDG01AP001</t>
  </si>
  <si>
    <t>F0NDG02AP001</t>
  </si>
  <si>
    <t>F0NDG03AP001</t>
  </si>
  <si>
    <t>F0NDG04AP001</t>
  </si>
  <si>
    <t>A3.21</t>
  </si>
  <si>
    <t>A3.13</t>
  </si>
  <si>
    <t>A3.15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</si>
  <si>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</si>
  <si>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</si>
  <si>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</si>
  <si>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</si>
  <si>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</si>
  <si>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</si>
  <si>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</si>
  <si>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</si>
  <si>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</si>
  <si>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F0CJU01GH001</t>
  </si>
  <si>
    <t>F0CJU01GH002</t>
  </si>
  <si>
    <t>F0CJU01GH003</t>
  </si>
  <si>
    <t>F0CJU01GH004</t>
  </si>
  <si>
    <t>F0CJU01GH005</t>
  </si>
  <si>
    <t>F0CJU01GH006</t>
  </si>
  <si>
    <t>F0CJU01GH007</t>
  </si>
  <si>
    <t>F0CJU01GH008</t>
  </si>
  <si>
    <t>F0CJU01GH009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</si>
  <si>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</si>
  <si>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</si>
  <si>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</si>
  <si>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</si>
  <si>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</si>
  <si>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</si>
  <si>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</si>
  <si>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</si>
  <si>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</si>
  <si>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</si>
  <si>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</si>
  <si>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</si>
  <si>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</si>
  <si>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</si>
  <si>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</si>
  <si>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</si>
  <si>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</si>
  <si>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</si>
  <si>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</si>
  <si>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</si>
  <si>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</si>
  <si>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</si>
  <si>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</si>
  <si>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</si>
  <si>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</si>
  <si>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</si>
  <si>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</si>
  <si>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</si>
  <si>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</si>
  <si>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</si>
  <si>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</si>
  <si>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</si>
  <si>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</si>
  <si>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</si>
  <si>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</si>
  <si>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</si>
  <si>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</si>
  <si>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</si>
  <si>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</si>
  <si>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</si>
  <si>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</si>
  <si>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</si>
  <si>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</si>
  <si>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</si>
  <si>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</si>
  <si>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</si>
  <si>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</si>
  <si>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</si>
  <si>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</si>
  <si>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</si>
  <si>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</si>
  <si>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</si>
  <si>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</si>
  <si>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A3.6</t>
  </si>
  <si>
    <t>A3.10</t>
  </si>
  <si>
    <t>A3.12</t>
  </si>
  <si>
    <t>A3.14</t>
  </si>
  <si>
    <t>A3.43</t>
  </si>
  <si>
    <t>A3.44</t>
  </si>
  <si>
    <t>A3.45</t>
  </si>
  <si>
    <t>A3.26</t>
  </si>
  <si>
    <t>А3.33</t>
  </si>
  <si>
    <t>F0-F1UZ</t>
  </si>
  <si>
    <t>F0-F2UZ</t>
  </si>
  <si>
    <t>F0-F3UZ</t>
  </si>
  <si>
    <t>F0-F4UZ</t>
  </si>
  <si>
    <t>F0-F5UZ</t>
  </si>
  <si>
    <t>F0-F6UZ</t>
  </si>
  <si>
    <t>F0-F7UZ</t>
  </si>
  <si>
    <t>F0-FTM1</t>
  </si>
  <si>
    <t>F0-FTM2</t>
  </si>
  <si>
    <t>F0-K20</t>
  </si>
  <si>
    <t>F0-K26</t>
  </si>
  <si>
    <t>F0-K33</t>
  </si>
  <si>
    <t>F0-K38</t>
  </si>
  <si>
    <t>F0-K41</t>
  </si>
  <si>
    <t>F0-K44</t>
  </si>
  <si>
    <t>F0-RS1</t>
  </si>
  <si>
    <t>K11</t>
  </si>
  <si>
    <t>K12</t>
  </si>
  <si>
    <t>K13</t>
  </si>
  <si>
    <t>K14</t>
  </si>
  <si>
    <t>K20</t>
  </si>
  <si>
    <t>K16</t>
  </si>
  <si>
    <t>K21</t>
  </si>
  <si>
    <t>K18</t>
  </si>
  <si>
    <t>K22</t>
  </si>
  <si>
    <t>K19</t>
  </si>
  <si>
    <t>K23</t>
  </si>
  <si>
    <t>K15</t>
  </si>
  <si>
    <t>K24</t>
  </si>
  <si>
    <t>K17</t>
  </si>
  <si>
    <t>K4</t>
  </si>
  <si>
    <t>K8</t>
  </si>
  <si>
    <t>K10</t>
  </si>
  <si>
    <t>F0-G1</t>
  </si>
  <si>
    <t>F0-G2</t>
  </si>
  <si>
    <t>F1-1</t>
  </si>
  <si>
    <t>F1-2</t>
  </si>
  <si>
    <t>F1-3</t>
  </si>
  <si>
    <t>F1-4</t>
  </si>
  <si>
    <t>F2-3</t>
  </si>
  <si>
    <t>F2-4</t>
  </si>
  <si>
    <t>F3-1</t>
  </si>
  <si>
    <t>F3-2</t>
  </si>
  <si>
    <t>F3-3</t>
  </si>
  <si>
    <t>F3-4</t>
  </si>
  <si>
    <t>F4-1</t>
  </si>
  <si>
    <t>F4-2</t>
  </si>
  <si>
    <t>F4-3</t>
  </si>
  <si>
    <t>F4-4</t>
  </si>
  <si>
    <t>F5-1</t>
  </si>
  <si>
    <t>F5-2</t>
  </si>
  <si>
    <t>F5-3</t>
  </si>
  <si>
    <t>F5-4</t>
  </si>
  <si>
    <t>F6-1</t>
  </si>
  <si>
    <t>F6-2</t>
  </si>
  <si>
    <t>F6-3</t>
  </si>
  <si>
    <t>F6-4</t>
  </si>
  <si>
    <t>F7-1</t>
  </si>
  <si>
    <t>F7-2</t>
  </si>
  <si>
    <t>F7-3</t>
  </si>
  <si>
    <t>F7-4</t>
  </si>
  <si>
    <t>F8-1</t>
  </si>
  <si>
    <t>F8-2</t>
  </si>
  <si>
    <t>F8-3</t>
  </si>
  <si>
    <t>F8-4</t>
  </si>
  <si>
    <t>F1-10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</si>
  <si>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</si>
  <si>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</si>
  <si>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</si>
  <si>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</si>
  <si>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</si>
  <si>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</si>
  <si>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</si>
  <si>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</si>
  <si>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</si>
  <si>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</si>
  <si>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</si>
  <si>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</si>
  <si>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</si>
  <si>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</si>
  <si>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</si>
  <si>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</si>
  <si>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</si>
  <si>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</si>
  <si>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</si>
  <si>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</si>
  <si>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</si>
  <si>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</si>
  <si>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</si>
  <si>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>F0-G8</t>
  </si>
  <si>
    <t>F0-G13</t>
  </si>
  <si>
    <t>F0-G18</t>
  </si>
  <si>
    <t>K9</t>
  </si>
  <si>
    <t>F0-УУГ1</t>
  </si>
  <si>
    <t>Z0CJU01GH001</t>
  </si>
  <si>
    <t>Z0CJU01GH002</t>
  </si>
  <si>
    <t>Z0CJU01GH003</t>
  </si>
  <si>
    <t>Z0CJU01GH004</t>
  </si>
  <si>
    <t>Z0CJU01GH005</t>
  </si>
  <si>
    <t>Z0CJU01GH009</t>
  </si>
  <si>
    <t>Z0</t>
  </si>
  <si>
    <t>Питание ввода №1 в норме (ВК)</t>
  </si>
  <si>
    <t>Питание ввода №2 в норме (ВК)</t>
  </si>
  <si>
    <t>Ввод 1 включен (ВК)</t>
  </si>
  <si>
    <t>Ввод 2 включен (ВК)</t>
  </si>
  <si>
    <t>Питание ИБП в норме (ВК)</t>
  </si>
  <si>
    <t>Питание цепей внешних сигналов включено (ВК)</t>
  </si>
  <si>
    <t>Питание цепей внутренних сигналов включено (ВК)</t>
  </si>
  <si>
    <t>Питание датчиков 220В включено (ВК)</t>
  </si>
  <si>
    <t>Дверь шкафа открыта (ВК)</t>
  </si>
  <si>
    <t>Питание ввода №1 в норме (Серв 1)</t>
  </si>
  <si>
    <t>Питание ввода №2 в норме (Серв 1)</t>
  </si>
  <si>
    <t>Ввод 1 включен (Серв 1)</t>
  </si>
  <si>
    <t>Ввод 2 включен (Серв 1)</t>
  </si>
  <si>
    <t>Питание ИБП в норме (Серв 1)</t>
  </si>
  <si>
    <t>Дверь шкафа открыта (Серв 1)</t>
  </si>
  <si>
    <t>Питание ввода №1 в норме (Серв 2)</t>
  </si>
  <si>
    <t>Питание ввода №2 в норме (Серв 2)</t>
  </si>
  <si>
    <t>Ввод 1 включен (Серв 2)</t>
  </si>
  <si>
    <t>Ввод 2 включен (Серв 2)</t>
  </si>
  <si>
    <t>Питание ИБП в норме (Серв 2)</t>
  </si>
  <si>
    <t>Дверь шкафа открыта (Серв 2)</t>
  </si>
  <si>
    <t>Z0CJU02GH001</t>
  </si>
  <si>
    <t>Z0CJU02GH002</t>
  </si>
  <si>
    <t>Z0CJU02GH003</t>
  </si>
  <si>
    <t>Z0CJU02GH004</t>
  </si>
  <si>
    <t>Z0CJU02GH005</t>
  </si>
  <si>
    <t>Z0CJU02GH009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</si>
</sst>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8" xfId="0" applyBorder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</cellXfs>
  <cellStyles count="1">
    <cellStyle name="Обычный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315"/>
  <sheetViews>
    <sheetView zoomScale="85" zoomScaleNormal="85" workbookViewId="0">
      <pane ySplit="1" topLeftCell="A2" activePane="bottomLeft" state="frozen"/>
      <selection pane="bottomLeft" activeCell="W8" sqref="W8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57" bestFit="1" customWidth="1"/>
    <col min="36" max="36" width="8.7109375" style="57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268</v>
      </c>
      <c r="W1" s="7" t="s">
        <v>267</v>
      </c>
      <c r="X1" s="8" t="s">
        <v>367</v>
      </c>
      <c r="Y1" s="5" t="s">
        <v>1309</v>
      </c>
      <c r="Z1" s="5" t="s">
        <v>1310</v>
      </c>
      <c r="AA1" s="5" t="s">
        <v>368</v>
      </c>
      <c r="AB1" s="5" t="s">
        <v>369</v>
      </c>
      <c r="AC1" s="8" t="s">
        <v>21</v>
      </c>
      <c r="AD1" s="5" t="s">
        <v>1428</v>
      </c>
      <c r="AE1" s="5" t="s">
        <v>1429</v>
      </c>
      <c r="AF1" s="5" t="s">
        <v>23</v>
      </c>
      <c r="AG1" s="5" t="s">
        <v>24</v>
      </c>
      <c r="AH1" s="8" t="s">
        <v>22</v>
      </c>
      <c r="AI1" s="55" t="s">
        <v>1430</v>
      </c>
      <c r="AJ1" s="55" t="s">
        <v>1431</v>
      </c>
      <c r="AK1" s="5" t="s">
        <v>25</v>
      </c>
      <c r="AL1" s="5" t="s">
        <v>26</v>
      </c>
      <c r="AM1" s="8" t="s">
        <v>31</v>
      </c>
      <c r="AN1" s="8" t="s">
        <v>265</v>
      </c>
      <c r="AO1" s="8" t="s">
        <v>266</v>
      </c>
      <c r="AP1" s="8" t="s">
        <v>27</v>
      </c>
      <c r="AQ1" s="8" t="s">
        <v>28</v>
      </c>
      <c r="AR1" s="8" t="s">
        <v>281</v>
      </c>
      <c r="AS1" s="8" t="s">
        <v>365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283</v>
      </c>
      <c r="AZ1" s="26" t="s">
        <v>284</v>
      </c>
      <c r="BA1" s="26" t="s">
        <v>285</v>
      </c>
      <c r="BB1" s="26" t="s">
        <v>286</v>
      </c>
      <c r="BC1" s="26" t="s">
        <v>287</v>
      </c>
      <c r="BD1" s="26" t="s">
        <v>288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273</v>
      </c>
      <c r="FO1" s="5" t="s">
        <v>282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274</v>
      </c>
      <c r="GL1" s="5" t="s">
        <v>275</v>
      </c>
      <c r="GM1" s="5" t="s">
        <v>276</v>
      </c>
      <c r="GN1" s="5" t="s">
        <v>277</v>
      </c>
      <c r="GO1" s="5" t="s">
        <v>278</v>
      </c>
      <c r="GP1" s="5" t="s">
        <v>122</v>
      </c>
      <c r="GQ1" s="5" t="s">
        <v>123</v>
      </c>
      <c r="GR1" s="5" t="s">
        <v>279</v>
      </c>
      <c r="GS1" s="31" t="s">
        <v>280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371</v>
      </c>
      <c r="HH1" s="5" t="s">
        <v>372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373</v>
      </c>
      <c r="IH1" s="5" t="s">
        <v>390</v>
      </c>
      <c r="II1" s="5" t="s">
        <v>374</v>
      </c>
      <c r="IJ1" s="5" t="s">
        <v>375</v>
      </c>
      <c r="IK1" s="5" t="s">
        <v>376</v>
      </c>
      <c r="IL1" s="5" t="s">
        <v>377</v>
      </c>
      <c r="IM1" s="5" t="s">
        <v>378</v>
      </c>
      <c r="IN1" s="5" t="s">
        <v>379</v>
      </c>
      <c r="IO1" s="5" t="s">
        <v>380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381</v>
      </c>
      <c r="IW1" s="5" t="s">
        <v>382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523</v>
      </c>
      <c r="KB1" s="23" t="s">
        <v>524</v>
      </c>
      <c r="KC1" s="32" t="s">
        <v>371</v>
      </c>
      <c r="KD1" s="5" t="s">
        <v>372</v>
      </c>
      <c r="KE1" s="32" t="s">
        <v>521</v>
      </c>
      <c r="KF1" s="5" t="s">
        <v>522</v>
      </c>
      <c r="KG1" s="5" t="s">
        <v>382</v>
      </c>
      <c r="KH1" s="5" t="s">
        <v>381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455</v>
      </c>
      <c r="KO1" s="35" t="s">
        <v>457</v>
      </c>
      <c r="KP1" s="30" t="s">
        <v>456</v>
      </c>
      <c r="KQ1" s="35" t="s">
        <v>519</v>
      </c>
      <c r="KR1" s="19" t="s">
        <v>515</v>
      </c>
      <c r="KS1" s="19" t="s">
        <v>516</v>
      </c>
      <c r="KT1" s="4" t="s">
        <v>35</v>
      </c>
      <c r="KU1" s="5" t="s">
        <v>821</v>
      </c>
      <c r="KV1" s="5" t="s">
        <v>374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822</v>
      </c>
      <c r="LC1" s="5" t="s">
        <v>823</v>
      </c>
      <c r="LD1" s="5" t="s">
        <v>824</v>
      </c>
      <c r="LE1" s="5" t="s">
        <v>825</v>
      </c>
      <c r="LF1" s="5" t="s">
        <v>98</v>
      </c>
      <c r="LG1" s="5" t="s">
        <v>99</v>
      </c>
      <c r="LH1" s="5" t="s">
        <v>100</v>
      </c>
      <c r="LI1" s="5" t="s">
        <v>826</v>
      </c>
      <c r="LJ1" s="5" t="s">
        <v>827</v>
      </c>
      <c r="LK1" s="5" t="s">
        <v>828</v>
      </c>
      <c r="LL1" s="5" t="s">
        <v>829</v>
      </c>
      <c r="LM1" s="9" t="s">
        <v>830</v>
      </c>
      <c r="LN1" s="39" t="s">
        <v>35</v>
      </c>
      <c r="LO1" s="32" t="s">
        <v>371</v>
      </c>
      <c r="LP1" s="5" t="s">
        <v>372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19" t="s">
        <v>114</v>
      </c>
      <c r="LX1" s="4" t="s">
        <v>35</v>
      </c>
      <c r="LY1" s="5" t="s">
        <v>51</v>
      </c>
      <c r="LZ1" s="5" t="s">
        <v>50</v>
      </c>
      <c r="MA1" s="5" t="s">
        <v>374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822</v>
      </c>
      <c r="MH1" s="5" t="s">
        <v>823</v>
      </c>
      <c r="MI1" s="5" t="s">
        <v>824</v>
      </c>
      <c r="MJ1" s="5" t="s">
        <v>825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826</v>
      </c>
      <c r="MP1" s="5" t="s">
        <v>827</v>
      </c>
      <c r="MQ1" s="5" t="s">
        <v>828</v>
      </c>
      <c r="MR1" s="5" t="s">
        <v>829</v>
      </c>
      <c r="MS1" s="9" t="s">
        <v>830</v>
      </c>
      <c r="MT1" s="40" t="s">
        <v>881</v>
      </c>
      <c r="MU1" s="37" t="s">
        <v>882</v>
      </c>
      <c r="MV1" s="41" t="s">
        <v>885</v>
      </c>
      <c r="MW1" s="41" t="s">
        <v>886</v>
      </c>
      <c r="MX1" s="41" t="s">
        <v>887</v>
      </c>
      <c r="MY1" s="41" t="s">
        <v>35</v>
      </c>
      <c r="MZ1" s="41" t="s">
        <v>37</v>
      </c>
      <c r="NA1" s="41" t="s">
        <v>36</v>
      </c>
      <c r="NB1" s="41" t="s">
        <v>39</v>
      </c>
      <c r="NC1" s="41" t="s">
        <v>38</v>
      </c>
      <c r="ND1" s="41" t="s">
        <v>41</v>
      </c>
      <c r="NE1" s="41" t="s">
        <v>40</v>
      </c>
      <c r="NF1" s="41" t="s">
        <v>523</v>
      </c>
      <c r="NG1" s="41" t="s">
        <v>524</v>
      </c>
      <c r="NH1" s="5" t="s">
        <v>821</v>
      </c>
      <c r="NI1" s="5" t="s">
        <v>875</v>
      </c>
      <c r="NJ1" s="5" t="s">
        <v>876</v>
      </c>
      <c r="NK1" s="5" t="s">
        <v>877</v>
      </c>
      <c r="NL1" s="5" t="s">
        <v>878</v>
      </c>
      <c r="NM1" s="5" t="s">
        <v>879</v>
      </c>
      <c r="NN1" s="5" t="s">
        <v>880</v>
      </c>
      <c r="NO1" s="5" t="s">
        <v>374</v>
      </c>
      <c r="NP1" s="5" t="s">
        <v>375</v>
      </c>
      <c r="NQ1" s="5" t="s">
        <v>376</v>
      </c>
      <c r="NR1" s="5" t="s">
        <v>377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822</v>
      </c>
      <c r="OB1" s="5" t="s">
        <v>823</v>
      </c>
      <c r="OC1" s="5" t="s">
        <v>824</v>
      </c>
      <c r="OD1" s="9" t="s">
        <v>825</v>
      </c>
      <c r="OE1" s="5" t="s">
        <v>910</v>
      </c>
      <c r="OF1" s="9" t="s">
        <v>911</v>
      </c>
      <c r="OG1" s="23" t="s">
        <v>35</v>
      </c>
      <c r="OH1" s="23" t="s">
        <v>881</v>
      </c>
      <c r="OI1" s="23" t="s">
        <v>882</v>
      </c>
      <c r="OJ1" s="23" t="s">
        <v>989</v>
      </c>
      <c r="OK1" s="23" t="s">
        <v>990</v>
      </c>
      <c r="OL1" s="23" t="s">
        <v>523</v>
      </c>
      <c r="OM1" s="23" t="s">
        <v>524</v>
      </c>
      <c r="ON1" s="23" t="s">
        <v>972</v>
      </c>
      <c r="OO1" s="23" t="s">
        <v>973</v>
      </c>
      <c r="OP1" s="23" t="s">
        <v>974</v>
      </c>
      <c r="OQ1" s="23" t="s">
        <v>975</v>
      </c>
      <c r="OR1" s="23" t="s">
        <v>993</v>
      </c>
      <c r="OS1" s="23" t="s">
        <v>994</v>
      </c>
      <c r="OT1" s="23" t="s">
        <v>995</v>
      </c>
      <c r="OU1" s="23" t="s">
        <v>996</v>
      </c>
      <c r="OV1" s="32" t="s">
        <v>371</v>
      </c>
      <c r="OW1" s="5" t="s">
        <v>372</v>
      </c>
      <c r="OX1" s="32" t="s">
        <v>521</v>
      </c>
      <c r="OY1" s="5" t="s">
        <v>522</v>
      </c>
      <c r="OZ1" s="32" t="s">
        <v>976</v>
      </c>
      <c r="PA1" s="5" t="s">
        <v>977</v>
      </c>
      <c r="PB1" s="32" t="s">
        <v>978</v>
      </c>
      <c r="PC1" s="5" t="s">
        <v>979</v>
      </c>
      <c r="PD1" s="32" t="s">
        <v>997</v>
      </c>
      <c r="PE1" s="5" t="s">
        <v>998</v>
      </c>
      <c r="PF1" s="32" t="s">
        <v>999</v>
      </c>
      <c r="PG1" s="5" t="s">
        <v>1000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30" t="s">
        <v>274</v>
      </c>
      <c r="PR1" s="30" t="s">
        <v>275</v>
      </c>
      <c r="PS1" s="30" t="s">
        <v>276</v>
      </c>
      <c r="PT1" s="30" t="s">
        <v>277</v>
      </c>
      <c r="PU1" s="30" t="s">
        <v>278</v>
      </c>
      <c r="PV1" s="30" t="s">
        <v>971</v>
      </c>
      <c r="PW1" s="30" t="s">
        <v>1001</v>
      </c>
      <c r="PX1" s="30" t="s">
        <v>1002</v>
      </c>
      <c r="PY1" s="30" t="s">
        <v>1003</v>
      </c>
      <c r="PZ1" s="42" t="s">
        <v>1019</v>
      </c>
      <c r="QA1" s="42" t="s">
        <v>524</v>
      </c>
      <c r="QB1" s="42" t="s">
        <v>523</v>
      </c>
      <c r="QC1" s="42" t="s">
        <v>973</v>
      </c>
      <c r="QD1" s="42" t="s">
        <v>972</v>
      </c>
      <c r="QE1" s="42" t="s">
        <v>975</v>
      </c>
      <c r="QF1" s="42" t="s">
        <v>974</v>
      </c>
      <c r="QG1" s="42" t="s">
        <v>994</v>
      </c>
      <c r="QH1" s="42" t="s">
        <v>993</v>
      </c>
      <c r="QI1" s="42" t="s">
        <v>996</v>
      </c>
      <c r="QJ1" s="42" t="s">
        <v>995</v>
      </c>
      <c r="QK1" s="42" t="s">
        <v>1020</v>
      </c>
      <c r="QL1" s="42" t="s">
        <v>1021</v>
      </c>
      <c r="QM1" s="42" t="s">
        <v>1022</v>
      </c>
      <c r="QN1" s="42" t="s">
        <v>1023</v>
      </c>
      <c r="QO1" s="42" t="s">
        <v>1024</v>
      </c>
      <c r="QP1" s="42" t="s">
        <v>1025</v>
      </c>
      <c r="QQ1" s="42" t="s">
        <v>1026</v>
      </c>
      <c r="QR1" s="42" t="s">
        <v>1027</v>
      </c>
      <c r="QS1" s="42" t="s">
        <v>1028</v>
      </c>
      <c r="QT1" s="42" t="s">
        <v>1029</v>
      </c>
      <c r="QU1" s="42" t="s">
        <v>1030</v>
      </c>
      <c r="QV1" s="42" t="s">
        <v>1031</v>
      </c>
      <c r="QW1" s="42" t="s">
        <v>372</v>
      </c>
      <c r="QX1" s="42" t="s">
        <v>371</v>
      </c>
      <c r="QY1" s="42" t="s">
        <v>522</v>
      </c>
      <c r="QZ1" s="42" t="s">
        <v>521</v>
      </c>
      <c r="RA1" s="42" t="s">
        <v>977</v>
      </c>
      <c r="RB1" s="42" t="s">
        <v>976</v>
      </c>
      <c r="RC1" s="42" t="s">
        <v>979</v>
      </c>
      <c r="RD1" s="42" t="s">
        <v>978</v>
      </c>
      <c r="RE1" s="42" t="s">
        <v>998</v>
      </c>
      <c r="RF1" s="42" t="s">
        <v>997</v>
      </c>
      <c r="RG1" s="42" t="s">
        <v>1000</v>
      </c>
      <c r="RH1" s="42" t="s">
        <v>999</v>
      </c>
      <c r="RI1" s="42" t="s">
        <v>1032</v>
      </c>
      <c r="RJ1" s="42" t="s">
        <v>1033</v>
      </c>
      <c r="RK1" s="42" t="s">
        <v>1034</v>
      </c>
      <c r="RL1" s="42" t="s">
        <v>1035</v>
      </c>
      <c r="RM1" s="42" t="s">
        <v>1036</v>
      </c>
      <c r="RN1" s="42" t="s">
        <v>1037</v>
      </c>
      <c r="RO1" s="42" t="s">
        <v>1038</v>
      </c>
      <c r="RP1" s="42" t="s">
        <v>1039</v>
      </c>
      <c r="RQ1" s="42" t="s">
        <v>1040</v>
      </c>
      <c r="RR1" s="42" t="s">
        <v>1041</v>
      </c>
      <c r="RS1" s="42" t="s">
        <v>1042</v>
      </c>
      <c r="RT1" s="42" t="s">
        <v>1043</v>
      </c>
      <c r="RU1" s="42" t="s">
        <v>35</v>
      </c>
      <c r="RV1" s="42" t="s">
        <v>98</v>
      </c>
      <c r="RW1" s="42" t="s">
        <v>99</v>
      </c>
      <c r="RX1" s="42" t="s">
        <v>100</v>
      </c>
      <c r="RY1" s="42" t="s">
        <v>101</v>
      </c>
      <c r="RZ1" s="42" t="s">
        <v>102</v>
      </c>
      <c r="SA1" s="42" t="s">
        <v>103</v>
      </c>
      <c r="SB1" s="42" t="s">
        <v>104</v>
      </c>
      <c r="SC1" s="42" t="s">
        <v>105</v>
      </c>
      <c r="SD1" s="42" t="s">
        <v>106</v>
      </c>
      <c r="SE1" s="42" t="s">
        <v>107</v>
      </c>
      <c r="SF1" s="42" t="s">
        <v>108</v>
      </c>
      <c r="SG1" s="42" t="s">
        <v>109</v>
      </c>
      <c r="SH1" s="42" t="s">
        <v>110</v>
      </c>
      <c r="SI1" s="42" t="s">
        <v>111</v>
      </c>
      <c r="SJ1" s="42" t="s">
        <v>1044</v>
      </c>
      <c r="SK1" s="42" t="s">
        <v>1045</v>
      </c>
      <c r="SL1" s="42" t="s">
        <v>1046</v>
      </c>
      <c r="SM1" s="42" t="s">
        <v>1047</v>
      </c>
      <c r="SN1" s="42" t="s">
        <v>1048</v>
      </c>
      <c r="SO1" s="42" t="s">
        <v>1049</v>
      </c>
      <c r="SP1" s="42" t="s">
        <v>1050</v>
      </c>
      <c r="SQ1" s="42" t="s">
        <v>1051</v>
      </c>
      <c r="SR1" s="42" t="s">
        <v>1052</v>
      </c>
      <c r="SS1" s="42" t="s">
        <v>1053</v>
      </c>
      <c r="ST1" s="42" t="s">
        <v>1054</v>
      </c>
      <c r="SU1" s="42" t="s">
        <v>1096</v>
      </c>
      <c r="SV1" s="42" t="s">
        <v>881</v>
      </c>
      <c r="SW1" s="42" t="s">
        <v>989</v>
      </c>
      <c r="SX1" s="42" t="s">
        <v>1055</v>
      </c>
      <c r="SY1" s="42" t="s">
        <v>1056</v>
      </c>
      <c r="SZ1" s="42" t="s">
        <v>1057</v>
      </c>
      <c r="TA1" s="42" t="s">
        <v>1058</v>
      </c>
      <c r="TB1" s="42" t="s">
        <v>1059</v>
      </c>
      <c r="TC1" s="42" t="s">
        <v>1060</v>
      </c>
      <c r="TD1" s="42" t="s">
        <v>1061</v>
      </c>
      <c r="TE1" s="42" t="s">
        <v>1062</v>
      </c>
      <c r="TF1" s="42" t="s">
        <v>1063</v>
      </c>
      <c r="TG1" s="42" t="s">
        <v>1097</v>
      </c>
      <c r="TH1" s="42" t="s">
        <v>882</v>
      </c>
      <c r="TI1" s="42" t="s">
        <v>990</v>
      </c>
      <c r="TJ1" s="42" t="s">
        <v>1064</v>
      </c>
      <c r="TK1" s="42" t="s">
        <v>1065</v>
      </c>
      <c r="TL1" s="42" t="s">
        <v>1066</v>
      </c>
      <c r="TM1" s="42" t="s">
        <v>1067</v>
      </c>
      <c r="TN1" s="42" t="s">
        <v>1068</v>
      </c>
      <c r="TO1" s="42" t="s">
        <v>1069</v>
      </c>
      <c r="TP1" s="42" t="s">
        <v>1070</v>
      </c>
      <c r="TQ1" s="42" t="s">
        <v>1071</v>
      </c>
      <c r="TR1" s="52" t="s">
        <v>1072</v>
      </c>
      <c r="TS1" s="39" t="s">
        <v>1533</v>
      </c>
      <c r="TT1" s="23" t="s">
        <v>1534</v>
      </c>
      <c r="TU1" s="23" t="s">
        <v>1535</v>
      </c>
      <c r="TV1" s="23" t="s">
        <v>1568</v>
      </c>
      <c r="TW1" s="23" t="s">
        <v>1536</v>
      </c>
      <c r="TX1" s="23" t="s">
        <v>1537</v>
      </c>
      <c r="TY1" s="23" t="s">
        <v>1538</v>
      </c>
      <c r="TZ1" s="23" t="s">
        <v>1539</v>
      </c>
      <c r="UA1" s="23" t="s">
        <v>35</v>
      </c>
      <c r="UB1" s="23" t="s">
        <v>98</v>
      </c>
      <c r="UC1" s="23" t="s">
        <v>99</v>
      </c>
      <c r="UD1" s="23" t="s">
        <v>100</v>
      </c>
      <c r="UE1" s="23" t="s">
        <v>31</v>
      </c>
      <c r="UF1" s="23" t="s">
        <v>112</v>
      </c>
      <c r="UG1" s="23" t="s">
        <v>113</v>
      </c>
      <c r="UH1" s="24" t="s">
        <v>114</v>
      </c>
      <c r="UI1" s="39" t="s">
        <v>35</v>
      </c>
      <c r="UJ1" s="23" t="s">
        <v>881</v>
      </c>
      <c r="UK1" s="23" t="s">
        <v>882</v>
      </c>
      <c r="UL1" s="23" t="s">
        <v>37</v>
      </c>
      <c r="UM1" s="23" t="s">
        <v>36</v>
      </c>
      <c r="UN1" s="23" t="s">
        <v>51</v>
      </c>
      <c r="UO1" s="23" t="s">
        <v>50</v>
      </c>
      <c r="UP1" s="23" t="s">
        <v>53</v>
      </c>
      <c r="UQ1" s="23" t="s">
        <v>52</v>
      </c>
      <c r="UR1" s="23" t="s">
        <v>73</v>
      </c>
      <c r="US1" s="23" t="s">
        <v>74</v>
      </c>
      <c r="UT1" s="23" t="s">
        <v>70</v>
      </c>
      <c r="UU1" s="23" t="s">
        <v>71</v>
      </c>
      <c r="UV1" s="23" t="s">
        <v>68</v>
      </c>
      <c r="UW1" s="23" t="s">
        <v>69</v>
      </c>
      <c r="UX1" s="23" t="s">
        <v>98</v>
      </c>
      <c r="UY1" s="23" t="s">
        <v>99</v>
      </c>
      <c r="UZ1" s="23" t="s">
        <v>100</v>
      </c>
      <c r="VA1" s="23" t="s">
        <v>101</v>
      </c>
      <c r="VB1" s="23" t="s">
        <v>1573</v>
      </c>
      <c r="VC1" s="23" t="s">
        <v>1576</v>
      </c>
      <c r="VD1" s="23" t="s">
        <v>1574</v>
      </c>
      <c r="VE1" s="23" t="s">
        <v>1575</v>
      </c>
      <c r="VF1" s="23" t="s">
        <v>112</v>
      </c>
      <c r="VG1" s="23" t="s">
        <v>113</v>
      </c>
      <c r="VH1" s="24" t="s">
        <v>114</v>
      </c>
      <c r="VI1" s="28" t="s">
        <v>144</v>
      </c>
      <c r="VJ1" s="19" t="s">
        <v>1577</v>
      </c>
      <c r="VK1" s="20" t="s">
        <v>1578</v>
      </c>
      <c r="VL1" s="4" t="s">
        <v>35</v>
      </c>
      <c r="VM1" s="32" t="s">
        <v>98</v>
      </c>
      <c r="VN1" s="32" t="s">
        <v>99</v>
      </c>
      <c r="VO1" s="32" t="s">
        <v>100</v>
      </c>
      <c r="VP1" s="32" t="s">
        <v>101</v>
      </c>
      <c r="VQ1" s="32" t="s">
        <v>37</v>
      </c>
      <c r="VR1" s="32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374</v>
      </c>
      <c r="VX1" s="5" t="s">
        <v>375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824</v>
      </c>
      <c r="WF1" s="5" t="s">
        <v>825</v>
      </c>
      <c r="WG1" s="5" t="s">
        <v>828</v>
      </c>
      <c r="WH1" s="5" t="s">
        <v>829</v>
      </c>
      <c r="WI1" s="31" t="s">
        <v>830</v>
      </c>
      <c r="WJ1" s="23" t="s">
        <v>1579</v>
      </c>
      <c r="WK1" s="19" t="s">
        <v>1580</v>
      </c>
      <c r="WL1" s="20" t="s">
        <v>1581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1044</v>
      </c>
      <c r="XC1" t="s">
        <v>1045</v>
      </c>
      <c r="XD1" t="s">
        <v>1046</v>
      </c>
      <c r="XE1" t="s">
        <v>1047</v>
      </c>
      <c r="XF1" t="s">
        <v>1048</v>
      </c>
      <c r="XG1" t="s">
        <v>1049</v>
      </c>
      <c r="XH1" t="s">
        <v>46</v>
      </c>
      <c r="XI1" t="s">
        <v>47</v>
      </c>
      <c r="XJ1" t="s">
        <v>48</v>
      </c>
      <c r="XK1" t="s">
        <v>49</v>
      </c>
      <c r="XL1" t="s">
        <v>1619</v>
      </c>
      <c r="XM1" t="s">
        <v>1618</v>
      </c>
      <c r="XN1" t="s">
        <v>1620</v>
      </c>
      <c r="XO1" t="s">
        <v>1617</v>
      </c>
      <c r="XP1" t="s">
        <v>1621</v>
      </c>
      <c r="XQ1" t="s">
        <v>1616</v>
      </c>
      <c r="XR1" t="s">
        <v>1622</v>
      </c>
      <c r="XS1" t="s">
        <v>1615</v>
      </c>
      <c r="XT1" t="s">
        <v>1623</v>
      </c>
      <c r="XU1" t="s">
        <v>1614</v>
      </c>
      <c r="XV1" t="s">
        <v>1613</v>
      </c>
      <c r="XW1" t="s">
        <v>1612</v>
      </c>
      <c r="XX1" t="s">
        <v>1611</v>
      </c>
      <c r="XY1" t="s">
        <v>1610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1625</v>
      </c>
      <c r="YG1" t="s">
        <v>1624</v>
      </c>
      <c r="YH1" t="s">
        <v>1627</v>
      </c>
      <c r="YI1" t="s">
        <v>1626</v>
      </c>
      <c r="YJ1" t="s">
        <v>1629</v>
      </c>
      <c r="YK1" t="s">
        <v>1628</v>
      </c>
      <c r="YL1" t="s">
        <v>1631</v>
      </c>
      <c r="YM1" t="s">
        <v>1630</v>
      </c>
      <c r="YN1" t="s">
        <v>1633</v>
      </c>
      <c r="YO1" t="s">
        <v>1632</v>
      </c>
      <c r="YP1" t="s">
        <v>1635</v>
      </c>
      <c r="YQ1" t="s">
        <v>1634</v>
      </c>
      <c r="YR1" t="s">
        <v>1636</v>
      </c>
      <c r="YS1" t="s">
        <v>1637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1638</v>
      </c>
      <c r="ZD1" t="s">
        <v>1639</v>
      </c>
      <c r="ZE1" t="s">
        <v>82</v>
      </c>
      <c r="ZF1" t="s">
        <v>1640</v>
      </c>
      <c r="ZG1" t="s">
        <v>83</v>
      </c>
      <c r="ZH1" t="s">
        <v>1641</v>
      </c>
      <c r="ZI1" t="s">
        <v>84</v>
      </c>
      <c r="ZJ1" t="s">
        <v>1642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1643</v>
      </c>
      <c r="ZW1" t="s">
        <v>1644</v>
      </c>
      <c r="ZX1" t="s">
        <v>1577</v>
      </c>
      <c r="ZY1" t="s">
        <v>1578</v>
      </c>
      <c r="ZZ1" t="s">
        <v>1645</v>
      </c>
      <c r="AAA1" t="s">
        <v>1646</v>
      </c>
      <c r="AAB1" t="s">
        <v>1647</v>
      </c>
      <c r="AAC1" t="s">
        <v>1648</v>
      </c>
      <c r="AAD1" t="s">
        <v>1649</v>
      </c>
      <c r="AAE1" t="s">
        <v>1650</v>
      </c>
      <c r="AAF1" t="s">
        <v>1651</v>
      </c>
      <c r="AAG1" t="s">
        <v>1652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1653</v>
      </c>
      <c r="AAX1" t="s">
        <v>1654</v>
      </c>
      <c r="AAY1" t="s">
        <v>1655</v>
      </c>
      <c r="AAZ1" t="s">
        <v>1656</v>
      </c>
      <c r="ABA1" t="s">
        <v>1657</v>
      </c>
      <c r="ABB1" s="16" t="s">
        <v>1658</v>
      </c>
      <c r="ABC1" s="19" t="s">
        <v>1577</v>
      </c>
      <c r="ABD1" s="20" t="s">
        <v>1578</v>
      </c>
      <c r="ABE1" s="19" t="s">
        <v>1645</v>
      </c>
      <c r="ABF1" s="19" t="s">
        <v>1646</v>
      </c>
      <c r="ABG1" s="4" t="s">
        <v>35</v>
      </c>
      <c r="ABH1" s="32" t="s">
        <v>98</v>
      </c>
      <c r="ABI1" s="32" t="s">
        <v>99</v>
      </c>
      <c r="ABJ1" s="32" t="s">
        <v>100</v>
      </c>
      <c r="ABK1" s="32" t="s">
        <v>101</v>
      </c>
      <c r="ABL1" s="32" t="s">
        <v>102</v>
      </c>
      <c r="ABM1" s="32" t="s">
        <v>103</v>
      </c>
      <c r="ABN1" s="32" t="s">
        <v>104</v>
      </c>
      <c r="ABO1" s="32" t="s">
        <v>105</v>
      </c>
      <c r="ABP1" s="32" t="s">
        <v>37</v>
      </c>
      <c r="ABQ1" s="32" t="s">
        <v>36</v>
      </c>
      <c r="ABR1" s="32" t="s">
        <v>39</v>
      </c>
      <c r="ABS1" s="32" t="s">
        <v>38</v>
      </c>
      <c r="ABT1" s="32" t="s">
        <v>41</v>
      </c>
      <c r="ABU1" s="32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374</v>
      </c>
      <c r="ACE1" s="5" t="s">
        <v>375</v>
      </c>
      <c r="ACF1" s="5" t="s">
        <v>376</v>
      </c>
      <c r="ACG1" s="5" t="s">
        <v>377</v>
      </c>
      <c r="ACH1" s="5" t="s">
        <v>378</v>
      </c>
      <c r="ACI1" s="5" t="s">
        <v>379</v>
      </c>
      <c r="ACJ1" s="5" t="s">
        <v>380</v>
      </c>
      <c r="ACK1" s="5" t="s">
        <v>1659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824</v>
      </c>
      <c r="ACU1" s="5" t="s">
        <v>825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42" t="s">
        <v>35</v>
      </c>
      <c r="ADF1" s="42" t="s">
        <v>98</v>
      </c>
      <c r="ADG1" s="42" t="s">
        <v>99</v>
      </c>
      <c r="ADH1" s="42" t="s">
        <v>100</v>
      </c>
      <c r="ADI1" s="42" t="s">
        <v>101</v>
      </c>
      <c r="ADJ1" s="42" t="s">
        <v>524</v>
      </c>
      <c r="ADK1" s="42" t="s">
        <v>523</v>
      </c>
      <c r="ADL1" s="42" t="s">
        <v>878</v>
      </c>
      <c r="ADM1" s="42" t="s">
        <v>879</v>
      </c>
      <c r="ADN1" s="42" t="s">
        <v>880</v>
      </c>
      <c r="ADO1" s="42" t="s">
        <v>828</v>
      </c>
      <c r="ADP1" s="42" t="s">
        <v>829</v>
      </c>
      <c r="ADQ1" s="42" t="s">
        <v>830</v>
      </c>
      <c r="ADR1" s="42" t="s">
        <v>1660</v>
      </c>
      <c r="ADS1" s="42" t="s">
        <v>1661</v>
      </c>
      <c r="ADT1" s="42" t="s">
        <v>1662</v>
      </c>
      <c r="ADU1" s="42" t="s">
        <v>881</v>
      </c>
      <c r="ADV1" s="42" t="s">
        <v>882</v>
      </c>
    </row>
    <row r="2" spans="1:802" x14ac:dyDescent="0.25">
      <c r="A2" t="s">
        <v>253</v>
      </c>
      <c r="B2" t="s">
        <v>252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520</v>
      </c>
      <c r="U2" s="11">
        <v>1</v>
      </c>
      <c r="V2" s="11" t="s">
        <v>289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56" t="str" cm="1">
        <f t="array" ref="AI2">IF(COUNTIFS(AH$2:AH2,AH2)=1,"1",VALUE(SUBSTITUTE(INDEX(AI:AI,_xlfn.XMATCH(AH2,AH$1:AH1,0,-1)),"A",""))+INDEX(AJ:AJ,_xlfn.XMATCH(AH2,AH$1:AH1,0,-1))+1)</f>
        <v>1</v>
      </c>
      <c r="AJ2" s="56" cm="1">
        <f t="array" ref="AJ2">SUM(IF(ISNUMBER(FIND("TmDo",$BE$1:$AAL$1)),IF(IFERROR(ISNUMBER(VALUE(SUBSTITUTE($BE2:$AAL2,"B",""))),FALSE),IF(ISNUMBER(VALUE(SUBSTITUTE($BE2:$AAL2,"B",""))),1,0),0)))</f>
        <v>2</v>
      </c>
      <c r="AK2" s="12" t="str">
        <f t="shared" ref="AK2:AK55" si="0">CONCATENATE($AI2,"A")</f>
        <v>1A</v>
      </c>
      <c r="AL2" s="12" t="str">
        <f t="shared" ref="AL2:AL55" si="1">CONCATENATE($AI2,"B")</f>
        <v>1B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2">CONCATENATE("XT",U2)</f>
        <v>XT1</v>
      </c>
      <c r="BF2" s="12" t="str">
        <f t="shared" ref="BF2:BF33" si="3">CONCATENATE("C",REPLACE(AF2,1,1,"")+1)</f>
        <v>C2</v>
      </c>
      <c r="BG2" s="12" t="str">
        <f t="shared" ref="BG2:BG33" si="4">CONCATENATE("B",REPLACE(AG2,1,1,"")+1)</f>
        <v>B2</v>
      </c>
      <c r="BH2" s="12" t="str">
        <f t="shared" ref="BH2:BH33" si="5">CONCATENATE("C",REPLACE(BF2,1,1,"")+1)</f>
        <v>C3</v>
      </c>
      <c r="BI2" s="12" t="str">
        <f t="shared" ref="BI2:BI33" si="6">CONCATENATE("B",REPLACE(BG2,1,1,"")+1)</f>
        <v>B3</v>
      </c>
      <c r="BJ2" s="12" t="str">
        <f t="shared" ref="BJ2:BJ33" si="7">CONCATENATE("C",REPLACE(BH2,1,1,"")+1)</f>
        <v>C4</v>
      </c>
      <c r="BK2" s="12" t="str">
        <f t="shared" ref="BK2:BK33" si="8">CONCATENATE("B",REPLACE(BI2,1,1,"")+1)</f>
        <v>B4</v>
      </c>
      <c r="BL2" s="12" t="str">
        <f t="shared" ref="BL2:BL33" si="9">CONCATENATE("C",REPLACE(BJ2,1,1,"")+1)</f>
        <v>C5</v>
      </c>
      <c r="BM2" s="12" t="str">
        <f t="shared" ref="BM2:BM33" si="10">CONCATENATE("B",REPLACE(BK2,1,1,"")+1)</f>
        <v>B5</v>
      </c>
      <c r="BN2" s="12" t="str">
        <f t="shared" ref="BN2:BN33" si="11">CONCATENATE("C",REPLACE(BL2,1,1,"")+1)</f>
        <v>C6</v>
      </c>
      <c r="BO2" s="12" t="str">
        <f t="shared" ref="BO2:BO33" si="12">CONCATENATE("B",REPLACE(BM2,1,1,"")+1)</f>
        <v>B6</v>
      </c>
      <c r="BP2" s="12" t="str">
        <f t="shared" ref="BP2:BP33" si="13">CONCATENATE(REPLACE(AK2,LEN(AK2),1,"")+1,"A")</f>
        <v>2A</v>
      </c>
      <c r="BQ2" s="12" t="str">
        <f t="shared" ref="BQ2:BQ33" si="14">CONCATENATE(REPLACE(AL2,LEN(AL2),1,"")+1,"B")</f>
        <v>2B</v>
      </c>
      <c r="BR2" s="12" t="str">
        <f t="shared" ref="BR2:BR33" si="15">CONCATENATE(REPLACE(BP2,LEN(BP2),1,"")+1,"A")</f>
        <v>3A</v>
      </c>
      <c r="BS2" s="12" t="str">
        <f t="shared" ref="BS2:BS33" si="16">CONCATENATE(REPLACE(BQ2,LEN(BQ2),1,"")+1,"B")</f>
        <v>3B</v>
      </c>
      <c r="BT2" s="12" t="str">
        <f t="shared" ref="BT2:BT33" si="17">CONCATENATE("DI",REPLACE($AC2,1,3,""),"-",AF2)</f>
        <v>DI1-C1</v>
      </c>
      <c r="BU2" s="12" t="str">
        <f t="shared" ref="BU2:BU33" si="18">CONCATENATE("DI",REPLACE($AC2,1,3,""),"-",AG2)</f>
        <v>DI1-B1</v>
      </c>
      <c r="BV2" s="12" t="str">
        <f t="shared" ref="BV2:CE17" si="19">CONCATENATE("DI",REPLACE($AC2,1,3,""),"-",BF2)</f>
        <v>DI1-C2</v>
      </c>
      <c r="BW2" s="12" t="str">
        <f t="shared" si="19"/>
        <v>DI1-B2</v>
      </c>
      <c r="BX2" s="12" t="str">
        <f t="shared" si="19"/>
        <v>DI1-C3</v>
      </c>
      <c r="BY2" s="12" t="str">
        <f t="shared" si="19"/>
        <v>DI1-B3</v>
      </c>
      <c r="BZ2" s="12" t="str">
        <f t="shared" si="19"/>
        <v>DI1-C4</v>
      </c>
      <c r="CA2" s="12" t="str">
        <f t="shared" si="19"/>
        <v>DI1-B4</v>
      </c>
      <c r="CB2" s="12" t="str">
        <f t="shared" si="19"/>
        <v>DI1-C5</v>
      </c>
      <c r="CC2" s="12" t="str">
        <f t="shared" si="19"/>
        <v>DI1-B5</v>
      </c>
      <c r="CD2" s="12" t="str">
        <f t="shared" si="19"/>
        <v>DI1-C6</v>
      </c>
      <c r="CE2" s="12" t="str">
        <f t="shared" si="19"/>
        <v>DI1-B6</v>
      </c>
      <c r="CF2" s="12" t="str">
        <f t="shared" ref="CF2:CF33" si="20">CONCATENATE("DO",REPLACE($AH2,1,3,""),"-",AK2)</f>
        <v>DO1-1A</v>
      </c>
      <c r="CG2" s="12" t="str">
        <f t="shared" ref="CG2:CG33" si="21">CONCATENATE("DO",REPLACE($AH2,1,3,""),"-",AL2)</f>
        <v>DO1-1B</v>
      </c>
      <c r="CH2" s="12" t="str">
        <f t="shared" ref="CH2:CH33" si="22">CONCATENATE("DO",REPLACE($AH2,1,3,""),"-",BP2)</f>
        <v>DO1-2A</v>
      </c>
      <c r="CI2" s="12" t="str">
        <f t="shared" ref="CI2:CI33" si="23">CONCATENATE("DO",REPLACE($AH2,1,3,""),"-",BQ2)</f>
        <v>DO1-2B</v>
      </c>
      <c r="CJ2" s="12" t="str">
        <f t="shared" ref="CJ2:CJ33" si="24">CONCATENATE("DO",REPLACE($AH2,1,3,""),"-",BR2)</f>
        <v>DO1-3A</v>
      </c>
      <c r="CK2" s="12" t="str">
        <f t="shared" ref="CK2:CK33" si="25">CONCATENATE("DO",REPLACE($AH2,1,3,""),"-",BS2)</f>
        <v>DO1-3B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6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80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520</v>
      </c>
      <c r="U3" s="15">
        <v>2</v>
      </c>
      <c r="V3" s="15" t="s">
        <v>290</v>
      </c>
      <c r="W3" s="15"/>
      <c r="AC3" t="s">
        <v>131</v>
      </c>
      <c r="AF3" t="s">
        <v>148</v>
      </c>
      <c r="AG3" t="s">
        <v>149</v>
      </c>
      <c r="AH3" t="s">
        <v>132</v>
      </c>
      <c r="AI3" s="57" cm="1">
        <f t="array" ref="AI3">IF(COUNTIFS(AH$2:AH3,AH3)=1,"1",VALUE(SUBSTITUTE(INDEX(AI:AI,_xlfn.XMATCH(AH3,AH$1:AH2,0,-1)),"A",""))+INDEX(AJ:AJ,_xlfn.XMATCH(AH3,AH$1:AH2,0,-1))+1)</f>
        <v>4</v>
      </c>
      <c r="AJ3" s="57" cm="1">
        <f t="array" ref="AJ3">SUM(IF(ISNUMBER(FIND("TmDo",$BE$1:$AAL$1)),IF(IFERROR(ISNUMBER(VALUE(SUBSTITUTE($BE3:$AAL3,"B",""))),FALSE),IF(ISNUMBER(VALUE(SUBSTITUTE($BE3:$AAL3,"B",""))),1,0),0)))</f>
        <v>2</v>
      </c>
      <c r="AK3" t="str">
        <f t="shared" si="0"/>
        <v>4A</v>
      </c>
      <c r="AL3" t="str">
        <f t="shared" si="1"/>
        <v>4B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2"/>
        <v>XT2</v>
      </c>
      <c r="BF3" t="str">
        <f t="shared" si="3"/>
        <v>C8</v>
      </c>
      <c r="BG3" t="str">
        <f t="shared" si="4"/>
        <v>B8</v>
      </c>
      <c r="BH3" t="str">
        <f t="shared" si="5"/>
        <v>C9</v>
      </c>
      <c r="BI3" t="str">
        <f t="shared" si="6"/>
        <v>B9</v>
      </c>
      <c r="BJ3" t="str">
        <f t="shared" si="7"/>
        <v>C10</v>
      </c>
      <c r="BK3" t="str">
        <f t="shared" si="8"/>
        <v>B10</v>
      </c>
      <c r="BL3" t="str">
        <f t="shared" si="9"/>
        <v>C11</v>
      </c>
      <c r="BM3" t="str">
        <f t="shared" si="10"/>
        <v>B11</v>
      </c>
      <c r="BN3" t="str">
        <f t="shared" si="11"/>
        <v>C12</v>
      </c>
      <c r="BO3" t="str">
        <f t="shared" si="12"/>
        <v>B12</v>
      </c>
      <c r="BP3" t="str">
        <f t="shared" si="13"/>
        <v>5A</v>
      </c>
      <c r="BQ3" t="str">
        <f t="shared" si="14"/>
        <v>5B</v>
      </c>
      <c r="BR3" t="str">
        <f t="shared" si="15"/>
        <v>6A</v>
      </c>
      <c r="BS3" t="str">
        <f t="shared" si="16"/>
        <v>6B</v>
      </c>
      <c r="BT3" t="str">
        <f t="shared" si="17"/>
        <v>DI1-C7</v>
      </c>
      <c r="BU3" t="str">
        <f t="shared" si="18"/>
        <v>DI1-B7</v>
      </c>
      <c r="BV3" t="str">
        <f t="shared" si="19"/>
        <v>DI1-C8</v>
      </c>
      <c r="BW3" t="str">
        <f t="shared" si="19"/>
        <v>DI1-B8</v>
      </c>
      <c r="BX3" t="str">
        <f t="shared" si="19"/>
        <v>DI1-C9</v>
      </c>
      <c r="BY3" t="str">
        <f t="shared" si="19"/>
        <v>DI1-B9</v>
      </c>
      <c r="BZ3" t="str">
        <f t="shared" si="19"/>
        <v>DI1-C10</v>
      </c>
      <c r="CA3" t="str">
        <f t="shared" si="19"/>
        <v>DI1-B10</v>
      </c>
      <c r="CB3" t="str">
        <f t="shared" si="19"/>
        <v>DI1-C11</v>
      </c>
      <c r="CC3" t="str">
        <f t="shared" si="19"/>
        <v>DI1-B11</v>
      </c>
      <c r="CD3" t="str">
        <f t="shared" si="19"/>
        <v>DI1-C12</v>
      </c>
      <c r="CE3" t="str">
        <f t="shared" si="19"/>
        <v>DI1-B12</v>
      </c>
      <c r="CF3" t="str">
        <f t="shared" si="20"/>
        <v>DO1-4A</v>
      </c>
      <c r="CG3" t="str">
        <f t="shared" si="21"/>
        <v>DO1-4B</v>
      </c>
      <c r="CH3" t="str">
        <f t="shared" si="22"/>
        <v>DO1-5A</v>
      </c>
      <c r="CI3" t="str">
        <f t="shared" si="23"/>
        <v>DO1-5B</v>
      </c>
      <c r="CJ3" t="str">
        <f t="shared" si="24"/>
        <v>DO1-6A</v>
      </c>
      <c r="CK3" t="str">
        <f t="shared" si="25"/>
        <v>DO1-6B</v>
      </c>
      <c r="CL3" t="str">
        <f t="shared" ref="CL3:CL33" si="27">CONCATENATE("K",$U3,"-10")</f>
        <v>K2-10</v>
      </c>
      <c r="CM3" t="str">
        <f t="shared" ref="CM3:CM33" si="28">CONCATENATE("K",$U3,"-03")</f>
        <v>K2-03</v>
      </c>
      <c r="CN3" t="str">
        <f t="shared" ref="CN3:CN33" si="29">CONCATENATE("K",$U3,"-04")</f>
        <v>K2-04</v>
      </c>
      <c r="CO3" t="str">
        <f t="shared" ref="CO3:CO33" si="30">CONCATENATE("K",$U3,"-01")</f>
        <v>K2-01</v>
      </c>
      <c r="CP3" t="str">
        <f t="shared" ref="CP3:CP33" si="31">CONCATENATE("K",$U3,"-08")</f>
        <v>K2-08</v>
      </c>
      <c r="CQ3" t="str">
        <f t="shared" ref="CQ3:CQ33" si="32">CONCATENATE("K",$U3,"-02")</f>
        <v>K2-02</v>
      </c>
      <c r="CR3" t="str">
        <f t="shared" ref="CR3:CR33" si="33">CONCATENATE("K",$U3,"-09")</f>
        <v>K2-09</v>
      </c>
      <c r="CS3" t="str">
        <f t="shared" ref="CS3:CS33" si="34">CONCATENATE("K",$U3,"-05")</f>
        <v>K2-05</v>
      </c>
      <c r="CT3" t="str">
        <f t="shared" ref="CT3:CT33" si="35">CONCATENATE("K",$U3,"-11")</f>
        <v>K2-11</v>
      </c>
      <c r="CU3" t="str">
        <f t="shared" ref="CU3:CU33" si="36">CONCATENATE($T3,"-M",$U3,"-A9")</f>
        <v>F0-M2-A9</v>
      </c>
      <c r="CV3" t="str">
        <f t="shared" ref="CV3:CV33" si="37">CONCATENATE($T3,"-M",$U3,"-A7")</f>
        <v>F0-M2-A7</v>
      </c>
      <c r="CW3" t="str">
        <f t="shared" ref="CW3:CW33" si="38">CONCATENATE($T3,"-M",$U3,"-A8")</f>
        <v>F0-M2-A8</v>
      </c>
      <c r="CX3" t="str">
        <f t="shared" ref="CX3:CX33" si="39">CONCATENATE($T3,"-M",$U3,"-A6")</f>
        <v>F0-M2-A6</v>
      </c>
      <c r="CY3" t="str">
        <f t="shared" ref="CY3:CY33" si="40">CONCATENATE($T3,"-M",$U3,"-A30")</f>
        <v>F0-M2-A30</v>
      </c>
      <c r="CZ3" t="str">
        <f t="shared" ref="CZ3:CZ33" si="41">CONCATENATE($T3,"-M",$U3,"-N")</f>
        <v>F0-M2-N</v>
      </c>
      <c r="DA3" t="str">
        <f t="shared" si="26"/>
        <v>F0-A220-M2</v>
      </c>
      <c r="DB3" t="str">
        <f t="shared" ref="DB3:DB33" si="42">CONCATENATE($T3,"-M",$U3,"-XM01")</f>
        <v>F0-M2-XM01</v>
      </c>
      <c r="DC3" t="str">
        <f t="shared" ref="DC3:DC33" si="43">CONCATENATE($T3,"-M",$U3,"-A1")</f>
        <v>F0-M2-A1</v>
      </c>
      <c r="DD3" t="str">
        <f t="shared" ref="DD3:DD33" si="44">CONCATENATE($T3,"-M",$U3,"-A5")</f>
        <v>F0-M2-A5</v>
      </c>
      <c r="DE3" t="str">
        <f t="shared" ref="DE3:DE33" si="45">CONCATENATE($T3,"-M",$U3,"-A11")</f>
        <v>F0-M2-A11</v>
      </c>
      <c r="DF3" t="str">
        <f t="shared" ref="DF3:DF33" si="46">CONCATENATE($T3,"-M",$U3,"-A12")</f>
        <v>F0-M2-A12</v>
      </c>
      <c r="DG3" t="str">
        <f t="shared" ref="DG3:DG33" si="47">CONCATENATE($T3,"-M",$U3,"-A19")</f>
        <v>F0-M2-A19</v>
      </c>
      <c r="DH3" t="str">
        <f t="shared" ref="DH3:DH33" si="48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80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520</v>
      </c>
      <c r="U4" s="15">
        <v>3</v>
      </c>
      <c r="V4" s="15" t="s">
        <v>291</v>
      </c>
      <c r="W4" s="15"/>
      <c r="AC4" t="s">
        <v>131</v>
      </c>
      <c r="AF4" t="s">
        <v>153</v>
      </c>
      <c r="AG4" t="s">
        <v>154</v>
      </c>
      <c r="AH4" t="s">
        <v>132</v>
      </c>
      <c r="AI4" s="57" cm="1">
        <f t="array" ref="AI4">IF(COUNTIFS(AH$2:AH4,AH4)=1,"1",VALUE(SUBSTITUTE(INDEX(AI:AI,_xlfn.XMATCH(AH4,AH$1:AH3,0,-1)),"A",""))+INDEX(AJ:AJ,_xlfn.XMATCH(AH4,AH$1:AH3,0,-1))+1)</f>
        <v>7</v>
      </c>
      <c r="AJ4" s="57" cm="1">
        <f t="array" ref="AJ4">SUM(IF(ISNUMBER(FIND("TmDo",$BE$1:$AAL$1)),IF(IFERROR(ISNUMBER(VALUE(SUBSTITUTE($BE4:$AAL4,"B",""))),FALSE),IF(ISNUMBER(VALUE(SUBSTITUTE($BE4:$AAL4,"B",""))),1,0),0)))</f>
        <v>2</v>
      </c>
      <c r="AK4" t="str">
        <f t="shared" si="0"/>
        <v>7A</v>
      </c>
      <c r="AL4" t="str">
        <f t="shared" si="1"/>
        <v>7B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2"/>
        <v>XT3</v>
      </c>
      <c r="BF4" t="str">
        <f t="shared" si="3"/>
        <v>C14</v>
      </c>
      <c r="BG4" t="str">
        <f t="shared" si="4"/>
        <v>B14</v>
      </c>
      <c r="BH4" t="str">
        <f t="shared" si="5"/>
        <v>C15</v>
      </c>
      <c r="BI4" t="str">
        <f t="shared" si="6"/>
        <v>B15</v>
      </c>
      <c r="BJ4" t="str">
        <f t="shared" si="7"/>
        <v>C16</v>
      </c>
      <c r="BK4" t="str">
        <f t="shared" si="8"/>
        <v>B16</v>
      </c>
      <c r="BL4" t="str">
        <f t="shared" si="9"/>
        <v>C17</v>
      </c>
      <c r="BM4" t="str">
        <f t="shared" si="10"/>
        <v>B17</v>
      </c>
      <c r="BN4" t="str">
        <f t="shared" si="11"/>
        <v>C18</v>
      </c>
      <c r="BO4" t="str">
        <f t="shared" si="12"/>
        <v>B18</v>
      </c>
      <c r="BP4" t="str">
        <f t="shared" si="13"/>
        <v>8A</v>
      </c>
      <c r="BQ4" t="str">
        <f t="shared" si="14"/>
        <v>8B</v>
      </c>
      <c r="BR4" t="str">
        <f t="shared" si="15"/>
        <v>9A</v>
      </c>
      <c r="BS4" t="str">
        <f t="shared" si="16"/>
        <v>9B</v>
      </c>
      <c r="BT4" t="str">
        <f t="shared" si="17"/>
        <v>DI1-C13</v>
      </c>
      <c r="BU4" t="str">
        <f t="shared" si="18"/>
        <v>DI1-B13</v>
      </c>
      <c r="BV4" t="str">
        <f t="shared" si="19"/>
        <v>DI1-C14</v>
      </c>
      <c r="BW4" t="str">
        <f t="shared" si="19"/>
        <v>DI1-B14</v>
      </c>
      <c r="BX4" t="str">
        <f t="shared" si="19"/>
        <v>DI1-C15</v>
      </c>
      <c r="BY4" t="str">
        <f t="shared" si="19"/>
        <v>DI1-B15</v>
      </c>
      <c r="BZ4" t="str">
        <f t="shared" si="19"/>
        <v>DI1-C16</v>
      </c>
      <c r="CA4" t="str">
        <f t="shared" si="19"/>
        <v>DI1-B16</v>
      </c>
      <c r="CB4" t="str">
        <f t="shared" si="19"/>
        <v>DI1-C17</v>
      </c>
      <c r="CC4" t="str">
        <f t="shared" si="19"/>
        <v>DI1-B17</v>
      </c>
      <c r="CD4" t="str">
        <f t="shared" si="19"/>
        <v>DI1-C18</v>
      </c>
      <c r="CE4" t="str">
        <f t="shared" si="19"/>
        <v>DI1-B18</v>
      </c>
      <c r="CF4" t="str">
        <f t="shared" si="20"/>
        <v>DO1-7A</v>
      </c>
      <c r="CG4" t="str">
        <f t="shared" si="21"/>
        <v>DO1-7B</v>
      </c>
      <c r="CH4" t="str">
        <f t="shared" si="22"/>
        <v>DO1-8A</v>
      </c>
      <c r="CI4" t="str">
        <f t="shared" si="23"/>
        <v>DO1-8B</v>
      </c>
      <c r="CJ4" t="str">
        <f t="shared" si="24"/>
        <v>DO1-9A</v>
      </c>
      <c r="CK4" t="str">
        <f t="shared" si="25"/>
        <v>DO1-9B</v>
      </c>
      <c r="CL4" t="str">
        <f t="shared" si="27"/>
        <v>K3-10</v>
      </c>
      <c r="CM4" t="str">
        <f t="shared" si="28"/>
        <v>K3-03</v>
      </c>
      <c r="CN4" t="str">
        <f t="shared" si="29"/>
        <v>K3-04</v>
      </c>
      <c r="CO4" t="str">
        <f t="shared" si="30"/>
        <v>K3-01</v>
      </c>
      <c r="CP4" t="str">
        <f t="shared" si="31"/>
        <v>K3-08</v>
      </c>
      <c r="CQ4" t="str">
        <f t="shared" si="32"/>
        <v>K3-02</v>
      </c>
      <c r="CR4" t="str">
        <f t="shared" si="33"/>
        <v>K3-09</v>
      </c>
      <c r="CS4" t="str">
        <f t="shared" si="34"/>
        <v>K3-05</v>
      </c>
      <c r="CT4" t="str">
        <f t="shared" si="35"/>
        <v>K3-11</v>
      </c>
      <c r="CU4" t="str">
        <f t="shared" si="36"/>
        <v>F0-M3-A9</v>
      </c>
      <c r="CV4" t="str">
        <f t="shared" si="37"/>
        <v>F0-M3-A7</v>
      </c>
      <c r="CW4" t="str">
        <f t="shared" si="38"/>
        <v>F0-M3-A8</v>
      </c>
      <c r="CX4" t="str">
        <f t="shared" si="39"/>
        <v>F0-M3-A6</v>
      </c>
      <c r="CY4" t="str">
        <f t="shared" si="40"/>
        <v>F0-M3-A30</v>
      </c>
      <c r="CZ4" t="str">
        <f t="shared" si="41"/>
        <v>F0-M3-N</v>
      </c>
      <c r="DA4" t="str">
        <f t="shared" si="26"/>
        <v>F0-A220-M3</v>
      </c>
      <c r="DB4" t="str">
        <f t="shared" si="42"/>
        <v>F0-M3-XM01</v>
      </c>
      <c r="DC4" t="str">
        <f t="shared" si="43"/>
        <v>F0-M3-A1</v>
      </c>
      <c r="DD4" t="str">
        <f t="shared" si="44"/>
        <v>F0-M3-A5</v>
      </c>
      <c r="DE4" t="str">
        <f t="shared" si="45"/>
        <v>F0-M3-A11</v>
      </c>
      <c r="DF4" t="str">
        <f t="shared" si="46"/>
        <v>F0-M3-A12</v>
      </c>
      <c r="DG4" t="str">
        <f t="shared" si="47"/>
        <v>F0-M3-A19</v>
      </c>
      <c r="DH4" t="str">
        <f t="shared" si="48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80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520</v>
      </c>
      <c r="U5" s="15">
        <v>4</v>
      </c>
      <c r="V5" s="15" t="s">
        <v>292</v>
      </c>
      <c r="W5" s="15"/>
      <c r="AC5" t="s">
        <v>131</v>
      </c>
      <c r="AF5" t="s">
        <v>239</v>
      </c>
      <c r="AG5" t="s">
        <v>241</v>
      </c>
      <c r="AH5" t="s">
        <v>132</v>
      </c>
      <c r="AI5" s="57" cm="1">
        <f t="array" ref="AI5">IF(COUNTIFS(AH$2:AH5,AH5)=1,"1",VALUE(SUBSTITUTE(INDEX(AI:AI,_xlfn.XMATCH(AH5,AH$1:AH4,0,-1)),"A",""))+INDEX(AJ:AJ,_xlfn.XMATCH(AH5,AH$1:AH4,0,-1))+1)</f>
        <v>10</v>
      </c>
      <c r="AJ5" s="57" cm="1">
        <f t="array" ref="AJ5">SUM(IF(ISNUMBER(FIND("TmDo",$BE$1:$AAL$1)),IF(IFERROR(ISNUMBER(VALUE(SUBSTITUTE($BE5:$AAL5,"B",""))),FALSE),IF(ISNUMBER(VALUE(SUBSTITUTE($BE5:$AAL5,"B",""))),1,0),0)))</f>
        <v>2</v>
      </c>
      <c r="AK5" t="str">
        <f t="shared" si="0"/>
        <v>10A</v>
      </c>
      <c r="AL5" t="str">
        <f t="shared" si="1"/>
        <v>10B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2"/>
        <v>XT4</v>
      </c>
      <c r="BF5" t="str">
        <f t="shared" si="3"/>
        <v>C20</v>
      </c>
      <c r="BG5" t="str">
        <f t="shared" si="4"/>
        <v>B20</v>
      </c>
      <c r="BH5" t="str">
        <f t="shared" si="5"/>
        <v>C21</v>
      </c>
      <c r="BI5" t="str">
        <f t="shared" si="6"/>
        <v>B21</v>
      </c>
      <c r="BJ5" t="str">
        <f t="shared" si="7"/>
        <v>C22</v>
      </c>
      <c r="BK5" t="str">
        <f t="shared" si="8"/>
        <v>B22</v>
      </c>
      <c r="BL5" t="str">
        <f t="shared" si="9"/>
        <v>C23</v>
      </c>
      <c r="BM5" t="str">
        <f t="shared" si="10"/>
        <v>B23</v>
      </c>
      <c r="BN5" t="str">
        <f t="shared" si="11"/>
        <v>C24</v>
      </c>
      <c r="BO5" t="str">
        <f t="shared" si="12"/>
        <v>B24</v>
      </c>
      <c r="BP5" t="str">
        <f t="shared" si="13"/>
        <v>11A</v>
      </c>
      <c r="BQ5" t="str">
        <f t="shared" si="14"/>
        <v>11B</v>
      </c>
      <c r="BR5" t="str">
        <f t="shared" si="15"/>
        <v>12A</v>
      </c>
      <c r="BS5" t="str">
        <f t="shared" si="16"/>
        <v>12B</v>
      </c>
      <c r="BT5" t="str">
        <f t="shared" si="17"/>
        <v>DI1-C19</v>
      </c>
      <c r="BU5" t="str">
        <f t="shared" si="18"/>
        <v>DI1-B19</v>
      </c>
      <c r="BV5" t="str">
        <f t="shared" si="19"/>
        <v>DI1-C20</v>
      </c>
      <c r="BW5" t="str">
        <f t="shared" si="19"/>
        <v>DI1-B20</v>
      </c>
      <c r="BX5" t="str">
        <f t="shared" si="19"/>
        <v>DI1-C21</v>
      </c>
      <c r="BY5" t="str">
        <f t="shared" si="19"/>
        <v>DI1-B21</v>
      </c>
      <c r="BZ5" t="str">
        <f t="shared" si="19"/>
        <v>DI1-C22</v>
      </c>
      <c r="CA5" t="str">
        <f t="shared" si="19"/>
        <v>DI1-B22</v>
      </c>
      <c r="CB5" t="str">
        <f t="shared" si="19"/>
        <v>DI1-C23</v>
      </c>
      <c r="CC5" t="str">
        <f t="shared" si="19"/>
        <v>DI1-B23</v>
      </c>
      <c r="CD5" t="str">
        <f t="shared" si="19"/>
        <v>DI1-C24</v>
      </c>
      <c r="CE5" t="str">
        <f t="shared" si="19"/>
        <v>DI1-B24</v>
      </c>
      <c r="CF5" t="str">
        <f t="shared" si="20"/>
        <v>DO1-10A</v>
      </c>
      <c r="CG5" t="str">
        <f t="shared" si="21"/>
        <v>DO1-10B</v>
      </c>
      <c r="CH5" t="str">
        <f t="shared" si="22"/>
        <v>DO1-11A</v>
      </c>
      <c r="CI5" t="str">
        <f t="shared" si="23"/>
        <v>DO1-11B</v>
      </c>
      <c r="CJ5" t="str">
        <f t="shared" si="24"/>
        <v>DO1-12A</v>
      </c>
      <c r="CK5" t="str">
        <f t="shared" si="25"/>
        <v>DO1-12B</v>
      </c>
      <c r="CL5" t="str">
        <f t="shared" si="27"/>
        <v>K4-10</v>
      </c>
      <c r="CM5" t="str">
        <f t="shared" si="28"/>
        <v>K4-03</v>
      </c>
      <c r="CN5" t="str">
        <f t="shared" si="29"/>
        <v>K4-04</v>
      </c>
      <c r="CO5" t="str">
        <f t="shared" si="30"/>
        <v>K4-01</v>
      </c>
      <c r="CP5" t="str">
        <f t="shared" si="31"/>
        <v>K4-08</v>
      </c>
      <c r="CQ5" t="str">
        <f t="shared" si="32"/>
        <v>K4-02</v>
      </c>
      <c r="CR5" t="str">
        <f t="shared" si="33"/>
        <v>K4-09</v>
      </c>
      <c r="CS5" t="str">
        <f t="shared" si="34"/>
        <v>K4-05</v>
      </c>
      <c r="CT5" t="str">
        <f t="shared" si="35"/>
        <v>K4-11</v>
      </c>
      <c r="CU5" t="str">
        <f t="shared" si="36"/>
        <v>F0-M4-A9</v>
      </c>
      <c r="CV5" t="str">
        <f t="shared" si="37"/>
        <v>F0-M4-A7</v>
      </c>
      <c r="CW5" t="str">
        <f t="shared" si="38"/>
        <v>F0-M4-A8</v>
      </c>
      <c r="CX5" t="str">
        <f t="shared" si="39"/>
        <v>F0-M4-A6</v>
      </c>
      <c r="CY5" t="str">
        <f t="shared" si="40"/>
        <v>F0-M4-A30</v>
      </c>
      <c r="CZ5" t="str">
        <f t="shared" si="41"/>
        <v>F0-M4-N</v>
      </c>
      <c r="DA5" t="str">
        <f t="shared" si="26"/>
        <v>F0-A220-M4</v>
      </c>
      <c r="DB5" t="str">
        <f t="shared" si="42"/>
        <v>F0-M4-XM01</v>
      </c>
      <c r="DC5" t="str">
        <f t="shared" si="43"/>
        <v>F0-M4-A1</v>
      </c>
      <c r="DD5" t="str">
        <f t="shared" si="44"/>
        <v>F0-M4-A5</v>
      </c>
      <c r="DE5" t="str">
        <f t="shared" si="45"/>
        <v>F0-M4-A11</v>
      </c>
      <c r="DF5" t="str">
        <f t="shared" si="46"/>
        <v>F0-M4-A12</v>
      </c>
      <c r="DG5" t="str">
        <f t="shared" si="47"/>
        <v>F0-M4-A19</v>
      </c>
      <c r="DH5" t="str">
        <f t="shared" si="48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80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520</v>
      </c>
      <c r="U6" s="15">
        <v>5</v>
      </c>
      <c r="V6" s="15" t="s">
        <v>293</v>
      </c>
      <c r="W6" s="15"/>
      <c r="AC6" t="s">
        <v>131</v>
      </c>
      <c r="AF6" t="s">
        <v>240</v>
      </c>
      <c r="AG6" t="s">
        <v>242</v>
      </c>
      <c r="AH6" t="s">
        <v>132</v>
      </c>
      <c r="AI6" s="57" cm="1">
        <f t="array" ref="AI6">IF(COUNTIFS(AH$2:AH6,AH6)=1,"1",VALUE(SUBSTITUTE(INDEX(AI:AI,_xlfn.XMATCH(AH6,AH$1:AH5,0,-1)),"A",""))+INDEX(AJ:AJ,_xlfn.XMATCH(AH6,AH$1:AH5,0,-1))+1)</f>
        <v>13</v>
      </c>
      <c r="AJ6" s="57" cm="1">
        <f t="array" ref="AJ6">SUM(IF(ISNUMBER(FIND("TmDo",$BE$1:$AAL$1)),IF(IFERROR(ISNUMBER(VALUE(SUBSTITUTE($BE6:$AAL6,"B",""))),FALSE),IF(ISNUMBER(VALUE(SUBSTITUTE($BE6:$AAL6,"B",""))),1,0),0)))</f>
        <v>2</v>
      </c>
      <c r="AK6" t="str">
        <f t="shared" si="0"/>
        <v>13A</v>
      </c>
      <c r="AL6" t="str">
        <f t="shared" si="1"/>
        <v>13B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2"/>
        <v>XT5</v>
      </c>
      <c r="BF6" t="str">
        <f t="shared" si="3"/>
        <v>C26</v>
      </c>
      <c r="BG6" t="str">
        <f t="shared" si="4"/>
        <v>B26</v>
      </c>
      <c r="BH6" t="str">
        <f t="shared" si="5"/>
        <v>C27</v>
      </c>
      <c r="BI6" t="str">
        <f t="shared" si="6"/>
        <v>B27</v>
      </c>
      <c r="BJ6" t="str">
        <f t="shared" si="7"/>
        <v>C28</v>
      </c>
      <c r="BK6" t="str">
        <f t="shared" si="8"/>
        <v>B28</v>
      </c>
      <c r="BL6" t="str">
        <f t="shared" si="9"/>
        <v>C29</v>
      </c>
      <c r="BM6" t="str">
        <f t="shared" si="10"/>
        <v>B29</v>
      </c>
      <c r="BN6" t="str">
        <f t="shared" si="11"/>
        <v>C30</v>
      </c>
      <c r="BO6" t="str">
        <f t="shared" si="12"/>
        <v>B30</v>
      </c>
      <c r="BP6" t="str">
        <f t="shared" si="13"/>
        <v>14A</v>
      </c>
      <c r="BQ6" t="str">
        <f t="shared" si="14"/>
        <v>14B</v>
      </c>
      <c r="BR6" t="str">
        <f t="shared" si="15"/>
        <v>15A</v>
      </c>
      <c r="BS6" t="str">
        <f t="shared" si="16"/>
        <v>15B</v>
      </c>
      <c r="BT6" t="str">
        <f t="shared" si="17"/>
        <v>DI1-C25</v>
      </c>
      <c r="BU6" t="str">
        <f t="shared" si="18"/>
        <v>DI1-B25</v>
      </c>
      <c r="BV6" t="str">
        <f t="shared" si="19"/>
        <v>DI1-C26</v>
      </c>
      <c r="BW6" t="str">
        <f t="shared" si="19"/>
        <v>DI1-B26</v>
      </c>
      <c r="BX6" t="str">
        <f t="shared" si="19"/>
        <v>DI1-C27</v>
      </c>
      <c r="BY6" t="str">
        <f t="shared" si="19"/>
        <v>DI1-B27</v>
      </c>
      <c r="BZ6" t="str">
        <f t="shared" si="19"/>
        <v>DI1-C28</v>
      </c>
      <c r="CA6" t="str">
        <f t="shared" si="19"/>
        <v>DI1-B28</v>
      </c>
      <c r="CB6" t="str">
        <f t="shared" si="19"/>
        <v>DI1-C29</v>
      </c>
      <c r="CC6" t="str">
        <f t="shared" si="19"/>
        <v>DI1-B29</v>
      </c>
      <c r="CD6" t="str">
        <f t="shared" si="19"/>
        <v>DI1-C30</v>
      </c>
      <c r="CE6" t="str">
        <f t="shared" si="19"/>
        <v>DI1-B30</v>
      </c>
      <c r="CF6" t="str">
        <f t="shared" si="20"/>
        <v>DO1-13A</v>
      </c>
      <c r="CG6" t="str">
        <f t="shared" si="21"/>
        <v>DO1-13B</v>
      </c>
      <c r="CH6" t="str">
        <f t="shared" si="22"/>
        <v>DO1-14A</v>
      </c>
      <c r="CI6" t="str">
        <f t="shared" si="23"/>
        <v>DO1-14B</v>
      </c>
      <c r="CJ6" t="str">
        <f t="shared" si="24"/>
        <v>DO1-15A</v>
      </c>
      <c r="CK6" t="str">
        <f t="shared" si="25"/>
        <v>DO1-15B</v>
      </c>
      <c r="CL6" t="str">
        <f t="shared" si="27"/>
        <v>K5-10</v>
      </c>
      <c r="CM6" t="str">
        <f t="shared" si="28"/>
        <v>K5-03</v>
      </c>
      <c r="CN6" t="str">
        <f t="shared" si="29"/>
        <v>K5-04</v>
      </c>
      <c r="CO6" t="str">
        <f t="shared" si="30"/>
        <v>K5-01</v>
      </c>
      <c r="CP6" t="str">
        <f t="shared" si="31"/>
        <v>K5-08</v>
      </c>
      <c r="CQ6" t="str">
        <f t="shared" si="32"/>
        <v>K5-02</v>
      </c>
      <c r="CR6" t="str">
        <f t="shared" si="33"/>
        <v>K5-09</v>
      </c>
      <c r="CS6" t="str">
        <f t="shared" si="34"/>
        <v>K5-05</v>
      </c>
      <c r="CT6" t="str">
        <f t="shared" si="35"/>
        <v>K5-11</v>
      </c>
      <c r="CU6" t="str">
        <f t="shared" si="36"/>
        <v>F0-M5-A9</v>
      </c>
      <c r="CV6" t="str">
        <f t="shared" si="37"/>
        <v>F0-M5-A7</v>
      </c>
      <c r="CW6" t="str">
        <f t="shared" si="38"/>
        <v>F0-M5-A8</v>
      </c>
      <c r="CX6" t="str">
        <f t="shared" si="39"/>
        <v>F0-M5-A6</v>
      </c>
      <c r="CY6" t="str">
        <f t="shared" si="40"/>
        <v>F0-M5-A30</v>
      </c>
      <c r="CZ6" t="str">
        <f t="shared" si="41"/>
        <v>F0-M5-N</v>
      </c>
      <c r="DA6" t="str">
        <f t="shared" si="26"/>
        <v>F0-A220-M5</v>
      </c>
      <c r="DB6" t="str">
        <f t="shared" si="42"/>
        <v>F0-M5-XM01</v>
      </c>
      <c r="DC6" t="str">
        <f t="shared" si="43"/>
        <v>F0-M5-A1</v>
      </c>
      <c r="DD6" t="str">
        <f t="shared" si="44"/>
        <v>F0-M5-A5</v>
      </c>
      <c r="DE6" t="str">
        <f t="shared" si="45"/>
        <v>F0-M5-A11</v>
      </c>
      <c r="DF6" t="str">
        <f t="shared" si="46"/>
        <v>F0-M5-A12</v>
      </c>
      <c r="DG6" t="str">
        <f t="shared" si="47"/>
        <v>F0-M5-A19</v>
      </c>
      <c r="DH6" t="str">
        <f t="shared" si="48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80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520</v>
      </c>
      <c r="U7" s="15">
        <v>6</v>
      </c>
      <c r="V7" s="15" t="s">
        <v>294</v>
      </c>
      <c r="W7" s="15"/>
      <c r="AC7" t="s">
        <v>243</v>
      </c>
      <c r="AF7" t="s">
        <v>133</v>
      </c>
      <c r="AG7" t="s">
        <v>134</v>
      </c>
      <c r="AH7" t="s">
        <v>132</v>
      </c>
      <c r="AI7" s="57" cm="1">
        <f t="array" ref="AI7">IF(COUNTIFS(AH$2:AH7,AH7)=1,"1",VALUE(SUBSTITUTE(INDEX(AI:AI,_xlfn.XMATCH(AH7,AH$1:AH6,0,-1)),"A",""))+INDEX(AJ:AJ,_xlfn.XMATCH(AH7,AH$1:AH6,0,-1))+1)</f>
        <v>16</v>
      </c>
      <c r="AJ7" s="57" cm="1">
        <f t="array" ref="AJ7">SUM(IF(ISNUMBER(FIND("TmDo",$BE$1:$AAL$1)),IF(IFERROR(ISNUMBER(VALUE(SUBSTITUTE($BE7:$AAL7,"B",""))),FALSE),IF(ISNUMBER(VALUE(SUBSTITUTE($BE7:$AAL7,"B",""))),1,0),0)))</f>
        <v>2</v>
      </c>
      <c r="AK7" t="str">
        <f t="shared" si="0"/>
        <v>16A</v>
      </c>
      <c r="AL7" t="str">
        <f t="shared" si="1"/>
        <v>16B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2"/>
        <v>XT6</v>
      </c>
      <c r="BF7" t="str">
        <f t="shared" si="3"/>
        <v>C2</v>
      </c>
      <c r="BG7" t="str">
        <f t="shared" si="4"/>
        <v>B2</v>
      </c>
      <c r="BH7" t="str">
        <f t="shared" si="5"/>
        <v>C3</v>
      </c>
      <c r="BI7" t="str">
        <f t="shared" si="6"/>
        <v>B3</v>
      </c>
      <c r="BJ7" t="str">
        <f t="shared" si="7"/>
        <v>C4</v>
      </c>
      <c r="BK7" t="str">
        <f t="shared" si="8"/>
        <v>B4</v>
      </c>
      <c r="BL7" t="str">
        <f t="shared" si="9"/>
        <v>C5</v>
      </c>
      <c r="BM7" t="str">
        <f t="shared" si="10"/>
        <v>B5</v>
      </c>
      <c r="BN7" t="str">
        <f t="shared" si="11"/>
        <v>C6</v>
      </c>
      <c r="BO7" t="str">
        <f t="shared" si="12"/>
        <v>B6</v>
      </c>
      <c r="BP7" t="str">
        <f t="shared" si="13"/>
        <v>17A</v>
      </c>
      <c r="BQ7" t="str">
        <f t="shared" si="14"/>
        <v>17B</v>
      </c>
      <c r="BR7" t="str">
        <f t="shared" si="15"/>
        <v>18A</v>
      </c>
      <c r="BS7" t="str">
        <f t="shared" si="16"/>
        <v>18B</v>
      </c>
      <c r="BT7" t="str">
        <f t="shared" si="17"/>
        <v>DI2-C1</v>
      </c>
      <c r="BU7" t="str">
        <f t="shared" si="18"/>
        <v>DI2-B1</v>
      </c>
      <c r="BV7" t="str">
        <f t="shared" si="19"/>
        <v>DI2-C2</v>
      </c>
      <c r="BW7" t="str">
        <f t="shared" si="19"/>
        <v>DI2-B2</v>
      </c>
      <c r="BX7" t="str">
        <f t="shared" si="19"/>
        <v>DI2-C3</v>
      </c>
      <c r="BY7" t="str">
        <f t="shared" si="19"/>
        <v>DI2-B3</v>
      </c>
      <c r="BZ7" t="str">
        <f t="shared" si="19"/>
        <v>DI2-C4</v>
      </c>
      <c r="CA7" t="str">
        <f t="shared" si="19"/>
        <v>DI2-B4</v>
      </c>
      <c r="CB7" t="str">
        <f t="shared" si="19"/>
        <v>DI2-C5</v>
      </c>
      <c r="CC7" t="str">
        <f t="shared" si="19"/>
        <v>DI2-B5</v>
      </c>
      <c r="CD7" t="str">
        <f t="shared" si="19"/>
        <v>DI2-C6</v>
      </c>
      <c r="CE7" t="str">
        <f t="shared" si="19"/>
        <v>DI2-B6</v>
      </c>
      <c r="CF7" t="str">
        <f t="shared" si="20"/>
        <v>DO1-16A</v>
      </c>
      <c r="CG7" t="str">
        <f t="shared" si="21"/>
        <v>DO1-16B</v>
      </c>
      <c r="CH7" t="str">
        <f t="shared" si="22"/>
        <v>DO1-17A</v>
      </c>
      <c r="CI7" t="str">
        <f t="shared" si="23"/>
        <v>DO1-17B</v>
      </c>
      <c r="CJ7" t="str">
        <f t="shared" si="24"/>
        <v>DO1-18A</v>
      </c>
      <c r="CK7" t="str">
        <f t="shared" si="25"/>
        <v>DO1-18B</v>
      </c>
      <c r="CL7" t="str">
        <f t="shared" si="27"/>
        <v>K6-10</v>
      </c>
      <c r="CM7" t="str">
        <f t="shared" si="28"/>
        <v>K6-03</v>
      </c>
      <c r="CN7" t="str">
        <f t="shared" si="29"/>
        <v>K6-04</v>
      </c>
      <c r="CO7" t="str">
        <f t="shared" si="30"/>
        <v>K6-01</v>
      </c>
      <c r="CP7" t="str">
        <f t="shared" si="31"/>
        <v>K6-08</v>
      </c>
      <c r="CQ7" t="str">
        <f t="shared" si="32"/>
        <v>K6-02</v>
      </c>
      <c r="CR7" t="str">
        <f t="shared" si="33"/>
        <v>K6-09</v>
      </c>
      <c r="CS7" t="str">
        <f t="shared" si="34"/>
        <v>K6-05</v>
      </c>
      <c r="CT7" t="str">
        <f t="shared" si="35"/>
        <v>K6-11</v>
      </c>
      <c r="CU7" t="str">
        <f t="shared" si="36"/>
        <v>F0-M6-A9</v>
      </c>
      <c r="CV7" t="str">
        <f t="shared" si="37"/>
        <v>F0-M6-A7</v>
      </c>
      <c r="CW7" t="str">
        <f t="shared" si="38"/>
        <v>F0-M6-A8</v>
      </c>
      <c r="CX7" t="str">
        <f t="shared" si="39"/>
        <v>F0-M6-A6</v>
      </c>
      <c r="CY7" t="str">
        <f t="shared" si="40"/>
        <v>F0-M6-A30</v>
      </c>
      <c r="CZ7" t="str">
        <f t="shared" si="41"/>
        <v>F0-M6-N</v>
      </c>
      <c r="DA7" t="str">
        <f t="shared" si="26"/>
        <v>F0-A220-M6</v>
      </c>
      <c r="DB7" t="str">
        <f t="shared" si="42"/>
        <v>F0-M6-XM01</v>
      </c>
      <c r="DC7" t="str">
        <f t="shared" si="43"/>
        <v>F0-M6-A1</v>
      </c>
      <c r="DD7" t="str">
        <f t="shared" si="44"/>
        <v>F0-M6-A5</v>
      </c>
      <c r="DE7" t="str">
        <f t="shared" si="45"/>
        <v>F0-M6-A11</v>
      </c>
      <c r="DF7" t="str">
        <f t="shared" si="46"/>
        <v>F0-M6-A12</v>
      </c>
      <c r="DG7" t="str">
        <f t="shared" si="47"/>
        <v>F0-M6-A19</v>
      </c>
      <c r="DH7" t="str">
        <f t="shared" si="48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80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520</v>
      </c>
      <c r="U8" s="15">
        <v>7</v>
      </c>
      <c r="V8" s="15" t="s">
        <v>295</v>
      </c>
      <c r="W8" s="15"/>
      <c r="AC8" t="s">
        <v>243</v>
      </c>
      <c r="AF8" t="s">
        <v>148</v>
      </c>
      <c r="AG8" t="s">
        <v>149</v>
      </c>
      <c r="AH8" t="s">
        <v>132</v>
      </c>
      <c r="AI8" s="57" cm="1">
        <f t="array" ref="AI8">IF(COUNTIFS(AH$2:AH8,AH8)=1,"1",VALUE(SUBSTITUTE(INDEX(AI:AI,_xlfn.XMATCH(AH8,AH$1:AH7,0,-1)),"A",""))+INDEX(AJ:AJ,_xlfn.XMATCH(AH8,AH$1:AH7,0,-1))+1)</f>
        <v>19</v>
      </c>
      <c r="AJ8" s="57" cm="1">
        <f t="array" ref="AJ8">SUM(IF(ISNUMBER(FIND("TmDo",$BE$1:$AAL$1)),IF(IFERROR(ISNUMBER(VALUE(SUBSTITUTE($BE8:$AAL8,"B",""))),FALSE),IF(ISNUMBER(VALUE(SUBSTITUTE($BE8:$AAL8,"B",""))),1,0),0)))</f>
        <v>2</v>
      </c>
      <c r="AK8" t="str">
        <f t="shared" si="0"/>
        <v>19A</v>
      </c>
      <c r="AL8" t="str">
        <f t="shared" si="1"/>
        <v>19B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2"/>
        <v>XT7</v>
      </c>
      <c r="BF8" t="str">
        <f t="shared" si="3"/>
        <v>C8</v>
      </c>
      <c r="BG8" t="str">
        <f t="shared" si="4"/>
        <v>B8</v>
      </c>
      <c r="BH8" t="str">
        <f t="shared" si="5"/>
        <v>C9</v>
      </c>
      <c r="BI8" t="str">
        <f t="shared" si="6"/>
        <v>B9</v>
      </c>
      <c r="BJ8" t="str">
        <f t="shared" si="7"/>
        <v>C10</v>
      </c>
      <c r="BK8" t="str">
        <f t="shared" si="8"/>
        <v>B10</v>
      </c>
      <c r="BL8" t="str">
        <f t="shared" si="9"/>
        <v>C11</v>
      </c>
      <c r="BM8" t="str">
        <f t="shared" si="10"/>
        <v>B11</v>
      </c>
      <c r="BN8" t="str">
        <f t="shared" si="11"/>
        <v>C12</v>
      </c>
      <c r="BO8" t="str">
        <f t="shared" si="12"/>
        <v>B12</v>
      </c>
      <c r="BP8" t="str">
        <f t="shared" si="13"/>
        <v>20A</v>
      </c>
      <c r="BQ8" t="str">
        <f t="shared" si="14"/>
        <v>20B</v>
      </c>
      <c r="BR8" t="str">
        <f t="shared" si="15"/>
        <v>21A</v>
      </c>
      <c r="BS8" t="str">
        <f t="shared" si="16"/>
        <v>21B</v>
      </c>
      <c r="BT8" t="str">
        <f t="shared" si="17"/>
        <v>DI2-C7</v>
      </c>
      <c r="BU8" t="str">
        <f t="shared" si="18"/>
        <v>DI2-B7</v>
      </c>
      <c r="BV8" t="str">
        <f t="shared" si="19"/>
        <v>DI2-C8</v>
      </c>
      <c r="BW8" t="str">
        <f t="shared" si="19"/>
        <v>DI2-B8</v>
      </c>
      <c r="BX8" t="str">
        <f t="shared" si="19"/>
        <v>DI2-C9</v>
      </c>
      <c r="BY8" t="str">
        <f t="shared" si="19"/>
        <v>DI2-B9</v>
      </c>
      <c r="BZ8" t="str">
        <f t="shared" si="19"/>
        <v>DI2-C10</v>
      </c>
      <c r="CA8" t="str">
        <f t="shared" si="19"/>
        <v>DI2-B10</v>
      </c>
      <c r="CB8" t="str">
        <f t="shared" si="19"/>
        <v>DI2-C11</v>
      </c>
      <c r="CC8" t="str">
        <f t="shared" si="19"/>
        <v>DI2-B11</v>
      </c>
      <c r="CD8" t="str">
        <f t="shared" si="19"/>
        <v>DI2-C12</v>
      </c>
      <c r="CE8" t="str">
        <f t="shared" si="19"/>
        <v>DI2-B12</v>
      </c>
      <c r="CF8" t="str">
        <f t="shared" si="20"/>
        <v>DO1-19A</v>
      </c>
      <c r="CG8" t="str">
        <f t="shared" si="21"/>
        <v>DO1-19B</v>
      </c>
      <c r="CH8" t="str">
        <f t="shared" si="22"/>
        <v>DO1-20A</v>
      </c>
      <c r="CI8" t="str">
        <f t="shared" si="23"/>
        <v>DO1-20B</v>
      </c>
      <c r="CJ8" t="str">
        <f t="shared" si="24"/>
        <v>DO1-21A</v>
      </c>
      <c r="CK8" t="str">
        <f t="shared" si="25"/>
        <v>DO1-21B</v>
      </c>
      <c r="CL8" t="str">
        <f t="shared" si="27"/>
        <v>K7-10</v>
      </c>
      <c r="CM8" t="str">
        <f t="shared" si="28"/>
        <v>K7-03</v>
      </c>
      <c r="CN8" t="str">
        <f t="shared" si="29"/>
        <v>K7-04</v>
      </c>
      <c r="CO8" t="str">
        <f t="shared" si="30"/>
        <v>K7-01</v>
      </c>
      <c r="CP8" t="str">
        <f t="shared" si="31"/>
        <v>K7-08</v>
      </c>
      <c r="CQ8" t="str">
        <f t="shared" si="32"/>
        <v>K7-02</v>
      </c>
      <c r="CR8" t="str">
        <f t="shared" si="33"/>
        <v>K7-09</v>
      </c>
      <c r="CS8" t="str">
        <f t="shared" si="34"/>
        <v>K7-05</v>
      </c>
      <c r="CT8" t="str">
        <f t="shared" si="35"/>
        <v>K7-11</v>
      </c>
      <c r="CU8" t="str">
        <f t="shared" si="36"/>
        <v>F0-M7-A9</v>
      </c>
      <c r="CV8" t="str">
        <f t="shared" si="37"/>
        <v>F0-M7-A7</v>
      </c>
      <c r="CW8" t="str">
        <f t="shared" si="38"/>
        <v>F0-M7-A8</v>
      </c>
      <c r="CX8" t="str">
        <f t="shared" si="39"/>
        <v>F0-M7-A6</v>
      </c>
      <c r="CY8" t="str">
        <f t="shared" si="40"/>
        <v>F0-M7-A30</v>
      </c>
      <c r="CZ8" t="str">
        <f t="shared" si="41"/>
        <v>F0-M7-N</v>
      </c>
      <c r="DA8" t="str">
        <f t="shared" si="26"/>
        <v>F0-A220-M7</v>
      </c>
      <c r="DB8" t="str">
        <f t="shared" si="42"/>
        <v>F0-M7-XM01</v>
      </c>
      <c r="DC8" t="str">
        <f t="shared" si="43"/>
        <v>F0-M7-A1</v>
      </c>
      <c r="DD8" t="str">
        <f t="shared" si="44"/>
        <v>F0-M7-A5</v>
      </c>
      <c r="DE8" t="str">
        <f t="shared" si="45"/>
        <v>F0-M7-A11</v>
      </c>
      <c r="DF8" t="str">
        <f t="shared" si="46"/>
        <v>F0-M7-A12</v>
      </c>
      <c r="DG8" t="str">
        <f t="shared" si="47"/>
        <v>F0-M7-A19</v>
      </c>
      <c r="DH8" t="str">
        <f t="shared" si="48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80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520</v>
      </c>
      <c r="U9" s="15">
        <v>8</v>
      </c>
      <c r="V9" s="15" t="s">
        <v>296</v>
      </c>
      <c r="W9" s="15"/>
      <c r="AC9" t="s">
        <v>243</v>
      </c>
      <c r="AF9" t="s">
        <v>153</v>
      </c>
      <c r="AG9" t="s">
        <v>154</v>
      </c>
      <c r="AH9" t="s">
        <v>132</v>
      </c>
      <c r="AI9" s="57" cm="1">
        <f t="array" ref="AI9">IF(COUNTIFS(AH$2:AH9,AH9)=1,"1",VALUE(SUBSTITUTE(INDEX(AI:AI,_xlfn.XMATCH(AH9,AH$1:AH8,0,-1)),"A",""))+INDEX(AJ:AJ,_xlfn.XMATCH(AH9,AH$1:AH8,0,-1))+1)</f>
        <v>22</v>
      </c>
      <c r="AJ9" s="57" cm="1">
        <f t="array" ref="AJ9">SUM(IF(ISNUMBER(FIND("TmDo",$BE$1:$AAL$1)),IF(IFERROR(ISNUMBER(VALUE(SUBSTITUTE($BE9:$AAL9,"B",""))),FALSE),IF(ISNUMBER(VALUE(SUBSTITUTE($BE9:$AAL9,"B",""))),1,0),0)))</f>
        <v>2</v>
      </c>
      <c r="AK9" t="str">
        <f t="shared" si="0"/>
        <v>22A</v>
      </c>
      <c r="AL9" t="str">
        <f t="shared" si="1"/>
        <v>22B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2"/>
        <v>XT8</v>
      </c>
      <c r="BF9" t="str">
        <f t="shared" si="3"/>
        <v>C14</v>
      </c>
      <c r="BG9" t="str">
        <f t="shared" si="4"/>
        <v>B14</v>
      </c>
      <c r="BH9" t="str">
        <f t="shared" si="5"/>
        <v>C15</v>
      </c>
      <c r="BI9" t="str">
        <f t="shared" si="6"/>
        <v>B15</v>
      </c>
      <c r="BJ9" t="str">
        <f t="shared" si="7"/>
        <v>C16</v>
      </c>
      <c r="BK9" t="str">
        <f t="shared" si="8"/>
        <v>B16</v>
      </c>
      <c r="BL9" t="str">
        <f t="shared" si="9"/>
        <v>C17</v>
      </c>
      <c r="BM9" t="str">
        <f t="shared" si="10"/>
        <v>B17</v>
      </c>
      <c r="BN9" t="str">
        <f t="shared" si="11"/>
        <v>C18</v>
      </c>
      <c r="BO9" t="str">
        <f t="shared" si="12"/>
        <v>B18</v>
      </c>
      <c r="BP9" t="str">
        <f t="shared" si="13"/>
        <v>23A</v>
      </c>
      <c r="BQ9" t="str">
        <f t="shared" si="14"/>
        <v>23B</v>
      </c>
      <c r="BR9" t="str">
        <f t="shared" si="15"/>
        <v>24A</v>
      </c>
      <c r="BS9" t="str">
        <f t="shared" si="16"/>
        <v>24B</v>
      </c>
      <c r="BT9" t="str">
        <f t="shared" si="17"/>
        <v>DI2-C13</v>
      </c>
      <c r="BU9" t="str">
        <f t="shared" si="18"/>
        <v>DI2-B13</v>
      </c>
      <c r="BV9" t="str">
        <f t="shared" si="19"/>
        <v>DI2-C14</v>
      </c>
      <c r="BW9" t="str">
        <f t="shared" si="19"/>
        <v>DI2-B14</v>
      </c>
      <c r="BX9" t="str">
        <f t="shared" si="19"/>
        <v>DI2-C15</v>
      </c>
      <c r="BY9" t="str">
        <f t="shared" si="19"/>
        <v>DI2-B15</v>
      </c>
      <c r="BZ9" t="str">
        <f t="shared" si="19"/>
        <v>DI2-C16</v>
      </c>
      <c r="CA9" t="str">
        <f t="shared" si="19"/>
        <v>DI2-B16</v>
      </c>
      <c r="CB9" t="str">
        <f t="shared" si="19"/>
        <v>DI2-C17</v>
      </c>
      <c r="CC9" t="str">
        <f t="shared" si="19"/>
        <v>DI2-B17</v>
      </c>
      <c r="CD9" t="str">
        <f t="shared" si="19"/>
        <v>DI2-C18</v>
      </c>
      <c r="CE9" t="str">
        <f t="shared" si="19"/>
        <v>DI2-B18</v>
      </c>
      <c r="CF9" t="str">
        <f t="shared" si="20"/>
        <v>DO1-22A</v>
      </c>
      <c r="CG9" t="str">
        <f t="shared" si="21"/>
        <v>DO1-22B</v>
      </c>
      <c r="CH9" t="str">
        <f t="shared" si="22"/>
        <v>DO1-23A</v>
      </c>
      <c r="CI9" t="str">
        <f t="shared" si="23"/>
        <v>DO1-23B</v>
      </c>
      <c r="CJ9" t="str">
        <f t="shared" si="24"/>
        <v>DO1-24A</v>
      </c>
      <c r="CK9" t="str">
        <f t="shared" si="25"/>
        <v>DO1-24B</v>
      </c>
      <c r="CL9" t="str">
        <f t="shared" si="27"/>
        <v>K8-10</v>
      </c>
      <c r="CM9" t="str">
        <f t="shared" si="28"/>
        <v>K8-03</v>
      </c>
      <c r="CN9" t="str">
        <f t="shared" si="29"/>
        <v>K8-04</v>
      </c>
      <c r="CO9" t="str">
        <f t="shared" si="30"/>
        <v>K8-01</v>
      </c>
      <c r="CP9" t="str">
        <f t="shared" si="31"/>
        <v>K8-08</v>
      </c>
      <c r="CQ9" t="str">
        <f t="shared" si="32"/>
        <v>K8-02</v>
      </c>
      <c r="CR9" t="str">
        <f t="shared" si="33"/>
        <v>K8-09</v>
      </c>
      <c r="CS9" t="str">
        <f t="shared" si="34"/>
        <v>K8-05</v>
      </c>
      <c r="CT9" t="str">
        <f t="shared" si="35"/>
        <v>K8-11</v>
      </c>
      <c r="CU9" t="str">
        <f t="shared" si="36"/>
        <v>F0-M8-A9</v>
      </c>
      <c r="CV9" t="str">
        <f t="shared" si="37"/>
        <v>F0-M8-A7</v>
      </c>
      <c r="CW9" t="str">
        <f t="shared" si="38"/>
        <v>F0-M8-A8</v>
      </c>
      <c r="CX9" t="str">
        <f t="shared" si="39"/>
        <v>F0-M8-A6</v>
      </c>
      <c r="CY9" t="str">
        <f t="shared" si="40"/>
        <v>F0-M8-A30</v>
      </c>
      <c r="CZ9" t="str">
        <f t="shared" si="41"/>
        <v>F0-M8-N</v>
      </c>
      <c r="DA9" t="str">
        <f t="shared" si="26"/>
        <v>F0-A220-M8</v>
      </c>
      <c r="DB9" t="str">
        <f t="shared" si="42"/>
        <v>F0-M8-XM01</v>
      </c>
      <c r="DC9" t="str">
        <f t="shared" si="43"/>
        <v>F0-M8-A1</v>
      </c>
      <c r="DD9" t="str">
        <f t="shared" si="44"/>
        <v>F0-M8-A5</v>
      </c>
      <c r="DE9" t="str">
        <f t="shared" si="45"/>
        <v>F0-M8-A11</v>
      </c>
      <c r="DF9" t="str">
        <f t="shared" si="46"/>
        <v>F0-M8-A12</v>
      </c>
      <c r="DG9" t="str">
        <f t="shared" si="47"/>
        <v>F0-M8-A19</v>
      </c>
      <c r="DH9" t="str">
        <f t="shared" si="48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80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520</v>
      </c>
      <c r="U10" s="15">
        <v>9</v>
      </c>
      <c r="V10" s="15" t="s">
        <v>297</v>
      </c>
      <c r="W10" s="15"/>
      <c r="AC10" t="s">
        <v>243</v>
      </c>
      <c r="AF10" t="s">
        <v>239</v>
      </c>
      <c r="AG10" t="s">
        <v>241</v>
      </c>
      <c r="AH10" t="s">
        <v>132</v>
      </c>
      <c r="AI10" s="57" cm="1">
        <f t="array" ref="AI10">IF(COUNTIFS(AH$2:AH10,AH10)=1,"1",VALUE(SUBSTITUTE(INDEX(AI:AI,_xlfn.XMATCH(AH10,AH$1:AH9,0,-1)),"A",""))+INDEX(AJ:AJ,_xlfn.XMATCH(AH10,AH$1:AH9,0,-1))+1)</f>
        <v>25</v>
      </c>
      <c r="AJ10" s="57" cm="1">
        <f t="array" ref="AJ10">SUM(IF(ISNUMBER(FIND("TmDo",$BE$1:$AAL$1)),IF(IFERROR(ISNUMBER(VALUE(SUBSTITUTE($BE10:$AAL10,"B",""))),FALSE),IF(ISNUMBER(VALUE(SUBSTITUTE($BE10:$AAL10,"B",""))),1,0),0)))</f>
        <v>2</v>
      </c>
      <c r="AK10" t="str">
        <f t="shared" si="0"/>
        <v>25A</v>
      </c>
      <c r="AL10" t="str">
        <f t="shared" si="1"/>
        <v>25B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2"/>
        <v>XT9</v>
      </c>
      <c r="BF10" t="str">
        <f t="shared" si="3"/>
        <v>C20</v>
      </c>
      <c r="BG10" t="str">
        <f t="shared" si="4"/>
        <v>B20</v>
      </c>
      <c r="BH10" t="str">
        <f t="shared" si="5"/>
        <v>C21</v>
      </c>
      <c r="BI10" t="str">
        <f t="shared" si="6"/>
        <v>B21</v>
      </c>
      <c r="BJ10" t="str">
        <f t="shared" si="7"/>
        <v>C22</v>
      </c>
      <c r="BK10" t="str">
        <f t="shared" si="8"/>
        <v>B22</v>
      </c>
      <c r="BL10" t="str">
        <f t="shared" si="9"/>
        <v>C23</v>
      </c>
      <c r="BM10" t="str">
        <f t="shared" si="10"/>
        <v>B23</v>
      </c>
      <c r="BN10" t="str">
        <f t="shared" si="11"/>
        <v>C24</v>
      </c>
      <c r="BO10" t="str">
        <f t="shared" si="12"/>
        <v>B24</v>
      </c>
      <c r="BP10" t="str">
        <f t="shared" si="13"/>
        <v>26A</v>
      </c>
      <c r="BQ10" t="str">
        <f t="shared" si="14"/>
        <v>26B</v>
      </c>
      <c r="BR10" t="str">
        <f t="shared" si="15"/>
        <v>27A</v>
      </c>
      <c r="BS10" t="str">
        <f t="shared" si="16"/>
        <v>27B</v>
      </c>
      <c r="BT10" t="str">
        <f t="shared" si="17"/>
        <v>DI2-C19</v>
      </c>
      <c r="BU10" t="str">
        <f t="shared" si="18"/>
        <v>DI2-B19</v>
      </c>
      <c r="BV10" t="str">
        <f t="shared" si="19"/>
        <v>DI2-C20</v>
      </c>
      <c r="BW10" t="str">
        <f t="shared" si="19"/>
        <v>DI2-B20</v>
      </c>
      <c r="BX10" t="str">
        <f t="shared" si="19"/>
        <v>DI2-C21</v>
      </c>
      <c r="BY10" t="str">
        <f t="shared" si="19"/>
        <v>DI2-B21</v>
      </c>
      <c r="BZ10" t="str">
        <f t="shared" si="19"/>
        <v>DI2-C22</v>
      </c>
      <c r="CA10" t="str">
        <f t="shared" si="19"/>
        <v>DI2-B22</v>
      </c>
      <c r="CB10" t="str">
        <f t="shared" si="19"/>
        <v>DI2-C23</v>
      </c>
      <c r="CC10" t="str">
        <f t="shared" si="19"/>
        <v>DI2-B23</v>
      </c>
      <c r="CD10" t="str">
        <f t="shared" si="19"/>
        <v>DI2-C24</v>
      </c>
      <c r="CE10" t="str">
        <f t="shared" si="19"/>
        <v>DI2-B24</v>
      </c>
      <c r="CF10" t="str">
        <f t="shared" si="20"/>
        <v>DO1-25A</v>
      </c>
      <c r="CG10" t="str">
        <f t="shared" si="21"/>
        <v>DO1-25B</v>
      </c>
      <c r="CH10" t="str">
        <f t="shared" si="22"/>
        <v>DO1-26A</v>
      </c>
      <c r="CI10" t="str">
        <f t="shared" si="23"/>
        <v>DO1-26B</v>
      </c>
      <c r="CJ10" t="str">
        <f t="shared" si="24"/>
        <v>DO1-27A</v>
      </c>
      <c r="CK10" t="str">
        <f t="shared" si="25"/>
        <v>DO1-27B</v>
      </c>
      <c r="CL10" t="str">
        <f t="shared" si="27"/>
        <v>K9-10</v>
      </c>
      <c r="CM10" t="str">
        <f t="shared" si="28"/>
        <v>K9-03</v>
      </c>
      <c r="CN10" t="str">
        <f t="shared" si="29"/>
        <v>K9-04</v>
      </c>
      <c r="CO10" t="str">
        <f t="shared" si="30"/>
        <v>K9-01</v>
      </c>
      <c r="CP10" t="str">
        <f t="shared" si="31"/>
        <v>K9-08</v>
      </c>
      <c r="CQ10" t="str">
        <f t="shared" si="32"/>
        <v>K9-02</v>
      </c>
      <c r="CR10" t="str">
        <f t="shared" si="33"/>
        <v>K9-09</v>
      </c>
      <c r="CS10" t="str">
        <f t="shared" si="34"/>
        <v>K9-05</v>
      </c>
      <c r="CT10" t="str">
        <f t="shared" si="35"/>
        <v>K9-11</v>
      </c>
      <c r="CU10" t="str">
        <f t="shared" si="36"/>
        <v>F0-M9-A9</v>
      </c>
      <c r="CV10" t="str">
        <f t="shared" si="37"/>
        <v>F0-M9-A7</v>
      </c>
      <c r="CW10" t="str">
        <f t="shared" si="38"/>
        <v>F0-M9-A8</v>
      </c>
      <c r="CX10" t="str">
        <f t="shared" si="39"/>
        <v>F0-M9-A6</v>
      </c>
      <c r="CY10" t="str">
        <f t="shared" si="40"/>
        <v>F0-M9-A30</v>
      </c>
      <c r="CZ10" t="str">
        <f t="shared" si="41"/>
        <v>F0-M9-N</v>
      </c>
      <c r="DA10" t="str">
        <f t="shared" si="26"/>
        <v>F0-A220-M9</v>
      </c>
      <c r="DB10" t="str">
        <f t="shared" si="42"/>
        <v>F0-M9-XM01</v>
      </c>
      <c r="DC10" t="str">
        <f t="shared" si="43"/>
        <v>F0-M9-A1</v>
      </c>
      <c r="DD10" t="str">
        <f t="shared" si="44"/>
        <v>F0-M9-A5</v>
      </c>
      <c r="DE10" t="str">
        <f t="shared" si="45"/>
        <v>F0-M9-A11</v>
      </c>
      <c r="DF10" t="str">
        <f t="shared" si="46"/>
        <v>F0-M9-A12</v>
      </c>
      <c r="DG10" t="str">
        <f t="shared" si="47"/>
        <v>F0-M9-A19</v>
      </c>
      <c r="DH10" t="str">
        <f t="shared" si="48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80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520</v>
      </c>
      <c r="U11" s="15">
        <v>10</v>
      </c>
      <c r="V11" s="15" t="s">
        <v>298</v>
      </c>
      <c r="W11" s="15"/>
      <c r="AC11" t="s">
        <v>243</v>
      </c>
      <c r="AF11" t="s">
        <v>240</v>
      </c>
      <c r="AG11" t="s">
        <v>242</v>
      </c>
      <c r="AH11" t="s">
        <v>132</v>
      </c>
      <c r="AI11" s="57" cm="1">
        <f t="array" ref="AI11">IF(COUNTIFS(AH$2:AH11,AH11)=1,"1",VALUE(SUBSTITUTE(INDEX(AI:AI,_xlfn.XMATCH(AH11,AH$1:AH10,0,-1)),"A",""))+INDEX(AJ:AJ,_xlfn.XMATCH(AH11,AH$1:AH10,0,-1))+1)</f>
        <v>28</v>
      </c>
      <c r="AJ11" s="57" cm="1">
        <f t="array" ref="AJ11">SUM(IF(ISNUMBER(FIND("TmDo",$BE$1:$AAL$1)),IF(IFERROR(ISNUMBER(VALUE(SUBSTITUTE($BE11:$AAL11,"B",""))),FALSE),IF(ISNUMBER(VALUE(SUBSTITUTE($BE11:$AAL11,"B",""))),1,0),0)))</f>
        <v>2</v>
      </c>
      <c r="AK11" t="str">
        <f t="shared" si="0"/>
        <v>28A</v>
      </c>
      <c r="AL11" t="str">
        <f t="shared" si="1"/>
        <v>28B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2"/>
        <v>XT10</v>
      </c>
      <c r="BF11" t="str">
        <f t="shared" si="3"/>
        <v>C26</v>
      </c>
      <c r="BG11" t="str">
        <f t="shared" si="4"/>
        <v>B26</v>
      </c>
      <c r="BH11" t="str">
        <f t="shared" si="5"/>
        <v>C27</v>
      </c>
      <c r="BI11" t="str">
        <f t="shared" si="6"/>
        <v>B27</v>
      </c>
      <c r="BJ11" t="str">
        <f t="shared" si="7"/>
        <v>C28</v>
      </c>
      <c r="BK11" t="str">
        <f t="shared" si="8"/>
        <v>B28</v>
      </c>
      <c r="BL11" t="str">
        <f t="shared" si="9"/>
        <v>C29</v>
      </c>
      <c r="BM11" t="str">
        <f t="shared" si="10"/>
        <v>B29</v>
      </c>
      <c r="BN11" t="str">
        <f t="shared" si="11"/>
        <v>C30</v>
      </c>
      <c r="BO11" t="str">
        <f t="shared" si="12"/>
        <v>B30</v>
      </c>
      <c r="BP11" t="str">
        <f t="shared" si="13"/>
        <v>29A</v>
      </c>
      <c r="BQ11" t="str">
        <f t="shared" si="14"/>
        <v>29B</v>
      </c>
      <c r="BR11" t="str">
        <f t="shared" si="15"/>
        <v>30A</v>
      </c>
      <c r="BS11" t="str">
        <f t="shared" si="16"/>
        <v>30B</v>
      </c>
      <c r="BT11" t="str">
        <f t="shared" si="17"/>
        <v>DI2-C25</v>
      </c>
      <c r="BU11" t="str">
        <f t="shared" si="18"/>
        <v>DI2-B25</v>
      </c>
      <c r="BV11" t="str">
        <f t="shared" si="19"/>
        <v>DI2-C26</v>
      </c>
      <c r="BW11" t="str">
        <f t="shared" si="19"/>
        <v>DI2-B26</v>
      </c>
      <c r="BX11" t="str">
        <f t="shared" si="19"/>
        <v>DI2-C27</v>
      </c>
      <c r="BY11" t="str">
        <f t="shared" si="19"/>
        <v>DI2-B27</v>
      </c>
      <c r="BZ11" t="str">
        <f t="shared" si="19"/>
        <v>DI2-C28</v>
      </c>
      <c r="CA11" t="str">
        <f t="shared" si="19"/>
        <v>DI2-B28</v>
      </c>
      <c r="CB11" t="str">
        <f t="shared" si="19"/>
        <v>DI2-C29</v>
      </c>
      <c r="CC11" t="str">
        <f t="shared" si="19"/>
        <v>DI2-B29</v>
      </c>
      <c r="CD11" t="str">
        <f t="shared" si="19"/>
        <v>DI2-C30</v>
      </c>
      <c r="CE11" t="str">
        <f t="shared" si="19"/>
        <v>DI2-B30</v>
      </c>
      <c r="CF11" t="str">
        <f t="shared" si="20"/>
        <v>DO1-28A</v>
      </c>
      <c r="CG11" t="str">
        <f t="shared" si="21"/>
        <v>DO1-28B</v>
      </c>
      <c r="CH11" t="str">
        <f t="shared" si="22"/>
        <v>DO1-29A</v>
      </c>
      <c r="CI11" t="str">
        <f t="shared" si="23"/>
        <v>DO1-29B</v>
      </c>
      <c r="CJ11" t="str">
        <f t="shared" si="24"/>
        <v>DO1-30A</v>
      </c>
      <c r="CK11" t="str">
        <f t="shared" si="25"/>
        <v>DO1-30B</v>
      </c>
      <c r="CL11" t="str">
        <f t="shared" si="27"/>
        <v>K10-10</v>
      </c>
      <c r="CM11" t="str">
        <f t="shared" si="28"/>
        <v>K10-03</v>
      </c>
      <c r="CN11" t="str">
        <f t="shared" si="29"/>
        <v>K10-04</v>
      </c>
      <c r="CO11" t="str">
        <f t="shared" si="30"/>
        <v>K10-01</v>
      </c>
      <c r="CP11" t="str">
        <f t="shared" si="31"/>
        <v>K10-08</v>
      </c>
      <c r="CQ11" t="str">
        <f t="shared" si="32"/>
        <v>K10-02</v>
      </c>
      <c r="CR11" t="str">
        <f t="shared" si="33"/>
        <v>K10-09</v>
      </c>
      <c r="CS11" t="str">
        <f t="shared" si="34"/>
        <v>K10-05</v>
      </c>
      <c r="CT11" t="str">
        <f t="shared" si="35"/>
        <v>K10-11</v>
      </c>
      <c r="CU11" t="str">
        <f t="shared" si="36"/>
        <v>F0-M10-A9</v>
      </c>
      <c r="CV11" t="str">
        <f t="shared" si="37"/>
        <v>F0-M10-A7</v>
      </c>
      <c r="CW11" t="str">
        <f t="shared" si="38"/>
        <v>F0-M10-A8</v>
      </c>
      <c r="CX11" t="str">
        <f t="shared" si="39"/>
        <v>F0-M10-A6</v>
      </c>
      <c r="CY11" t="str">
        <f t="shared" si="40"/>
        <v>F0-M10-A30</v>
      </c>
      <c r="CZ11" t="str">
        <f t="shared" si="41"/>
        <v>F0-M10-N</v>
      </c>
      <c r="DA11" t="str">
        <f t="shared" si="26"/>
        <v>F0-A220-M10</v>
      </c>
      <c r="DB11" t="str">
        <f t="shared" si="42"/>
        <v>F0-M10-XM01</v>
      </c>
      <c r="DC11" t="str">
        <f t="shared" si="43"/>
        <v>F0-M10-A1</v>
      </c>
      <c r="DD11" t="str">
        <f t="shared" si="44"/>
        <v>F0-M10-A5</v>
      </c>
      <c r="DE11" t="str">
        <f t="shared" si="45"/>
        <v>F0-M10-A11</v>
      </c>
      <c r="DF11" t="str">
        <f t="shared" si="46"/>
        <v>F0-M10-A12</v>
      </c>
      <c r="DG11" t="str">
        <f t="shared" si="47"/>
        <v>F0-M10-A19</v>
      </c>
      <c r="DH11" t="str">
        <f t="shared" si="48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80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520</v>
      </c>
      <c r="U12" s="15">
        <v>11</v>
      </c>
      <c r="V12" s="15" t="s">
        <v>299</v>
      </c>
      <c r="W12" s="15"/>
      <c r="AC12" t="s">
        <v>244</v>
      </c>
      <c r="AF12" t="s">
        <v>133</v>
      </c>
      <c r="AG12" t="s">
        <v>134</v>
      </c>
      <c r="AH12" t="s">
        <v>249</v>
      </c>
      <c r="AI12" s="57" t="str" cm="1">
        <f t="array" ref="AI12">IF(COUNTIFS(AH$2:AH12,AH12)=1,"1",VALUE(SUBSTITUTE(INDEX(AI:AI,_xlfn.XMATCH(AH12,AH$1:AH11,0,-1)),"A",""))+INDEX(AJ:AJ,_xlfn.XMATCH(AH12,AH$1:AH11,0,-1))+1)</f>
        <v>1</v>
      </c>
      <c r="AJ12" s="57" cm="1">
        <f t="array" ref="AJ12">SUM(IF(ISNUMBER(FIND("TmDo",$BE$1:$AAL$1)),IF(IFERROR(ISNUMBER(VALUE(SUBSTITUTE($BE12:$AAL12,"B",""))),FALSE),IF(ISNUMBER(VALUE(SUBSTITUTE($BE12:$AAL12,"B",""))),1,0),0)))</f>
        <v>2</v>
      </c>
      <c r="AK12" t="str">
        <f t="shared" si="0"/>
        <v>1A</v>
      </c>
      <c r="AL12" t="str">
        <f t="shared" si="1"/>
        <v>1B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2"/>
        <v>XT11</v>
      </c>
      <c r="BF12" t="str">
        <f t="shared" si="3"/>
        <v>C2</v>
      </c>
      <c r="BG12" t="str">
        <f t="shared" si="4"/>
        <v>B2</v>
      </c>
      <c r="BH12" t="str">
        <f t="shared" si="5"/>
        <v>C3</v>
      </c>
      <c r="BI12" t="str">
        <f t="shared" si="6"/>
        <v>B3</v>
      </c>
      <c r="BJ12" t="str">
        <f t="shared" si="7"/>
        <v>C4</v>
      </c>
      <c r="BK12" t="str">
        <f t="shared" si="8"/>
        <v>B4</v>
      </c>
      <c r="BL12" t="str">
        <f t="shared" si="9"/>
        <v>C5</v>
      </c>
      <c r="BM12" t="str">
        <f t="shared" si="10"/>
        <v>B5</v>
      </c>
      <c r="BN12" t="str">
        <f t="shared" si="11"/>
        <v>C6</v>
      </c>
      <c r="BO12" t="str">
        <f t="shared" si="12"/>
        <v>B6</v>
      </c>
      <c r="BP12" t="str">
        <f t="shared" si="13"/>
        <v>2A</v>
      </c>
      <c r="BQ12" t="str">
        <f t="shared" si="14"/>
        <v>2B</v>
      </c>
      <c r="BR12" t="str">
        <f t="shared" si="15"/>
        <v>3A</v>
      </c>
      <c r="BS12" t="str">
        <f t="shared" si="16"/>
        <v>3B</v>
      </c>
      <c r="BT12" t="str">
        <f t="shared" si="17"/>
        <v>DI3-C1</v>
      </c>
      <c r="BU12" t="str">
        <f t="shared" si="18"/>
        <v>DI3-B1</v>
      </c>
      <c r="BV12" t="str">
        <f t="shared" si="19"/>
        <v>DI3-C2</v>
      </c>
      <c r="BW12" t="str">
        <f t="shared" si="19"/>
        <v>DI3-B2</v>
      </c>
      <c r="BX12" t="str">
        <f t="shared" si="19"/>
        <v>DI3-C3</v>
      </c>
      <c r="BY12" t="str">
        <f t="shared" si="19"/>
        <v>DI3-B3</v>
      </c>
      <c r="BZ12" t="str">
        <f t="shared" si="19"/>
        <v>DI3-C4</v>
      </c>
      <c r="CA12" t="str">
        <f t="shared" si="19"/>
        <v>DI3-B4</v>
      </c>
      <c r="CB12" t="str">
        <f t="shared" si="19"/>
        <v>DI3-C5</v>
      </c>
      <c r="CC12" t="str">
        <f t="shared" si="19"/>
        <v>DI3-B5</v>
      </c>
      <c r="CD12" t="str">
        <f t="shared" si="19"/>
        <v>DI3-C6</v>
      </c>
      <c r="CE12" t="str">
        <f t="shared" si="19"/>
        <v>DI3-B6</v>
      </c>
      <c r="CF12" t="str">
        <f t="shared" si="20"/>
        <v>DO2-1A</v>
      </c>
      <c r="CG12" t="str">
        <f t="shared" si="21"/>
        <v>DO2-1B</v>
      </c>
      <c r="CH12" t="str">
        <f t="shared" si="22"/>
        <v>DO2-2A</v>
      </c>
      <c r="CI12" t="str">
        <f t="shared" si="23"/>
        <v>DO2-2B</v>
      </c>
      <c r="CJ12" t="str">
        <f t="shared" si="24"/>
        <v>DO2-3A</v>
      </c>
      <c r="CK12" t="str">
        <f t="shared" si="25"/>
        <v>DO2-3B</v>
      </c>
      <c r="CL12" t="str">
        <f t="shared" si="27"/>
        <v>K11-10</v>
      </c>
      <c r="CM12" t="str">
        <f t="shared" si="28"/>
        <v>K11-03</v>
      </c>
      <c r="CN12" t="str">
        <f t="shared" si="29"/>
        <v>K11-04</v>
      </c>
      <c r="CO12" t="str">
        <f t="shared" si="30"/>
        <v>K11-01</v>
      </c>
      <c r="CP12" t="str">
        <f t="shared" si="31"/>
        <v>K11-08</v>
      </c>
      <c r="CQ12" t="str">
        <f t="shared" si="32"/>
        <v>K11-02</v>
      </c>
      <c r="CR12" t="str">
        <f t="shared" si="33"/>
        <v>K11-09</v>
      </c>
      <c r="CS12" t="str">
        <f t="shared" si="34"/>
        <v>K11-05</v>
      </c>
      <c r="CT12" t="str">
        <f t="shared" si="35"/>
        <v>K11-11</v>
      </c>
      <c r="CU12" t="str">
        <f t="shared" si="36"/>
        <v>F0-M11-A9</v>
      </c>
      <c r="CV12" t="str">
        <f t="shared" si="37"/>
        <v>F0-M11-A7</v>
      </c>
      <c r="CW12" t="str">
        <f t="shared" si="38"/>
        <v>F0-M11-A8</v>
      </c>
      <c r="CX12" t="str">
        <f t="shared" si="39"/>
        <v>F0-M11-A6</v>
      </c>
      <c r="CY12" t="str">
        <f t="shared" si="40"/>
        <v>F0-M11-A30</v>
      </c>
      <c r="CZ12" t="str">
        <f t="shared" si="41"/>
        <v>F0-M11-N</v>
      </c>
      <c r="DA12" t="str">
        <f t="shared" si="26"/>
        <v>F0-A220-M11</v>
      </c>
      <c r="DB12" t="str">
        <f t="shared" si="42"/>
        <v>F0-M11-XM01</v>
      </c>
      <c r="DC12" t="str">
        <f t="shared" si="43"/>
        <v>F0-M11-A1</v>
      </c>
      <c r="DD12" t="str">
        <f t="shared" si="44"/>
        <v>F0-M11-A5</v>
      </c>
      <c r="DE12" t="str">
        <f t="shared" si="45"/>
        <v>F0-M11-A11</v>
      </c>
      <c r="DF12" t="str">
        <f t="shared" si="46"/>
        <v>F0-M11-A12</v>
      </c>
      <c r="DG12" t="str">
        <f t="shared" si="47"/>
        <v>F0-M11-A19</v>
      </c>
      <c r="DH12" t="str">
        <f t="shared" si="48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80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520</v>
      </c>
      <c r="U13" s="15">
        <v>12</v>
      </c>
      <c r="V13" s="15" t="s">
        <v>300</v>
      </c>
      <c r="W13" s="15"/>
      <c r="AC13" t="s">
        <v>244</v>
      </c>
      <c r="AF13" t="s">
        <v>148</v>
      </c>
      <c r="AG13" t="s">
        <v>149</v>
      </c>
      <c r="AH13" t="s">
        <v>249</v>
      </c>
      <c r="AI13" s="57" cm="1">
        <f t="array" ref="AI13">IF(COUNTIFS(AH$2:AH13,AH13)=1,"1",VALUE(SUBSTITUTE(INDEX(AI:AI,_xlfn.XMATCH(AH13,AH$1:AH12,0,-1)),"A",""))+INDEX(AJ:AJ,_xlfn.XMATCH(AH13,AH$1:AH12,0,-1))+1)</f>
        <v>4</v>
      </c>
      <c r="AJ13" s="57" cm="1">
        <f t="array" ref="AJ13">SUM(IF(ISNUMBER(FIND("TmDo",$BE$1:$AAL$1)),IF(IFERROR(ISNUMBER(VALUE(SUBSTITUTE($BE13:$AAL13,"B",""))),FALSE),IF(ISNUMBER(VALUE(SUBSTITUTE($BE13:$AAL13,"B",""))),1,0),0)))</f>
        <v>2</v>
      </c>
      <c r="AK13" t="str">
        <f t="shared" si="0"/>
        <v>4A</v>
      </c>
      <c r="AL13" t="str">
        <f t="shared" si="1"/>
        <v>4B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2"/>
        <v>XT12</v>
      </c>
      <c r="BF13" t="str">
        <f t="shared" si="3"/>
        <v>C8</v>
      </c>
      <c r="BG13" t="str">
        <f t="shared" si="4"/>
        <v>B8</v>
      </c>
      <c r="BH13" t="str">
        <f t="shared" si="5"/>
        <v>C9</v>
      </c>
      <c r="BI13" t="str">
        <f t="shared" si="6"/>
        <v>B9</v>
      </c>
      <c r="BJ13" t="str">
        <f t="shared" si="7"/>
        <v>C10</v>
      </c>
      <c r="BK13" t="str">
        <f t="shared" si="8"/>
        <v>B10</v>
      </c>
      <c r="BL13" t="str">
        <f t="shared" si="9"/>
        <v>C11</v>
      </c>
      <c r="BM13" t="str">
        <f t="shared" si="10"/>
        <v>B11</v>
      </c>
      <c r="BN13" t="str">
        <f t="shared" si="11"/>
        <v>C12</v>
      </c>
      <c r="BO13" t="str">
        <f t="shared" si="12"/>
        <v>B12</v>
      </c>
      <c r="BP13" t="str">
        <f t="shared" si="13"/>
        <v>5A</v>
      </c>
      <c r="BQ13" t="str">
        <f t="shared" si="14"/>
        <v>5B</v>
      </c>
      <c r="BR13" t="str">
        <f t="shared" si="15"/>
        <v>6A</v>
      </c>
      <c r="BS13" t="str">
        <f t="shared" si="16"/>
        <v>6B</v>
      </c>
      <c r="BT13" t="str">
        <f t="shared" si="17"/>
        <v>DI3-C7</v>
      </c>
      <c r="BU13" t="str">
        <f t="shared" si="18"/>
        <v>DI3-B7</v>
      </c>
      <c r="BV13" t="str">
        <f t="shared" si="19"/>
        <v>DI3-C8</v>
      </c>
      <c r="BW13" t="str">
        <f t="shared" si="19"/>
        <v>DI3-B8</v>
      </c>
      <c r="BX13" t="str">
        <f t="shared" si="19"/>
        <v>DI3-C9</v>
      </c>
      <c r="BY13" t="str">
        <f t="shared" si="19"/>
        <v>DI3-B9</v>
      </c>
      <c r="BZ13" t="str">
        <f t="shared" si="19"/>
        <v>DI3-C10</v>
      </c>
      <c r="CA13" t="str">
        <f t="shared" si="19"/>
        <v>DI3-B10</v>
      </c>
      <c r="CB13" t="str">
        <f t="shared" si="19"/>
        <v>DI3-C11</v>
      </c>
      <c r="CC13" t="str">
        <f t="shared" si="19"/>
        <v>DI3-B11</v>
      </c>
      <c r="CD13" t="str">
        <f t="shared" si="19"/>
        <v>DI3-C12</v>
      </c>
      <c r="CE13" t="str">
        <f t="shared" si="19"/>
        <v>DI3-B12</v>
      </c>
      <c r="CF13" t="str">
        <f t="shared" si="20"/>
        <v>DO2-4A</v>
      </c>
      <c r="CG13" t="str">
        <f t="shared" si="21"/>
        <v>DO2-4B</v>
      </c>
      <c r="CH13" t="str">
        <f t="shared" si="22"/>
        <v>DO2-5A</v>
      </c>
      <c r="CI13" t="str">
        <f t="shared" si="23"/>
        <v>DO2-5B</v>
      </c>
      <c r="CJ13" t="str">
        <f t="shared" si="24"/>
        <v>DO2-6A</v>
      </c>
      <c r="CK13" t="str">
        <f t="shared" si="25"/>
        <v>DO2-6B</v>
      </c>
      <c r="CL13" t="str">
        <f t="shared" si="27"/>
        <v>K12-10</v>
      </c>
      <c r="CM13" t="str">
        <f t="shared" si="28"/>
        <v>K12-03</v>
      </c>
      <c r="CN13" t="str">
        <f t="shared" si="29"/>
        <v>K12-04</v>
      </c>
      <c r="CO13" t="str">
        <f t="shared" si="30"/>
        <v>K12-01</v>
      </c>
      <c r="CP13" t="str">
        <f t="shared" si="31"/>
        <v>K12-08</v>
      </c>
      <c r="CQ13" t="str">
        <f t="shared" si="32"/>
        <v>K12-02</v>
      </c>
      <c r="CR13" t="str">
        <f t="shared" si="33"/>
        <v>K12-09</v>
      </c>
      <c r="CS13" t="str">
        <f t="shared" si="34"/>
        <v>K12-05</v>
      </c>
      <c r="CT13" t="str">
        <f t="shared" si="35"/>
        <v>K12-11</v>
      </c>
      <c r="CU13" t="str">
        <f t="shared" si="36"/>
        <v>F0-M12-A9</v>
      </c>
      <c r="CV13" t="str">
        <f t="shared" si="37"/>
        <v>F0-M12-A7</v>
      </c>
      <c r="CW13" t="str">
        <f t="shared" si="38"/>
        <v>F0-M12-A8</v>
      </c>
      <c r="CX13" t="str">
        <f t="shared" si="39"/>
        <v>F0-M12-A6</v>
      </c>
      <c r="CY13" t="str">
        <f t="shared" si="40"/>
        <v>F0-M12-A30</v>
      </c>
      <c r="CZ13" t="str">
        <f t="shared" si="41"/>
        <v>F0-M12-N</v>
      </c>
      <c r="DA13" t="str">
        <f t="shared" si="26"/>
        <v>F0-A220-M12</v>
      </c>
      <c r="DB13" t="str">
        <f t="shared" si="42"/>
        <v>F0-M12-XM01</v>
      </c>
      <c r="DC13" t="str">
        <f t="shared" si="43"/>
        <v>F0-M12-A1</v>
      </c>
      <c r="DD13" t="str">
        <f t="shared" si="44"/>
        <v>F0-M12-A5</v>
      </c>
      <c r="DE13" t="str">
        <f t="shared" si="45"/>
        <v>F0-M12-A11</v>
      </c>
      <c r="DF13" t="str">
        <f t="shared" si="46"/>
        <v>F0-M12-A12</v>
      </c>
      <c r="DG13" t="str">
        <f t="shared" si="47"/>
        <v>F0-M12-A19</v>
      </c>
      <c r="DH13" t="str">
        <f t="shared" si="48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80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520</v>
      </c>
      <c r="U14" s="15">
        <v>13</v>
      </c>
      <c r="V14" s="15" t="s">
        <v>301</v>
      </c>
      <c r="W14" s="15"/>
      <c r="AC14" t="s">
        <v>244</v>
      </c>
      <c r="AF14" t="s">
        <v>153</v>
      </c>
      <c r="AG14" t="s">
        <v>154</v>
      </c>
      <c r="AH14" t="s">
        <v>249</v>
      </c>
      <c r="AI14" s="57" cm="1">
        <f t="array" ref="AI14">IF(COUNTIFS(AH$2:AH14,AH14)=1,"1",VALUE(SUBSTITUTE(INDEX(AI:AI,_xlfn.XMATCH(AH14,AH$1:AH13,0,-1)),"A",""))+INDEX(AJ:AJ,_xlfn.XMATCH(AH14,AH$1:AH13,0,-1))+1)</f>
        <v>7</v>
      </c>
      <c r="AJ14" s="57" cm="1">
        <f t="array" ref="AJ14">SUM(IF(ISNUMBER(FIND("TmDo",$BE$1:$AAL$1)),IF(IFERROR(ISNUMBER(VALUE(SUBSTITUTE($BE14:$AAL14,"B",""))),FALSE),IF(ISNUMBER(VALUE(SUBSTITUTE($BE14:$AAL14,"B",""))),1,0),0)))</f>
        <v>2</v>
      </c>
      <c r="AK14" t="str">
        <f t="shared" si="0"/>
        <v>7A</v>
      </c>
      <c r="AL14" t="str">
        <f t="shared" si="1"/>
        <v>7B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2"/>
        <v>XT13</v>
      </c>
      <c r="BF14" t="str">
        <f t="shared" si="3"/>
        <v>C14</v>
      </c>
      <c r="BG14" t="str">
        <f t="shared" si="4"/>
        <v>B14</v>
      </c>
      <c r="BH14" t="str">
        <f t="shared" si="5"/>
        <v>C15</v>
      </c>
      <c r="BI14" t="str">
        <f t="shared" si="6"/>
        <v>B15</v>
      </c>
      <c r="BJ14" t="str">
        <f t="shared" si="7"/>
        <v>C16</v>
      </c>
      <c r="BK14" t="str">
        <f t="shared" si="8"/>
        <v>B16</v>
      </c>
      <c r="BL14" t="str">
        <f t="shared" si="9"/>
        <v>C17</v>
      </c>
      <c r="BM14" t="str">
        <f t="shared" si="10"/>
        <v>B17</v>
      </c>
      <c r="BN14" t="str">
        <f t="shared" si="11"/>
        <v>C18</v>
      </c>
      <c r="BO14" t="str">
        <f t="shared" si="12"/>
        <v>B18</v>
      </c>
      <c r="BP14" t="str">
        <f t="shared" si="13"/>
        <v>8A</v>
      </c>
      <c r="BQ14" t="str">
        <f t="shared" si="14"/>
        <v>8B</v>
      </c>
      <c r="BR14" t="str">
        <f t="shared" si="15"/>
        <v>9A</v>
      </c>
      <c r="BS14" t="str">
        <f t="shared" si="16"/>
        <v>9B</v>
      </c>
      <c r="BT14" t="str">
        <f t="shared" si="17"/>
        <v>DI3-C13</v>
      </c>
      <c r="BU14" t="str">
        <f t="shared" si="18"/>
        <v>DI3-B13</v>
      </c>
      <c r="BV14" t="str">
        <f t="shared" si="19"/>
        <v>DI3-C14</v>
      </c>
      <c r="BW14" t="str">
        <f t="shared" si="19"/>
        <v>DI3-B14</v>
      </c>
      <c r="BX14" t="str">
        <f t="shared" si="19"/>
        <v>DI3-C15</v>
      </c>
      <c r="BY14" t="str">
        <f t="shared" si="19"/>
        <v>DI3-B15</v>
      </c>
      <c r="BZ14" t="str">
        <f t="shared" si="19"/>
        <v>DI3-C16</v>
      </c>
      <c r="CA14" t="str">
        <f t="shared" si="19"/>
        <v>DI3-B16</v>
      </c>
      <c r="CB14" t="str">
        <f t="shared" si="19"/>
        <v>DI3-C17</v>
      </c>
      <c r="CC14" t="str">
        <f t="shared" si="19"/>
        <v>DI3-B17</v>
      </c>
      <c r="CD14" t="str">
        <f t="shared" si="19"/>
        <v>DI3-C18</v>
      </c>
      <c r="CE14" t="str">
        <f t="shared" si="19"/>
        <v>DI3-B18</v>
      </c>
      <c r="CF14" t="str">
        <f t="shared" si="20"/>
        <v>DO2-7A</v>
      </c>
      <c r="CG14" t="str">
        <f t="shared" si="21"/>
        <v>DO2-7B</v>
      </c>
      <c r="CH14" t="str">
        <f t="shared" si="22"/>
        <v>DO2-8A</v>
      </c>
      <c r="CI14" t="str">
        <f t="shared" si="23"/>
        <v>DO2-8B</v>
      </c>
      <c r="CJ14" t="str">
        <f t="shared" si="24"/>
        <v>DO2-9A</v>
      </c>
      <c r="CK14" t="str">
        <f t="shared" si="25"/>
        <v>DO2-9B</v>
      </c>
      <c r="CL14" t="str">
        <f t="shared" si="27"/>
        <v>K13-10</v>
      </c>
      <c r="CM14" t="str">
        <f t="shared" si="28"/>
        <v>K13-03</v>
      </c>
      <c r="CN14" t="str">
        <f t="shared" si="29"/>
        <v>K13-04</v>
      </c>
      <c r="CO14" t="str">
        <f t="shared" si="30"/>
        <v>K13-01</v>
      </c>
      <c r="CP14" t="str">
        <f t="shared" si="31"/>
        <v>K13-08</v>
      </c>
      <c r="CQ14" t="str">
        <f t="shared" si="32"/>
        <v>K13-02</v>
      </c>
      <c r="CR14" t="str">
        <f t="shared" si="33"/>
        <v>K13-09</v>
      </c>
      <c r="CS14" t="str">
        <f t="shared" si="34"/>
        <v>K13-05</v>
      </c>
      <c r="CT14" t="str">
        <f t="shared" si="35"/>
        <v>K13-11</v>
      </c>
      <c r="CU14" t="str">
        <f t="shared" si="36"/>
        <v>F0-M13-A9</v>
      </c>
      <c r="CV14" t="str">
        <f t="shared" si="37"/>
        <v>F0-M13-A7</v>
      </c>
      <c r="CW14" t="str">
        <f t="shared" si="38"/>
        <v>F0-M13-A8</v>
      </c>
      <c r="CX14" t="str">
        <f t="shared" si="39"/>
        <v>F0-M13-A6</v>
      </c>
      <c r="CY14" t="str">
        <f t="shared" si="40"/>
        <v>F0-M13-A30</v>
      </c>
      <c r="CZ14" t="str">
        <f t="shared" si="41"/>
        <v>F0-M13-N</v>
      </c>
      <c r="DA14" t="str">
        <f t="shared" si="26"/>
        <v>F0-A220-M13</v>
      </c>
      <c r="DB14" t="str">
        <f t="shared" si="42"/>
        <v>F0-M13-XM01</v>
      </c>
      <c r="DC14" t="str">
        <f t="shared" si="43"/>
        <v>F0-M13-A1</v>
      </c>
      <c r="DD14" t="str">
        <f t="shared" si="44"/>
        <v>F0-M13-A5</v>
      </c>
      <c r="DE14" t="str">
        <f t="shared" si="45"/>
        <v>F0-M13-A11</v>
      </c>
      <c r="DF14" t="str">
        <f t="shared" si="46"/>
        <v>F0-M13-A12</v>
      </c>
      <c r="DG14" t="str">
        <f t="shared" si="47"/>
        <v>F0-M13-A19</v>
      </c>
      <c r="DH14" t="str">
        <f t="shared" si="48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80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520</v>
      </c>
      <c r="U15" s="15">
        <v>14</v>
      </c>
      <c r="V15" s="15" t="s">
        <v>302</v>
      </c>
      <c r="W15" s="15"/>
      <c r="AC15" t="s">
        <v>244</v>
      </c>
      <c r="AF15" t="s">
        <v>239</v>
      </c>
      <c r="AG15" t="s">
        <v>241</v>
      </c>
      <c r="AH15" t="s">
        <v>249</v>
      </c>
      <c r="AI15" s="57" cm="1">
        <f t="array" ref="AI15">IF(COUNTIFS(AH$2:AH15,AH15)=1,"1",VALUE(SUBSTITUTE(INDEX(AI:AI,_xlfn.XMATCH(AH15,AH$1:AH14,0,-1)),"A",""))+INDEX(AJ:AJ,_xlfn.XMATCH(AH15,AH$1:AH14,0,-1))+1)</f>
        <v>10</v>
      </c>
      <c r="AJ15" s="57" cm="1">
        <f t="array" ref="AJ15">SUM(IF(ISNUMBER(FIND("TmDo",$BE$1:$AAL$1)),IF(IFERROR(ISNUMBER(VALUE(SUBSTITUTE($BE15:$AAL15,"B",""))),FALSE),IF(ISNUMBER(VALUE(SUBSTITUTE($BE15:$AAL15,"B",""))),1,0),0)))</f>
        <v>2</v>
      </c>
      <c r="AK15" t="str">
        <f t="shared" si="0"/>
        <v>10A</v>
      </c>
      <c r="AL15" t="str">
        <f t="shared" si="1"/>
        <v>10B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2"/>
        <v>XT14</v>
      </c>
      <c r="BF15" t="str">
        <f t="shared" si="3"/>
        <v>C20</v>
      </c>
      <c r="BG15" t="str">
        <f t="shared" si="4"/>
        <v>B20</v>
      </c>
      <c r="BH15" t="str">
        <f t="shared" si="5"/>
        <v>C21</v>
      </c>
      <c r="BI15" t="str">
        <f t="shared" si="6"/>
        <v>B21</v>
      </c>
      <c r="BJ15" t="str">
        <f t="shared" si="7"/>
        <v>C22</v>
      </c>
      <c r="BK15" t="str">
        <f t="shared" si="8"/>
        <v>B22</v>
      </c>
      <c r="BL15" t="str">
        <f t="shared" si="9"/>
        <v>C23</v>
      </c>
      <c r="BM15" t="str">
        <f t="shared" si="10"/>
        <v>B23</v>
      </c>
      <c r="BN15" t="str">
        <f t="shared" si="11"/>
        <v>C24</v>
      </c>
      <c r="BO15" t="str">
        <f t="shared" si="12"/>
        <v>B24</v>
      </c>
      <c r="BP15" t="str">
        <f t="shared" si="13"/>
        <v>11A</v>
      </c>
      <c r="BQ15" t="str">
        <f t="shared" si="14"/>
        <v>11B</v>
      </c>
      <c r="BR15" t="str">
        <f t="shared" si="15"/>
        <v>12A</v>
      </c>
      <c r="BS15" t="str">
        <f t="shared" si="16"/>
        <v>12B</v>
      </c>
      <c r="BT15" t="str">
        <f t="shared" si="17"/>
        <v>DI3-C19</v>
      </c>
      <c r="BU15" t="str">
        <f t="shared" si="18"/>
        <v>DI3-B19</v>
      </c>
      <c r="BV15" t="str">
        <f t="shared" si="19"/>
        <v>DI3-C20</v>
      </c>
      <c r="BW15" t="str">
        <f t="shared" si="19"/>
        <v>DI3-B20</v>
      </c>
      <c r="BX15" t="str">
        <f t="shared" si="19"/>
        <v>DI3-C21</v>
      </c>
      <c r="BY15" t="str">
        <f t="shared" si="19"/>
        <v>DI3-B21</v>
      </c>
      <c r="BZ15" t="str">
        <f t="shared" si="19"/>
        <v>DI3-C22</v>
      </c>
      <c r="CA15" t="str">
        <f t="shared" si="19"/>
        <v>DI3-B22</v>
      </c>
      <c r="CB15" t="str">
        <f t="shared" si="19"/>
        <v>DI3-C23</v>
      </c>
      <c r="CC15" t="str">
        <f t="shared" si="19"/>
        <v>DI3-B23</v>
      </c>
      <c r="CD15" t="str">
        <f t="shared" si="19"/>
        <v>DI3-C24</v>
      </c>
      <c r="CE15" t="str">
        <f t="shared" si="19"/>
        <v>DI3-B24</v>
      </c>
      <c r="CF15" t="str">
        <f t="shared" si="20"/>
        <v>DO2-10A</v>
      </c>
      <c r="CG15" t="str">
        <f t="shared" si="21"/>
        <v>DO2-10B</v>
      </c>
      <c r="CH15" t="str">
        <f t="shared" si="22"/>
        <v>DO2-11A</v>
      </c>
      <c r="CI15" t="str">
        <f t="shared" si="23"/>
        <v>DO2-11B</v>
      </c>
      <c r="CJ15" t="str">
        <f t="shared" si="24"/>
        <v>DO2-12A</v>
      </c>
      <c r="CK15" t="str">
        <f t="shared" si="25"/>
        <v>DO2-12B</v>
      </c>
      <c r="CL15" t="str">
        <f t="shared" si="27"/>
        <v>K14-10</v>
      </c>
      <c r="CM15" t="str">
        <f t="shared" si="28"/>
        <v>K14-03</v>
      </c>
      <c r="CN15" t="str">
        <f t="shared" si="29"/>
        <v>K14-04</v>
      </c>
      <c r="CO15" t="str">
        <f t="shared" si="30"/>
        <v>K14-01</v>
      </c>
      <c r="CP15" t="str">
        <f t="shared" si="31"/>
        <v>K14-08</v>
      </c>
      <c r="CQ15" t="str">
        <f t="shared" si="32"/>
        <v>K14-02</v>
      </c>
      <c r="CR15" t="str">
        <f t="shared" si="33"/>
        <v>K14-09</v>
      </c>
      <c r="CS15" t="str">
        <f t="shared" si="34"/>
        <v>K14-05</v>
      </c>
      <c r="CT15" t="str">
        <f t="shared" si="35"/>
        <v>K14-11</v>
      </c>
      <c r="CU15" t="str">
        <f t="shared" si="36"/>
        <v>F0-M14-A9</v>
      </c>
      <c r="CV15" t="str">
        <f t="shared" si="37"/>
        <v>F0-M14-A7</v>
      </c>
      <c r="CW15" t="str">
        <f t="shared" si="38"/>
        <v>F0-M14-A8</v>
      </c>
      <c r="CX15" t="str">
        <f t="shared" si="39"/>
        <v>F0-M14-A6</v>
      </c>
      <c r="CY15" t="str">
        <f t="shared" si="40"/>
        <v>F0-M14-A30</v>
      </c>
      <c r="CZ15" t="str">
        <f t="shared" si="41"/>
        <v>F0-M14-N</v>
      </c>
      <c r="DA15" t="str">
        <f t="shared" si="26"/>
        <v>F0-A220-M14</v>
      </c>
      <c r="DB15" t="str">
        <f t="shared" si="42"/>
        <v>F0-M14-XM01</v>
      </c>
      <c r="DC15" t="str">
        <f t="shared" si="43"/>
        <v>F0-M14-A1</v>
      </c>
      <c r="DD15" t="str">
        <f t="shared" si="44"/>
        <v>F0-M14-A5</v>
      </c>
      <c r="DE15" t="str">
        <f t="shared" si="45"/>
        <v>F0-M14-A11</v>
      </c>
      <c r="DF15" t="str">
        <f t="shared" si="46"/>
        <v>F0-M14-A12</v>
      </c>
      <c r="DG15" t="str">
        <f t="shared" si="47"/>
        <v>F0-M14-A19</v>
      </c>
      <c r="DH15" t="str">
        <f t="shared" si="48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80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520</v>
      </c>
      <c r="U16" s="15">
        <v>15</v>
      </c>
      <c r="V16" s="15" t="s">
        <v>303</v>
      </c>
      <c r="W16" s="15"/>
      <c r="AC16" t="s">
        <v>244</v>
      </c>
      <c r="AF16" t="s">
        <v>240</v>
      </c>
      <c r="AG16" t="s">
        <v>242</v>
      </c>
      <c r="AH16" t="s">
        <v>249</v>
      </c>
      <c r="AI16" s="57" cm="1">
        <f t="array" ref="AI16">IF(COUNTIFS(AH$2:AH16,AH16)=1,"1",VALUE(SUBSTITUTE(INDEX(AI:AI,_xlfn.XMATCH(AH16,AH$1:AH15,0,-1)),"A",""))+INDEX(AJ:AJ,_xlfn.XMATCH(AH16,AH$1:AH15,0,-1))+1)</f>
        <v>13</v>
      </c>
      <c r="AJ16" s="57" cm="1">
        <f t="array" ref="AJ16">SUM(IF(ISNUMBER(FIND("TmDo",$BE$1:$AAL$1)),IF(IFERROR(ISNUMBER(VALUE(SUBSTITUTE($BE16:$AAL16,"B",""))),FALSE),IF(ISNUMBER(VALUE(SUBSTITUTE($BE16:$AAL16,"B",""))),1,0),0)))</f>
        <v>2</v>
      </c>
      <c r="AK16" t="str">
        <f t="shared" si="0"/>
        <v>13A</v>
      </c>
      <c r="AL16" t="str">
        <f t="shared" si="1"/>
        <v>13B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2"/>
        <v>XT15</v>
      </c>
      <c r="BF16" t="str">
        <f t="shared" si="3"/>
        <v>C26</v>
      </c>
      <c r="BG16" t="str">
        <f t="shared" si="4"/>
        <v>B26</v>
      </c>
      <c r="BH16" t="str">
        <f t="shared" si="5"/>
        <v>C27</v>
      </c>
      <c r="BI16" t="str">
        <f t="shared" si="6"/>
        <v>B27</v>
      </c>
      <c r="BJ16" t="str">
        <f t="shared" si="7"/>
        <v>C28</v>
      </c>
      <c r="BK16" t="str">
        <f t="shared" si="8"/>
        <v>B28</v>
      </c>
      <c r="BL16" t="str">
        <f t="shared" si="9"/>
        <v>C29</v>
      </c>
      <c r="BM16" t="str">
        <f t="shared" si="10"/>
        <v>B29</v>
      </c>
      <c r="BN16" t="str">
        <f t="shared" si="11"/>
        <v>C30</v>
      </c>
      <c r="BO16" t="str">
        <f t="shared" si="12"/>
        <v>B30</v>
      </c>
      <c r="BP16" t="str">
        <f t="shared" si="13"/>
        <v>14A</v>
      </c>
      <c r="BQ16" t="str">
        <f t="shared" si="14"/>
        <v>14B</v>
      </c>
      <c r="BR16" t="str">
        <f t="shared" si="15"/>
        <v>15A</v>
      </c>
      <c r="BS16" t="str">
        <f t="shared" si="16"/>
        <v>15B</v>
      </c>
      <c r="BT16" t="str">
        <f t="shared" si="17"/>
        <v>DI3-C25</v>
      </c>
      <c r="BU16" t="str">
        <f t="shared" si="18"/>
        <v>DI3-B25</v>
      </c>
      <c r="BV16" t="str">
        <f t="shared" si="19"/>
        <v>DI3-C26</v>
      </c>
      <c r="BW16" t="str">
        <f t="shared" si="19"/>
        <v>DI3-B26</v>
      </c>
      <c r="BX16" t="str">
        <f t="shared" si="19"/>
        <v>DI3-C27</v>
      </c>
      <c r="BY16" t="str">
        <f t="shared" si="19"/>
        <v>DI3-B27</v>
      </c>
      <c r="BZ16" t="str">
        <f t="shared" si="19"/>
        <v>DI3-C28</v>
      </c>
      <c r="CA16" t="str">
        <f t="shared" si="19"/>
        <v>DI3-B28</v>
      </c>
      <c r="CB16" t="str">
        <f t="shared" si="19"/>
        <v>DI3-C29</v>
      </c>
      <c r="CC16" t="str">
        <f t="shared" si="19"/>
        <v>DI3-B29</v>
      </c>
      <c r="CD16" t="str">
        <f t="shared" si="19"/>
        <v>DI3-C30</v>
      </c>
      <c r="CE16" t="str">
        <f t="shared" si="19"/>
        <v>DI3-B30</v>
      </c>
      <c r="CF16" t="str">
        <f t="shared" si="20"/>
        <v>DO2-13A</v>
      </c>
      <c r="CG16" t="str">
        <f t="shared" si="21"/>
        <v>DO2-13B</v>
      </c>
      <c r="CH16" t="str">
        <f t="shared" si="22"/>
        <v>DO2-14A</v>
      </c>
      <c r="CI16" t="str">
        <f t="shared" si="23"/>
        <v>DO2-14B</v>
      </c>
      <c r="CJ16" t="str">
        <f t="shared" si="24"/>
        <v>DO2-15A</v>
      </c>
      <c r="CK16" t="str">
        <f t="shared" si="25"/>
        <v>DO2-15B</v>
      </c>
      <c r="CL16" t="str">
        <f t="shared" si="27"/>
        <v>K15-10</v>
      </c>
      <c r="CM16" t="str">
        <f t="shared" si="28"/>
        <v>K15-03</v>
      </c>
      <c r="CN16" t="str">
        <f t="shared" si="29"/>
        <v>K15-04</v>
      </c>
      <c r="CO16" t="str">
        <f t="shared" si="30"/>
        <v>K15-01</v>
      </c>
      <c r="CP16" t="str">
        <f t="shared" si="31"/>
        <v>K15-08</v>
      </c>
      <c r="CQ16" t="str">
        <f t="shared" si="32"/>
        <v>K15-02</v>
      </c>
      <c r="CR16" t="str">
        <f t="shared" si="33"/>
        <v>K15-09</v>
      </c>
      <c r="CS16" t="str">
        <f t="shared" si="34"/>
        <v>K15-05</v>
      </c>
      <c r="CT16" t="str">
        <f t="shared" si="35"/>
        <v>K15-11</v>
      </c>
      <c r="CU16" t="str">
        <f t="shared" si="36"/>
        <v>F0-M15-A9</v>
      </c>
      <c r="CV16" t="str">
        <f t="shared" si="37"/>
        <v>F0-M15-A7</v>
      </c>
      <c r="CW16" t="str">
        <f t="shared" si="38"/>
        <v>F0-M15-A8</v>
      </c>
      <c r="CX16" t="str">
        <f t="shared" si="39"/>
        <v>F0-M15-A6</v>
      </c>
      <c r="CY16" t="str">
        <f t="shared" si="40"/>
        <v>F0-M15-A30</v>
      </c>
      <c r="CZ16" t="str">
        <f t="shared" si="41"/>
        <v>F0-M15-N</v>
      </c>
      <c r="DA16" t="str">
        <f t="shared" si="26"/>
        <v>F0-A220-M15</v>
      </c>
      <c r="DB16" t="str">
        <f t="shared" si="42"/>
        <v>F0-M15-XM01</v>
      </c>
      <c r="DC16" t="str">
        <f t="shared" si="43"/>
        <v>F0-M15-A1</v>
      </c>
      <c r="DD16" t="str">
        <f t="shared" si="44"/>
        <v>F0-M15-A5</v>
      </c>
      <c r="DE16" t="str">
        <f t="shared" si="45"/>
        <v>F0-M15-A11</v>
      </c>
      <c r="DF16" t="str">
        <f t="shared" si="46"/>
        <v>F0-M15-A12</v>
      </c>
      <c r="DG16" t="str">
        <f t="shared" si="47"/>
        <v>F0-M15-A19</v>
      </c>
      <c r="DH16" t="str">
        <f t="shared" si="48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520</v>
      </c>
      <c r="U17" s="15">
        <v>16</v>
      </c>
      <c r="V17" s="15" t="s">
        <v>304</v>
      </c>
      <c r="W17" s="15"/>
      <c r="AC17" t="s">
        <v>245</v>
      </c>
      <c r="AF17" t="s">
        <v>133</v>
      </c>
      <c r="AG17" t="s">
        <v>134</v>
      </c>
      <c r="AH17" t="s">
        <v>249</v>
      </c>
      <c r="AI17" s="57" cm="1">
        <f t="array" ref="AI17">IF(COUNTIFS(AH$2:AH17,AH17)=1,"1",VALUE(SUBSTITUTE(INDEX(AI:AI,_xlfn.XMATCH(AH17,AH$1:AH16,0,-1)),"A",""))+INDEX(AJ:AJ,_xlfn.XMATCH(AH17,AH$1:AH16,0,-1))+1)</f>
        <v>16</v>
      </c>
      <c r="AJ17" s="57" cm="1">
        <f t="array" ref="AJ17">SUM(IF(ISNUMBER(FIND("TmDo",$BE$1:$AAL$1)),IF(IFERROR(ISNUMBER(VALUE(SUBSTITUTE($BE17:$AAL17,"B",""))),FALSE),IF(ISNUMBER(VALUE(SUBSTITUTE($BE17:$AAL17,"B",""))),1,0),0)))</f>
        <v>2</v>
      </c>
      <c r="AK17" t="str">
        <f t="shared" si="0"/>
        <v>16A</v>
      </c>
      <c r="AL17" t="str">
        <f t="shared" si="1"/>
        <v>16B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2"/>
        <v>XT16</v>
      </c>
      <c r="BF17" t="str">
        <f t="shared" si="3"/>
        <v>C2</v>
      </c>
      <c r="BG17" t="str">
        <f t="shared" si="4"/>
        <v>B2</v>
      </c>
      <c r="BH17" t="str">
        <f t="shared" si="5"/>
        <v>C3</v>
      </c>
      <c r="BI17" t="str">
        <f t="shared" si="6"/>
        <v>B3</v>
      </c>
      <c r="BJ17" t="str">
        <f t="shared" si="7"/>
        <v>C4</v>
      </c>
      <c r="BK17" t="str">
        <f t="shared" si="8"/>
        <v>B4</v>
      </c>
      <c r="BL17" t="str">
        <f t="shared" si="9"/>
        <v>C5</v>
      </c>
      <c r="BM17" t="str">
        <f t="shared" si="10"/>
        <v>B5</v>
      </c>
      <c r="BN17" t="str">
        <f t="shared" si="11"/>
        <v>C6</v>
      </c>
      <c r="BO17" t="str">
        <f t="shared" si="12"/>
        <v>B6</v>
      </c>
      <c r="BP17" t="str">
        <f t="shared" si="13"/>
        <v>17A</v>
      </c>
      <c r="BQ17" t="str">
        <f t="shared" si="14"/>
        <v>17B</v>
      </c>
      <c r="BR17" t="str">
        <f t="shared" si="15"/>
        <v>18A</v>
      </c>
      <c r="BS17" t="str">
        <f t="shared" si="16"/>
        <v>18B</v>
      </c>
      <c r="BT17" t="str">
        <f t="shared" si="17"/>
        <v>DI4-C1</v>
      </c>
      <c r="BU17" t="str">
        <f t="shared" si="18"/>
        <v>DI4-B1</v>
      </c>
      <c r="BV17" t="str">
        <f t="shared" si="19"/>
        <v>DI4-C2</v>
      </c>
      <c r="BW17" t="str">
        <f t="shared" si="19"/>
        <v>DI4-B2</v>
      </c>
      <c r="BX17" t="str">
        <f t="shared" si="19"/>
        <v>DI4-C3</v>
      </c>
      <c r="BY17" t="str">
        <f t="shared" si="19"/>
        <v>DI4-B3</v>
      </c>
      <c r="BZ17" t="str">
        <f t="shared" si="19"/>
        <v>DI4-C4</v>
      </c>
      <c r="CA17" t="str">
        <f t="shared" si="19"/>
        <v>DI4-B4</v>
      </c>
      <c r="CB17" t="str">
        <f t="shared" si="19"/>
        <v>DI4-C5</v>
      </c>
      <c r="CC17" t="str">
        <f t="shared" si="19"/>
        <v>DI4-B5</v>
      </c>
      <c r="CD17" t="str">
        <f t="shared" si="19"/>
        <v>DI4-C6</v>
      </c>
      <c r="CE17" t="str">
        <f t="shared" si="19"/>
        <v>DI4-B6</v>
      </c>
      <c r="CF17" t="str">
        <f t="shared" si="20"/>
        <v>DO2-16A</v>
      </c>
      <c r="CG17" t="str">
        <f t="shared" si="21"/>
        <v>DO2-16B</v>
      </c>
      <c r="CH17" t="str">
        <f t="shared" si="22"/>
        <v>DO2-17A</v>
      </c>
      <c r="CI17" t="str">
        <f t="shared" si="23"/>
        <v>DO2-17B</v>
      </c>
      <c r="CJ17" t="str">
        <f t="shared" si="24"/>
        <v>DO2-18A</v>
      </c>
      <c r="CK17" t="str">
        <f t="shared" si="25"/>
        <v>DO2-18B</v>
      </c>
      <c r="CL17" t="str">
        <f t="shared" si="27"/>
        <v>K16-10</v>
      </c>
      <c r="CM17" t="str">
        <f t="shared" si="28"/>
        <v>K16-03</v>
      </c>
      <c r="CN17" t="str">
        <f t="shared" si="29"/>
        <v>K16-04</v>
      </c>
      <c r="CO17" t="str">
        <f t="shared" si="30"/>
        <v>K16-01</v>
      </c>
      <c r="CP17" t="str">
        <f t="shared" si="31"/>
        <v>K16-08</v>
      </c>
      <c r="CQ17" t="str">
        <f t="shared" si="32"/>
        <v>K16-02</v>
      </c>
      <c r="CR17" t="str">
        <f t="shared" si="33"/>
        <v>K16-09</v>
      </c>
      <c r="CS17" t="str">
        <f t="shared" si="34"/>
        <v>K16-05</v>
      </c>
      <c r="CT17" t="str">
        <f t="shared" si="35"/>
        <v>K16-11</v>
      </c>
      <c r="CU17" t="str">
        <f t="shared" si="36"/>
        <v>F0-M16-A9</v>
      </c>
      <c r="CV17" t="str">
        <f t="shared" si="37"/>
        <v>F0-M16-A7</v>
      </c>
      <c r="CW17" t="str">
        <f t="shared" si="38"/>
        <v>F0-M16-A8</v>
      </c>
      <c r="CX17" t="str">
        <f t="shared" si="39"/>
        <v>F0-M16-A6</v>
      </c>
      <c r="CY17" t="str">
        <f t="shared" si="40"/>
        <v>F0-M16-A30</v>
      </c>
      <c r="CZ17" t="str">
        <f t="shared" si="41"/>
        <v>F0-M16-N</v>
      </c>
      <c r="DA17" t="str">
        <f t="shared" si="26"/>
        <v>F0-A220-M16</v>
      </c>
      <c r="DB17" t="str">
        <f t="shared" si="42"/>
        <v>F0-M16-XM01</v>
      </c>
      <c r="DC17" t="str">
        <f t="shared" si="43"/>
        <v>F0-M16-A1</v>
      </c>
      <c r="DD17" t="str">
        <f t="shared" si="44"/>
        <v>F0-M16-A5</v>
      </c>
      <c r="DE17" t="str">
        <f t="shared" si="45"/>
        <v>F0-M16-A11</v>
      </c>
      <c r="DF17" t="str">
        <f t="shared" si="46"/>
        <v>F0-M16-A12</v>
      </c>
      <c r="DG17" t="str">
        <f t="shared" si="47"/>
        <v>F0-M16-A19</v>
      </c>
      <c r="DH17" t="str">
        <f t="shared" si="48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520</v>
      </c>
      <c r="U18" s="15">
        <v>17</v>
      </c>
      <c r="V18" s="15" t="s">
        <v>305</v>
      </c>
      <c r="W18" s="15"/>
      <c r="AC18" t="s">
        <v>245</v>
      </c>
      <c r="AF18" t="s">
        <v>148</v>
      </c>
      <c r="AG18" t="s">
        <v>149</v>
      </c>
      <c r="AH18" t="s">
        <v>249</v>
      </c>
      <c r="AI18" s="57" cm="1">
        <f t="array" ref="AI18">IF(COUNTIFS(AH$2:AH18,AH18)=1,"1",VALUE(SUBSTITUTE(INDEX(AI:AI,_xlfn.XMATCH(AH18,AH$1:AH17,0,-1)),"A",""))+INDEX(AJ:AJ,_xlfn.XMATCH(AH18,AH$1:AH17,0,-1))+1)</f>
        <v>19</v>
      </c>
      <c r="AJ18" s="57" cm="1">
        <f t="array" ref="AJ18">SUM(IF(ISNUMBER(FIND("TmDo",$BE$1:$AAL$1)),IF(IFERROR(ISNUMBER(VALUE(SUBSTITUTE($BE18:$AAL18,"B",""))),FALSE),IF(ISNUMBER(VALUE(SUBSTITUTE($BE18:$AAL18,"B",""))),1,0),0)))</f>
        <v>2</v>
      </c>
      <c r="AK18" t="str">
        <f t="shared" si="0"/>
        <v>19A</v>
      </c>
      <c r="AL18" t="str">
        <f t="shared" si="1"/>
        <v>19B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2"/>
        <v>XT17</v>
      </c>
      <c r="BF18" t="str">
        <f t="shared" si="3"/>
        <v>C8</v>
      </c>
      <c r="BG18" t="str">
        <f t="shared" si="4"/>
        <v>B8</v>
      </c>
      <c r="BH18" t="str">
        <f t="shared" si="5"/>
        <v>C9</v>
      </c>
      <c r="BI18" t="str">
        <f t="shared" si="6"/>
        <v>B9</v>
      </c>
      <c r="BJ18" t="str">
        <f t="shared" si="7"/>
        <v>C10</v>
      </c>
      <c r="BK18" t="str">
        <f t="shared" si="8"/>
        <v>B10</v>
      </c>
      <c r="BL18" t="str">
        <f t="shared" si="9"/>
        <v>C11</v>
      </c>
      <c r="BM18" t="str">
        <f t="shared" si="10"/>
        <v>B11</v>
      </c>
      <c r="BN18" t="str">
        <f t="shared" si="11"/>
        <v>C12</v>
      </c>
      <c r="BO18" t="str">
        <f t="shared" si="12"/>
        <v>B12</v>
      </c>
      <c r="BP18" t="str">
        <f t="shared" si="13"/>
        <v>20A</v>
      </c>
      <c r="BQ18" t="str">
        <f t="shared" si="14"/>
        <v>20B</v>
      </c>
      <c r="BR18" t="str">
        <f t="shared" si="15"/>
        <v>21A</v>
      </c>
      <c r="BS18" t="str">
        <f t="shared" si="16"/>
        <v>21B</v>
      </c>
      <c r="BT18" t="str">
        <f t="shared" si="17"/>
        <v>DI4-C7</v>
      </c>
      <c r="BU18" t="str">
        <f t="shared" si="18"/>
        <v>DI4-B7</v>
      </c>
      <c r="BV18" t="str">
        <f t="shared" ref="BV18:CE33" si="49">CONCATENATE("DI",REPLACE($AC18,1,3,""),"-",BF18)</f>
        <v>DI4-C8</v>
      </c>
      <c r="BW18" t="str">
        <f t="shared" si="49"/>
        <v>DI4-B8</v>
      </c>
      <c r="BX18" t="str">
        <f t="shared" si="49"/>
        <v>DI4-C9</v>
      </c>
      <c r="BY18" t="str">
        <f t="shared" si="49"/>
        <v>DI4-B9</v>
      </c>
      <c r="BZ18" t="str">
        <f t="shared" si="49"/>
        <v>DI4-C10</v>
      </c>
      <c r="CA18" t="str">
        <f t="shared" si="49"/>
        <v>DI4-B10</v>
      </c>
      <c r="CB18" t="str">
        <f t="shared" si="49"/>
        <v>DI4-C11</v>
      </c>
      <c r="CC18" t="str">
        <f t="shared" si="49"/>
        <v>DI4-B11</v>
      </c>
      <c r="CD18" t="str">
        <f t="shared" si="49"/>
        <v>DI4-C12</v>
      </c>
      <c r="CE18" t="str">
        <f t="shared" si="49"/>
        <v>DI4-B12</v>
      </c>
      <c r="CF18" t="str">
        <f t="shared" si="20"/>
        <v>DO2-19A</v>
      </c>
      <c r="CG18" t="str">
        <f t="shared" si="21"/>
        <v>DO2-19B</v>
      </c>
      <c r="CH18" t="str">
        <f t="shared" si="22"/>
        <v>DO2-20A</v>
      </c>
      <c r="CI18" t="str">
        <f t="shared" si="23"/>
        <v>DO2-20B</v>
      </c>
      <c r="CJ18" t="str">
        <f t="shared" si="24"/>
        <v>DO2-21A</v>
      </c>
      <c r="CK18" t="str">
        <f t="shared" si="25"/>
        <v>DO2-21B</v>
      </c>
      <c r="CL18" t="str">
        <f t="shared" si="27"/>
        <v>K17-10</v>
      </c>
      <c r="CM18" t="str">
        <f t="shared" si="28"/>
        <v>K17-03</v>
      </c>
      <c r="CN18" t="str">
        <f t="shared" si="29"/>
        <v>K17-04</v>
      </c>
      <c r="CO18" t="str">
        <f t="shared" si="30"/>
        <v>K17-01</v>
      </c>
      <c r="CP18" t="str">
        <f t="shared" si="31"/>
        <v>K17-08</v>
      </c>
      <c r="CQ18" t="str">
        <f t="shared" si="32"/>
        <v>K17-02</v>
      </c>
      <c r="CR18" t="str">
        <f t="shared" si="33"/>
        <v>K17-09</v>
      </c>
      <c r="CS18" t="str">
        <f t="shared" si="34"/>
        <v>K17-05</v>
      </c>
      <c r="CT18" t="str">
        <f t="shared" si="35"/>
        <v>K17-11</v>
      </c>
      <c r="CU18" t="str">
        <f t="shared" si="36"/>
        <v>F0-M17-A9</v>
      </c>
      <c r="CV18" t="str">
        <f t="shared" si="37"/>
        <v>F0-M17-A7</v>
      </c>
      <c r="CW18" t="str">
        <f t="shared" si="38"/>
        <v>F0-M17-A8</v>
      </c>
      <c r="CX18" t="str">
        <f t="shared" si="39"/>
        <v>F0-M17-A6</v>
      </c>
      <c r="CY18" t="str">
        <f t="shared" si="40"/>
        <v>F0-M17-A30</v>
      </c>
      <c r="CZ18" t="str">
        <f t="shared" si="41"/>
        <v>F0-M17-N</v>
      </c>
      <c r="DA18" t="str">
        <f t="shared" si="26"/>
        <v>F0-A220-M17</v>
      </c>
      <c r="DB18" t="str">
        <f t="shared" si="42"/>
        <v>F0-M17-XM01</v>
      </c>
      <c r="DC18" t="str">
        <f t="shared" si="43"/>
        <v>F0-M17-A1</v>
      </c>
      <c r="DD18" t="str">
        <f t="shared" si="44"/>
        <v>F0-M17-A5</v>
      </c>
      <c r="DE18" t="str">
        <f t="shared" si="45"/>
        <v>F0-M17-A11</v>
      </c>
      <c r="DF18" t="str">
        <f t="shared" si="46"/>
        <v>F0-M17-A12</v>
      </c>
      <c r="DG18" t="str">
        <f t="shared" si="47"/>
        <v>F0-M17-A19</v>
      </c>
      <c r="DH18" t="str">
        <f t="shared" si="48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520</v>
      </c>
      <c r="U19" s="15">
        <v>18</v>
      </c>
      <c r="V19" s="15" t="s">
        <v>306</v>
      </c>
      <c r="W19" s="15"/>
      <c r="AC19" t="s">
        <v>245</v>
      </c>
      <c r="AF19" t="s">
        <v>153</v>
      </c>
      <c r="AG19" t="s">
        <v>154</v>
      </c>
      <c r="AH19" t="s">
        <v>249</v>
      </c>
      <c r="AI19" s="57" cm="1">
        <f t="array" ref="AI19">IF(COUNTIFS(AH$2:AH19,AH19)=1,"1",VALUE(SUBSTITUTE(INDEX(AI:AI,_xlfn.XMATCH(AH19,AH$1:AH18,0,-1)),"A",""))+INDEX(AJ:AJ,_xlfn.XMATCH(AH19,AH$1:AH18,0,-1))+1)</f>
        <v>22</v>
      </c>
      <c r="AJ19" s="57" cm="1">
        <f t="array" ref="AJ19">SUM(IF(ISNUMBER(FIND("TmDo",$BE$1:$AAL$1)),IF(IFERROR(ISNUMBER(VALUE(SUBSTITUTE($BE19:$AAL19,"B",""))),FALSE),IF(ISNUMBER(VALUE(SUBSTITUTE($BE19:$AAL19,"B",""))),1,0),0)))</f>
        <v>2</v>
      </c>
      <c r="AK19" t="str">
        <f t="shared" si="0"/>
        <v>22A</v>
      </c>
      <c r="AL19" t="str">
        <f t="shared" si="1"/>
        <v>22B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2"/>
        <v>XT18</v>
      </c>
      <c r="BF19" t="str">
        <f t="shared" si="3"/>
        <v>C14</v>
      </c>
      <c r="BG19" t="str">
        <f t="shared" si="4"/>
        <v>B14</v>
      </c>
      <c r="BH19" t="str">
        <f t="shared" si="5"/>
        <v>C15</v>
      </c>
      <c r="BI19" t="str">
        <f t="shared" si="6"/>
        <v>B15</v>
      </c>
      <c r="BJ19" t="str">
        <f t="shared" si="7"/>
        <v>C16</v>
      </c>
      <c r="BK19" t="str">
        <f t="shared" si="8"/>
        <v>B16</v>
      </c>
      <c r="BL19" t="str">
        <f t="shared" si="9"/>
        <v>C17</v>
      </c>
      <c r="BM19" t="str">
        <f t="shared" si="10"/>
        <v>B17</v>
      </c>
      <c r="BN19" t="str">
        <f t="shared" si="11"/>
        <v>C18</v>
      </c>
      <c r="BO19" t="str">
        <f t="shared" si="12"/>
        <v>B18</v>
      </c>
      <c r="BP19" t="str">
        <f t="shared" si="13"/>
        <v>23A</v>
      </c>
      <c r="BQ19" t="str">
        <f t="shared" si="14"/>
        <v>23B</v>
      </c>
      <c r="BR19" t="str">
        <f t="shared" si="15"/>
        <v>24A</v>
      </c>
      <c r="BS19" t="str">
        <f t="shared" si="16"/>
        <v>24B</v>
      </c>
      <c r="BT19" t="str">
        <f t="shared" si="17"/>
        <v>DI4-C13</v>
      </c>
      <c r="BU19" t="str">
        <f t="shared" si="18"/>
        <v>DI4-B13</v>
      </c>
      <c r="BV19" t="str">
        <f t="shared" si="49"/>
        <v>DI4-C14</v>
      </c>
      <c r="BW19" t="str">
        <f t="shared" si="49"/>
        <v>DI4-B14</v>
      </c>
      <c r="BX19" t="str">
        <f t="shared" si="49"/>
        <v>DI4-C15</v>
      </c>
      <c r="BY19" t="str">
        <f t="shared" si="49"/>
        <v>DI4-B15</v>
      </c>
      <c r="BZ19" t="str">
        <f t="shared" si="49"/>
        <v>DI4-C16</v>
      </c>
      <c r="CA19" t="str">
        <f t="shared" si="49"/>
        <v>DI4-B16</v>
      </c>
      <c r="CB19" t="str">
        <f t="shared" si="49"/>
        <v>DI4-C17</v>
      </c>
      <c r="CC19" t="str">
        <f t="shared" si="49"/>
        <v>DI4-B17</v>
      </c>
      <c r="CD19" t="str">
        <f t="shared" si="49"/>
        <v>DI4-C18</v>
      </c>
      <c r="CE19" t="str">
        <f t="shared" si="49"/>
        <v>DI4-B18</v>
      </c>
      <c r="CF19" t="str">
        <f t="shared" si="20"/>
        <v>DO2-22A</v>
      </c>
      <c r="CG19" t="str">
        <f t="shared" si="21"/>
        <v>DO2-22B</v>
      </c>
      <c r="CH19" t="str">
        <f t="shared" si="22"/>
        <v>DO2-23A</v>
      </c>
      <c r="CI19" t="str">
        <f t="shared" si="23"/>
        <v>DO2-23B</v>
      </c>
      <c r="CJ19" t="str">
        <f t="shared" si="24"/>
        <v>DO2-24A</v>
      </c>
      <c r="CK19" t="str">
        <f t="shared" si="25"/>
        <v>DO2-24B</v>
      </c>
      <c r="CL19" t="str">
        <f t="shared" si="27"/>
        <v>K18-10</v>
      </c>
      <c r="CM19" t="str">
        <f t="shared" si="28"/>
        <v>K18-03</v>
      </c>
      <c r="CN19" t="str">
        <f t="shared" si="29"/>
        <v>K18-04</v>
      </c>
      <c r="CO19" t="str">
        <f t="shared" si="30"/>
        <v>K18-01</v>
      </c>
      <c r="CP19" t="str">
        <f t="shared" si="31"/>
        <v>K18-08</v>
      </c>
      <c r="CQ19" t="str">
        <f t="shared" si="32"/>
        <v>K18-02</v>
      </c>
      <c r="CR19" t="str">
        <f t="shared" si="33"/>
        <v>K18-09</v>
      </c>
      <c r="CS19" t="str">
        <f t="shared" si="34"/>
        <v>K18-05</v>
      </c>
      <c r="CT19" t="str">
        <f t="shared" si="35"/>
        <v>K18-11</v>
      </c>
      <c r="CU19" t="str">
        <f t="shared" si="36"/>
        <v>F0-M18-A9</v>
      </c>
      <c r="CV19" t="str">
        <f t="shared" si="37"/>
        <v>F0-M18-A7</v>
      </c>
      <c r="CW19" t="str">
        <f t="shared" si="38"/>
        <v>F0-M18-A8</v>
      </c>
      <c r="CX19" t="str">
        <f t="shared" si="39"/>
        <v>F0-M18-A6</v>
      </c>
      <c r="CY19" t="str">
        <f t="shared" si="40"/>
        <v>F0-M18-A30</v>
      </c>
      <c r="CZ19" t="str">
        <f t="shared" si="41"/>
        <v>F0-M18-N</v>
      </c>
      <c r="DA19" t="str">
        <f t="shared" si="26"/>
        <v>F0-A220-M18</v>
      </c>
      <c r="DB19" t="str">
        <f t="shared" si="42"/>
        <v>F0-M18-XM01</v>
      </c>
      <c r="DC19" t="str">
        <f t="shared" si="43"/>
        <v>F0-M18-A1</v>
      </c>
      <c r="DD19" t="str">
        <f t="shared" si="44"/>
        <v>F0-M18-A5</v>
      </c>
      <c r="DE19" t="str">
        <f t="shared" si="45"/>
        <v>F0-M18-A11</v>
      </c>
      <c r="DF19" t="str">
        <f t="shared" si="46"/>
        <v>F0-M18-A12</v>
      </c>
      <c r="DG19" t="str">
        <f t="shared" si="47"/>
        <v>F0-M18-A19</v>
      </c>
      <c r="DH19" t="str">
        <f t="shared" si="48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520</v>
      </c>
      <c r="U20" s="15">
        <v>19</v>
      </c>
      <c r="V20" s="15" t="s">
        <v>307</v>
      </c>
      <c r="W20" s="15"/>
      <c r="AC20" t="s">
        <v>245</v>
      </c>
      <c r="AF20" t="s">
        <v>239</v>
      </c>
      <c r="AG20" t="s">
        <v>241</v>
      </c>
      <c r="AH20" t="s">
        <v>249</v>
      </c>
      <c r="AI20" s="57" cm="1">
        <f t="array" ref="AI20">IF(COUNTIFS(AH$2:AH20,AH20)=1,"1",VALUE(SUBSTITUTE(INDEX(AI:AI,_xlfn.XMATCH(AH20,AH$1:AH19,0,-1)),"A",""))+INDEX(AJ:AJ,_xlfn.XMATCH(AH20,AH$1:AH19,0,-1))+1)</f>
        <v>25</v>
      </c>
      <c r="AJ20" s="57" cm="1">
        <f t="array" ref="AJ20">SUM(IF(ISNUMBER(FIND("TmDo",$BE$1:$AAL$1)),IF(IFERROR(ISNUMBER(VALUE(SUBSTITUTE($BE20:$AAL20,"B",""))),FALSE),IF(ISNUMBER(VALUE(SUBSTITUTE($BE20:$AAL20,"B",""))),1,0),0)))</f>
        <v>2</v>
      </c>
      <c r="AK20" t="str">
        <f t="shared" si="0"/>
        <v>25A</v>
      </c>
      <c r="AL20" t="str">
        <f t="shared" si="1"/>
        <v>25B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2"/>
        <v>XT19</v>
      </c>
      <c r="BF20" t="str">
        <f t="shared" si="3"/>
        <v>C20</v>
      </c>
      <c r="BG20" t="str">
        <f t="shared" si="4"/>
        <v>B20</v>
      </c>
      <c r="BH20" t="str">
        <f t="shared" si="5"/>
        <v>C21</v>
      </c>
      <c r="BI20" t="str">
        <f t="shared" si="6"/>
        <v>B21</v>
      </c>
      <c r="BJ20" t="str">
        <f t="shared" si="7"/>
        <v>C22</v>
      </c>
      <c r="BK20" t="str">
        <f t="shared" si="8"/>
        <v>B22</v>
      </c>
      <c r="BL20" t="str">
        <f t="shared" si="9"/>
        <v>C23</v>
      </c>
      <c r="BM20" t="str">
        <f t="shared" si="10"/>
        <v>B23</v>
      </c>
      <c r="BN20" t="str">
        <f t="shared" si="11"/>
        <v>C24</v>
      </c>
      <c r="BO20" t="str">
        <f t="shared" si="12"/>
        <v>B24</v>
      </c>
      <c r="BP20" t="str">
        <f t="shared" si="13"/>
        <v>26A</v>
      </c>
      <c r="BQ20" t="str">
        <f t="shared" si="14"/>
        <v>26B</v>
      </c>
      <c r="BR20" t="str">
        <f t="shared" si="15"/>
        <v>27A</v>
      </c>
      <c r="BS20" t="str">
        <f t="shared" si="16"/>
        <v>27B</v>
      </c>
      <c r="BT20" t="str">
        <f t="shared" si="17"/>
        <v>DI4-C19</v>
      </c>
      <c r="BU20" t="str">
        <f t="shared" si="18"/>
        <v>DI4-B19</v>
      </c>
      <c r="BV20" t="str">
        <f t="shared" si="49"/>
        <v>DI4-C20</v>
      </c>
      <c r="BW20" t="str">
        <f t="shared" si="49"/>
        <v>DI4-B20</v>
      </c>
      <c r="BX20" t="str">
        <f t="shared" si="49"/>
        <v>DI4-C21</v>
      </c>
      <c r="BY20" t="str">
        <f t="shared" si="49"/>
        <v>DI4-B21</v>
      </c>
      <c r="BZ20" t="str">
        <f t="shared" si="49"/>
        <v>DI4-C22</v>
      </c>
      <c r="CA20" t="str">
        <f t="shared" si="49"/>
        <v>DI4-B22</v>
      </c>
      <c r="CB20" t="str">
        <f t="shared" si="49"/>
        <v>DI4-C23</v>
      </c>
      <c r="CC20" t="str">
        <f t="shared" si="49"/>
        <v>DI4-B23</v>
      </c>
      <c r="CD20" t="str">
        <f t="shared" si="49"/>
        <v>DI4-C24</v>
      </c>
      <c r="CE20" t="str">
        <f t="shared" si="49"/>
        <v>DI4-B24</v>
      </c>
      <c r="CF20" t="str">
        <f t="shared" si="20"/>
        <v>DO2-25A</v>
      </c>
      <c r="CG20" t="str">
        <f t="shared" si="21"/>
        <v>DO2-25B</v>
      </c>
      <c r="CH20" t="str">
        <f t="shared" si="22"/>
        <v>DO2-26A</v>
      </c>
      <c r="CI20" t="str">
        <f t="shared" si="23"/>
        <v>DO2-26B</v>
      </c>
      <c r="CJ20" t="str">
        <f t="shared" si="24"/>
        <v>DO2-27A</v>
      </c>
      <c r="CK20" t="str">
        <f t="shared" si="25"/>
        <v>DO2-27B</v>
      </c>
      <c r="CL20" t="str">
        <f t="shared" si="27"/>
        <v>K19-10</v>
      </c>
      <c r="CM20" t="str">
        <f t="shared" si="28"/>
        <v>K19-03</v>
      </c>
      <c r="CN20" t="str">
        <f t="shared" si="29"/>
        <v>K19-04</v>
      </c>
      <c r="CO20" t="str">
        <f t="shared" si="30"/>
        <v>K19-01</v>
      </c>
      <c r="CP20" t="str">
        <f t="shared" si="31"/>
        <v>K19-08</v>
      </c>
      <c r="CQ20" t="str">
        <f t="shared" si="32"/>
        <v>K19-02</v>
      </c>
      <c r="CR20" t="str">
        <f t="shared" si="33"/>
        <v>K19-09</v>
      </c>
      <c r="CS20" t="str">
        <f t="shared" si="34"/>
        <v>K19-05</v>
      </c>
      <c r="CT20" t="str">
        <f t="shared" si="35"/>
        <v>K19-11</v>
      </c>
      <c r="CU20" t="str">
        <f t="shared" si="36"/>
        <v>F0-M19-A9</v>
      </c>
      <c r="CV20" t="str">
        <f t="shared" si="37"/>
        <v>F0-M19-A7</v>
      </c>
      <c r="CW20" t="str">
        <f t="shared" si="38"/>
        <v>F0-M19-A8</v>
      </c>
      <c r="CX20" t="str">
        <f t="shared" si="39"/>
        <v>F0-M19-A6</v>
      </c>
      <c r="CY20" t="str">
        <f t="shared" si="40"/>
        <v>F0-M19-A30</v>
      </c>
      <c r="CZ20" t="str">
        <f t="shared" si="41"/>
        <v>F0-M19-N</v>
      </c>
      <c r="DA20" t="str">
        <f t="shared" si="26"/>
        <v>F0-A220-M19</v>
      </c>
      <c r="DB20" t="str">
        <f t="shared" si="42"/>
        <v>F0-M19-XM01</v>
      </c>
      <c r="DC20" t="str">
        <f t="shared" si="43"/>
        <v>F0-M19-A1</v>
      </c>
      <c r="DD20" t="str">
        <f t="shared" si="44"/>
        <v>F0-M19-A5</v>
      </c>
      <c r="DE20" t="str">
        <f t="shared" si="45"/>
        <v>F0-M19-A11</v>
      </c>
      <c r="DF20" t="str">
        <f t="shared" si="46"/>
        <v>F0-M19-A12</v>
      </c>
      <c r="DG20" t="str">
        <f t="shared" si="47"/>
        <v>F0-M19-A19</v>
      </c>
      <c r="DH20" t="str">
        <f t="shared" si="48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520</v>
      </c>
      <c r="U21" s="15">
        <v>20</v>
      </c>
      <c r="V21" s="15" t="s">
        <v>308</v>
      </c>
      <c r="W21" s="15"/>
      <c r="AC21" t="s">
        <v>245</v>
      </c>
      <c r="AF21" t="s">
        <v>240</v>
      </c>
      <c r="AG21" t="s">
        <v>242</v>
      </c>
      <c r="AH21" t="s">
        <v>249</v>
      </c>
      <c r="AI21" s="57" cm="1">
        <f t="array" ref="AI21">IF(COUNTIFS(AH$2:AH21,AH21)=1,"1",VALUE(SUBSTITUTE(INDEX(AI:AI,_xlfn.XMATCH(AH21,AH$1:AH20,0,-1)),"A",""))+INDEX(AJ:AJ,_xlfn.XMATCH(AH21,AH$1:AH20,0,-1))+1)</f>
        <v>28</v>
      </c>
      <c r="AJ21" s="57" cm="1">
        <f t="array" ref="AJ21">SUM(IF(ISNUMBER(FIND("TmDo",$BE$1:$AAL$1)),IF(IFERROR(ISNUMBER(VALUE(SUBSTITUTE($BE21:$AAL21,"B",""))),FALSE),IF(ISNUMBER(VALUE(SUBSTITUTE($BE21:$AAL21,"B",""))),1,0),0)))</f>
        <v>2</v>
      </c>
      <c r="AK21" t="str">
        <f t="shared" si="0"/>
        <v>28A</v>
      </c>
      <c r="AL21" t="str">
        <f t="shared" si="1"/>
        <v>28B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2"/>
        <v>XT20</v>
      </c>
      <c r="BF21" t="str">
        <f t="shared" si="3"/>
        <v>C26</v>
      </c>
      <c r="BG21" t="str">
        <f t="shared" si="4"/>
        <v>B26</v>
      </c>
      <c r="BH21" t="str">
        <f t="shared" si="5"/>
        <v>C27</v>
      </c>
      <c r="BI21" t="str">
        <f t="shared" si="6"/>
        <v>B27</v>
      </c>
      <c r="BJ21" t="str">
        <f t="shared" si="7"/>
        <v>C28</v>
      </c>
      <c r="BK21" t="str">
        <f t="shared" si="8"/>
        <v>B28</v>
      </c>
      <c r="BL21" t="str">
        <f t="shared" si="9"/>
        <v>C29</v>
      </c>
      <c r="BM21" t="str">
        <f t="shared" si="10"/>
        <v>B29</v>
      </c>
      <c r="BN21" t="str">
        <f t="shared" si="11"/>
        <v>C30</v>
      </c>
      <c r="BO21" t="str">
        <f t="shared" si="12"/>
        <v>B30</v>
      </c>
      <c r="BP21" t="str">
        <f t="shared" si="13"/>
        <v>29A</v>
      </c>
      <c r="BQ21" t="str">
        <f t="shared" si="14"/>
        <v>29B</v>
      </c>
      <c r="BR21" t="str">
        <f t="shared" si="15"/>
        <v>30A</v>
      </c>
      <c r="BS21" t="str">
        <f t="shared" si="16"/>
        <v>30B</v>
      </c>
      <c r="BT21" t="str">
        <f t="shared" si="17"/>
        <v>DI4-C25</v>
      </c>
      <c r="BU21" t="str">
        <f t="shared" si="18"/>
        <v>DI4-B25</v>
      </c>
      <c r="BV21" t="str">
        <f t="shared" si="49"/>
        <v>DI4-C26</v>
      </c>
      <c r="BW21" t="str">
        <f t="shared" si="49"/>
        <v>DI4-B26</v>
      </c>
      <c r="BX21" t="str">
        <f t="shared" si="49"/>
        <v>DI4-C27</v>
      </c>
      <c r="BY21" t="str">
        <f t="shared" si="49"/>
        <v>DI4-B27</v>
      </c>
      <c r="BZ21" t="str">
        <f t="shared" si="49"/>
        <v>DI4-C28</v>
      </c>
      <c r="CA21" t="str">
        <f t="shared" si="49"/>
        <v>DI4-B28</v>
      </c>
      <c r="CB21" t="str">
        <f t="shared" si="49"/>
        <v>DI4-C29</v>
      </c>
      <c r="CC21" t="str">
        <f t="shared" si="49"/>
        <v>DI4-B29</v>
      </c>
      <c r="CD21" t="str">
        <f t="shared" si="49"/>
        <v>DI4-C30</v>
      </c>
      <c r="CE21" t="str">
        <f t="shared" si="49"/>
        <v>DI4-B30</v>
      </c>
      <c r="CF21" t="str">
        <f t="shared" si="20"/>
        <v>DO2-28A</v>
      </c>
      <c r="CG21" t="str">
        <f t="shared" si="21"/>
        <v>DO2-28B</v>
      </c>
      <c r="CH21" t="str">
        <f t="shared" si="22"/>
        <v>DO2-29A</v>
      </c>
      <c r="CI21" t="str">
        <f t="shared" si="23"/>
        <v>DO2-29B</v>
      </c>
      <c r="CJ21" t="str">
        <f t="shared" si="24"/>
        <v>DO2-30A</v>
      </c>
      <c r="CK21" t="str">
        <f t="shared" si="25"/>
        <v>DO2-30B</v>
      </c>
      <c r="CL21" t="str">
        <f t="shared" si="27"/>
        <v>K20-10</v>
      </c>
      <c r="CM21" t="str">
        <f t="shared" si="28"/>
        <v>K20-03</v>
      </c>
      <c r="CN21" t="str">
        <f t="shared" si="29"/>
        <v>K20-04</v>
      </c>
      <c r="CO21" t="str">
        <f t="shared" si="30"/>
        <v>K20-01</v>
      </c>
      <c r="CP21" t="str">
        <f t="shared" si="31"/>
        <v>K20-08</v>
      </c>
      <c r="CQ21" t="str">
        <f t="shared" si="32"/>
        <v>K20-02</v>
      </c>
      <c r="CR21" t="str">
        <f t="shared" si="33"/>
        <v>K20-09</v>
      </c>
      <c r="CS21" t="str">
        <f t="shared" si="34"/>
        <v>K20-05</v>
      </c>
      <c r="CT21" t="str">
        <f t="shared" si="35"/>
        <v>K20-11</v>
      </c>
      <c r="CU21" t="str">
        <f t="shared" si="36"/>
        <v>F0-M20-A9</v>
      </c>
      <c r="CV21" t="str">
        <f t="shared" si="37"/>
        <v>F0-M20-A7</v>
      </c>
      <c r="CW21" t="str">
        <f t="shared" si="38"/>
        <v>F0-M20-A8</v>
      </c>
      <c r="CX21" t="str">
        <f t="shared" si="39"/>
        <v>F0-M20-A6</v>
      </c>
      <c r="CY21" t="str">
        <f t="shared" si="40"/>
        <v>F0-M20-A30</v>
      </c>
      <c r="CZ21" t="str">
        <f t="shared" si="41"/>
        <v>F0-M20-N</v>
      </c>
      <c r="DA21" t="str">
        <f t="shared" si="26"/>
        <v>F0-A220-M20</v>
      </c>
      <c r="DB21" t="str">
        <f t="shared" si="42"/>
        <v>F0-M20-XM01</v>
      </c>
      <c r="DC21" t="str">
        <f t="shared" si="43"/>
        <v>F0-M20-A1</v>
      </c>
      <c r="DD21" t="str">
        <f t="shared" si="44"/>
        <v>F0-M20-A5</v>
      </c>
      <c r="DE21" t="str">
        <f t="shared" si="45"/>
        <v>F0-M20-A11</v>
      </c>
      <c r="DF21" t="str">
        <f t="shared" si="46"/>
        <v>F0-M20-A12</v>
      </c>
      <c r="DG21" t="str">
        <f t="shared" si="47"/>
        <v>F0-M20-A19</v>
      </c>
      <c r="DH21" t="str">
        <f t="shared" si="48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520</v>
      </c>
      <c r="U22" s="15">
        <v>21</v>
      </c>
      <c r="V22" s="15" t="s">
        <v>309</v>
      </c>
      <c r="W22" s="15"/>
      <c r="AC22" t="s">
        <v>246</v>
      </c>
      <c r="AF22" t="s">
        <v>133</v>
      </c>
      <c r="AG22" t="s">
        <v>134</v>
      </c>
      <c r="AH22" t="s">
        <v>250</v>
      </c>
      <c r="AI22" s="57" t="str" cm="1">
        <f t="array" ref="AI22">IF(COUNTIFS(AH$2:AH22,AH22)=1,"1",VALUE(SUBSTITUTE(INDEX(AI:AI,_xlfn.XMATCH(AH22,AH$1:AH21,0,-1)),"A",""))+INDEX(AJ:AJ,_xlfn.XMATCH(AH22,AH$1:AH21,0,-1))+1)</f>
        <v>1</v>
      </c>
      <c r="AJ22" s="57" cm="1">
        <f t="array" ref="AJ22">SUM(IF(ISNUMBER(FIND("TmDo",$BE$1:$AAL$1)),IF(IFERROR(ISNUMBER(VALUE(SUBSTITUTE($BE22:$AAL22,"B",""))),FALSE),IF(ISNUMBER(VALUE(SUBSTITUTE($BE22:$AAL22,"B",""))),1,0),0)))</f>
        <v>2</v>
      </c>
      <c r="AK22" t="str">
        <f t="shared" si="0"/>
        <v>1A</v>
      </c>
      <c r="AL22" t="str">
        <f t="shared" si="1"/>
        <v>1B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2"/>
        <v>XT21</v>
      </c>
      <c r="BF22" t="str">
        <f t="shared" si="3"/>
        <v>C2</v>
      </c>
      <c r="BG22" t="str">
        <f t="shared" si="4"/>
        <v>B2</v>
      </c>
      <c r="BH22" t="str">
        <f t="shared" si="5"/>
        <v>C3</v>
      </c>
      <c r="BI22" t="str">
        <f t="shared" si="6"/>
        <v>B3</v>
      </c>
      <c r="BJ22" t="str">
        <f t="shared" si="7"/>
        <v>C4</v>
      </c>
      <c r="BK22" t="str">
        <f t="shared" si="8"/>
        <v>B4</v>
      </c>
      <c r="BL22" t="str">
        <f t="shared" si="9"/>
        <v>C5</v>
      </c>
      <c r="BM22" t="str">
        <f t="shared" si="10"/>
        <v>B5</v>
      </c>
      <c r="BN22" t="str">
        <f t="shared" si="11"/>
        <v>C6</v>
      </c>
      <c r="BO22" t="str">
        <f t="shared" si="12"/>
        <v>B6</v>
      </c>
      <c r="BP22" t="str">
        <f t="shared" si="13"/>
        <v>2A</v>
      </c>
      <c r="BQ22" t="str">
        <f t="shared" si="14"/>
        <v>2B</v>
      </c>
      <c r="BR22" t="str">
        <f t="shared" si="15"/>
        <v>3A</v>
      </c>
      <c r="BS22" t="str">
        <f t="shared" si="16"/>
        <v>3B</v>
      </c>
      <c r="BT22" t="str">
        <f t="shared" si="17"/>
        <v>DI5-C1</v>
      </c>
      <c r="BU22" t="str">
        <f t="shared" si="18"/>
        <v>DI5-B1</v>
      </c>
      <c r="BV22" t="str">
        <f t="shared" si="49"/>
        <v>DI5-C2</v>
      </c>
      <c r="BW22" t="str">
        <f t="shared" si="49"/>
        <v>DI5-B2</v>
      </c>
      <c r="BX22" t="str">
        <f t="shared" si="49"/>
        <v>DI5-C3</v>
      </c>
      <c r="BY22" t="str">
        <f t="shared" si="49"/>
        <v>DI5-B3</v>
      </c>
      <c r="BZ22" t="str">
        <f t="shared" si="49"/>
        <v>DI5-C4</v>
      </c>
      <c r="CA22" t="str">
        <f t="shared" si="49"/>
        <v>DI5-B4</v>
      </c>
      <c r="CB22" t="str">
        <f t="shared" si="49"/>
        <v>DI5-C5</v>
      </c>
      <c r="CC22" t="str">
        <f t="shared" si="49"/>
        <v>DI5-B5</v>
      </c>
      <c r="CD22" t="str">
        <f t="shared" si="49"/>
        <v>DI5-C6</v>
      </c>
      <c r="CE22" t="str">
        <f t="shared" si="49"/>
        <v>DI5-B6</v>
      </c>
      <c r="CF22" t="str">
        <f t="shared" si="20"/>
        <v>DO3-1A</v>
      </c>
      <c r="CG22" t="str">
        <f t="shared" si="21"/>
        <v>DO3-1B</v>
      </c>
      <c r="CH22" t="str">
        <f t="shared" si="22"/>
        <v>DO3-2A</v>
      </c>
      <c r="CI22" t="str">
        <f t="shared" si="23"/>
        <v>DO3-2B</v>
      </c>
      <c r="CJ22" t="str">
        <f t="shared" si="24"/>
        <v>DO3-3A</v>
      </c>
      <c r="CK22" t="str">
        <f t="shared" si="25"/>
        <v>DO3-3B</v>
      </c>
      <c r="CL22" t="str">
        <f t="shared" si="27"/>
        <v>K21-10</v>
      </c>
      <c r="CM22" t="str">
        <f t="shared" si="28"/>
        <v>K21-03</v>
      </c>
      <c r="CN22" t="str">
        <f t="shared" si="29"/>
        <v>K21-04</v>
      </c>
      <c r="CO22" t="str">
        <f t="shared" si="30"/>
        <v>K21-01</v>
      </c>
      <c r="CP22" t="str">
        <f t="shared" si="31"/>
        <v>K21-08</v>
      </c>
      <c r="CQ22" t="str">
        <f t="shared" si="32"/>
        <v>K21-02</v>
      </c>
      <c r="CR22" t="str">
        <f t="shared" si="33"/>
        <v>K21-09</v>
      </c>
      <c r="CS22" t="str">
        <f t="shared" si="34"/>
        <v>K21-05</v>
      </c>
      <c r="CT22" t="str">
        <f t="shared" si="35"/>
        <v>K21-11</v>
      </c>
      <c r="CU22" t="str">
        <f t="shared" si="36"/>
        <v>F0-M21-A9</v>
      </c>
      <c r="CV22" t="str">
        <f t="shared" si="37"/>
        <v>F0-M21-A7</v>
      </c>
      <c r="CW22" t="str">
        <f t="shared" si="38"/>
        <v>F0-M21-A8</v>
      </c>
      <c r="CX22" t="str">
        <f t="shared" si="39"/>
        <v>F0-M21-A6</v>
      </c>
      <c r="CY22" t="str">
        <f t="shared" si="40"/>
        <v>F0-M21-A30</v>
      </c>
      <c r="CZ22" t="str">
        <f t="shared" si="41"/>
        <v>F0-M21-N</v>
      </c>
      <c r="DA22" t="str">
        <f t="shared" si="26"/>
        <v>F0-A220-M21</v>
      </c>
      <c r="DB22" t="str">
        <f t="shared" si="42"/>
        <v>F0-M21-XM01</v>
      </c>
      <c r="DC22" t="str">
        <f t="shared" si="43"/>
        <v>F0-M21-A1</v>
      </c>
      <c r="DD22" t="str">
        <f t="shared" si="44"/>
        <v>F0-M21-A5</v>
      </c>
      <c r="DE22" t="str">
        <f t="shared" si="45"/>
        <v>F0-M21-A11</v>
      </c>
      <c r="DF22" t="str">
        <f t="shared" si="46"/>
        <v>F0-M21-A12</v>
      </c>
      <c r="DG22" t="str">
        <f t="shared" si="47"/>
        <v>F0-M21-A19</v>
      </c>
      <c r="DH22" t="str">
        <f t="shared" si="48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520</v>
      </c>
      <c r="U23" s="15">
        <v>22</v>
      </c>
      <c r="V23" s="15" t="s">
        <v>310</v>
      </c>
      <c r="W23" s="15"/>
      <c r="AC23" t="s">
        <v>246</v>
      </c>
      <c r="AF23" t="s">
        <v>148</v>
      </c>
      <c r="AG23" t="s">
        <v>149</v>
      </c>
      <c r="AH23" t="s">
        <v>250</v>
      </c>
      <c r="AI23" s="57" cm="1">
        <f t="array" ref="AI23">IF(COUNTIFS(AH$2:AH23,AH23)=1,"1",VALUE(SUBSTITUTE(INDEX(AI:AI,_xlfn.XMATCH(AH23,AH$1:AH22,0,-1)),"A",""))+INDEX(AJ:AJ,_xlfn.XMATCH(AH23,AH$1:AH22,0,-1))+1)</f>
        <v>4</v>
      </c>
      <c r="AJ23" s="57" cm="1">
        <f t="array" ref="AJ23">SUM(IF(ISNUMBER(FIND("TmDo",$BE$1:$AAL$1)),IF(IFERROR(ISNUMBER(VALUE(SUBSTITUTE($BE23:$AAL23,"B",""))),FALSE),IF(ISNUMBER(VALUE(SUBSTITUTE($BE23:$AAL23,"B",""))),1,0),0)))</f>
        <v>2</v>
      </c>
      <c r="AK23" t="str">
        <f t="shared" si="0"/>
        <v>4A</v>
      </c>
      <c r="AL23" t="str">
        <f t="shared" si="1"/>
        <v>4B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2"/>
        <v>XT22</v>
      </c>
      <c r="BF23" t="str">
        <f t="shared" si="3"/>
        <v>C8</v>
      </c>
      <c r="BG23" t="str">
        <f t="shared" si="4"/>
        <v>B8</v>
      </c>
      <c r="BH23" t="str">
        <f t="shared" si="5"/>
        <v>C9</v>
      </c>
      <c r="BI23" t="str">
        <f t="shared" si="6"/>
        <v>B9</v>
      </c>
      <c r="BJ23" t="str">
        <f t="shared" si="7"/>
        <v>C10</v>
      </c>
      <c r="BK23" t="str">
        <f t="shared" si="8"/>
        <v>B10</v>
      </c>
      <c r="BL23" t="str">
        <f t="shared" si="9"/>
        <v>C11</v>
      </c>
      <c r="BM23" t="str">
        <f t="shared" si="10"/>
        <v>B11</v>
      </c>
      <c r="BN23" t="str">
        <f t="shared" si="11"/>
        <v>C12</v>
      </c>
      <c r="BO23" t="str">
        <f t="shared" si="12"/>
        <v>B12</v>
      </c>
      <c r="BP23" t="str">
        <f t="shared" si="13"/>
        <v>5A</v>
      </c>
      <c r="BQ23" t="str">
        <f t="shared" si="14"/>
        <v>5B</v>
      </c>
      <c r="BR23" t="str">
        <f t="shared" si="15"/>
        <v>6A</v>
      </c>
      <c r="BS23" t="str">
        <f t="shared" si="16"/>
        <v>6B</v>
      </c>
      <c r="BT23" t="str">
        <f t="shared" si="17"/>
        <v>DI5-C7</v>
      </c>
      <c r="BU23" t="str">
        <f t="shared" si="18"/>
        <v>DI5-B7</v>
      </c>
      <c r="BV23" t="str">
        <f t="shared" si="49"/>
        <v>DI5-C8</v>
      </c>
      <c r="BW23" t="str">
        <f t="shared" si="49"/>
        <v>DI5-B8</v>
      </c>
      <c r="BX23" t="str">
        <f t="shared" si="49"/>
        <v>DI5-C9</v>
      </c>
      <c r="BY23" t="str">
        <f t="shared" si="49"/>
        <v>DI5-B9</v>
      </c>
      <c r="BZ23" t="str">
        <f t="shared" si="49"/>
        <v>DI5-C10</v>
      </c>
      <c r="CA23" t="str">
        <f t="shared" si="49"/>
        <v>DI5-B10</v>
      </c>
      <c r="CB23" t="str">
        <f t="shared" si="49"/>
        <v>DI5-C11</v>
      </c>
      <c r="CC23" t="str">
        <f t="shared" si="49"/>
        <v>DI5-B11</v>
      </c>
      <c r="CD23" t="str">
        <f t="shared" si="49"/>
        <v>DI5-C12</v>
      </c>
      <c r="CE23" t="str">
        <f t="shared" si="49"/>
        <v>DI5-B12</v>
      </c>
      <c r="CF23" t="str">
        <f t="shared" si="20"/>
        <v>DO3-4A</v>
      </c>
      <c r="CG23" t="str">
        <f t="shared" si="21"/>
        <v>DO3-4B</v>
      </c>
      <c r="CH23" t="str">
        <f t="shared" si="22"/>
        <v>DO3-5A</v>
      </c>
      <c r="CI23" t="str">
        <f t="shared" si="23"/>
        <v>DO3-5B</v>
      </c>
      <c r="CJ23" t="str">
        <f t="shared" si="24"/>
        <v>DO3-6A</v>
      </c>
      <c r="CK23" t="str">
        <f t="shared" si="25"/>
        <v>DO3-6B</v>
      </c>
      <c r="CL23" t="str">
        <f t="shared" si="27"/>
        <v>K22-10</v>
      </c>
      <c r="CM23" t="str">
        <f t="shared" si="28"/>
        <v>K22-03</v>
      </c>
      <c r="CN23" t="str">
        <f t="shared" si="29"/>
        <v>K22-04</v>
      </c>
      <c r="CO23" t="str">
        <f t="shared" si="30"/>
        <v>K22-01</v>
      </c>
      <c r="CP23" t="str">
        <f t="shared" si="31"/>
        <v>K22-08</v>
      </c>
      <c r="CQ23" t="str">
        <f t="shared" si="32"/>
        <v>K22-02</v>
      </c>
      <c r="CR23" t="str">
        <f t="shared" si="33"/>
        <v>K22-09</v>
      </c>
      <c r="CS23" t="str">
        <f t="shared" si="34"/>
        <v>K22-05</v>
      </c>
      <c r="CT23" t="str">
        <f t="shared" si="35"/>
        <v>K22-11</v>
      </c>
      <c r="CU23" t="str">
        <f t="shared" si="36"/>
        <v>F0-M22-A9</v>
      </c>
      <c r="CV23" t="str">
        <f t="shared" si="37"/>
        <v>F0-M22-A7</v>
      </c>
      <c r="CW23" t="str">
        <f t="shared" si="38"/>
        <v>F0-M22-A8</v>
      </c>
      <c r="CX23" t="str">
        <f t="shared" si="39"/>
        <v>F0-M22-A6</v>
      </c>
      <c r="CY23" t="str">
        <f t="shared" si="40"/>
        <v>F0-M22-A30</v>
      </c>
      <c r="CZ23" t="str">
        <f t="shared" si="41"/>
        <v>F0-M22-N</v>
      </c>
      <c r="DA23" t="str">
        <f t="shared" si="26"/>
        <v>F0-A220-M22</v>
      </c>
      <c r="DB23" t="str">
        <f t="shared" si="42"/>
        <v>F0-M22-XM01</v>
      </c>
      <c r="DC23" t="str">
        <f t="shared" si="43"/>
        <v>F0-M22-A1</v>
      </c>
      <c r="DD23" t="str">
        <f t="shared" si="44"/>
        <v>F0-M22-A5</v>
      </c>
      <c r="DE23" t="str">
        <f t="shared" si="45"/>
        <v>F0-M22-A11</v>
      </c>
      <c r="DF23" t="str">
        <f t="shared" si="46"/>
        <v>F0-M22-A12</v>
      </c>
      <c r="DG23" t="str">
        <f t="shared" si="47"/>
        <v>F0-M22-A19</v>
      </c>
      <c r="DH23" t="str">
        <f t="shared" si="48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520</v>
      </c>
      <c r="U24" s="15">
        <v>23</v>
      </c>
      <c r="V24" s="15" t="s">
        <v>311</v>
      </c>
      <c r="W24" s="15"/>
      <c r="AC24" t="s">
        <v>246</v>
      </c>
      <c r="AF24" t="s">
        <v>153</v>
      </c>
      <c r="AG24" t="s">
        <v>154</v>
      </c>
      <c r="AH24" t="s">
        <v>250</v>
      </c>
      <c r="AI24" s="57" cm="1">
        <f t="array" ref="AI24">IF(COUNTIFS(AH$2:AH24,AH24)=1,"1",VALUE(SUBSTITUTE(INDEX(AI:AI,_xlfn.XMATCH(AH24,AH$1:AH23,0,-1)),"A",""))+INDEX(AJ:AJ,_xlfn.XMATCH(AH24,AH$1:AH23,0,-1))+1)</f>
        <v>7</v>
      </c>
      <c r="AJ24" s="57" cm="1">
        <f t="array" ref="AJ24">SUM(IF(ISNUMBER(FIND("TmDo",$BE$1:$AAL$1)),IF(IFERROR(ISNUMBER(VALUE(SUBSTITUTE($BE24:$AAL24,"B",""))),FALSE),IF(ISNUMBER(VALUE(SUBSTITUTE($BE24:$AAL24,"B",""))),1,0),0)))</f>
        <v>2</v>
      </c>
      <c r="AK24" t="str">
        <f t="shared" si="0"/>
        <v>7A</v>
      </c>
      <c r="AL24" t="str">
        <f t="shared" si="1"/>
        <v>7B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2"/>
        <v>XT23</v>
      </c>
      <c r="BF24" t="str">
        <f t="shared" si="3"/>
        <v>C14</v>
      </c>
      <c r="BG24" t="str">
        <f t="shared" si="4"/>
        <v>B14</v>
      </c>
      <c r="BH24" t="str">
        <f t="shared" si="5"/>
        <v>C15</v>
      </c>
      <c r="BI24" t="str">
        <f t="shared" si="6"/>
        <v>B15</v>
      </c>
      <c r="BJ24" t="str">
        <f t="shared" si="7"/>
        <v>C16</v>
      </c>
      <c r="BK24" t="str">
        <f t="shared" si="8"/>
        <v>B16</v>
      </c>
      <c r="BL24" t="str">
        <f t="shared" si="9"/>
        <v>C17</v>
      </c>
      <c r="BM24" t="str">
        <f t="shared" si="10"/>
        <v>B17</v>
      </c>
      <c r="BN24" t="str">
        <f t="shared" si="11"/>
        <v>C18</v>
      </c>
      <c r="BO24" t="str">
        <f t="shared" si="12"/>
        <v>B18</v>
      </c>
      <c r="BP24" t="str">
        <f t="shared" si="13"/>
        <v>8A</v>
      </c>
      <c r="BQ24" t="str">
        <f t="shared" si="14"/>
        <v>8B</v>
      </c>
      <c r="BR24" t="str">
        <f t="shared" si="15"/>
        <v>9A</v>
      </c>
      <c r="BS24" t="str">
        <f t="shared" si="16"/>
        <v>9B</v>
      </c>
      <c r="BT24" t="str">
        <f t="shared" si="17"/>
        <v>DI5-C13</v>
      </c>
      <c r="BU24" t="str">
        <f t="shared" si="18"/>
        <v>DI5-B13</v>
      </c>
      <c r="BV24" t="str">
        <f t="shared" si="49"/>
        <v>DI5-C14</v>
      </c>
      <c r="BW24" t="str">
        <f t="shared" si="49"/>
        <v>DI5-B14</v>
      </c>
      <c r="BX24" t="str">
        <f t="shared" si="49"/>
        <v>DI5-C15</v>
      </c>
      <c r="BY24" t="str">
        <f t="shared" si="49"/>
        <v>DI5-B15</v>
      </c>
      <c r="BZ24" t="str">
        <f t="shared" si="49"/>
        <v>DI5-C16</v>
      </c>
      <c r="CA24" t="str">
        <f t="shared" si="49"/>
        <v>DI5-B16</v>
      </c>
      <c r="CB24" t="str">
        <f t="shared" si="49"/>
        <v>DI5-C17</v>
      </c>
      <c r="CC24" t="str">
        <f t="shared" si="49"/>
        <v>DI5-B17</v>
      </c>
      <c r="CD24" t="str">
        <f t="shared" si="49"/>
        <v>DI5-C18</v>
      </c>
      <c r="CE24" t="str">
        <f t="shared" si="49"/>
        <v>DI5-B18</v>
      </c>
      <c r="CF24" t="str">
        <f t="shared" si="20"/>
        <v>DO3-7A</v>
      </c>
      <c r="CG24" t="str">
        <f t="shared" si="21"/>
        <v>DO3-7B</v>
      </c>
      <c r="CH24" t="str">
        <f t="shared" si="22"/>
        <v>DO3-8A</v>
      </c>
      <c r="CI24" t="str">
        <f t="shared" si="23"/>
        <v>DO3-8B</v>
      </c>
      <c r="CJ24" t="str">
        <f t="shared" si="24"/>
        <v>DO3-9A</v>
      </c>
      <c r="CK24" t="str">
        <f t="shared" si="25"/>
        <v>DO3-9B</v>
      </c>
      <c r="CL24" t="str">
        <f t="shared" si="27"/>
        <v>K23-10</v>
      </c>
      <c r="CM24" t="str">
        <f t="shared" si="28"/>
        <v>K23-03</v>
      </c>
      <c r="CN24" t="str">
        <f t="shared" si="29"/>
        <v>K23-04</v>
      </c>
      <c r="CO24" t="str">
        <f t="shared" si="30"/>
        <v>K23-01</v>
      </c>
      <c r="CP24" t="str">
        <f t="shared" si="31"/>
        <v>K23-08</v>
      </c>
      <c r="CQ24" t="str">
        <f t="shared" si="32"/>
        <v>K23-02</v>
      </c>
      <c r="CR24" t="str">
        <f t="shared" si="33"/>
        <v>K23-09</v>
      </c>
      <c r="CS24" t="str">
        <f t="shared" si="34"/>
        <v>K23-05</v>
      </c>
      <c r="CT24" t="str">
        <f t="shared" si="35"/>
        <v>K23-11</v>
      </c>
      <c r="CU24" t="str">
        <f t="shared" si="36"/>
        <v>F0-M23-A9</v>
      </c>
      <c r="CV24" t="str">
        <f t="shared" si="37"/>
        <v>F0-M23-A7</v>
      </c>
      <c r="CW24" t="str">
        <f t="shared" si="38"/>
        <v>F0-M23-A8</v>
      </c>
      <c r="CX24" t="str">
        <f t="shared" si="39"/>
        <v>F0-M23-A6</v>
      </c>
      <c r="CY24" t="str">
        <f t="shared" si="40"/>
        <v>F0-M23-A30</v>
      </c>
      <c r="CZ24" t="str">
        <f t="shared" si="41"/>
        <v>F0-M23-N</v>
      </c>
      <c r="DA24" t="str">
        <f t="shared" si="26"/>
        <v>F0-A220-M23</v>
      </c>
      <c r="DB24" t="str">
        <f t="shared" si="42"/>
        <v>F0-M23-XM01</v>
      </c>
      <c r="DC24" t="str">
        <f t="shared" si="43"/>
        <v>F0-M23-A1</v>
      </c>
      <c r="DD24" t="str">
        <f t="shared" si="44"/>
        <v>F0-M23-A5</v>
      </c>
      <c r="DE24" t="str">
        <f t="shared" si="45"/>
        <v>F0-M23-A11</v>
      </c>
      <c r="DF24" t="str">
        <f t="shared" si="46"/>
        <v>F0-M23-A12</v>
      </c>
      <c r="DG24" t="str">
        <f t="shared" si="47"/>
        <v>F0-M23-A19</v>
      </c>
      <c r="DH24" t="str">
        <f t="shared" si="48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520</v>
      </c>
      <c r="U25" s="15">
        <v>24</v>
      </c>
      <c r="V25" s="15" t="s">
        <v>312</v>
      </c>
      <c r="W25" s="15"/>
      <c r="AC25" t="s">
        <v>246</v>
      </c>
      <c r="AF25" t="s">
        <v>239</v>
      </c>
      <c r="AG25" t="s">
        <v>241</v>
      </c>
      <c r="AH25" t="s">
        <v>250</v>
      </c>
      <c r="AI25" s="57" cm="1">
        <f t="array" ref="AI25">IF(COUNTIFS(AH$2:AH25,AH25)=1,"1",VALUE(SUBSTITUTE(INDEX(AI:AI,_xlfn.XMATCH(AH25,AH$1:AH24,0,-1)),"A",""))+INDEX(AJ:AJ,_xlfn.XMATCH(AH25,AH$1:AH24,0,-1))+1)</f>
        <v>10</v>
      </c>
      <c r="AJ25" s="57" cm="1">
        <f t="array" ref="AJ25">SUM(IF(ISNUMBER(FIND("TmDo",$BE$1:$AAL$1)),IF(IFERROR(ISNUMBER(VALUE(SUBSTITUTE($BE25:$AAL25,"B",""))),FALSE),IF(ISNUMBER(VALUE(SUBSTITUTE($BE25:$AAL25,"B",""))),1,0),0)))</f>
        <v>2</v>
      </c>
      <c r="AK25" t="str">
        <f t="shared" si="0"/>
        <v>10A</v>
      </c>
      <c r="AL25" t="str">
        <f t="shared" si="1"/>
        <v>10B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2"/>
        <v>XT24</v>
      </c>
      <c r="BF25" t="str">
        <f t="shared" si="3"/>
        <v>C20</v>
      </c>
      <c r="BG25" t="str">
        <f t="shared" si="4"/>
        <v>B20</v>
      </c>
      <c r="BH25" t="str">
        <f t="shared" si="5"/>
        <v>C21</v>
      </c>
      <c r="BI25" t="str">
        <f t="shared" si="6"/>
        <v>B21</v>
      </c>
      <c r="BJ25" t="str">
        <f t="shared" si="7"/>
        <v>C22</v>
      </c>
      <c r="BK25" t="str">
        <f t="shared" si="8"/>
        <v>B22</v>
      </c>
      <c r="BL25" t="str">
        <f t="shared" si="9"/>
        <v>C23</v>
      </c>
      <c r="BM25" t="str">
        <f t="shared" si="10"/>
        <v>B23</v>
      </c>
      <c r="BN25" t="str">
        <f t="shared" si="11"/>
        <v>C24</v>
      </c>
      <c r="BO25" t="str">
        <f t="shared" si="12"/>
        <v>B24</v>
      </c>
      <c r="BP25" t="str">
        <f t="shared" si="13"/>
        <v>11A</v>
      </c>
      <c r="BQ25" t="str">
        <f t="shared" si="14"/>
        <v>11B</v>
      </c>
      <c r="BR25" t="str">
        <f t="shared" si="15"/>
        <v>12A</v>
      </c>
      <c r="BS25" t="str">
        <f t="shared" si="16"/>
        <v>12B</v>
      </c>
      <c r="BT25" t="str">
        <f t="shared" si="17"/>
        <v>DI5-C19</v>
      </c>
      <c r="BU25" t="str">
        <f t="shared" si="18"/>
        <v>DI5-B19</v>
      </c>
      <c r="BV25" t="str">
        <f t="shared" si="49"/>
        <v>DI5-C20</v>
      </c>
      <c r="BW25" t="str">
        <f t="shared" si="49"/>
        <v>DI5-B20</v>
      </c>
      <c r="BX25" t="str">
        <f t="shared" si="49"/>
        <v>DI5-C21</v>
      </c>
      <c r="BY25" t="str">
        <f t="shared" si="49"/>
        <v>DI5-B21</v>
      </c>
      <c r="BZ25" t="str">
        <f t="shared" si="49"/>
        <v>DI5-C22</v>
      </c>
      <c r="CA25" t="str">
        <f t="shared" si="49"/>
        <v>DI5-B22</v>
      </c>
      <c r="CB25" t="str">
        <f t="shared" si="49"/>
        <v>DI5-C23</v>
      </c>
      <c r="CC25" t="str">
        <f t="shared" si="49"/>
        <v>DI5-B23</v>
      </c>
      <c r="CD25" t="str">
        <f t="shared" si="49"/>
        <v>DI5-C24</v>
      </c>
      <c r="CE25" t="str">
        <f t="shared" si="49"/>
        <v>DI5-B24</v>
      </c>
      <c r="CF25" t="str">
        <f t="shared" si="20"/>
        <v>DO3-10A</v>
      </c>
      <c r="CG25" t="str">
        <f t="shared" si="21"/>
        <v>DO3-10B</v>
      </c>
      <c r="CH25" t="str">
        <f t="shared" si="22"/>
        <v>DO3-11A</v>
      </c>
      <c r="CI25" t="str">
        <f t="shared" si="23"/>
        <v>DO3-11B</v>
      </c>
      <c r="CJ25" t="str">
        <f t="shared" si="24"/>
        <v>DO3-12A</v>
      </c>
      <c r="CK25" t="str">
        <f t="shared" si="25"/>
        <v>DO3-12B</v>
      </c>
      <c r="CL25" t="str">
        <f t="shared" si="27"/>
        <v>K24-10</v>
      </c>
      <c r="CM25" t="str">
        <f t="shared" si="28"/>
        <v>K24-03</v>
      </c>
      <c r="CN25" t="str">
        <f t="shared" si="29"/>
        <v>K24-04</v>
      </c>
      <c r="CO25" t="str">
        <f t="shared" si="30"/>
        <v>K24-01</v>
      </c>
      <c r="CP25" t="str">
        <f t="shared" si="31"/>
        <v>K24-08</v>
      </c>
      <c r="CQ25" t="str">
        <f t="shared" si="32"/>
        <v>K24-02</v>
      </c>
      <c r="CR25" t="str">
        <f t="shared" si="33"/>
        <v>K24-09</v>
      </c>
      <c r="CS25" t="str">
        <f t="shared" si="34"/>
        <v>K24-05</v>
      </c>
      <c r="CT25" t="str">
        <f t="shared" si="35"/>
        <v>K24-11</v>
      </c>
      <c r="CU25" t="str">
        <f t="shared" si="36"/>
        <v>F0-M24-A9</v>
      </c>
      <c r="CV25" t="str">
        <f t="shared" si="37"/>
        <v>F0-M24-A7</v>
      </c>
      <c r="CW25" t="str">
        <f t="shared" si="38"/>
        <v>F0-M24-A8</v>
      </c>
      <c r="CX25" t="str">
        <f t="shared" si="39"/>
        <v>F0-M24-A6</v>
      </c>
      <c r="CY25" t="str">
        <f t="shared" si="40"/>
        <v>F0-M24-A30</v>
      </c>
      <c r="CZ25" t="str">
        <f t="shared" si="41"/>
        <v>F0-M24-N</v>
      </c>
      <c r="DA25" t="str">
        <f t="shared" si="26"/>
        <v>F0-A220-M24</v>
      </c>
      <c r="DB25" t="str">
        <f t="shared" si="42"/>
        <v>F0-M24-XM01</v>
      </c>
      <c r="DC25" t="str">
        <f t="shared" si="43"/>
        <v>F0-M24-A1</v>
      </c>
      <c r="DD25" t="str">
        <f t="shared" si="44"/>
        <v>F0-M24-A5</v>
      </c>
      <c r="DE25" t="str">
        <f t="shared" si="45"/>
        <v>F0-M24-A11</v>
      </c>
      <c r="DF25" t="str">
        <f t="shared" si="46"/>
        <v>F0-M24-A12</v>
      </c>
      <c r="DG25" t="str">
        <f t="shared" si="47"/>
        <v>F0-M24-A19</v>
      </c>
      <c r="DH25" t="str">
        <f t="shared" si="48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520</v>
      </c>
      <c r="U26" s="15">
        <v>25</v>
      </c>
      <c r="V26" s="15" t="s">
        <v>313</v>
      </c>
      <c r="W26" s="15"/>
      <c r="AC26" t="s">
        <v>246</v>
      </c>
      <c r="AF26" t="s">
        <v>240</v>
      </c>
      <c r="AG26" t="s">
        <v>242</v>
      </c>
      <c r="AH26" t="s">
        <v>250</v>
      </c>
      <c r="AI26" s="57" cm="1">
        <f t="array" ref="AI26">IF(COUNTIFS(AH$2:AH26,AH26)=1,"1",VALUE(SUBSTITUTE(INDEX(AI:AI,_xlfn.XMATCH(AH26,AH$1:AH25,0,-1)),"A",""))+INDEX(AJ:AJ,_xlfn.XMATCH(AH26,AH$1:AH25,0,-1))+1)</f>
        <v>13</v>
      </c>
      <c r="AJ26" s="57" cm="1">
        <f t="array" ref="AJ26">SUM(IF(ISNUMBER(FIND("TmDo",$BE$1:$AAL$1)),IF(IFERROR(ISNUMBER(VALUE(SUBSTITUTE($BE26:$AAL26,"B",""))),FALSE),IF(ISNUMBER(VALUE(SUBSTITUTE($BE26:$AAL26,"B",""))),1,0),0)))</f>
        <v>2</v>
      </c>
      <c r="AK26" t="str">
        <f t="shared" si="0"/>
        <v>13A</v>
      </c>
      <c r="AL26" t="str">
        <f t="shared" si="1"/>
        <v>13B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2"/>
        <v>XT25</v>
      </c>
      <c r="BF26" t="str">
        <f t="shared" si="3"/>
        <v>C26</v>
      </c>
      <c r="BG26" t="str">
        <f t="shared" si="4"/>
        <v>B26</v>
      </c>
      <c r="BH26" t="str">
        <f t="shared" si="5"/>
        <v>C27</v>
      </c>
      <c r="BI26" t="str">
        <f t="shared" si="6"/>
        <v>B27</v>
      </c>
      <c r="BJ26" t="str">
        <f t="shared" si="7"/>
        <v>C28</v>
      </c>
      <c r="BK26" t="str">
        <f t="shared" si="8"/>
        <v>B28</v>
      </c>
      <c r="BL26" t="str">
        <f t="shared" si="9"/>
        <v>C29</v>
      </c>
      <c r="BM26" t="str">
        <f t="shared" si="10"/>
        <v>B29</v>
      </c>
      <c r="BN26" t="str">
        <f t="shared" si="11"/>
        <v>C30</v>
      </c>
      <c r="BO26" t="str">
        <f t="shared" si="12"/>
        <v>B30</v>
      </c>
      <c r="BP26" t="str">
        <f t="shared" si="13"/>
        <v>14A</v>
      </c>
      <c r="BQ26" t="str">
        <f t="shared" si="14"/>
        <v>14B</v>
      </c>
      <c r="BR26" t="str">
        <f t="shared" si="15"/>
        <v>15A</v>
      </c>
      <c r="BS26" t="str">
        <f t="shared" si="16"/>
        <v>15B</v>
      </c>
      <c r="BT26" t="str">
        <f t="shared" si="17"/>
        <v>DI5-C25</v>
      </c>
      <c r="BU26" t="str">
        <f t="shared" si="18"/>
        <v>DI5-B25</v>
      </c>
      <c r="BV26" t="str">
        <f t="shared" si="49"/>
        <v>DI5-C26</v>
      </c>
      <c r="BW26" t="str">
        <f t="shared" si="49"/>
        <v>DI5-B26</v>
      </c>
      <c r="BX26" t="str">
        <f t="shared" si="49"/>
        <v>DI5-C27</v>
      </c>
      <c r="BY26" t="str">
        <f t="shared" si="49"/>
        <v>DI5-B27</v>
      </c>
      <c r="BZ26" t="str">
        <f t="shared" si="49"/>
        <v>DI5-C28</v>
      </c>
      <c r="CA26" t="str">
        <f t="shared" si="49"/>
        <v>DI5-B28</v>
      </c>
      <c r="CB26" t="str">
        <f t="shared" si="49"/>
        <v>DI5-C29</v>
      </c>
      <c r="CC26" t="str">
        <f t="shared" si="49"/>
        <v>DI5-B29</v>
      </c>
      <c r="CD26" t="str">
        <f t="shared" si="49"/>
        <v>DI5-C30</v>
      </c>
      <c r="CE26" t="str">
        <f t="shared" si="49"/>
        <v>DI5-B30</v>
      </c>
      <c r="CF26" t="str">
        <f t="shared" si="20"/>
        <v>DO3-13A</v>
      </c>
      <c r="CG26" t="str">
        <f t="shared" si="21"/>
        <v>DO3-13B</v>
      </c>
      <c r="CH26" t="str">
        <f t="shared" si="22"/>
        <v>DO3-14A</v>
      </c>
      <c r="CI26" t="str">
        <f t="shared" si="23"/>
        <v>DO3-14B</v>
      </c>
      <c r="CJ26" t="str">
        <f t="shared" si="24"/>
        <v>DO3-15A</v>
      </c>
      <c r="CK26" t="str">
        <f t="shared" si="25"/>
        <v>DO3-15B</v>
      </c>
      <c r="CL26" t="str">
        <f t="shared" si="27"/>
        <v>K25-10</v>
      </c>
      <c r="CM26" t="str">
        <f t="shared" si="28"/>
        <v>K25-03</v>
      </c>
      <c r="CN26" t="str">
        <f t="shared" si="29"/>
        <v>K25-04</v>
      </c>
      <c r="CO26" t="str">
        <f t="shared" si="30"/>
        <v>K25-01</v>
      </c>
      <c r="CP26" t="str">
        <f t="shared" si="31"/>
        <v>K25-08</v>
      </c>
      <c r="CQ26" t="str">
        <f t="shared" si="32"/>
        <v>K25-02</v>
      </c>
      <c r="CR26" t="str">
        <f t="shared" si="33"/>
        <v>K25-09</v>
      </c>
      <c r="CS26" t="str">
        <f t="shared" si="34"/>
        <v>K25-05</v>
      </c>
      <c r="CT26" t="str">
        <f t="shared" si="35"/>
        <v>K25-11</v>
      </c>
      <c r="CU26" t="str">
        <f t="shared" si="36"/>
        <v>F0-M25-A9</v>
      </c>
      <c r="CV26" t="str">
        <f t="shared" si="37"/>
        <v>F0-M25-A7</v>
      </c>
      <c r="CW26" t="str">
        <f t="shared" si="38"/>
        <v>F0-M25-A8</v>
      </c>
      <c r="CX26" t="str">
        <f t="shared" si="39"/>
        <v>F0-M25-A6</v>
      </c>
      <c r="CY26" t="str">
        <f t="shared" si="40"/>
        <v>F0-M25-A30</v>
      </c>
      <c r="CZ26" t="str">
        <f t="shared" si="41"/>
        <v>F0-M25-N</v>
      </c>
      <c r="DA26" t="str">
        <f t="shared" si="26"/>
        <v>F0-A220-M25</v>
      </c>
      <c r="DB26" t="str">
        <f t="shared" si="42"/>
        <v>F0-M25-XM01</v>
      </c>
      <c r="DC26" t="str">
        <f t="shared" si="43"/>
        <v>F0-M25-A1</v>
      </c>
      <c r="DD26" t="str">
        <f t="shared" si="44"/>
        <v>F0-M25-A5</v>
      </c>
      <c r="DE26" t="str">
        <f t="shared" si="45"/>
        <v>F0-M25-A11</v>
      </c>
      <c r="DF26" t="str">
        <f t="shared" si="46"/>
        <v>F0-M25-A12</v>
      </c>
      <c r="DG26" t="str">
        <f t="shared" si="47"/>
        <v>F0-M25-A19</v>
      </c>
      <c r="DH26" t="str">
        <f t="shared" si="48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520</v>
      </c>
      <c r="U27" s="15">
        <v>26</v>
      </c>
      <c r="V27" s="15" t="s">
        <v>314</v>
      </c>
      <c r="W27" s="15"/>
      <c r="AC27" t="s">
        <v>247</v>
      </c>
      <c r="AF27" t="s">
        <v>133</v>
      </c>
      <c r="AG27" t="s">
        <v>134</v>
      </c>
      <c r="AH27" t="s">
        <v>250</v>
      </c>
      <c r="AI27" s="57" cm="1">
        <f t="array" ref="AI27">IF(COUNTIFS(AH$2:AH27,AH27)=1,"1",VALUE(SUBSTITUTE(INDEX(AI:AI,_xlfn.XMATCH(AH27,AH$1:AH26,0,-1)),"A",""))+INDEX(AJ:AJ,_xlfn.XMATCH(AH27,AH$1:AH26,0,-1))+1)</f>
        <v>16</v>
      </c>
      <c r="AJ27" s="57" cm="1">
        <f t="array" ref="AJ27">SUM(IF(ISNUMBER(FIND("TmDo",$BE$1:$AAL$1)),IF(IFERROR(ISNUMBER(VALUE(SUBSTITUTE($BE27:$AAL27,"B",""))),FALSE),IF(ISNUMBER(VALUE(SUBSTITUTE($BE27:$AAL27,"B",""))),1,0),0)))</f>
        <v>2</v>
      </c>
      <c r="AK27" t="str">
        <f t="shared" si="0"/>
        <v>16A</v>
      </c>
      <c r="AL27" t="str">
        <f t="shared" si="1"/>
        <v>16B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2"/>
        <v>XT26</v>
      </c>
      <c r="BF27" t="str">
        <f t="shared" si="3"/>
        <v>C2</v>
      </c>
      <c r="BG27" t="str">
        <f t="shared" si="4"/>
        <v>B2</v>
      </c>
      <c r="BH27" t="str">
        <f t="shared" si="5"/>
        <v>C3</v>
      </c>
      <c r="BI27" t="str">
        <f t="shared" si="6"/>
        <v>B3</v>
      </c>
      <c r="BJ27" t="str">
        <f t="shared" si="7"/>
        <v>C4</v>
      </c>
      <c r="BK27" t="str">
        <f t="shared" si="8"/>
        <v>B4</v>
      </c>
      <c r="BL27" t="str">
        <f t="shared" si="9"/>
        <v>C5</v>
      </c>
      <c r="BM27" t="str">
        <f t="shared" si="10"/>
        <v>B5</v>
      </c>
      <c r="BN27" t="str">
        <f t="shared" si="11"/>
        <v>C6</v>
      </c>
      <c r="BO27" t="str">
        <f t="shared" si="12"/>
        <v>B6</v>
      </c>
      <c r="BP27" t="str">
        <f t="shared" si="13"/>
        <v>17A</v>
      </c>
      <c r="BQ27" t="str">
        <f t="shared" si="14"/>
        <v>17B</v>
      </c>
      <c r="BR27" t="str">
        <f t="shared" si="15"/>
        <v>18A</v>
      </c>
      <c r="BS27" t="str">
        <f t="shared" si="16"/>
        <v>18B</v>
      </c>
      <c r="BT27" t="str">
        <f t="shared" si="17"/>
        <v>DI6-C1</v>
      </c>
      <c r="BU27" t="str">
        <f t="shared" si="18"/>
        <v>DI6-B1</v>
      </c>
      <c r="BV27" t="str">
        <f t="shared" si="49"/>
        <v>DI6-C2</v>
      </c>
      <c r="BW27" t="str">
        <f t="shared" si="49"/>
        <v>DI6-B2</v>
      </c>
      <c r="BX27" t="str">
        <f t="shared" si="49"/>
        <v>DI6-C3</v>
      </c>
      <c r="BY27" t="str">
        <f t="shared" si="49"/>
        <v>DI6-B3</v>
      </c>
      <c r="BZ27" t="str">
        <f t="shared" si="49"/>
        <v>DI6-C4</v>
      </c>
      <c r="CA27" t="str">
        <f t="shared" si="49"/>
        <v>DI6-B4</v>
      </c>
      <c r="CB27" t="str">
        <f t="shared" si="49"/>
        <v>DI6-C5</v>
      </c>
      <c r="CC27" t="str">
        <f t="shared" si="49"/>
        <v>DI6-B5</v>
      </c>
      <c r="CD27" t="str">
        <f t="shared" si="49"/>
        <v>DI6-C6</v>
      </c>
      <c r="CE27" t="str">
        <f t="shared" si="49"/>
        <v>DI6-B6</v>
      </c>
      <c r="CF27" t="str">
        <f t="shared" si="20"/>
        <v>DO3-16A</v>
      </c>
      <c r="CG27" t="str">
        <f t="shared" si="21"/>
        <v>DO3-16B</v>
      </c>
      <c r="CH27" t="str">
        <f t="shared" si="22"/>
        <v>DO3-17A</v>
      </c>
      <c r="CI27" t="str">
        <f t="shared" si="23"/>
        <v>DO3-17B</v>
      </c>
      <c r="CJ27" t="str">
        <f t="shared" si="24"/>
        <v>DO3-18A</v>
      </c>
      <c r="CK27" t="str">
        <f t="shared" si="25"/>
        <v>DO3-18B</v>
      </c>
      <c r="CL27" t="str">
        <f t="shared" si="27"/>
        <v>K26-10</v>
      </c>
      <c r="CM27" t="str">
        <f t="shared" si="28"/>
        <v>K26-03</v>
      </c>
      <c r="CN27" t="str">
        <f t="shared" si="29"/>
        <v>K26-04</v>
      </c>
      <c r="CO27" t="str">
        <f t="shared" si="30"/>
        <v>K26-01</v>
      </c>
      <c r="CP27" t="str">
        <f t="shared" si="31"/>
        <v>K26-08</v>
      </c>
      <c r="CQ27" t="str">
        <f t="shared" si="32"/>
        <v>K26-02</v>
      </c>
      <c r="CR27" t="str">
        <f t="shared" si="33"/>
        <v>K26-09</v>
      </c>
      <c r="CS27" t="str">
        <f t="shared" si="34"/>
        <v>K26-05</v>
      </c>
      <c r="CT27" t="str">
        <f t="shared" si="35"/>
        <v>K26-11</v>
      </c>
      <c r="CU27" t="str">
        <f t="shared" si="36"/>
        <v>F0-M26-A9</v>
      </c>
      <c r="CV27" t="str">
        <f t="shared" si="37"/>
        <v>F0-M26-A7</v>
      </c>
      <c r="CW27" t="str">
        <f t="shared" si="38"/>
        <v>F0-M26-A8</v>
      </c>
      <c r="CX27" t="str">
        <f t="shared" si="39"/>
        <v>F0-M26-A6</v>
      </c>
      <c r="CY27" t="str">
        <f t="shared" si="40"/>
        <v>F0-M26-A30</v>
      </c>
      <c r="CZ27" t="str">
        <f t="shared" si="41"/>
        <v>F0-M26-N</v>
      </c>
      <c r="DA27" t="str">
        <f t="shared" si="26"/>
        <v>F0-A220-M26</v>
      </c>
      <c r="DB27" t="str">
        <f t="shared" si="42"/>
        <v>F0-M26-XM01</v>
      </c>
      <c r="DC27" t="str">
        <f t="shared" si="43"/>
        <v>F0-M26-A1</v>
      </c>
      <c r="DD27" t="str">
        <f t="shared" si="44"/>
        <v>F0-M26-A5</v>
      </c>
      <c r="DE27" t="str">
        <f t="shared" si="45"/>
        <v>F0-M26-A11</v>
      </c>
      <c r="DF27" t="str">
        <f t="shared" si="46"/>
        <v>F0-M26-A12</v>
      </c>
      <c r="DG27" t="str">
        <f t="shared" si="47"/>
        <v>F0-M26-A19</v>
      </c>
      <c r="DH27" t="str">
        <f t="shared" si="48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520</v>
      </c>
      <c r="U28" s="15">
        <v>27</v>
      </c>
      <c r="V28" s="15" t="s">
        <v>315</v>
      </c>
      <c r="W28" s="15"/>
      <c r="AC28" t="s">
        <v>247</v>
      </c>
      <c r="AF28" t="s">
        <v>148</v>
      </c>
      <c r="AG28" t="s">
        <v>149</v>
      </c>
      <c r="AH28" t="s">
        <v>250</v>
      </c>
      <c r="AI28" s="57" cm="1">
        <f t="array" ref="AI28">IF(COUNTIFS(AH$2:AH28,AH28)=1,"1",VALUE(SUBSTITUTE(INDEX(AI:AI,_xlfn.XMATCH(AH28,AH$1:AH27,0,-1)),"A",""))+INDEX(AJ:AJ,_xlfn.XMATCH(AH28,AH$1:AH27,0,-1))+1)</f>
        <v>19</v>
      </c>
      <c r="AJ28" s="57" cm="1">
        <f t="array" ref="AJ28">SUM(IF(ISNUMBER(FIND("TmDo",$BE$1:$AAL$1)),IF(IFERROR(ISNUMBER(VALUE(SUBSTITUTE($BE28:$AAL28,"B",""))),FALSE),IF(ISNUMBER(VALUE(SUBSTITUTE($BE28:$AAL28,"B",""))),1,0),0)))</f>
        <v>2</v>
      </c>
      <c r="AK28" t="str">
        <f t="shared" si="0"/>
        <v>19A</v>
      </c>
      <c r="AL28" t="str">
        <f t="shared" si="1"/>
        <v>19B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2"/>
        <v>XT27</v>
      </c>
      <c r="BF28" t="str">
        <f t="shared" si="3"/>
        <v>C8</v>
      </c>
      <c r="BG28" t="str">
        <f t="shared" si="4"/>
        <v>B8</v>
      </c>
      <c r="BH28" t="str">
        <f t="shared" si="5"/>
        <v>C9</v>
      </c>
      <c r="BI28" t="str">
        <f t="shared" si="6"/>
        <v>B9</v>
      </c>
      <c r="BJ28" t="str">
        <f t="shared" si="7"/>
        <v>C10</v>
      </c>
      <c r="BK28" t="str">
        <f t="shared" si="8"/>
        <v>B10</v>
      </c>
      <c r="BL28" t="str">
        <f t="shared" si="9"/>
        <v>C11</v>
      </c>
      <c r="BM28" t="str">
        <f t="shared" si="10"/>
        <v>B11</v>
      </c>
      <c r="BN28" t="str">
        <f t="shared" si="11"/>
        <v>C12</v>
      </c>
      <c r="BO28" t="str">
        <f t="shared" si="12"/>
        <v>B12</v>
      </c>
      <c r="BP28" t="str">
        <f t="shared" si="13"/>
        <v>20A</v>
      </c>
      <c r="BQ28" t="str">
        <f t="shared" si="14"/>
        <v>20B</v>
      </c>
      <c r="BR28" t="str">
        <f t="shared" si="15"/>
        <v>21A</v>
      </c>
      <c r="BS28" t="str">
        <f t="shared" si="16"/>
        <v>21B</v>
      </c>
      <c r="BT28" t="str">
        <f t="shared" si="17"/>
        <v>DI6-C7</v>
      </c>
      <c r="BU28" t="str">
        <f t="shared" si="18"/>
        <v>DI6-B7</v>
      </c>
      <c r="BV28" t="str">
        <f t="shared" si="49"/>
        <v>DI6-C8</v>
      </c>
      <c r="BW28" t="str">
        <f t="shared" si="49"/>
        <v>DI6-B8</v>
      </c>
      <c r="BX28" t="str">
        <f t="shared" si="49"/>
        <v>DI6-C9</v>
      </c>
      <c r="BY28" t="str">
        <f t="shared" si="49"/>
        <v>DI6-B9</v>
      </c>
      <c r="BZ28" t="str">
        <f t="shared" si="49"/>
        <v>DI6-C10</v>
      </c>
      <c r="CA28" t="str">
        <f t="shared" si="49"/>
        <v>DI6-B10</v>
      </c>
      <c r="CB28" t="str">
        <f t="shared" si="49"/>
        <v>DI6-C11</v>
      </c>
      <c r="CC28" t="str">
        <f t="shared" si="49"/>
        <v>DI6-B11</v>
      </c>
      <c r="CD28" t="str">
        <f t="shared" si="49"/>
        <v>DI6-C12</v>
      </c>
      <c r="CE28" t="str">
        <f t="shared" si="49"/>
        <v>DI6-B12</v>
      </c>
      <c r="CF28" t="str">
        <f t="shared" si="20"/>
        <v>DO3-19A</v>
      </c>
      <c r="CG28" t="str">
        <f t="shared" si="21"/>
        <v>DO3-19B</v>
      </c>
      <c r="CH28" t="str">
        <f t="shared" si="22"/>
        <v>DO3-20A</v>
      </c>
      <c r="CI28" t="str">
        <f t="shared" si="23"/>
        <v>DO3-20B</v>
      </c>
      <c r="CJ28" t="str">
        <f t="shared" si="24"/>
        <v>DO3-21A</v>
      </c>
      <c r="CK28" t="str">
        <f t="shared" si="25"/>
        <v>DO3-21B</v>
      </c>
      <c r="CL28" t="str">
        <f t="shared" si="27"/>
        <v>K27-10</v>
      </c>
      <c r="CM28" t="str">
        <f t="shared" si="28"/>
        <v>K27-03</v>
      </c>
      <c r="CN28" t="str">
        <f t="shared" si="29"/>
        <v>K27-04</v>
      </c>
      <c r="CO28" t="str">
        <f t="shared" si="30"/>
        <v>K27-01</v>
      </c>
      <c r="CP28" t="str">
        <f t="shared" si="31"/>
        <v>K27-08</v>
      </c>
      <c r="CQ28" t="str">
        <f t="shared" si="32"/>
        <v>K27-02</v>
      </c>
      <c r="CR28" t="str">
        <f t="shared" si="33"/>
        <v>K27-09</v>
      </c>
      <c r="CS28" t="str">
        <f t="shared" si="34"/>
        <v>K27-05</v>
      </c>
      <c r="CT28" t="str">
        <f t="shared" si="35"/>
        <v>K27-11</v>
      </c>
      <c r="CU28" t="str">
        <f t="shared" si="36"/>
        <v>F0-M27-A9</v>
      </c>
      <c r="CV28" t="str">
        <f t="shared" si="37"/>
        <v>F0-M27-A7</v>
      </c>
      <c r="CW28" t="str">
        <f t="shared" si="38"/>
        <v>F0-M27-A8</v>
      </c>
      <c r="CX28" t="str">
        <f t="shared" si="39"/>
        <v>F0-M27-A6</v>
      </c>
      <c r="CY28" t="str">
        <f t="shared" si="40"/>
        <v>F0-M27-A30</v>
      </c>
      <c r="CZ28" t="str">
        <f t="shared" si="41"/>
        <v>F0-M27-N</v>
      </c>
      <c r="DA28" t="str">
        <f t="shared" si="26"/>
        <v>F0-A220-M27</v>
      </c>
      <c r="DB28" t="str">
        <f t="shared" si="42"/>
        <v>F0-M27-XM01</v>
      </c>
      <c r="DC28" t="str">
        <f t="shared" si="43"/>
        <v>F0-M27-A1</v>
      </c>
      <c r="DD28" t="str">
        <f t="shared" si="44"/>
        <v>F0-M27-A5</v>
      </c>
      <c r="DE28" t="str">
        <f t="shared" si="45"/>
        <v>F0-M27-A11</v>
      </c>
      <c r="DF28" t="str">
        <f t="shared" si="46"/>
        <v>F0-M27-A12</v>
      </c>
      <c r="DG28" t="str">
        <f t="shared" si="47"/>
        <v>F0-M27-A19</v>
      </c>
      <c r="DH28" t="str">
        <f t="shared" si="48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520</v>
      </c>
      <c r="U29" s="15">
        <v>28</v>
      </c>
      <c r="V29" s="15" t="s">
        <v>316</v>
      </c>
      <c r="W29" s="15"/>
      <c r="AC29" t="s">
        <v>247</v>
      </c>
      <c r="AF29" t="s">
        <v>153</v>
      </c>
      <c r="AG29" t="s">
        <v>154</v>
      </c>
      <c r="AH29" t="s">
        <v>250</v>
      </c>
      <c r="AI29" s="57" cm="1">
        <f t="array" ref="AI29">IF(COUNTIFS(AH$2:AH29,AH29)=1,"1",VALUE(SUBSTITUTE(INDEX(AI:AI,_xlfn.XMATCH(AH29,AH$1:AH28,0,-1)),"A",""))+INDEX(AJ:AJ,_xlfn.XMATCH(AH29,AH$1:AH28,0,-1))+1)</f>
        <v>22</v>
      </c>
      <c r="AJ29" s="57" cm="1">
        <f t="array" ref="AJ29">SUM(IF(ISNUMBER(FIND("TmDo",$BE$1:$AAL$1)),IF(IFERROR(ISNUMBER(VALUE(SUBSTITUTE($BE29:$AAL29,"B",""))),FALSE),IF(ISNUMBER(VALUE(SUBSTITUTE($BE29:$AAL29,"B",""))),1,0),0)))</f>
        <v>2</v>
      </c>
      <c r="AK29" t="str">
        <f t="shared" si="0"/>
        <v>22A</v>
      </c>
      <c r="AL29" t="str">
        <f t="shared" si="1"/>
        <v>22B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2"/>
        <v>XT28</v>
      </c>
      <c r="BF29" t="str">
        <f t="shared" si="3"/>
        <v>C14</v>
      </c>
      <c r="BG29" t="str">
        <f t="shared" si="4"/>
        <v>B14</v>
      </c>
      <c r="BH29" t="str">
        <f t="shared" si="5"/>
        <v>C15</v>
      </c>
      <c r="BI29" t="str">
        <f t="shared" si="6"/>
        <v>B15</v>
      </c>
      <c r="BJ29" t="str">
        <f t="shared" si="7"/>
        <v>C16</v>
      </c>
      <c r="BK29" t="str">
        <f t="shared" si="8"/>
        <v>B16</v>
      </c>
      <c r="BL29" t="str">
        <f t="shared" si="9"/>
        <v>C17</v>
      </c>
      <c r="BM29" t="str">
        <f t="shared" si="10"/>
        <v>B17</v>
      </c>
      <c r="BN29" t="str">
        <f t="shared" si="11"/>
        <v>C18</v>
      </c>
      <c r="BO29" t="str">
        <f t="shared" si="12"/>
        <v>B18</v>
      </c>
      <c r="BP29" t="str">
        <f t="shared" si="13"/>
        <v>23A</v>
      </c>
      <c r="BQ29" t="str">
        <f t="shared" si="14"/>
        <v>23B</v>
      </c>
      <c r="BR29" t="str">
        <f t="shared" si="15"/>
        <v>24A</v>
      </c>
      <c r="BS29" t="str">
        <f t="shared" si="16"/>
        <v>24B</v>
      </c>
      <c r="BT29" t="str">
        <f t="shared" si="17"/>
        <v>DI6-C13</v>
      </c>
      <c r="BU29" t="str">
        <f t="shared" si="18"/>
        <v>DI6-B13</v>
      </c>
      <c r="BV29" t="str">
        <f t="shared" si="49"/>
        <v>DI6-C14</v>
      </c>
      <c r="BW29" t="str">
        <f t="shared" si="49"/>
        <v>DI6-B14</v>
      </c>
      <c r="BX29" t="str">
        <f t="shared" si="49"/>
        <v>DI6-C15</v>
      </c>
      <c r="BY29" t="str">
        <f t="shared" si="49"/>
        <v>DI6-B15</v>
      </c>
      <c r="BZ29" t="str">
        <f t="shared" si="49"/>
        <v>DI6-C16</v>
      </c>
      <c r="CA29" t="str">
        <f t="shared" si="49"/>
        <v>DI6-B16</v>
      </c>
      <c r="CB29" t="str">
        <f t="shared" si="49"/>
        <v>DI6-C17</v>
      </c>
      <c r="CC29" t="str">
        <f t="shared" si="49"/>
        <v>DI6-B17</v>
      </c>
      <c r="CD29" t="str">
        <f t="shared" si="49"/>
        <v>DI6-C18</v>
      </c>
      <c r="CE29" t="str">
        <f t="shared" si="49"/>
        <v>DI6-B18</v>
      </c>
      <c r="CF29" t="str">
        <f t="shared" si="20"/>
        <v>DO3-22A</v>
      </c>
      <c r="CG29" t="str">
        <f t="shared" si="21"/>
        <v>DO3-22B</v>
      </c>
      <c r="CH29" t="str">
        <f t="shared" si="22"/>
        <v>DO3-23A</v>
      </c>
      <c r="CI29" t="str">
        <f t="shared" si="23"/>
        <v>DO3-23B</v>
      </c>
      <c r="CJ29" t="str">
        <f t="shared" si="24"/>
        <v>DO3-24A</v>
      </c>
      <c r="CK29" t="str">
        <f t="shared" si="25"/>
        <v>DO3-24B</v>
      </c>
      <c r="CL29" t="str">
        <f t="shared" si="27"/>
        <v>K28-10</v>
      </c>
      <c r="CM29" t="str">
        <f t="shared" si="28"/>
        <v>K28-03</v>
      </c>
      <c r="CN29" t="str">
        <f t="shared" si="29"/>
        <v>K28-04</v>
      </c>
      <c r="CO29" t="str">
        <f t="shared" si="30"/>
        <v>K28-01</v>
      </c>
      <c r="CP29" t="str">
        <f t="shared" si="31"/>
        <v>K28-08</v>
      </c>
      <c r="CQ29" t="str">
        <f t="shared" si="32"/>
        <v>K28-02</v>
      </c>
      <c r="CR29" t="str">
        <f t="shared" si="33"/>
        <v>K28-09</v>
      </c>
      <c r="CS29" t="str">
        <f t="shared" si="34"/>
        <v>K28-05</v>
      </c>
      <c r="CT29" t="str">
        <f t="shared" si="35"/>
        <v>K28-11</v>
      </c>
      <c r="CU29" t="str">
        <f t="shared" si="36"/>
        <v>F0-M28-A9</v>
      </c>
      <c r="CV29" t="str">
        <f t="shared" si="37"/>
        <v>F0-M28-A7</v>
      </c>
      <c r="CW29" t="str">
        <f t="shared" si="38"/>
        <v>F0-M28-A8</v>
      </c>
      <c r="CX29" t="str">
        <f t="shared" si="39"/>
        <v>F0-M28-A6</v>
      </c>
      <c r="CY29" t="str">
        <f t="shared" si="40"/>
        <v>F0-M28-A30</v>
      </c>
      <c r="CZ29" t="str">
        <f t="shared" si="41"/>
        <v>F0-M28-N</v>
      </c>
      <c r="DA29" t="str">
        <f t="shared" si="26"/>
        <v>F0-A220-M28</v>
      </c>
      <c r="DB29" t="str">
        <f t="shared" si="42"/>
        <v>F0-M28-XM01</v>
      </c>
      <c r="DC29" t="str">
        <f t="shared" si="43"/>
        <v>F0-M28-A1</v>
      </c>
      <c r="DD29" t="str">
        <f t="shared" si="44"/>
        <v>F0-M28-A5</v>
      </c>
      <c r="DE29" t="str">
        <f t="shared" si="45"/>
        <v>F0-M28-A11</v>
      </c>
      <c r="DF29" t="str">
        <f t="shared" si="46"/>
        <v>F0-M28-A12</v>
      </c>
      <c r="DG29" t="str">
        <f t="shared" si="47"/>
        <v>F0-M28-A19</v>
      </c>
      <c r="DH29" t="str">
        <f t="shared" si="48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520</v>
      </c>
      <c r="U30" s="15">
        <v>29</v>
      </c>
      <c r="V30" s="15" t="s">
        <v>317</v>
      </c>
      <c r="W30" s="15"/>
      <c r="AC30" t="s">
        <v>247</v>
      </c>
      <c r="AF30" t="s">
        <v>239</v>
      </c>
      <c r="AG30" t="s">
        <v>241</v>
      </c>
      <c r="AH30" t="s">
        <v>250</v>
      </c>
      <c r="AI30" s="57" cm="1">
        <f t="array" ref="AI30">IF(COUNTIFS(AH$2:AH30,AH30)=1,"1",VALUE(SUBSTITUTE(INDEX(AI:AI,_xlfn.XMATCH(AH30,AH$1:AH29,0,-1)),"A",""))+INDEX(AJ:AJ,_xlfn.XMATCH(AH30,AH$1:AH29,0,-1))+1)</f>
        <v>25</v>
      </c>
      <c r="AJ30" s="57" cm="1">
        <f t="array" ref="AJ30">SUM(IF(ISNUMBER(FIND("TmDo",$BE$1:$AAL$1)),IF(IFERROR(ISNUMBER(VALUE(SUBSTITUTE($BE30:$AAL30,"B",""))),FALSE),IF(ISNUMBER(VALUE(SUBSTITUTE($BE30:$AAL30,"B",""))),1,0),0)))</f>
        <v>2</v>
      </c>
      <c r="AK30" t="str">
        <f t="shared" si="0"/>
        <v>25A</v>
      </c>
      <c r="AL30" t="str">
        <f t="shared" si="1"/>
        <v>25B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2"/>
        <v>XT29</v>
      </c>
      <c r="BF30" t="str">
        <f t="shared" si="3"/>
        <v>C20</v>
      </c>
      <c r="BG30" t="str">
        <f t="shared" si="4"/>
        <v>B20</v>
      </c>
      <c r="BH30" t="str">
        <f t="shared" si="5"/>
        <v>C21</v>
      </c>
      <c r="BI30" t="str">
        <f t="shared" si="6"/>
        <v>B21</v>
      </c>
      <c r="BJ30" t="str">
        <f t="shared" si="7"/>
        <v>C22</v>
      </c>
      <c r="BK30" t="str">
        <f t="shared" si="8"/>
        <v>B22</v>
      </c>
      <c r="BL30" t="str">
        <f t="shared" si="9"/>
        <v>C23</v>
      </c>
      <c r="BM30" t="str">
        <f t="shared" si="10"/>
        <v>B23</v>
      </c>
      <c r="BN30" t="str">
        <f t="shared" si="11"/>
        <v>C24</v>
      </c>
      <c r="BO30" t="str">
        <f t="shared" si="12"/>
        <v>B24</v>
      </c>
      <c r="BP30" t="str">
        <f t="shared" si="13"/>
        <v>26A</v>
      </c>
      <c r="BQ30" t="str">
        <f t="shared" si="14"/>
        <v>26B</v>
      </c>
      <c r="BR30" t="str">
        <f t="shared" si="15"/>
        <v>27A</v>
      </c>
      <c r="BS30" t="str">
        <f t="shared" si="16"/>
        <v>27B</v>
      </c>
      <c r="BT30" t="str">
        <f t="shared" si="17"/>
        <v>DI6-C19</v>
      </c>
      <c r="BU30" t="str">
        <f t="shared" si="18"/>
        <v>DI6-B19</v>
      </c>
      <c r="BV30" t="str">
        <f t="shared" si="49"/>
        <v>DI6-C20</v>
      </c>
      <c r="BW30" t="str">
        <f t="shared" si="49"/>
        <v>DI6-B20</v>
      </c>
      <c r="BX30" t="str">
        <f t="shared" si="49"/>
        <v>DI6-C21</v>
      </c>
      <c r="BY30" t="str">
        <f t="shared" si="49"/>
        <v>DI6-B21</v>
      </c>
      <c r="BZ30" t="str">
        <f t="shared" si="49"/>
        <v>DI6-C22</v>
      </c>
      <c r="CA30" t="str">
        <f t="shared" si="49"/>
        <v>DI6-B22</v>
      </c>
      <c r="CB30" t="str">
        <f t="shared" si="49"/>
        <v>DI6-C23</v>
      </c>
      <c r="CC30" t="str">
        <f t="shared" si="49"/>
        <v>DI6-B23</v>
      </c>
      <c r="CD30" t="str">
        <f t="shared" si="49"/>
        <v>DI6-C24</v>
      </c>
      <c r="CE30" t="str">
        <f t="shared" si="49"/>
        <v>DI6-B24</v>
      </c>
      <c r="CF30" t="str">
        <f t="shared" si="20"/>
        <v>DO3-25A</v>
      </c>
      <c r="CG30" t="str">
        <f t="shared" si="21"/>
        <v>DO3-25B</v>
      </c>
      <c r="CH30" t="str">
        <f t="shared" si="22"/>
        <v>DO3-26A</v>
      </c>
      <c r="CI30" t="str">
        <f t="shared" si="23"/>
        <v>DO3-26B</v>
      </c>
      <c r="CJ30" t="str">
        <f t="shared" si="24"/>
        <v>DO3-27A</v>
      </c>
      <c r="CK30" t="str">
        <f t="shared" si="25"/>
        <v>DO3-27B</v>
      </c>
      <c r="CL30" t="str">
        <f t="shared" si="27"/>
        <v>K29-10</v>
      </c>
      <c r="CM30" t="str">
        <f t="shared" si="28"/>
        <v>K29-03</v>
      </c>
      <c r="CN30" t="str">
        <f t="shared" si="29"/>
        <v>K29-04</v>
      </c>
      <c r="CO30" t="str">
        <f t="shared" si="30"/>
        <v>K29-01</v>
      </c>
      <c r="CP30" t="str">
        <f t="shared" si="31"/>
        <v>K29-08</v>
      </c>
      <c r="CQ30" t="str">
        <f t="shared" si="32"/>
        <v>K29-02</v>
      </c>
      <c r="CR30" t="str">
        <f t="shared" si="33"/>
        <v>K29-09</v>
      </c>
      <c r="CS30" t="str">
        <f t="shared" si="34"/>
        <v>K29-05</v>
      </c>
      <c r="CT30" t="str">
        <f t="shared" si="35"/>
        <v>K29-11</v>
      </c>
      <c r="CU30" t="str">
        <f t="shared" si="36"/>
        <v>F0-M29-A9</v>
      </c>
      <c r="CV30" t="str">
        <f t="shared" si="37"/>
        <v>F0-M29-A7</v>
      </c>
      <c r="CW30" t="str">
        <f t="shared" si="38"/>
        <v>F0-M29-A8</v>
      </c>
      <c r="CX30" t="str">
        <f t="shared" si="39"/>
        <v>F0-M29-A6</v>
      </c>
      <c r="CY30" t="str">
        <f t="shared" si="40"/>
        <v>F0-M29-A30</v>
      </c>
      <c r="CZ30" t="str">
        <f t="shared" si="41"/>
        <v>F0-M29-N</v>
      </c>
      <c r="DA30" t="str">
        <f t="shared" si="26"/>
        <v>F0-A220-M29</v>
      </c>
      <c r="DB30" t="str">
        <f t="shared" si="42"/>
        <v>F0-M29-XM01</v>
      </c>
      <c r="DC30" t="str">
        <f t="shared" si="43"/>
        <v>F0-M29-A1</v>
      </c>
      <c r="DD30" t="str">
        <f t="shared" si="44"/>
        <v>F0-M29-A5</v>
      </c>
      <c r="DE30" t="str">
        <f t="shared" si="45"/>
        <v>F0-M29-A11</v>
      </c>
      <c r="DF30" t="str">
        <f t="shared" si="46"/>
        <v>F0-M29-A12</v>
      </c>
      <c r="DG30" t="str">
        <f t="shared" si="47"/>
        <v>F0-M29-A19</v>
      </c>
      <c r="DH30" t="str">
        <f t="shared" si="48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520</v>
      </c>
      <c r="U31" s="15">
        <v>30</v>
      </c>
      <c r="V31" s="15" t="s">
        <v>318</v>
      </c>
      <c r="W31" s="15"/>
      <c r="AC31" t="s">
        <v>247</v>
      </c>
      <c r="AF31" t="s">
        <v>240</v>
      </c>
      <c r="AG31" t="s">
        <v>242</v>
      </c>
      <c r="AH31" t="s">
        <v>250</v>
      </c>
      <c r="AI31" s="57" cm="1">
        <f t="array" ref="AI31">IF(COUNTIFS(AH$2:AH31,AH31)=1,"1",VALUE(SUBSTITUTE(INDEX(AI:AI,_xlfn.XMATCH(AH31,AH$1:AH30,0,-1)),"A",""))+INDEX(AJ:AJ,_xlfn.XMATCH(AH31,AH$1:AH30,0,-1))+1)</f>
        <v>28</v>
      </c>
      <c r="AJ31" s="57" cm="1">
        <f t="array" ref="AJ31">SUM(IF(ISNUMBER(FIND("TmDo",$BE$1:$AAL$1)),IF(IFERROR(ISNUMBER(VALUE(SUBSTITUTE($BE31:$AAL31,"B",""))),FALSE),IF(ISNUMBER(VALUE(SUBSTITUTE($BE31:$AAL31,"B",""))),1,0),0)))</f>
        <v>2</v>
      </c>
      <c r="AK31" t="str">
        <f t="shared" si="0"/>
        <v>28A</v>
      </c>
      <c r="AL31" t="str">
        <f t="shared" si="1"/>
        <v>28B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2"/>
        <v>XT30</v>
      </c>
      <c r="BF31" t="str">
        <f t="shared" si="3"/>
        <v>C26</v>
      </c>
      <c r="BG31" t="str">
        <f t="shared" si="4"/>
        <v>B26</v>
      </c>
      <c r="BH31" t="str">
        <f t="shared" si="5"/>
        <v>C27</v>
      </c>
      <c r="BI31" t="str">
        <f t="shared" si="6"/>
        <v>B27</v>
      </c>
      <c r="BJ31" t="str">
        <f t="shared" si="7"/>
        <v>C28</v>
      </c>
      <c r="BK31" t="str">
        <f t="shared" si="8"/>
        <v>B28</v>
      </c>
      <c r="BL31" t="str">
        <f t="shared" si="9"/>
        <v>C29</v>
      </c>
      <c r="BM31" t="str">
        <f t="shared" si="10"/>
        <v>B29</v>
      </c>
      <c r="BN31" t="str">
        <f t="shared" si="11"/>
        <v>C30</v>
      </c>
      <c r="BO31" t="str">
        <f t="shared" si="12"/>
        <v>B30</v>
      </c>
      <c r="BP31" t="str">
        <f t="shared" si="13"/>
        <v>29A</v>
      </c>
      <c r="BQ31" t="str">
        <f t="shared" si="14"/>
        <v>29B</v>
      </c>
      <c r="BR31" t="str">
        <f t="shared" si="15"/>
        <v>30A</v>
      </c>
      <c r="BS31" t="str">
        <f t="shared" si="16"/>
        <v>30B</v>
      </c>
      <c r="BT31" t="str">
        <f t="shared" si="17"/>
        <v>DI6-C25</v>
      </c>
      <c r="BU31" t="str">
        <f t="shared" si="18"/>
        <v>DI6-B25</v>
      </c>
      <c r="BV31" t="str">
        <f t="shared" si="49"/>
        <v>DI6-C26</v>
      </c>
      <c r="BW31" t="str">
        <f t="shared" si="49"/>
        <v>DI6-B26</v>
      </c>
      <c r="BX31" t="str">
        <f t="shared" si="49"/>
        <v>DI6-C27</v>
      </c>
      <c r="BY31" t="str">
        <f t="shared" si="49"/>
        <v>DI6-B27</v>
      </c>
      <c r="BZ31" t="str">
        <f t="shared" si="49"/>
        <v>DI6-C28</v>
      </c>
      <c r="CA31" t="str">
        <f t="shared" si="49"/>
        <v>DI6-B28</v>
      </c>
      <c r="CB31" t="str">
        <f t="shared" si="49"/>
        <v>DI6-C29</v>
      </c>
      <c r="CC31" t="str">
        <f t="shared" si="49"/>
        <v>DI6-B29</v>
      </c>
      <c r="CD31" t="str">
        <f t="shared" si="49"/>
        <v>DI6-C30</v>
      </c>
      <c r="CE31" t="str">
        <f t="shared" si="49"/>
        <v>DI6-B30</v>
      </c>
      <c r="CF31" t="str">
        <f t="shared" si="20"/>
        <v>DO3-28A</v>
      </c>
      <c r="CG31" t="str">
        <f t="shared" si="21"/>
        <v>DO3-28B</v>
      </c>
      <c r="CH31" t="str">
        <f t="shared" si="22"/>
        <v>DO3-29A</v>
      </c>
      <c r="CI31" t="str">
        <f t="shared" si="23"/>
        <v>DO3-29B</v>
      </c>
      <c r="CJ31" t="str">
        <f t="shared" si="24"/>
        <v>DO3-30A</v>
      </c>
      <c r="CK31" t="str">
        <f t="shared" si="25"/>
        <v>DO3-30B</v>
      </c>
      <c r="CL31" t="str">
        <f t="shared" si="27"/>
        <v>K30-10</v>
      </c>
      <c r="CM31" t="str">
        <f t="shared" si="28"/>
        <v>K30-03</v>
      </c>
      <c r="CN31" t="str">
        <f t="shared" si="29"/>
        <v>K30-04</v>
      </c>
      <c r="CO31" t="str">
        <f t="shared" si="30"/>
        <v>K30-01</v>
      </c>
      <c r="CP31" t="str">
        <f t="shared" si="31"/>
        <v>K30-08</v>
      </c>
      <c r="CQ31" t="str">
        <f t="shared" si="32"/>
        <v>K30-02</v>
      </c>
      <c r="CR31" t="str">
        <f t="shared" si="33"/>
        <v>K30-09</v>
      </c>
      <c r="CS31" t="str">
        <f t="shared" si="34"/>
        <v>K30-05</v>
      </c>
      <c r="CT31" t="str">
        <f t="shared" si="35"/>
        <v>K30-11</v>
      </c>
      <c r="CU31" t="str">
        <f t="shared" si="36"/>
        <v>F0-M30-A9</v>
      </c>
      <c r="CV31" t="str">
        <f t="shared" si="37"/>
        <v>F0-M30-A7</v>
      </c>
      <c r="CW31" t="str">
        <f t="shared" si="38"/>
        <v>F0-M30-A8</v>
      </c>
      <c r="CX31" t="str">
        <f t="shared" si="39"/>
        <v>F0-M30-A6</v>
      </c>
      <c r="CY31" t="str">
        <f t="shared" si="40"/>
        <v>F0-M30-A30</v>
      </c>
      <c r="CZ31" t="str">
        <f t="shared" si="41"/>
        <v>F0-M30-N</v>
      </c>
      <c r="DA31" t="str">
        <f t="shared" si="26"/>
        <v>F0-A220-M30</v>
      </c>
      <c r="DB31" t="str">
        <f t="shared" si="42"/>
        <v>F0-M30-XM01</v>
      </c>
      <c r="DC31" t="str">
        <f t="shared" si="43"/>
        <v>F0-M30-A1</v>
      </c>
      <c r="DD31" t="str">
        <f t="shared" si="44"/>
        <v>F0-M30-A5</v>
      </c>
      <c r="DE31" t="str">
        <f t="shared" si="45"/>
        <v>F0-M30-A11</v>
      </c>
      <c r="DF31" t="str">
        <f t="shared" si="46"/>
        <v>F0-M30-A12</v>
      </c>
      <c r="DG31" t="str">
        <f t="shared" si="47"/>
        <v>F0-M30-A19</v>
      </c>
      <c r="DH31" t="str">
        <f t="shared" si="48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520</v>
      </c>
      <c r="U32" s="18">
        <v>31</v>
      </c>
      <c r="V32" s="18" t="s">
        <v>319</v>
      </c>
      <c r="W32" s="18"/>
      <c r="X32" s="19"/>
      <c r="Y32" s="19"/>
      <c r="Z32" s="19"/>
      <c r="AA32" s="19"/>
      <c r="AB32" s="19"/>
      <c r="AC32" s="19" t="s">
        <v>248</v>
      </c>
      <c r="AD32" s="19"/>
      <c r="AE32" s="19"/>
      <c r="AF32" s="19" t="s">
        <v>133</v>
      </c>
      <c r="AG32" s="19" t="s">
        <v>134</v>
      </c>
      <c r="AH32" s="19" t="s">
        <v>251</v>
      </c>
      <c r="AI32" s="58" t="str" cm="1">
        <f t="array" ref="AI32">IF(COUNTIFS(AH$2:AH32,AH32)=1,"1",VALUE(SUBSTITUTE(INDEX(AI:AI,_xlfn.XMATCH(AH32,AH$1:AH31,0,-1)),"A",""))+INDEX(AJ:AJ,_xlfn.XMATCH(AH32,AH$1:AH31,0,-1))+1)</f>
        <v>1</v>
      </c>
      <c r="AJ32" s="58" cm="1">
        <f t="array" ref="AJ32">SUM(IF(ISNUMBER(FIND("TmDo",$BE$1:$AAL$1)),IF(IFERROR(ISNUMBER(VALUE(SUBSTITUTE($BE32:$AAL32,"B",""))),FALSE),IF(ISNUMBER(VALUE(SUBSTITUTE($BE32:$AAL32,"B",""))),1,0),0)))</f>
        <v>2</v>
      </c>
      <c r="AK32" s="19" t="str">
        <f t="shared" si="0"/>
        <v>1A</v>
      </c>
      <c r="AL32" s="19" t="str">
        <f t="shared" si="1"/>
        <v>1B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2"/>
        <v>XT31</v>
      </c>
      <c r="BF32" s="19" t="str">
        <f t="shared" si="3"/>
        <v>C2</v>
      </c>
      <c r="BG32" s="19" t="str">
        <f t="shared" si="4"/>
        <v>B2</v>
      </c>
      <c r="BH32" s="19" t="str">
        <f t="shared" si="5"/>
        <v>C3</v>
      </c>
      <c r="BI32" s="19" t="str">
        <f t="shared" si="6"/>
        <v>B3</v>
      </c>
      <c r="BJ32" s="19" t="str">
        <f t="shared" si="7"/>
        <v>C4</v>
      </c>
      <c r="BK32" s="19" t="str">
        <f t="shared" si="8"/>
        <v>B4</v>
      </c>
      <c r="BL32" s="19" t="str">
        <f t="shared" si="9"/>
        <v>C5</v>
      </c>
      <c r="BM32" s="19" t="str">
        <f t="shared" si="10"/>
        <v>B5</v>
      </c>
      <c r="BN32" s="19" t="str">
        <f t="shared" si="11"/>
        <v>C6</v>
      </c>
      <c r="BO32" s="19" t="str">
        <f t="shared" si="12"/>
        <v>B6</v>
      </c>
      <c r="BP32" s="19" t="str">
        <f t="shared" si="13"/>
        <v>2A</v>
      </c>
      <c r="BQ32" s="19" t="str">
        <f t="shared" si="14"/>
        <v>2B</v>
      </c>
      <c r="BR32" s="19" t="str">
        <f t="shared" si="15"/>
        <v>3A</v>
      </c>
      <c r="BS32" s="19" t="str">
        <f t="shared" si="16"/>
        <v>3B</v>
      </c>
      <c r="BT32" s="19" t="str">
        <f t="shared" si="17"/>
        <v>DI7-C1</v>
      </c>
      <c r="BU32" s="19" t="str">
        <f t="shared" si="18"/>
        <v>DI7-B1</v>
      </c>
      <c r="BV32" s="19" t="str">
        <f t="shared" si="49"/>
        <v>DI7-C2</v>
      </c>
      <c r="BW32" s="19" t="str">
        <f t="shared" si="49"/>
        <v>DI7-B2</v>
      </c>
      <c r="BX32" s="19" t="str">
        <f t="shared" si="49"/>
        <v>DI7-C3</v>
      </c>
      <c r="BY32" s="19" t="str">
        <f t="shared" si="49"/>
        <v>DI7-B3</v>
      </c>
      <c r="BZ32" s="19" t="str">
        <f t="shared" si="49"/>
        <v>DI7-C4</v>
      </c>
      <c r="CA32" s="19" t="str">
        <f t="shared" si="49"/>
        <v>DI7-B4</v>
      </c>
      <c r="CB32" s="19" t="str">
        <f t="shared" si="49"/>
        <v>DI7-C5</v>
      </c>
      <c r="CC32" s="19" t="str">
        <f t="shared" si="49"/>
        <v>DI7-B5</v>
      </c>
      <c r="CD32" s="19" t="str">
        <f t="shared" si="49"/>
        <v>DI7-C6</v>
      </c>
      <c r="CE32" s="19" t="str">
        <f t="shared" si="49"/>
        <v>DI7-B6</v>
      </c>
      <c r="CF32" s="19" t="str">
        <f t="shared" si="20"/>
        <v>DO4-1A</v>
      </c>
      <c r="CG32" s="19" t="str">
        <f t="shared" si="21"/>
        <v>DO4-1B</v>
      </c>
      <c r="CH32" s="19" t="str">
        <f t="shared" si="22"/>
        <v>DO4-2A</v>
      </c>
      <c r="CI32" s="19" t="str">
        <f t="shared" si="23"/>
        <v>DO4-2B</v>
      </c>
      <c r="CJ32" s="19" t="str">
        <f t="shared" si="24"/>
        <v>DO4-3A</v>
      </c>
      <c r="CK32" s="19" t="str">
        <f t="shared" si="25"/>
        <v>DO4-3B</v>
      </c>
      <c r="CL32" s="19" t="str">
        <f t="shared" si="27"/>
        <v>K31-10</v>
      </c>
      <c r="CM32" s="19" t="str">
        <f t="shared" si="28"/>
        <v>K31-03</v>
      </c>
      <c r="CN32" s="19" t="str">
        <f t="shared" si="29"/>
        <v>K31-04</v>
      </c>
      <c r="CO32" s="19" t="str">
        <f t="shared" si="30"/>
        <v>K31-01</v>
      </c>
      <c r="CP32" s="19" t="str">
        <f t="shared" si="31"/>
        <v>K31-08</v>
      </c>
      <c r="CQ32" s="19" t="str">
        <f t="shared" si="32"/>
        <v>K31-02</v>
      </c>
      <c r="CR32" s="19" t="str">
        <f t="shared" si="33"/>
        <v>K31-09</v>
      </c>
      <c r="CS32" s="19" t="str">
        <f t="shared" si="34"/>
        <v>K31-05</v>
      </c>
      <c r="CT32" s="19" t="str">
        <f t="shared" si="35"/>
        <v>K31-11</v>
      </c>
      <c r="CU32" s="19" t="str">
        <f t="shared" si="36"/>
        <v>F0-M31-A9</v>
      </c>
      <c r="CV32" s="19" t="str">
        <f t="shared" si="37"/>
        <v>F0-M31-A7</v>
      </c>
      <c r="CW32" s="19" t="str">
        <f t="shared" si="38"/>
        <v>F0-M31-A8</v>
      </c>
      <c r="CX32" s="19" t="str">
        <f t="shared" si="39"/>
        <v>F0-M31-A6</v>
      </c>
      <c r="CY32" s="19" t="str">
        <f t="shared" si="40"/>
        <v>F0-M31-A30</v>
      </c>
      <c r="CZ32" s="19" t="str">
        <f t="shared" si="41"/>
        <v>F0-M31-N</v>
      </c>
      <c r="DA32" s="19" t="str">
        <f t="shared" si="26"/>
        <v>F0-A220-M31</v>
      </c>
      <c r="DB32" s="19" t="str">
        <f t="shared" si="42"/>
        <v>F0-M31-XM01</v>
      </c>
      <c r="DC32" s="19" t="str">
        <f t="shared" si="43"/>
        <v>F0-M31-A1</v>
      </c>
      <c r="DD32" s="19" t="str">
        <f t="shared" si="44"/>
        <v>F0-M31-A5</v>
      </c>
      <c r="DE32" s="19" t="str">
        <f t="shared" si="45"/>
        <v>F0-M31-A11</v>
      </c>
      <c r="DF32" s="19" t="str">
        <f t="shared" si="46"/>
        <v>F0-M31-A12</v>
      </c>
      <c r="DG32" s="19" t="str">
        <f t="shared" si="47"/>
        <v>F0-M31-A19</v>
      </c>
      <c r="DH32" s="19" t="str">
        <f t="shared" si="48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262</v>
      </c>
      <c r="B33" t="s">
        <v>261</v>
      </c>
      <c r="C33" s="3"/>
      <c r="O33" s="2"/>
      <c r="P33" t="s">
        <v>258</v>
      </c>
      <c r="Q33" s="1"/>
      <c r="S33" s="1"/>
      <c r="T33" s="21" t="s">
        <v>520</v>
      </c>
      <c r="U33" s="22">
        <v>32</v>
      </c>
      <c r="V33" s="18" t="s">
        <v>320</v>
      </c>
      <c r="W33" s="22"/>
      <c r="X33" s="23"/>
      <c r="Y33" s="23"/>
      <c r="Z33" s="23"/>
      <c r="AA33" s="23"/>
      <c r="AB33" s="23"/>
      <c r="AC33" s="23" t="s">
        <v>248</v>
      </c>
      <c r="AD33" s="23"/>
      <c r="AE33" s="23"/>
      <c r="AF33" s="23" t="s">
        <v>148</v>
      </c>
      <c r="AG33" s="23" t="s">
        <v>149</v>
      </c>
      <c r="AH33" s="23" t="s">
        <v>251</v>
      </c>
      <c r="AI33" s="59" cm="1">
        <f t="array" ref="AI33">IF(COUNTIFS(AH$2:AH33,AH33)=1,"1",VALUE(SUBSTITUTE(INDEX(AI:AI,_xlfn.XMATCH(AH33,AH$1:AH32,0,-1)),"A",""))+INDEX(AJ:AJ,_xlfn.XMATCH(AH33,AH$1:AH32,0,-1))+1)</f>
        <v>4</v>
      </c>
      <c r="AJ33" s="59" cm="1">
        <f t="array" ref="AJ33">SUM(IF(ISNUMBER(FIND("TmDo",$BE$1:$AAL$1)),IF(IFERROR(ISNUMBER(VALUE(SUBSTITUTE($BE33:$AAL33,"B",""))),FALSE),IF(ISNUMBER(VALUE(SUBSTITUTE($BE33:$AAL33,"B",""))),1,0),0)))</f>
        <v>2</v>
      </c>
      <c r="AK33" s="23" t="str">
        <f t="shared" si="0"/>
        <v>4A</v>
      </c>
      <c r="AL33" s="23" t="str">
        <f t="shared" si="1"/>
        <v>4B</v>
      </c>
      <c r="AM33" s="23" t="s">
        <v>264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2"/>
        <v>XT32</v>
      </c>
      <c r="BF33" s="23" t="str">
        <f t="shared" si="3"/>
        <v>C8</v>
      </c>
      <c r="BG33" s="23" t="str">
        <f t="shared" si="4"/>
        <v>B8</v>
      </c>
      <c r="BH33" s="23" t="str">
        <f t="shared" si="5"/>
        <v>C9</v>
      </c>
      <c r="BI33" s="23" t="str">
        <f t="shared" si="6"/>
        <v>B9</v>
      </c>
      <c r="BJ33" s="23" t="str">
        <f t="shared" si="7"/>
        <v>C10</v>
      </c>
      <c r="BK33" s="23" t="str">
        <f t="shared" si="8"/>
        <v>B10</v>
      </c>
      <c r="BL33" s="23" t="str">
        <f t="shared" si="9"/>
        <v>C11</v>
      </c>
      <c r="BM33" s="23" t="str">
        <f t="shared" si="10"/>
        <v>B11</v>
      </c>
      <c r="BN33" s="23" t="str">
        <f t="shared" si="11"/>
        <v>C12</v>
      </c>
      <c r="BO33" s="23" t="str">
        <f t="shared" si="12"/>
        <v>B12</v>
      </c>
      <c r="BP33" s="23" t="str">
        <f t="shared" si="13"/>
        <v>5A</v>
      </c>
      <c r="BQ33" s="23" t="str">
        <f t="shared" si="14"/>
        <v>5B</v>
      </c>
      <c r="BR33" s="23" t="str">
        <f t="shared" si="15"/>
        <v>6A</v>
      </c>
      <c r="BS33" s="23" t="str">
        <f t="shared" si="16"/>
        <v>6B</v>
      </c>
      <c r="BT33" s="23" t="str">
        <f t="shared" si="17"/>
        <v>DI7-C7</v>
      </c>
      <c r="BU33" s="23" t="str">
        <f t="shared" si="18"/>
        <v>DI7-B7</v>
      </c>
      <c r="BV33" s="23" t="str">
        <f t="shared" si="49"/>
        <v>DI7-C8</v>
      </c>
      <c r="BW33" s="23" t="str">
        <f t="shared" si="49"/>
        <v>DI7-B8</v>
      </c>
      <c r="BX33" s="23" t="str">
        <f t="shared" si="49"/>
        <v>DI7-C9</v>
      </c>
      <c r="BY33" s="23" t="str">
        <f t="shared" si="49"/>
        <v>DI7-B9</v>
      </c>
      <c r="BZ33" s="23" t="str">
        <f t="shared" si="49"/>
        <v>DI7-C10</v>
      </c>
      <c r="CA33" s="23" t="str">
        <f t="shared" si="49"/>
        <v>DI7-B10</v>
      </c>
      <c r="CB33" s="23" t="str">
        <f t="shared" si="49"/>
        <v>DI7-C11</v>
      </c>
      <c r="CC33" s="23" t="str">
        <f t="shared" si="49"/>
        <v>DI7-B11</v>
      </c>
      <c r="CD33" s="23" t="str">
        <f t="shared" si="49"/>
        <v>DI7-C12</v>
      </c>
      <c r="CE33" s="23" t="str">
        <f t="shared" si="49"/>
        <v>DI7-B12</v>
      </c>
      <c r="CF33" s="23" t="str">
        <f t="shared" si="20"/>
        <v>DO4-4A</v>
      </c>
      <c r="CG33" s="23" t="str">
        <f t="shared" si="21"/>
        <v>DO4-4B</v>
      </c>
      <c r="CH33" s="23" t="str">
        <f t="shared" si="22"/>
        <v>DO4-5A</v>
      </c>
      <c r="CI33" s="23" t="str">
        <f t="shared" si="23"/>
        <v>DO4-5B</v>
      </c>
      <c r="CJ33" s="23" t="str">
        <f t="shared" si="24"/>
        <v>DO4-6A</v>
      </c>
      <c r="CK33" s="23" t="str">
        <f t="shared" si="25"/>
        <v>DO4-6B</v>
      </c>
      <c r="CL33" s="23" t="str">
        <f t="shared" si="27"/>
        <v>K32-10</v>
      </c>
      <c r="CM33" s="23" t="str">
        <f t="shared" si="28"/>
        <v>K32-03</v>
      </c>
      <c r="CN33" s="23" t="str">
        <f t="shared" si="29"/>
        <v>K32-04</v>
      </c>
      <c r="CO33" s="23" t="str">
        <f t="shared" si="30"/>
        <v>K32-01</v>
      </c>
      <c r="CP33" s="23" t="str">
        <f t="shared" si="31"/>
        <v>K32-08</v>
      </c>
      <c r="CQ33" s="23" t="str">
        <f t="shared" si="32"/>
        <v>K32-02</v>
      </c>
      <c r="CR33" s="23" t="str">
        <f t="shared" si="33"/>
        <v>K32-09</v>
      </c>
      <c r="CS33" s="23" t="str">
        <f t="shared" si="34"/>
        <v>K32-05</v>
      </c>
      <c r="CT33" s="23" t="str">
        <f t="shared" si="35"/>
        <v>K32-11</v>
      </c>
      <c r="CU33" s="23" t="str">
        <f t="shared" si="36"/>
        <v>F0-M32-A9</v>
      </c>
      <c r="CV33" s="23" t="str">
        <f t="shared" si="37"/>
        <v>F0-M32-A7</v>
      </c>
      <c r="CW33" s="23" t="str">
        <f t="shared" si="38"/>
        <v>F0-M32-A8</v>
      </c>
      <c r="CX33" s="23" t="str">
        <f t="shared" si="39"/>
        <v>F0-M32-A6</v>
      </c>
      <c r="CY33" s="23" t="str">
        <f t="shared" si="40"/>
        <v>F0-M32-A30</v>
      </c>
      <c r="CZ33" s="23" t="str">
        <f t="shared" si="41"/>
        <v>F0-M32-N</v>
      </c>
      <c r="DA33" s="23" t="str">
        <f t="shared" si="26"/>
        <v>F0-A220-M32</v>
      </c>
      <c r="DB33" s="23" t="str">
        <f t="shared" si="42"/>
        <v>F0-M32-XM01</v>
      </c>
      <c r="DC33" s="23" t="str">
        <f t="shared" si="43"/>
        <v>F0-M32-A1</v>
      </c>
      <c r="DD33" s="23" t="str">
        <f t="shared" si="44"/>
        <v>F0-M32-A5</v>
      </c>
      <c r="DE33" s="23" t="str">
        <f t="shared" si="45"/>
        <v>F0-M32-A11</v>
      </c>
      <c r="DF33" s="23" t="str">
        <f t="shared" si="46"/>
        <v>F0-M32-A12</v>
      </c>
      <c r="DG33" s="23" t="str">
        <f t="shared" si="47"/>
        <v>F0-M32-A19</v>
      </c>
      <c r="DH33" s="23" t="str">
        <f t="shared" si="48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255</v>
      </c>
      <c r="B34" t="s">
        <v>254</v>
      </c>
      <c r="P34" t="s">
        <v>263</v>
      </c>
      <c r="T34" s="10" t="s">
        <v>520</v>
      </c>
      <c r="U34" s="11">
        <v>33</v>
      </c>
      <c r="V34" s="11" t="s">
        <v>270</v>
      </c>
      <c r="W34" s="11" t="s">
        <v>269</v>
      </c>
      <c r="X34" s="12"/>
      <c r="Y34" s="12"/>
      <c r="Z34" s="12"/>
      <c r="AA34" s="12"/>
      <c r="AB34" s="12"/>
      <c r="AC34" s="12" t="s">
        <v>259</v>
      </c>
      <c r="AD34" s="12"/>
      <c r="AE34" s="12"/>
      <c r="AF34" s="12" t="s">
        <v>133</v>
      </c>
      <c r="AG34" s="12" t="s">
        <v>134</v>
      </c>
      <c r="AH34" s="12" t="s">
        <v>357</v>
      </c>
      <c r="AI34" s="56" t="str" cm="1">
        <f t="array" ref="AI34">IF(COUNTIFS(AH$2:AH34,AH34)=1,"1",VALUE(SUBSTITUTE(INDEX(AI:AI,_xlfn.XMATCH(AH34,AH$1:AH33,0,-1)),"A",""))+INDEX(AJ:AJ,_xlfn.XMATCH(AH34,AH$1:AH33,0,-1))+1)</f>
        <v>1</v>
      </c>
      <c r="AJ34" s="56" cm="1">
        <f t="array" ref="AJ34">SUM(IF(ISNUMBER(FIND("TmDo",$BE$1:$AAL$1)),IF(IFERROR(ISNUMBER(VALUE(SUBSTITUTE($BE34:$AAL34,"B",""))),FALSE),IF(ISNUMBER(VALUE(SUBSTITUTE($BE34:$AAL34,"B",""))),1,0),0)))</f>
        <v>1</v>
      </c>
      <c r="AK34" s="12" t="str">
        <f t="shared" si="0"/>
        <v>1A</v>
      </c>
      <c r="AL34" s="12" t="str">
        <f t="shared" si="1"/>
        <v>1B</v>
      </c>
      <c r="AM34" s="12">
        <v>31</v>
      </c>
      <c r="AN34" s="12" t="str">
        <f>CONCATENATE(AM34,"XT")</f>
        <v>31XT</v>
      </c>
      <c r="AO34" s="12" t="str">
        <f t="shared" ref="AO34:AO42" si="50">CONCATENATE(AM34,"X")</f>
        <v>31X</v>
      </c>
      <c r="AP34" s="12" t="s">
        <v>137</v>
      </c>
      <c r="AQ34" s="12" t="s">
        <v>138</v>
      </c>
      <c r="AR34" s="12" t="str">
        <f t="shared" ref="AR34:AR42" si="51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2">CONCATENATE("XT",U34)</f>
        <v>XT33</v>
      </c>
      <c r="ES34" s="12" t="str">
        <f t="shared" ref="ES34:ES42" si="53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 t="shared" ref="EW34:EW42" si="54">CONCATENATE(REPLACE(AK34,LEN(AK34),1,"")+1,"A")</f>
        <v>2A</v>
      </c>
      <c r="EX34" s="12" t="str">
        <f t="shared" ref="EX34:EX42" si="55">CONCATENATE(REPLACE(AL34,LEN(AL34),1,"")+1,"B")</f>
        <v>2B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6">CONCATENATE("DI",REPLACE($AC34,1,3,""),"-",ES34)</f>
        <v>DI8-C2</v>
      </c>
      <c r="FB34" s="12" t="str">
        <f t="shared" si="56"/>
        <v>DI8-B2</v>
      </c>
      <c r="FC34" s="12" t="str">
        <f t="shared" si="56"/>
        <v>DI8-C3</v>
      </c>
      <c r="FD34" s="12" t="str">
        <f t="shared" si="56"/>
        <v>DI8-B3</v>
      </c>
      <c r="FE34" s="12" t="str">
        <f>CONCATENATE("DO",REPLACE($AH34,1,3,""),"-",AK34)</f>
        <v>DO5-1A</v>
      </c>
      <c r="FF34" s="12" t="str">
        <f>CONCATENATE("DO",REPLACE($AH34,1,3,""),"-",AL34)</f>
        <v>DO5-1B</v>
      </c>
      <c r="FG34" s="12" t="str">
        <f>CONCATENATE("DO",REPLACE($AH34,1,3,""),"-",EW34)</f>
        <v>DO5-2A</v>
      </c>
      <c r="FH34" s="12" t="str">
        <f>CONCATENATE("DO",REPLACE($AH34,1,3,""),"-",EX34)</f>
        <v>DO5-2B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7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8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257</v>
      </c>
      <c r="B35" t="s">
        <v>256</v>
      </c>
      <c r="P35" t="s">
        <v>263</v>
      </c>
      <c r="T35" s="14" t="s">
        <v>520</v>
      </c>
      <c r="U35" s="15">
        <v>34</v>
      </c>
      <c r="V35" s="15" t="s">
        <v>272</v>
      </c>
      <c r="W35" s="15" t="s">
        <v>271</v>
      </c>
      <c r="AC35" t="s">
        <v>259</v>
      </c>
      <c r="AF35" t="s">
        <v>349</v>
      </c>
      <c r="AG35" t="s">
        <v>350</v>
      </c>
      <c r="AH35" t="s">
        <v>357</v>
      </c>
      <c r="AI35" s="57" cm="1">
        <f t="array" ref="AI35">IF(COUNTIFS(AH$2:AH35,AH35)=1,"1",VALUE(SUBSTITUTE(INDEX(AI:AI,_xlfn.XMATCH(AH35,AH$1:AH34,0,-1)),"A",""))+INDEX(AJ:AJ,_xlfn.XMATCH(AH35,AH$1:AH34,0,-1))+1)</f>
        <v>3</v>
      </c>
      <c r="AJ35" s="57" cm="1">
        <f t="array" ref="AJ35">SUM(IF(ISNUMBER(FIND("TmDo",$BE$1:$AAL$1)),IF(IFERROR(ISNUMBER(VALUE(SUBSTITUTE($BE35:$AAL35,"B",""))),FALSE),IF(ISNUMBER(VALUE(SUBSTITUTE($BE35:$AAL35,"B",""))),1,0),0)))</f>
        <v>1</v>
      </c>
      <c r="AK35" t="str">
        <f t="shared" si="0"/>
        <v>3A</v>
      </c>
      <c r="AL35" t="str">
        <f t="shared" si="1"/>
        <v>3B</v>
      </c>
      <c r="AM35">
        <v>45</v>
      </c>
      <c r="AN35" t="str">
        <f t="shared" ref="AN35:AN42" si="59">CONCATENATE(AM35,"XT")</f>
        <v>45XT</v>
      </c>
      <c r="AO35" t="str">
        <f t="shared" si="50"/>
        <v>45X</v>
      </c>
      <c r="AP35" t="s">
        <v>137</v>
      </c>
      <c r="AQ35" t="s">
        <v>138</v>
      </c>
      <c r="AR35" t="str">
        <f t="shared" si="51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52"/>
        <v>XT34</v>
      </c>
      <c r="ES35" t="str">
        <f t="shared" si="53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 t="shared" si="54"/>
        <v>4A</v>
      </c>
      <c r="EX35" t="str">
        <f t="shared" si="55"/>
        <v>4B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6"/>
        <v>DI8-C5</v>
      </c>
      <c r="FB35" t="str">
        <f t="shared" si="56"/>
        <v>DI8-B5</v>
      </c>
      <c r="FC35" t="str">
        <f t="shared" si="56"/>
        <v>DI8-C6</v>
      </c>
      <c r="FD35" t="str">
        <f t="shared" si="56"/>
        <v>DI8-B6</v>
      </c>
      <c r="FE35" t="str">
        <f>CONCATENATE("DO",REPLACE($AH35,1,3,""),"-",AK35)</f>
        <v>DO5-3A</v>
      </c>
      <c r="FF35" t="str">
        <f>CONCATENATE("DO",REPLACE($AH35,1,3,""),"-",AL35)</f>
        <v>DO5-3B</v>
      </c>
      <c r="FG35" t="str">
        <f>CONCATENATE("DO",REPLACE($AH35,1,3,""),"-",EW35)</f>
        <v>DO5-4A</v>
      </c>
      <c r="FH35" t="str">
        <f>CONCATENATE("DO",REPLACE($AH35,1,3,""),"-",EX35)</f>
        <v>DO5-4B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7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8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322</v>
      </c>
      <c r="B36" t="s">
        <v>321</v>
      </c>
      <c r="P36" t="s">
        <v>263</v>
      </c>
      <c r="T36" s="14" t="s">
        <v>520</v>
      </c>
      <c r="U36" s="15">
        <v>35</v>
      </c>
      <c r="V36" t="s">
        <v>325</v>
      </c>
      <c r="W36" t="s">
        <v>326</v>
      </c>
      <c r="AC36" t="s">
        <v>259</v>
      </c>
      <c r="AF36" t="s">
        <v>148</v>
      </c>
      <c r="AG36" t="s">
        <v>149</v>
      </c>
      <c r="AH36" t="s">
        <v>357</v>
      </c>
      <c r="AI36" s="57" cm="1">
        <f t="array" ref="AI36">IF(COUNTIFS(AH$2:AH36,AH36)=1,"1",VALUE(SUBSTITUTE(INDEX(AI:AI,_xlfn.XMATCH(AH36,AH$1:AH35,0,-1)),"A",""))+INDEX(AJ:AJ,_xlfn.XMATCH(AH36,AH$1:AH35,0,-1))+1)</f>
        <v>5</v>
      </c>
      <c r="AJ36" s="57" cm="1">
        <f t="array" ref="AJ36">SUM(IF(ISNUMBER(FIND("TmDo",$BE$1:$AAL$1)),IF(IFERROR(ISNUMBER(VALUE(SUBSTITUTE($BE36:$AAL36,"B",""))),FALSE),IF(ISNUMBER(VALUE(SUBSTITUTE($BE36:$AAL36,"B",""))),1,0),0)))</f>
        <v>1</v>
      </c>
      <c r="AK36" t="str">
        <f t="shared" si="0"/>
        <v>5A</v>
      </c>
      <c r="AL36" t="str">
        <f t="shared" si="1"/>
        <v>5B</v>
      </c>
      <c r="AM36">
        <v>44</v>
      </c>
      <c r="AN36" t="str">
        <f t="shared" si="59"/>
        <v>44XT</v>
      </c>
      <c r="AO36" t="str">
        <f t="shared" si="50"/>
        <v>44X</v>
      </c>
      <c r="AP36" t="s">
        <v>137</v>
      </c>
      <c r="AQ36" t="s">
        <v>138</v>
      </c>
      <c r="AR36" t="str">
        <f t="shared" si="51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52"/>
        <v>XT35</v>
      </c>
      <c r="ES36" t="str">
        <f t="shared" si="53"/>
        <v>C8</v>
      </c>
      <c r="ET36" t="str">
        <f t="shared" ref="ET36:ET42" si="60">CONCATENATE("B",REPLACE(AG36,1,1,"")+1)</f>
        <v>B8</v>
      </c>
      <c r="EU36" t="str">
        <f t="shared" ref="EU36:EU42" si="61">CONCATENATE("C",REPLACE(ES36,1,1,"")+1)</f>
        <v>C9</v>
      </c>
      <c r="EV36" t="str">
        <f t="shared" ref="EV36:EV42" si="62">CONCATENATE("B",REPLACE(ET36,1,1,"")+1)</f>
        <v>B9</v>
      </c>
      <c r="EW36" t="str">
        <f t="shared" si="54"/>
        <v>6A</v>
      </c>
      <c r="EX36" t="str">
        <f t="shared" si="55"/>
        <v>6B</v>
      </c>
      <c r="EY36" t="str">
        <f t="shared" ref="EY36:EY42" si="63">CONCATENATE("DI",REPLACE($AC36,1,3,""),"-",AF36)</f>
        <v>DI8-C7</v>
      </c>
      <c r="EZ36" t="str">
        <f t="shared" ref="EZ36:EZ42" si="64">CONCATENATE("DI",REPLACE($AC36,1,3,""),"-",AG36)</f>
        <v>DI8-B7</v>
      </c>
      <c r="FA36" t="str">
        <f t="shared" ref="FA36:FA42" si="65">CONCATENATE("DI",REPLACE($AC36,1,3,""),"-",ES36)</f>
        <v>DI8-C8</v>
      </c>
      <c r="FB36" t="str">
        <f t="shared" ref="FB36:FB42" si="66">CONCATENATE("DI",REPLACE($AC36,1,3,""),"-",ET36)</f>
        <v>DI8-B8</v>
      </c>
      <c r="FC36" t="str">
        <f t="shared" ref="FC36:FC42" si="67">CONCATENATE("DI",REPLACE($AC36,1,3,""),"-",EU36)</f>
        <v>DI8-C9</v>
      </c>
      <c r="FD36" t="str">
        <f t="shared" ref="FD36:FD42" si="68">CONCATENATE("DI",REPLACE($AC36,1,3,""),"-",EV36)</f>
        <v>DI8-B9</v>
      </c>
      <c r="FE36" t="str">
        <f t="shared" ref="FE36:FE42" si="69">CONCATENATE("DO",REPLACE($AH36,1,3,""),"-",AK36)</f>
        <v>DO5-5A</v>
      </c>
      <c r="FF36" t="str">
        <f t="shared" ref="FF36:FF42" si="70">CONCATENATE("DO",REPLACE($AH36,1,3,""),"-",AL36)</f>
        <v>DO5-5B</v>
      </c>
      <c r="FG36" t="str">
        <f t="shared" ref="FG36:FG42" si="71">CONCATENATE("DO",REPLACE($AH36,1,3,""),"-",EW36)</f>
        <v>DO5-6A</v>
      </c>
      <c r="FH36" t="str">
        <f t="shared" ref="FH36:FH42" si="72">CONCATENATE("DO",REPLACE($AH36,1,3,""),"-",EX36)</f>
        <v>DO5-6B</v>
      </c>
      <c r="FI36" t="str">
        <f t="shared" ref="FI36:FI42" si="73">CONCATENATE("K",$U36,"-03")</f>
        <v>K35-03</v>
      </c>
      <c r="FJ36" t="str">
        <f t="shared" ref="FJ36:FJ42" si="74">CONCATENATE("K",$U36,"-04")</f>
        <v>K35-04</v>
      </c>
      <c r="FK36" t="str">
        <f t="shared" ref="FK36:FK42" si="75">CONCATENATE("K",$U36,"-01")</f>
        <v>K35-01</v>
      </c>
      <c r="FL36" t="str">
        <f t="shared" ref="FL36:FL42" si="76">CONCATENATE("K",$U36,"-02")</f>
        <v>K35-02</v>
      </c>
      <c r="FM36" t="str">
        <f t="shared" si="57"/>
        <v>K35-05</v>
      </c>
      <c r="FN36" t="str">
        <f t="shared" ref="FN36:FN42" si="77">CONCATENATE($T36,"-M",$U36,"-H1")</f>
        <v>F0-M35-H1</v>
      </c>
      <c r="FO36" t="str">
        <f t="shared" ref="FO36:FO42" si="78">CONCATENATE($T36,"-M",$U36,"-A1")</f>
        <v>F0-M35-A1</v>
      </c>
      <c r="FP36" t="str">
        <f t="shared" ref="FP36:FP42" si="79">CONCATENATE($T36,"-M",$U36,"-3")</f>
        <v>F0-M35-3</v>
      </c>
      <c r="FQ36" t="str">
        <f t="shared" ref="FQ36:FQ42" si="80">CONCATENATE($T36,"-M",$U36,"-2")</f>
        <v>F0-M35-2</v>
      </c>
      <c r="FR36" t="str">
        <f t="shared" ref="FR36:FR42" si="81">CONCATENATE($T36,"-M",$U36,"-16")</f>
        <v>F0-M35-16</v>
      </c>
      <c r="FS36" t="str">
        <f t="shared" ref="FS36:FS42" si="82">CONCATENATE($T36,"-M",$U36,"-15")</f>
        <v>F0-M35-15</v>
      </c>
      <c r="FT36" t="str">
        <f t="shared" ref="FT36:FT42" si="83">CONCATENATE($T36,"-A220-M",$U36,)</f>
        <v>F0-A220-M35</v>
      </c>
      <c r="FU36" t="str">
        <f t="shared" si="58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324</v>
      </c>
      <c r="B37" t="s">
        <v>323</v>
      </c>
      <c r="P37" t="s">
        <v>263</v>
      </c>
      <c r="T37" s="14" t="s">
        <v>520</v>
      </c>
      <c r="U37" s="15">
        <v>36</v>
      </c>
      <c r="V37" s="15" t="s">
        <v>327</v>
      </c>
      <c r="W37" s="15" t="s">
        <v>328</v>
      </c>
      <c r="AC37" t="s">
        <v>259</v>
      </c>
      <c r="AF37" t="s">
        <v>351</v>
      </c>
      <c r="AG37" t="s">
        <v>352</v>
      </c>
      <c r="AH37" t="s">
        <v>357</v>
      </c>
      <c r="AI37" s="57" cm="1">
        <f t="array" ref="AI37">IF(COUNTIFS(AH$2:AH37,AH37)=1,"1",VALUE(SUBSTITUTE(INDEX(AI:AI,_xlfn.XMATCH(AH37,AH$1:AH36,0,-1)),"A",""))+INDEX(AJ:AJ,_xlfn.XMATCH(AH37,AH$1:AH36,0,-1))+1)</f>
        <v>7</v>
      </c>
      <c r="AJ37" s="57" cm="1">
        <f t="array" ref="AJ37">SUM(IF(ISNUMBER(FIND("TmDo",$BE$1:$AAL$1)),IF(IFERROR(ISNUMBER(VALUE(SUBSTITUTE($BE37:$AAL37,"B",""))),FALSE),IF(ISNUMBER(VALUE(SUBSTITUTE($BE37:$AAL37,"B",""))),1,0),0)))</f>
        <v>1</v>
      </c>
      <c r="AK37" t="str">
        <f t="shared" si="0"/>
        <v>7A</v>
      </c>
      <c r="AL37" t="str">
        <f t="shared" si="1"/>
        <v>7B</v>
      </c>
      <c r="AM37">
        <v>42</v>
      </c>
      <c r="AN37" t="str">
        <f t="shared" si="59"/>
        <v>42XT</v>
      </c>
      <c r="AO37" t="str">
        <f t="shared" si="50"/>
        <v>42X</v>
      </c>
      <c r="AP37" t="s">
        <v>137</v>
      </c>
      <c r="AQ37" t="s">
        <v>138</v>
      </c>
      <c r="AR37" t="str">
        <f t="shared" si="51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52"/>
        <v>XT36</v>
      </c>
      <c r="ES37" t="str">
        <f t="shared" si="53"/>
        <v>C11</v>
      </c>
      <c r="ET37" t="str">
        <f t="shared" si="60"/>
        <v>B11</v>
      </c>
      <c r="EU37" t="str">
        <f t="shared" si="61"/>
        <v>C12</v>
      </c>
      <c r="EV37" t="str">
        <f t="shared" si="62"/>
        <v>B12</v>
      </c>
      <c r="EW37" t="str">
        <f t="shared" si="54"/>
        <v>8A</v>
      </c>
      <c r="EX37" t="str">
        <f t="shared" si="55"/>
        <v>8B</v>
      </c>
      <c r="EY37" t="str">
        <f t="shared" si="63"/>
        <v>DI8-C10</v>
      </c>
      <c r="EZ37" t="str">
        <f t="shared" si="64"/>
        <v>DI8-B10</v>
      </c>
      <c r="FA37" t="str">
        <f t="shared" si="65"/>
        <v>DI8-C11</v>
      </c>
      <c r="FB37" t="str">
        <f t="shared" si="66"/>
        <v>DI8-B11</v>
      </c>
      <c r="FC37" t="str">
        <f t="shared" si="67"/>
        <v>DI8-C12</v>
      </c>
      <c r="FD37" t="str">
        <f t="shared" si="68"/>
        <v>DI8-B12</v>
      </c>
      <c r="FE37" t="str">
        <f t="shared" si="69"/>
        <v>DO5-7A</v>
      </c>
      <c r="FF37" t="str">
        <f t="shared" si="70"/>
        <v>DO5-7B</v>
      </c>
      <c r="FG37" t="str">
        <f t="shared" si="71"/>
        <v>DO5-8A</v>
      </c>
      <c r="FH37" t="str">
        <f t="shared" si="72"/>
        <v>DO5-8B</v>
      </c>
      <c r="FI37" t="str">
        <f t="shared" si="73"/>
        <v>K36-03</v>
      </c>
      <c r="FJ37" t="str">
        <f t="shared" si="74"/>
        <v>K36-04</v>
      </c>
      <c r="FK37" t="str">
        <f t="shared" si="75"/>
        <v>K36-01</v>
      </c>
      <c r="FL37" t="str">
        <f t="shared" si="76"/>
        <v>K36-02</v>
      </c>
      <c r="FM37" t="str">
        <f t="shared" si="57"/>
        <v>K36-05</v>
      </c>
      <c r="FN37" t="str">
        <f t="shared" si="77"/>
        <v>F0-M36-H1</v>
      </c>
      <c r="FO37" t="str">
        <f t="shared" si="78"/>
        <v>F0-M36-A1</v>
      </c>
      <c r="FP37" t="str">
        <f t="shared" si="79"/>
        <v>F0-M36-3</v>
      </c>
      <c r="FQ37" t="str">
        <f t="shared" si="80"/>
        <v>F0-M36-2</v>
      </c>
      <c r="FR37" t="str">
        <f t="shared" si="81"/>
        <v>F0-M36-16</v>
      </c>
      <c r="FS37" t="str">
        <f t="shared" si="82"/>
        <v>F0-M36-15</v>
      </c>
      <c r="FT37" t="str">
        <f t="shared" si="83"/>
        <v>F0-A220-M36</v>
      </c>
      <c r="FU37" t="str">
        <f t="shared" si="58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330</v>
      </c>
      <c r="B38" t="s">
        <v>329</v>
      </c>
      <c r="P38" t="s">
        <v>263</v>
      </c>
      <c r="T38" s="14" t="s">
        <v>520</v>
      </c>
      <c r="U38" s="15">
        <v>37</v>
      </c>
      <c r="V38" t="s">
        <v>331</v>
      </c>
      <c r="W38" t="s">
        <v>332</v>
      </c>
      <c r="AC38" t="s">
        <v>259</v>
      </c>
      <c r="AF38" t="s">
        <v>153</v>
      </c>
      <c r="AG38" t="s">
        <v>154</v>
      </c>
      <c r="AH38" t="s">
        <v>357</v>
      </c>
      <c r="AI38" s="57" cm="1">
        <f t="array" ref="AI38">IF(COUNTIFS(AH$2:AH38,AH38)=1,"1",VALUE(SUBSTITUTE(INDEX(AI:AI,_xlfn.XMATCH(AH38,AH$1:AH37,0,-1)),"A",""))+INDEX(AJ:AJ,_xlfn.XMATCH(AH38,AH$1:AH37,0,-1))+1)</f>
        <v>9</v>
      </c>
      <c r="AJ38" s="57" cm="1">
        <f t="array" ref="AJ38">SUM(IF(ISNUMBER(FIND("TmDo",$BE$1:$AAL$1)),IF(IFERROR(ISNUMBER(VALUE(SUBSTITUTE($BE38:$AAL38,"B",""))),FALSE),IF(ISNUMBER(VALUE(SUBSTITUTE($BE38:$AAL38,"B",""))),1,0),0)))</f>
        <v>1</v>
      </c>
      <c r="AK38" t="str">
        <f t="shared" si="0"/>
        <v>9A</v>
      </c>
      <c r="AL38" t="str">
        <f t="shared" si="1"/>
        <v>9B</v>
      </c>
      <c r="AM38">
        <v>46</v>
      </c>
      <c r="AN38" t="str">
        <f t="shared" si="59"/>
        <v>46XT</v>
      </c>
      <c r="AO38" t="str">
        <f t="shared" si="50"/>
        <v>46X</v>
      </c>
      <c r="AP38" t="s">
        <v>137</v>
      </c>
      <c r="AQ38" t="s">
        <v>138</v>
      </c>
      <c r="AR38" t="str">
        <f t="shared" si="51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52"/>
        <v>XT37</v>
      </c>
      <c r="ES38" t="str">
        <f t="shared" si="53"/>
        <v>C14</v>
      </c>
      <c r="ET38" t="str">
        <f t="shared" si="60"/>
        <v>B14</v>
      </c>
      <c r="EU38" t="str">
        <f t="shared" si="61"/>
        <v>C15</v>
      </c>
      <c r="EV38" t="str">
        <f t="shared" si="62"/>
        <v>B15</v>
      </c>
      <c r="EW38" t="str">
        <f t="shared" si="54"/>
        <v>10A</v>
      </c>
      <c r="EX38" t="str">
        <f t="shared" si="55"/>
        <v>10B</v>
      </c>
      <c r="EY38" t="str">
        <f t="shared" si="63"/>
        <v>DI8-C13</v>
      </c>
      <c r="EZ38" t="str">
        <f t="shared" si="64"/>
        <v>DI8-B13</v>
      </c>
      <c r="FA38" t="str">
        <f t="shared" si="65"/>
        <v>DI8-C14</v>
      </c>
      <c r="FB38" t="str">
        <f t="shared" si="66"/>
        <v>DI8-B14</v>
      </c>
      <c r="FC38" t="str">
        <f t="shared" si="67"/>
        <v>DI8-C15</v>
      </c>
      <c r="FD38" t="str">
        <f t="shared" si="68"/>
        <v>DI8-B15</v>
      </c>
      <c r="FE38" t="str">
        <f t="shared" si="69"/>
        <v>DO5-9A</v>
      </c>
      <c r="FF38" t="str">
        <f t="shared" si="70"/>
        <v>DO5-9B</v>
      </c>
      <c r="FG38" t="str">
        <f t="shared" si="71"/>
        <v>DO5-10A</v>
      </c>
      <c r="FH38" t="str">
        <f t="shared" si="72"/>
        <v>DO5-10B</v>
      </c>
      <c r="FI38" t="str">
        <f t="shared" si="73"/>
        <v>K37-03</v>
      </c>
      <c r="FJ38" t="str">
        <f t="shared" si="74"/>
        <v>K37-04</v>
      </c>
      <c r="FK38" t="str">
        <f t="shared" si="75"/>
        <v>K37-01</v>
      </c>
      <c r="FL38" t="str">
        <f t="shared" si="76"/>
        <v>K37-02</v>
      </c>
      <c r="FM38" t="str">
        <f t="shared" si="57"/>
        <v>K37-05</v>
      </c>
      <c r="FN38" t="str">
        <f t="shared" si="77"/>
        <v>F0-M37-H1</v>
      </c>
      <c r="FO38" t="str">
        <f t="shared" si="78"/>
        <v>F0-M37-A1</v>
      </c>
      <c r="FP38" t="str">
        <f t="shared" si="79"/>
        <v>F0-M37-3</v>
      </c>
      <c r="FQ38" t="str">
        <f t="shared" si="80"/>
        <v>F0-M37-2</v>
      </c>
      <c r="FR38" t="str">
        <f t="shared" si="81"/>
        <v>F0-M37-16</v>
      </c>
      <c r="FS38" t="str">
        <f t="shared" si="82"/>
        <v>F0-M37-15</v>
      </c>
      <c r="FT38" t="str">
        <f t="shared" si="83"/>
        <v>F0-A220-M37</v>
      </c>
      <c r="FU38" t="str">
        <f t="shared" si="58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336</v>
      </c>
      <c r="B39" t="s">
        <v>335</v>
      </c>
      <c r="P39" t="s">
        <v>263</v>
      </c>
      <c r="T39" s="14" t="s">
        <v>520</v>
      </c>
      <c r="U39" s="15">
        <v>38</v>
      </c>
      <c r="V39" s="15" t="s">
        <v>333</v>
      </c>
      <c r="W39" s="15" t="s">
        <v>334</v>
      </c>
      <c r="AC39" t="s">
        <v>259</v>
      </c>
      <c r="AF39" t="s">
        <v>353</v>
      </c>
      <c r="AG39" t="s">
        <v>354</v>
      </c>
      <c r="AH39" t="s">
        <v>357</v>
      </c>
      <c r="AI39" s="57" cm="1">
        <f t="array" ref="AI39">IF(COUNTIFS(AH$2:AH39,AH39)=1,"1",VALUE(SUBSTITUTE(INDEX(AI:AI,_xlfn.XMATCH(AH39,AH$1:AH38,0,-1)),"A",""))+INDEX(AJ:AJ,_xlfn.XMATCH(AH39,AH$1:AH38,0,-1))+1)</f>
        <v>11</v>
      </c>
      <c r="AJ39" s="57" cm="1">
        <f t="array" ref="AJ39">SUM(IF(ISNUMBER(FIND("TmDo",$BE$1:$AAL$1)),IF(IFERROR(ISNUMBER(VALUE(SUBSTITUTE($BE39:$AAL39,"B",""))),FALSE),IF(ISNUMBER(VALUE(SUBSTITUTE($BE39:$AAL39,"B",""))),1,0),0)))</f>
        <v>1</v>
      </c>
      <c r="AK39" t="str">
        <f t="shared" si="0"/>
        <v>11A</v>
      </c>
      <c r="AL39" t="str">
        <f t="shared" si="1"/>
        <v>11B</v>
      </c>
      <c r="AM39">
        <v>55</v>
      </c>
      <c r="AN39" t="str">
        <f t="shared" si="59"/>
        <v>55XT</v>
      </c>
      <c r="AO39" t="str">
        <f t="shared" si="50"/>
        <v>55X</v>
      </c>
      <c r="AP39" t="s">
        <v>137</v>
      </c>
      <c r="AQ39" t="s">
        <v>138</v>
      </c>
      <c r="AR39" t="str">
        <f t="shared" si="51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52"/>
        <v>XT38</v>
      </c>
      <c r="ES39" t="str">
        <f t="shared" si="53"/>
        <v>C17</v>
      </c>
      <c r="ET39" t="str">
        <f t="shared" si="60"/>
        <v>B17</v>
      </c>
      <c r="EU39" t="str">
        <f t="shared" si="61"/>
        <v>C18</v>
      </c>
      <c r="EV39" t="str">
        <f t="shared" si="62"/>
        <v>B18</v>
      </c>
      <c r="EW39" t="str">
        <f t="shared" si="54"/>
        <v>12A</v>
      </c>
      <c r="EX39" t="str">
        <f t="shared" si="55"/>
        <v>12B</v>
      </c>
      <c r="EY39" t="str">
        <f t="shared" si="63"/>
        <v>DI8-C16</v>
      </c>
      <c r="EZ39" t="str">
        <f t="shared" si="64"/>
        <v>DI8-B16</v>
      </c>
      <c r="FA39" t="str">
        <f t="shared" si="65"/>
        <v>DI8-C17</v>
      </c>
      <c r="FB39" t="str">
        <f t="shared" si="66"/>
        <v>DI8-B17</v>
      </c>
      <c r="FC39" t="str">
        <f t="shared" si="67"/>
        <v>DI8-C18</v>
      </c>
      <c r="FD39" t="str">
        <f t="shared" si="68"/>
        <v>DI8-B18</v>
      </c>
      <c r="FE39" t="str">
        <f t="shared" si="69"/>
        <v>DO5-11A</v>
      </c>
      <c r="FF39" t="str">
        <f t="shared" si="70"/>
        <v>DO5-11B</v>
      </c>
      <c r="FG39" t="str">
        <f t="shared" si="71"/>
        <v>DO5-12A</v>
      </c>
      <c r="FH39" t="str">
        <f t="shared" si="72"/>
        <v>DO5-12B</v>
      </c>
      <c r="FI39" t="str">
        <f t="shared" si="73"/>
        <v>K38-03</v>
      </c>
      <c r="FJ39" t="str">
        <f t="shared" si="74"/>
        <v>K38-04</v>
      </c>
      <c r="FK39" t="str">
        <f t="shared" si="75"/>
        <v>K38-01</v>
      </c>
      <c r="FL39" t="str">
        <f t="shared" si="76"/>
        <v>K38-02</v>
      </c>
      <c r="FM39" t="str">
        <f t="shared" si="57"/>
        <v>K38-05</v>
      </c>
      <c r="FN39" t="str">
        <f t="shared" si="77"/>
        <v>F0-M38-H1</v>
      </c>
      <c r="FO39" t="str">
        <f t="shared" si="78"/>
        <v>F0-M38-A1</v>
      </c>
      <c r="FP39" t="str">
        <f t="shared" si="79"/>
        <v>F0-M38-3</v>
      </c>
      <c r="FQ39" t="str">
        <f t="shared" si="80"/>
        <v>F0-M38-2</v>
      </c>
      <c r="FR39" t="str">
        <f t="shared" si="81"/>
        <v>F0-M38-16</v>
      </c>
      <c r="FS39" t="str">
        <f t="shared" si="82"/>
        <v>F0-M38-15</v>
      </c>
      <c r="FT39" t="str">
        <f t="shared" si="83"/>
        <v>F0-A220-M38</v>
      </c>
      <c r="FU39" t="str">
        <f t="shared" si="58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338</v>
      </c>
      <c r="B40" s="29" t="s">
        <v>337</v>
      </c>
      <c r="P40" t="s">
        <v>263</v>
      </c>
      <c r="T40" s="14" t="s">
        <v>520</v>
      </c>
      <c r="U40" s="15">
        <v>39</v>
      </c>
      <c r="V40" t="s">
        <v>339</v>
      </c>
      <c r="W40" t="s">
        <v>340</v>
      </c>
      <c r="AC40" t="s">
        <v>259</v>
      </c>
      <c r="AF40" t="s">
        <v>239</v>
      </c>
      <c r="AG40" t="s">
        <v>241</v>
      </c>
      <c r="AH40" t="s">
        <v>357</v>
      </c>
      <c r="AI40" s="57" cm="1">
        <f t="array" ref="AI40">IF(COUNTIFS(AH$2:AH40,AH40)=1,"1",VALUE(SUBSTITUTE(INDEX(AI:AI,_xlfn.XMATCH(AH40,AH$1:AH39,0,-1)),"A",""))+INDEX(AJ:AJ,_xlfn.XMATCH(AH40,AH$1:AH39,0,-1))+1)</f>
        <v>13</v>
      </c>
      <c r="AJ40" s="57" cm="1">
        <f t="array" ref="AJ40">SUM(IF(ISNUMBER(FIND("TmDo",$BE$1:$AAL$1)),IF(IFERROR(ISNUMBER(VALUE(SUBSTITUTE($BE40:$AAL40,"B",""))),FALSE),IF(ISNUMBER(VALUE(SUBSTITUTE($BE40:$AAL40,"B",""))),1,0),0)))</f>
        <v>1</v>
      </c>
      <c r="AK40" t="str">
        <f t="shared" si="0"/>
        <v>13A</v>
      </c>
      <c r="AL40" t="str">
        <f t="shared" si="1"/>
        <v>13B</v>
      </c>
      <c r="AM40">
        <v>56</v>
      </c>
      <c r="AN40" t="str">
        <f t="shared" si="59"/>
        <v>56XT</v>
      </c>
      <c r="AO40" t="str">
        <f t="shared" si="50"/>
        <v>56X</v>
      </c>
      <c r="AP40" t="s">
        <v>137</v>
      </c>
      <c r="AQ40" t="s">
        <v>138</v>
      </c>
      <c r="AR40" t="str">
        <f t="shared" si="51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52"/>
        <v>XT39</v>
      </c>
      <c r="ES40" t="str">
        <f t="shared" si="53"/>
        <v>C20</v>
      </c>
      <c r="ET40" t="str">
        <f t="shared" si="60"/>
        <v>B20</v>
      </c>
      <c r="EU40" t="str">
        <f t="shared" si="61"/>
        <v>C21</v>
      </c>
      <c r="EV40" t="str">
        <f t="shared" si="62"/>
        <v>B21</v>
      </c>
      <c r="EW40" t="str">
        <f t="shared" si="54"/>
        <v>14A</v>
      </c>
      <c r="EX40" t="str">
        <f t="shared" si="55"/>
        <v>14B</v>
      </c>
      <c r="EY40" t="str">
        <f t="shared" si="63"/>
        <v>DI8-C19</v>
      </c>
      <c r="EZ40" t="str">
        <f t="shared" si="64"/>
        <v>DI8-B19</v>
      </c>
      <c r="FA40" t="str">
        <f t="shared" si="65"/>
        <v>DI8-C20</v>
      </c>
      <c r="FB40" t="str">
        <f t="shared" si="66"/>
        <v>DI8-B20</v>
      </c>
      <c r="FC40" t="str">
        <f t="shared" si="67"/>
        <v>DI8-C21</v>
      </c>
      <c r="FD40" t="str">
        <f t="shared" si="68"/>
        <v>DI8-B21</v>
      </c>
      <c r="FE40" t="str">
        <f t="shared" si="69"/>
        <v>DO5-13A</v>
      </c>
      <c r="FF40" t="str">
        <f t="shared" si="70"/>
        <v>DO5-13B</v>
      </c>
      <c r="FG40" t="str">
        <f t="shared" si="71"/>
        <v>DO5-14A</v>
      </c>
      <c r="FH40" t="str">
        <f t="shared" si="72"/>
        <v>DO5-14B</v>
      </c>
      <c r="FI40" t="str">
        <f t="shared" si="73"/>
        <v>K39-03</v>
      </c>
      <c r="FJ40" t="str">
        <f t="shared" si="74"/>
        <v>K39-04</v>
      </c>
      <c r="FK40" t="str">
        <f t="shared" si="75"/>
        <v>K39-01</v>
      </c>
      <c r="FL40" t="str">
        <f t="shared" si="76"/>
        <v>K39-02</v>
      </c>
      <c r="FM40" t="str">
        <f t="shared" si="57"/>
        <v>K39-05</v>
      </c>
      <c r="FN40" t="str">
        <f t="shared" si="77"/>
        <v>F0-M39-H1</v>
      </c>
      <c r="FO40" t="str">
        <f t="shared" si="78"/>
        <v>F0-M39-A1</v>
      </c>
      <c r="FP40" t="str">
        <f t="shared" si="79"/>
        <v>F0-M39-3</v>
      </c>
      <c r="FQ40" t="str">
        <f t="shared" si="80"/>
        <v>F0-M39-2</v>
      </c>
      <c r="FR40" t="str">
        <f t="shared" si="81"/>
        <v>F0-M39-16</v>
      </c>
      <c r="FS40" t="str">
        <f t="shared" si="82"/>
        <v>F0-M39-15</v>
      </c>
      <c r="FT40" t="str">
        <f t="shared" si="83"/>
        <v>F0-A220-M39</v>
      </c>
      <c r="FU40" t="str">
        <f t="shared" si="58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344</v>
      </c>
      <c r="B41" s="29" t="s">
        <v>343</v>
      </c>
      <c r="P41" t="s">
        <v>263</v>
      </c>
      <c r="T41" s="14" t="s">
        <v>520</v>
      </c>
      <c r="U41" s="15">
        <v>40</v>
      </c>
      <c r="V41" s="15" t="s">
        <v>341</v>
      </c>
      <c r="W41" s="15" t="s">
        <v>342</v>
      </c>
      <c r="AC41" t="s">
        <v>259</v>
      </c>
      <c r="AF41" t="s">
        <v>355</v>
      </c>
      <c r="AG41" t="s">
        <v>356</v>
      </c>
      <c r="AH41" t="s">
        <v>357</v>
      </c>
      <c r="AI41" s="57" cm="1">
        <f t="array" ref="AI41">IF(COUNTIFS(AH$2:AH41,AH41)=1,"1",VALUE(SUBSTITUTE(INDEX(AI:AI,_xlfn.XMATCH(AH41,AH$1:AH40,0,-1)),"A",""))+INDEX(AJ:AJ,_xlfn.XMATCH(AH41,AH$1:AH40,0,-1))+1)</f>
        <v>15</v>
      </c>
      <c r="AJ41" s="57" cm="1">
        <f t="array" ref="AJ41">SUM(IF(ISNUMBER(FIND("TmDo",$BE$1:$AAL$1)),IF(IFERROR(ISNUMBER(VALUE(SUBSTITUTE($BE41:$AAL41,"B",""))),FALSE),IF(ISNUMBER(VALUE(SUBSTITUTE($BE41:$AAL41,"B",""))),1,0),0)))</f>
        <v>1</v>
      </c>
      <c r="AK41" t="str">
        <f t="shared" si="0"/>
        <v>15A</v>
      </c>
      <c r="AL41" t="str">
        <f t="shared" si="1"/>
        <v>15B</v>
      </c>
      <c r="AM41">
        <v>57</v>
      </c>
      <c r="AN41" t="str">
        <f t="shared" si="59"/>
        <v>57XT</v>
      </c>
      <c r="AO41" t="str">
        <f t="shared" si="50"/>
        <v>57X</v>
      </c>
      <c r="AP41" t="s">
        <v>137</v>
      </c>
      <c r="AQ41" t="s">
        <v>138</v>
      </c>
      <c r="AR41" t="str">
        <f t="shared" si="51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52"/>
        <v>XT40</v>
      </c>
      <c r="ES41" t="str">
        <f t="shared" si="53"/>
        <v>C23</v>
      </c>
      <c r="ET41" t="str">
        <f t="shared" si="60"/>
        <v>B23</v>
      </c>
      <c r="EU41" t="str">
        <f t="shared" si="61"/>
        <v>C24</v>
      </c>
      <c r="EV41" t="str">
        <f t="shared" si="62"/>
        <v>B24</v>
      </c>
      <c r="EW41" t="str">
        <f t="shared" si="54"/>
        <v>16A</v>
      </c>
      <c r="EX41" t="str">
        <f t="shared" si="55"/>
        <v>16B</v>
      </c>
      <c r="EY41" t="str">
        <f t="shared" si="63"/>
        <v>DI8-C22</v>
      </c>
      <c r="EZ41" t="str">
        <f t="shared" si="64"/>
        <v>DI8-B22</v>
      </c>
      <c r="FA41" t="str">
        <f t="shared" si="65"/>
        <v>DI8-C23</v>
      </c>
      <c r="FB41" t="str">
        <f t="shared" si="66"/>
        <v>DI8-B23</v>
      </c>
      <c r="FC41" t="str">
        <f t="shared" si="67"/>
        <v>DI8-C24</v>
      </c>
      <c r="FD41" t="str">
        <f t="shared" si="68"/>
        <v>DI8-B24</v>
      </c>
      <c r="FE41" t="str">
        <f t="shared" si="69"/>
        <v>DO5-15A</v>
      </c>
      <c r="FF41" t="str">
        <f t="shared" si="70"/>
        <v>DO5-15B</v>
      </c>
      <c r="FG41" t="str">
        <f t="shared" si="71"/>
        <v>DO5-16A</v>
      </c>
      <c r="FH41" t="str">
        <f t="shared" si="72"/>
        <v>DO5-16B</v>
      </c>
      <c r="FI41" t="str">
        <f t="shared" si="73"/>
        <v>K40-03</v>
      </c>
      <c r="FJ41" t="str">
        <f t="shared" si="74"/>
        <v>K40-04</v>
      </c>
      <c r="FK41" t="str">
        <f t="shared" si="75"/>
        <v>K40-01</v>
      </c>
      <c r="FL41" t="str">
        <f t="shared" si="76"/>
        <v>K40-02</v>
      </c>
      <c r="FM41" t="str">
        <f t="shared" si="57"/>
        <v>K40-05</v>
      </c>
      <c r="FN41" t="str">
        <f t="shared" si="77"/>
        <v>F0-M40-H1</v>
      </c>
      <c r="FO41" t="str">
        <f t="shared" si="78"/>
        <v>F0-M40-A1</v>
      </c>
      <c r="FP41" t="str">
        <f t="shared" si="79"/>
        <v>F0-M40-3</v>
      </c>
      <c r="FQ41" t="str">
        <f t="shared" si="80"/>
        <v>F0-M40-2</v>
      </c>
      <c r="FR41" t="str">
        <f t="shared" si="81"/>
        <v>F0-M40-16</v>
      </c>
      <c r="FS41" t="str">
        <f t="shared" si="82"/>
        <v>F0-M40-15</v>
      </c>
      <c r="FT41" t="str">
        <f t="shared" si="83"/>
        <v>F0-A220-M40</v>
      </c>
      <c r="FU41" t="str">
        <f t="shared" si="58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346</v>
      </c>
      <c r="B42" s="29" t="s">
        <v>345</v>
      </c>
      <c r="P42" t="s">
        <v>263</v>
      </c>
      <c r="T42" s="17" t="s">
        <v>520</v>
      </c>
      <c r="U42" s="18">
        <v>41</v>
      </c>
      <c r="V42" s="19" t="s">
        <v>347</v>
      </c>
      <c r="W42" s="19" t="s">
        <v>348</v>
      </c>
      <c r="X42" s="19"/>
      <c r="Y42" s="19"/>
      <c r="Z42" s="19"/>
      <c r="AA42" s="19"/>
      <c r="AB42" s="19"/>
      <c r="AC42" s="19" t="s">
        <v>259</v>
      </c>
      <c r="AD42" s="19"/>
      <c r="AE42" s="19"/>
      <c r="AF42" s="19" t="s">
        <v>240</v>
      </c>
      <c r="AG42" s="19" t="s">
        <v>242</v>
      </c>
      <c r="AH42" s="19" t="s">
        <v>357</v>
      </c>
      <c r="AI42" s="58" cm="1">
        <f t="array" ref="AI42">IF(COUNTIFS(AH$2:AH42,AH42)=1,"1",VALUE(SUBSTITUTE(INDEX(AI:AI,_xlfn.XMATCH(AH42,AH$1:AH41,0,-1)),"A",""))+INDEX(AJ:AJ,_xlfn.XMATCH(AH42,AH$1:AH41,0,-1))+1)</f>
        <v>17</v>
      </c>
      <c r="AJ42" s="58" cm="1">
        <f t="array" ref="AJ42">SUM(IF(ISNUMBER(FIND("TmDo",$BE$1:$AAL$1)),IF(IFERROR(ISNUMBER(VALUE(SUBSTITUTE($BE42:$AAL42,"B",""))),FALSE),IF(ISNUMBER(VALUE(SUBSTITUTE($BE42:$AAL42,"B",""))),1,0),0)))</f>
        <v>1</v>
      </c>
      <c r="AK42" s="19" t="str">
        <f t="shared" si="0"/>
        <v>17A</v>
      </c>
      <c r="AL42" s="19" t="str">
        <f t="shared" si="1"/>
        <v>17B</v>
      </c>
      <c r="AM42" s="19">
        <v>58</v>
      </c>
      <c r="AN42" s="19" t="str">
        <f t="shared" si="59"/>
        <v>58XT</v>
      </c>
      <c r="AO42" s="19" t="str">
        <f t="shared" si="50"/>
        <v>58X</v>
      </c>
      <c r="AP42" s="19" t="s">
        <v>137</v>
      </c>
      <c r="AQ42" s="19" t="s">
        <v>138</v>
      </c>
      <c r="AR42" s="19" t="str">
        <f t="shared" si="51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2"/>
        <v>XT41</v>
      </c>
      <c r="ES42" s="19" t="str">
        <f t="shared" si="53"/>
        <v>C26</v>
      </c>
      <c r="ET42" s="19" t="str">
        <f t="shared" si="60"/>
        <v>B26</v>
      </c>
      <c r="EU42" s="19" t="str">
        <f t="shared" si="61"/>
        <v>C27</v>
      </c>
      <c r="EV42" s="19" t="str">
        <f t="shared" si="62"/>
        <v>B27</v>
      </c>
      <c r="EW42" s="19" t="str">
        <f t="shared" si="54"/>
        <v>18A</v>
      </c>
      <c r="EX42" s="19" t="str">
        <f t="shared" si="55"/>
        <v>18B</v>
      </c>
      <c r="EY42" s="19" t="str">
        <f t="shared" si="63"/>
        <v>DI8-C25</v>
      </c>
      <c r="EZ42" s="19" t="str">
        <f t="shared" si="64"/>
        <v>DI8-B25</v>
      </c>
      <c r="FA42" s="19" t="str">
        <f t="shared" si="65"/>
        <v>DI8-C26</v>
      </c>
      <c r="FB42" s="19" t="str">
        <f t="shared" si="66"/>
        <v>DI8-B26</v>
      </c>
      <c r="FC42" s="19" t="str">
        <f t="shared" si="67"/>
        <v>DI8-C27</v>
      </c>
      <c r="FD42" s="19" t="str">
        <f t="shared" si="68"/>
        <v>DI8-B27</v>
      </c>
      <c r="FE42" s="19" t="str">
        <f t="shared" si="69"/>
        <v>DO5-17A</v>
      </c>
      <c r="FF42" s="19" t="str">
        <f t="shared" si="70"/>
        <v>DO5-17B</v>
      </c>
      <c r="FG42" s="19" t="str">
        <f t="shared" si="71"/>
        <v>DO5-18A</v>
      </c>
      <c r="FH42" s="19" t="str">
        <f t="shared" si="72"/>
        <v>DO5-18B</v>
      </c>
      <c r="FI42" s="19" t="str">
        <f t="shared" si="73"/>
        <v>K41-03</v>
      </c>
      <c r="FJ42" s="19" t="str">
        <f t="shared" si="74"/>
        <v>K41-04</v>
      </c>
      <c r="FK42" s="19" t="str">
        <f t="shared" si="75"/>
        <v>K41-01</v>
      </c>
      <c r="FL42" s="19" t="str">
        <f t="shared" si="76"/>
        <v>K41-02</v>
      </c>
      <c r="FM42" s="19" t="str">
        <f t="shared" si="57"/>
        <v>K41-05</v>
      </c>
      <c r="FN42" s="19" t="str">
        <f t="shared" si="77"/>
        <v>F0-M41-H1</v>
      </c>
      <c r="FO42" s="19" t="str">
        <f t="shared" si="78"/>
        <v>F0-M41-A1</v>
      </c>
      <c r="FP42" s="19" t="str">
        <f t="shared" si="79"/>
        <v>F0-M41-3</v>
      </c>
      <c r="FQ42" s="19" t="str">
        <f t="shared" si="80"/>
        <v>F0-M41-2</v>
      </c>
      <c r="FR42" s="19" t="str">
        <f t="shared" si="81"/>
        <v>F0-M41-16</v>
      </c>
      <c r="FS42" s="19" t="str">
        <f t="shared" si="82"/>
        <v>F0-M41-15</v>
      </c>
      <c r="FT42" s="19" t="str">
        <f t="shared" si="83"/>
        <v>F0-A220-M41</v>
      </c>
      <c r="FU42" s="19" t="str">
        <f t="shared" si="58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360</v>
      </c>
      <c r="B43" t="s">
        <v>359</v>
      </c>
      <c r="P43" t="s">
        <v>361</v>
      </c>
      <c r="T43" s="10" t="s">
        <v>520</v>
      </c>
      <c r="U43" s="11">
        <v>42</v>
      </c>
      <c r="V43" s="11" t="s">
        <v>362</v>
      </c>
      <c r="W43" s="11" t="s">
        <v>363</v>
      </c>
      <c r="X43" s="12" t="s">
        <v>370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SUM(IF(ISNUMBER(FIND("TmAi",$BE$1:$AAL$1)),IF(IFERROR(ISODD(SUBSTITUTE($BE43:$AAL43,"A","")),FALSE),IF(ISODD(SUBSTITUTE($BE43:$AAL43,"A","")),1,0),0)))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260</v>
      </c>
      <c r="AD43" s="12"/>
      <c r="AE43" s="12"/>
      <c r="AF43" s="11" t="s">
        <v>133</v>
      </c>
      <c r="AG43" s="11" t="s">
        <v>134</v>
      </c>
      <c r="AH43" s="11" t="s">
        <v>358</v>
      </c>
      <c r="AI43" s="60" t="str" cm="1">
        <f t="array" ref="AI43">IF(COUNTIFS(AH$2:AH43,AH43)=1,"1",VALUE(SUBSTITUTE(INDEX(AI:AI,_xlfn.XMATCH(AH43,AH$1:AH42,0,-1)),"A",""))+INDEX(AJ:AJ,_xlfn.XMATCH(AH43,AH$1:AH42,0,-1))+1)</f>
        <v>1</v>
      </c>
      <c r="AJ43" s="60" cm="1">
        <f t="array" ref="AJ43">SUM(IF(ISNUMBER(FIND("TmDo",$BE$1:$AAL$1)),IF(IFERROR(ISNUMBER(VALUE(SUBSTITUTE($BE43:$AAL43,"B",""))),FALSE),IF(ISNUMBER(VALUE(SUBSTITUTE($BE43:$AAL43,"B",""))),1,0),0)))</f>
        <v>1</v>
      </c>
      <c r="AK43" s="11" t="str">
        <f t="shared" si="0"/>
        <v>1A</v>
      </c>
      <c r="AL43" s="11" t="str">
        <f t="shared" si="1"/>
        <v>1B</v>
      </c>
      <c r="AM43" s="12" t="s">
        <v>364</v>
      </c>
      <c r="AN43" s="12"/>
      <c r="AO43" s="12"/>
      <c r="AP43" s="12" t="s">
        <v>137</v>
      </c>
      <c r="AQ43" s="12" t="s">
        <v>138</v>
      </c>
      <c r="AR43" s="12"/>
      <c r="AS43" s="12" t="s">
        <v>366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4">CONCATENATE("XT",U43)</f>
        <v>XT42</v>
      </c>
      <c r="GU43" s="12" t="str">
        <f t="shared" ref="GU43:GU55" si="85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 t="shared" ref="HE43:HE55" si="86">CONCATENATE(REPLACE(AK43,LEN(AK43),1,"")+1,"A")</f>
        <v>2A</v>
      </c>
      <c r="HF43" s="12" t="str">
        <f t="shared" ref="HF43:HF55" si="87">CONCATENATE(REPLACE(AL43,LEN(AL43),1,"")+1,"B")</f>
        <v>2B</v>
      </c>
      <c r="HG43" s="12" t="str">
        <f t="shared" ref="HG43:HG55" si="88">CONCATENATE("AI",REPLACE($X43,1,3,""),"-",AA43)</f>
        <v>AI1-1A</v>
      </c>
      <c r="HH43" s="12" t="str">
        <f t="shared" ref="HH43:HH55" si="89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90">CONCATENATE("DI",REPLACE($AC43,1,3,""),"-",GU43)</f>
        <v>DI9-C2</v>
      </c>
      <c r="HL43" s="12" t="str">
        <f t="shared" si="90"/>
        <v>DI9-B2</v>
      </c>
      <c r="HM43" s="12" t="str">
        <f t="shared" si="90"/>
        <v>DI9-C3</v>
      </c>
      <c r="HN43" s="12" t="str">
        <f t="shared" si="90"/>
        <v>DI9-B3</v>
      </c>
      <c r="HO43" s="12" t="str">
        <f t="shared" si="90"/>
        <v>DI9-C4</v>
      </c>
      <c r="HP43" s="12" t="str">
        <f t="shared" si="90"/>
        <v>DI9-B4</v>
      </c>
      <c r="HQ43" s="12" t="str">
        <f t="shared" si="90"/>
        <v>DI9-C5</v>
      </c>
      <c r="HR43" s="12" t="str">
        <f t="shared" si="90"/>
        <v>DI9-B5</v>
      </c>
      <c r="HS43" s="12" t="str">
        <f t="shared" si="90"/>
        <v>DI9-C6</v>
      </c>
      <c r="HT43" s="12" t="str">
        <f t="shared" si="90"/>
        <v>DI9-B6</v>
      </c>
      <c r="HU43" s="12" t="str">
        <f>CONCATENATE("DO",REPLACE($AH43,1,3,""),"-",AK43)</f>
        <v>DO6-1A</v>
      </c>
      <c r="HV43" s="12" t="str">
        <f>CONCATENATE("DO",REPLACE($AH43,1,3,""),"-",AL43)</f>
        <v>DO6-1B</v>
      </c>
      <c r="HW43" s="12" t="str">
        <f>CONCATENATE("DO",REPLACE($AH43,1,3,""),"-",HE43)</f>
        <v>DO6-2A</v>
      </c>
      <c r="HX43" s="12" t="str">
        <f>CONCATENATE("DO",REPLACE($AH43,1,3,""),"-",HF43)</f>
        <v>DO6-2B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383</v>
      </c>
      <c r="IW43" s="12" t="s">
        <v>384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385</v>
      </c>
      <c r="B44" t="s">
        <v>386</v>
      </c>
      <c r="P44" t="s">
        <v>361</v>
      </c>
      <c r="T44" s="14" t="s">
        <v>520</v>
      </c>
      <c r="U44" s="15">
        <f>U43+1</f>
        <v>43</v>
      </c>
      <c r="V44" t="s">
        <v>387</v>
      </c>
      <c r="W44" t="s">
        <v>388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SUM(IF(ISNUMBER(FIND("TmAi",$BE$1:$AAL$1)),IF(IFERROR(ISODD(SUBSTITUTE($BE44:$AAL44,"A","")),FALSE),IF(ISODD(SUBSTITUTE($BE44:$AAL44,"A","")),1,0),0)))</f>
        <v>0</v>
      </c>
      <c r="AA44" t="str">
        <f t="shared" ref="AA44:AA55" si="91">CONCATENATE($Y44*2-1,"A")</f>
        <v>3A</v>
      </c>
      <c r="AB44" t="str">
        <f t="shared" ref="AB44:AB55" si="92">CONCATENATE($Y44*2-1,"B")</f>
        <v>3B</v>
      </c>
      <c r="AC44" t="s">
        <v>260</v>
      </c>
      <c r="AF44" t="s">
        <v>148</v>
      </c>
      <c r="AG44" t="s">
        <v>149</v>
      </c>
      <c r="AH44" t="s">
        <v>358</v>
      </c>
      <c r="AI44" s="57" cm="1">
        <f t="array" ref="AI44">IF(COUNTIFS(AH$2:AH44,AH44)=1,"1",VALUE(SUBSTITUTE(INDEX(AI:AI,_xlfn.XMATCH(AH44,AH$1:AH43,0,-1)),"A",""))+INDEX(AJ:AJ,_xlfn.XMATCH(AH44,AH$1:AH43,0,-1))+1)</f>
        <v>3</v>
      </c>
      <c r="AJ44" s="57" cm="1">
        <f t="array" ref="AJ44">SUM(IF(ISNUMBER(FIND("TmDo",$BE$1:$AAL$1)),IF(IFERROR(ISNUMBER(VALUE(SUBSTITUTE($BE44:$AAL44,"B",""))),FALSE),IF(ISNUMBER(VALUE(SUBSTITUTE($BE44:$AAL44,"B",""))),1,0),0)))</f>
        <v>1</v>
      </c>
      <c r="AK44" t="str">
        <f t="shared" si="0"/>
        <v>3A</v>
      </c>
      <c r="AL44" t="str">
        <f t="shared" si="1"/>
        <v>3B</v>
      </c>
      <c r="AM44" t="s">
        <v>389</v>
      </c>
      <c r="AP44" t="s">
        <v>137</v>
      </c>
      <c r="AQ44" t="s">
        <v>138</v>
      </c>
      <c r="AS44" t="s">
        <v>366</v>
      </c>
      <c r="AT44" t="s">
        <v>139</v>
      </c>
      <c r="AU44" t="s">
        <v>140</v>
      </c>
      <c r="BD44" s="16"/>
      <c r="GT44" s="27" t="str">
        <f t="shared" si="84"/>
        <v>XT43</v>
      </c>
      <c r="GU44" t="str">
        <f t="shared" si="85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 t="shared" si="86"/>
        <v>4A</v>
      </c>
      <c r="HF44" t="str">
        <f t="shared" si="87"/>
        <v>4B</v>
      </c>
      <c r="HG44" t="str">
        <f t="shared" si="88"/>
        <v>AI1-3A</v>
      </c>
      <c r="HH44" t="str">
        <f t="shared" si="89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90"/>
        <v>DI9-C8</v>
      </c>
      <c r="HL44" t="str">
        <f t="shared" si="90"/>
        <v>DI9-B8</v>
      </c>
      <c r="HM44" t="str">
        <f t="shared" si="90"/>
        <v>DI9-C9</v>
      </c>
      <c r="HN44" t="str">
        <f t="shared" si="90"/>
        <v>DI9-B9</v>
      </c>
      <c r="HO44" t="str">
        <f t="shared" si="90"/>
        <v>DI9-C10</v>
      </c>
      <c r="HP44" t="str">
        <f t="shared" si="90"/>
        <v>DI9-B10</v>
      </c>
      <c r="HQ44" t="str">
        <f t="shared" si="90"/>
        <v>DI9-C11</v>
      </c>
      <c r="HR44" t="str">
        <f t="shared" si="90"/>
        <v>DI9-B11</v>
      </c>
      <c r="HS44" t="str">
        <f t="shared" si="90"/>
        <v>DI9-C12</v>
      </c>
      <c r="HT44" t="str">
        <f t="shared" si="90"/>
        <v>DI9-B12</v>
      </c>
      <c r="HU44" t="str">
        <f>CONCATENATE("DO",REPLACE($AH44,1,3,""),"-",AK44)</f>
        <v>DO6-3A</v>
      </c>
      <c r="HV44" t="str">
        <f>CONCATENATE("DO",REPLACE($AH44,1,3,""),"-",AL44)</f>
        <v>DO6-3B</v>
      </c>
      <c r="HW44" t="str">
        <f>CONCATENATE("DO",REPLACE($AH44,1,3,""),"-",HE44)</f>
        <v>DO6-4A</v>
      </c>
      <c r="HX44" t="str">
        <f>CONCATENATE("DO",REPLACE($AH44,1,3,""),"-",HF44)</f>
        <v>DO6-4B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93">IR43</f>
        <v>A1</v>
      </c>
      <c r="IS44" t="str">
        <f t="shared" si="93"/>
        <v>A2</v>
      </c>
      <c r="IT44">
        <f t="shared" si="93"/>
        <v>11</v>
      </c>
      <c r="IU44">
        <f t="shared" si="93"/>
        <v>14</v>
      </c>
      <c r="IV44" t="str">
        <f t="shared" si="93"/>
        <v>24v6</v>
      </c>
      <c r="IW44" t="str">
        <f t="shared" si="93"/>
        <v>0v6</v>
      </c>
      <c r="IX44">
        <f t="shared" si="93"/>
        <v>1</v>
      </c>
      <c r="IY44">
        <f t="shared" si="93"/>
        <v>2</v>
      </c>
      <c r="IZ44">
        <f t="shared" ref="IZ44:JY44" si="94">IZ43</f>
        <v>3</v>
      </c>
      <c r="JA44">
        <f t="shared" si="94"/>
        <v>4</v>
      </c>
      <c r="JB44">
        <f t="shared" si="94"/>
        <v>5</v>
      </c>
      <c r="JC44">
        <f t="shared" si="94"/>
        <v>6</v>
      </c>
      <c r="JD44">
        <f t="shared" si="94"/>
        <v>7</v>
      </c>
      <c r="JE44">
        <f t="shared" si="94"/>
        <v>8</v>
      </c>
      <c r="JF44">
        <f t="shared" si="94"/>
        <v>9</v>
      </c>
      <c r="JG44">
        <f t="shared" si="94"/>
        <v>10</v>
      </c>
      <c r="JH44">
        <f t="shared" si="94"/>
        <v>11</v>
      </c>
      <c r="JI44">
        <f t="shared" si="94"/>
        <v>12</v>
      </c>
      <c r="JJ44">
        <f t="shared" si="94"/>
        <v>13</v>
      </c>
      <c r="JK44">
        <f t="shared" si="94"/>
        <v>14</v>
      </c>
      <c r="JL44">
        <f t="shared" si="94"/>
        <v>17</v>
      </c>
      <c r="JM44">
        <f t="shared" si="94"/>
        <v>15</v>
      </c>
      <c r="JN44">
        <f t="shared" si="94"/>
        <v>18</v>
      </c>
      <c r="JO44">
        <f t="shared" si="94"/>
        <v>11</v>
      </c>
      <c r="JP44">
        <f t="shared" si="94"/>
        <v>9</v>
      </c>
      <c r="JQ44">
        <f t="shared" si="94"/>
        <v>6</v>
      </c>
      <c r="JR44">
        <f t="shared" si="94"/>
        <v>20</v>
      </c>
      <c r="JS44">
        <f t="shared" si="94"/>
        <v>7</v>
      </c>
      <c r="JT44">
        <f t="shared" si="94"/>
        <v>10</v>
      </c>
      <c r="JU44">
        <f t="shared" si="94"/>
        <v>22</v>
      </c>
      <c r="JV44">
        <f t="shared" si="94"/>
        <v>23</v>
      </c>
      <c r="JW44">
        <f t="shared" si="94"/>
        <v>26</v>
      </c>
      <c r="JX44">
        <f t="shared" si="94"/>
        <v>27</v>
      </c>
      <c r="JY44" s="16">
        <f t="shared" si="94"/>
        <v>30</v>
      </c>
    </row>
    <row r="45" spans="1:285" x14ac:dyDescent="0.25">
      <c r="A45" t="s">
        <v>391</v>
      </c>
      <c r="B45" t="s">
        <v>393</v>
      </c>
      <c r="P45" t="s">
        <v>361</v>
      </c>
      <c r="T45" s="14" t="s">
        <v>520</v>
      </c>
      <c r="U45" s="15">
        <f t="shared" ref="U45:U55" si="95">U44+1</f>
        <v>44</v>
      </c>
      <c r="V45" s="15" t="s">
        <v>392</v>
      </c>
      <c r="W45" s="15" t="s">
        <v>420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SUM(IF(ISNUMBER(FIND("TmAi",$BE$1:$AAL$1)),IF(IFERROR(ISODD(SUBSTITUTE($BE45:$AAL45,"A","")),FALSE),IF(ISODD(SUBSTITUTE($BE45:$AAL45,"A","")),1,0),0)))</f>
        <v>0</v>
      </c>
      <c r="AA45" t="str">
        <f t="shared" si="91"/>
        <v>5A</v>
      </c>
      <c r="AB45" t="str">
        <f t="shared" si="92"/>
        <v>5B</v>
      </c>
      <c r="AC45" s="15" t="s">
        <v>260</v>
      </c>
      <c r="AD45" s="15"/>
      <c r="AE45" s="15"/>
      <c r="AF45" s="15" t="s">
        <v>153</v>
      </c>
      <c r="AG45" s="15" t="s">
        <v>154</v>
      </c>
      <c r="AH45" s="15" t="s">
        <v>358</v>
      </c>
      <c r="AI45" s="61" cm="1">
        <f t="array" ref="AI45">IF(COUNTIFS(AH$2:AH45,AH45)=1,"1",VALUE(SUBSTITUTE(INDEX(AI:AI,_xlfn.XMATCH(AH45,AH$1:AH44,0,-1)),"A",""))+INDEX(AJ:AJ,_xlfn.XMATCH(AH45,AH$1:AH44,0,-1))+1)</f>
        <v>5</v>
      </c>
      <c r="AJ45" s="61" cm="1">
        <f t="array" ref="AJ45">SUM(IF(ISNUMBER(FIND("TmDo",$BE$1:$AAL$1)),IF(IFERROR(ISNUMBER(VALUE(SUBSTITUTE($BE45:$AAL45,"B",""))),FALSE),IF(ISNUMBER(VALUE(SUBSTITUTE($BE45:$AAL45,"B",""))),1,0),0)))</f>
        <v>1</v>
      </c>
      <c r="AK45" s="15" t="str">
        <f t="shared" si="0"/>
        <v>5A</v>
      </c>
      <c r="AL45" s="15" t="str">
        <f t="shared" si="1"/>
        <v>5B</v>
      </c>
      <c r="AM45" s="15" t="s">
        <v>394</v>
      </c>
      <c r="AP45" t="s">
        <v>137</v>
      </c>
      <c r="AQ45" t="s">
        <v>138</v>
      </c>
      <c r="AS45" t="s">
        <v>366</v>
      </c>
      <c r="AT45" t="s">
        <v>139</v>
      </c>
      <c r="AU45" t="s">
        <v>140</v>
      </c>
      <c r="BD45" s="16"/>
      <c r="GT45" s="27" t="str">
        <f t="shared" si="84"/>
        <v>XT44</v>
      </c>
      <c r="GU45" t="str">
        <f t="shared" si="85"/>
        <v>C14</v>
      </c>
      <c r="GV45" t="str">
        <f t="shared" ref="GV45:GV55" si="96">CONCATENATE("B",REPLACE(AG45,1,1,"")+1)</f>
        <v>B14</v>
      </c>
      <c r="GW45" t="str">
        <f t="shared" ref="GW45:GW55" si="97">CONCATENATE("C",REPLACE(GU45,1,1,"")+1)</f>
        <v>C15</v>
      </c>
      <c r="GX45" t="str">
        <f t="shared" ref="GX45:GX55" si="98">CONCATENATE("B",REPLACE(GV45,1,1,"")+1)</f>
        <v>B15</v>
      </c>
      <c r="GY45" t="str">
        <f t="shared" ref="GY45:GY55" si="99">CONCATENATE("C",REPLACE(GW45,1,1,"")+1)</f>
        <v>C16</v>
      </c>
      <c r="GZ45" t="str">
        <f t="shared" ref="GZ45:GZ55" si="100">CONCATENATE("B",REPLACE(GX45,1,1,"")+1)</f>
        <v>B16</v>
      </c>
      <c r="HA45" t="str">
        <f t="shared" ref="HA45:HA55" si="101">CONCATENATE("C",REPLACE(GY45,1,1,"")+1)</f>
        <v>C17</v>
      </c>
      <c r="HB45" t="str">
        <f t="shared" ref="HB45:HB55" si="102">CONCATENATE("B",REPLACE(GZ45,1,1,"")+1)</f>
        <v>B17</v>
      </c>
      <c r="HC45" t="str">
        <f t="shared" ref="HC45:HC55" si="103">CONCATENATE("C",REPLACE(HA45,1,1,"")+1)</f>
        <v>C18</v>
      </c>
      <c r="HD45" t="str">
        <f t="shared" ref="HD45:HD55" si="104">CONCATENATE("B",REPLACE(HB45,1,1,"")+1)</f>
        <v>B18</v>
      </c>
      <c r="HE45" t="str">
        <f t="shared" si="86"/>
        <v>6A</v>
      </c>
      <c r="HF45" t="str">
        <f t="shared" si="87"/>
        <v>6B</v>
      </c>
      <c r="HG45" t="str">
        <f t="shared" si="88"/>
        <v>AI1-5A</v>
      </c>
      <c r="HH45" t="str">
        <f t="shared" si="89"/>
        <v>AI1-5B</v>
      </c>
      <c r="HI45" t="str">
        <f t="shared" ref="HI45:HI55" si="105">CONCATENATE("DI",REPLACE($AC45,1,3,""),"-",AF45)</f>
        <v>DI9-C13</v>
      </c>
      <c r="HJ45" t="str">
        <f t="shared" ref="HJ45:HJ55" si="106">CONCATENATE("DI",REPLACE($AC45,1,3,""),"-",AG45)</f>
        <v>DI9-B13</v>
      </c>
      <c r="HK45" t="str">
        <f t="shared" ref="HK45:HK55" si="107">CONCATENATE("DI",REPLACE($AC45,1,3,""),"-",GU45)</f>
        <v>DI9-C14</v>
      </c>
      <c r="HL45" t="str">
        <f t="shared" ref="HL45:HL55" si="108">CONCATENATE("DI",REPLACE($AC45,1,3,""),"-",GV45)</f>
        <v>DI9-B14</v>
      </c>
      <c r="HM45" t="str">
        <f t="shared" ref="HM45:HM55" si="109">CONCATENATE("DI",REPLACE($AC45,1,3,""),"-",GW45)</f>
        <v>DI9-C15</v>
      </c>
      <c r="HN45" t="str">
        <f t="shared" ref="HN45:HN55" si="110">CONCATENATE("DI",REPLACE($AC45,1,3,""),"-",GX45)</f>
        <v>DI9-B15</v>
      </c>
      <c r="HO45" t="str">
        <f t="shared" ref="HO45:HO55" si="111">CONCATENATE("DI",REPLACE($AC45,1,3,""),"-",GY45)</f>
        <v>DI9-C16</v>
      </c>
      <c r="HP45" t="str">
        <f t="shared" ref="HP45:HP55" si="112">CONCATENATE("DI",REPLACE($AC45,1,3,""),"-",GZ45)</f>
        <v>DI9-B16</v>
      </c>
      <c r="HQ45" t="str">
        <f t="shared" ref="HQ45:HQ55" si="113">CONCATENATE("DI",REPLACE($AC45,1,3,""),"-",HA45)</f>
        <v>DI9-C17</v>
      </c>
      <c r="HR45" t="str">
        <f t="shared" ref="HR45:HR55" si="114">CONCATENATE("DI",REPLACE($AC45,1,3,""),"-",HB45)</f>
        <v>DI9-B17</v>
      </c>
      <c r="HS45" t="str">
        <f t="shared" ref="HS45:HS55" si="115">CONCATENATE("DI",REPLACE($AC45,1,3,""),"-",HC45)</f>
        <v>DI9-C18</v>
      </c>
      <c r="HT45" t="str">
        <f t="shared" ref="HT45:HT55" si="116">CONCATENATE("DI",REPLACE($AC45,1,3,""),"-",HD45)</f>
        <v>DI9-B18</v>
      </c>
      <c r="HU45" t="str">
        <f t="shared" ref="HU45:HU55" si="117">CONCATENATE("DO",REPLACE($AH45,1,3,""),"-",AK45)</f>
        <v>DO6-5A</v>
      </c>
      <c r="HV45" t="str">
        <f t="shared" ref="HV45:HV55" si="118">CONCATENATE("DO",REPLACE($AH45,1,3,""),"-",AL45)</f>
        <v>DO6-5B</v>
      </c>
      <c r="HW45" t="str">
        <f t="shared" ref="HW45:HW55" si="119">CONCATENATE("DO",REPLACE($AH45,1,3,""),"-",HE45)</f>
        <v>DO6-6A</v>
      </c>
      <c r="HX45" t="str">
        <f t="shared" ref="HX45:HX55" si="120">CONCATENATE("DO",REPLACE($AH45,1,3,""),"-",HF45)</f>
        <v>DO6-6B</v>
      </c>
      <c r="HY45" t="str">
        <f t="shared" ref="HY45:HY55" si="121">CONCATENATE("K",$U45,"-01")</f>
        <v>K44-01</v>
      </c>
      <c r="HZ45" t="str">
        <f t="shared" ref="HZ45:HZ55" si="122">CONCATENATE("K",$U45,"-02")</f>
        <v>K44-02</v>
      </c>
      <c r="IA45" t="str">
        <f t="shared" ref="IA45:IA55" si="123">CONCATENATE("K",$U45,"-03")</f>
        <v>K44-03</v>
      </c>
      <c r="IB45" t="str">
        <f t="shared" ref="IB45:IB55" si="124">CONCATENATE("K",$U45,"-04")</f>
        <v>K44-04</v>
      </c>
      <c r="IC45" t="str">
        <f t="shared" ref="IC45:IC55" si="125">CONCATENATE("K",$U45,"-05")</f>
        <v>K44-05</v>
      </c>
      <c r="ID45" t="str">
        <f t="shared" ref="ID45:ID55" si="126">CONCATENATE("K",$U45,"-06")</f>
        <v>K44-06</v>
      </c>
      <c r="IE45" t="str">
        <f t="shared" ref="IE45:IE55" si="127">CONCATENATE("K",$U45,"-07")</f>
        <v>K44-07</v>
      </c>
      <c r="IF45" t="str">
        <f t="shared" ref="IF45:IF55" si="128">CONCATENATE("K",$U45,"-08")</f>
        <v>K44-08</v>
      </c>
      <c r="IG45" t="str">
        <f t="shared" ref="IG45:IG55" si="129">CONCATENATE($T45,"-M",$U45,"-AMS-12")</f>
        <v>F0-M44-AMS-12</v>
      </c>
      <c r="IH45" t="str">
        <f t="shared" ref="IH45:IH55" si="130">CONCATENATE($T45,"-M",$U45,"-AMS-10")</f>
        <v>F0-M44-AMS-10</v>
      </c>
      <c r="II45" t="str">
        <f t="shared" ref="II45:II55" si="131">CONCATENATE($T45,"-M",$U45,"-AMS-11")</f>
        <v>F0-M44-AMS-11</v>
      </c>
      <c r="IJ45" t="str">
        <f t="shared" ref="IJ45:IJ55" si="132">CONCATENATE($T45,"-M",$U45,"-AMS-13")</f>
        <v>F0-M44-AMS-13</v>
      </c>
      <c r="IK45" t="str">
        <f t="shared" ref="IK45:IK55" si="133">CONCATENATE($T45,"-M",$U45,"-AMS-9")</f>
        <v>F0-M44-AMS-9</v>
      </c>
      <c r="IL45" t="str">
        <f t="shared" ref="IL45:IL55" si="134">CONCATENATE($T45,"-M",$U45,"-AMS-7")</f>
        <v>F0-M44-AMS-7</v>
      </c>
      <c r="IM45" t="str">
        <f t="shared" ref="IM45:IM55" si="135">CONCATENATE($T45,"-M",$U45,"-AMS-18")</f>
        <v>F0-M44-AMS-18</v>
      </c>
      <c r="IN45" t="str">
        <f t="shared" ref="IN45:IN55" si="136">CONCATENATE($T45,"-M",$U45,"-AMS-20")</f>
        <v>F0-M44-AMS-20</v>
      </c>
      <c r="IO45" t="str">
        <f t="shared" ref="IO45:IO55" si="137">CONCATENATE($T45,"-M",$U45,"-AMS-17")</f>
        <v>F0-M44-AMS-17</v>
      </c>
      <c r="IP45" t="str">
        <f t="shared" ref="IP45:IP55" si="138">CONCATENATE($T45,"-+24-M",$U45,)</f>
        <v>F0-+24-M44</v>
      </c>
      <c r="IQ45" t="str">
        <f t="shared" ref="IQ45:IQ55" si="139">CONCATENATE($T45,"-M",$U45,"-XM01")</f>
        <v>F0-M44-XM01</v>
      </c>
      <c r="IR45" t="str">
        <f t="shared" ref="IR45:JY45" si="140">IR44</f>
        <v>A1</v>
      </c>
      <c r="IS45" t="str">
        <f t="shared" si="140"/>
        <v>A2</v>
      </c>
      <c r="IT45">
        <f t="shared" si="140"/>
        <v>11</v>
      </c>
      <c r="IU45">
        <f t="shared" si="140"/>
        <v>14</v>
      </c>
      <c r="IV45" t="str">
        <f t="shared" si="140"/>
        <v>24v6</v>
      </c>
      <c r="IW45" t="str">
        <f t="shared" si="140"/>
        <v>0v6</v>
      </c>
      <c r="IX45">
        <f t="shared" si="140"/>
        <v>1</v>
      </c>
      <c r="IY45">
        <f t="shared" si="140"/>
        <v>2</v>
      </c>
      <c r="IZ45">
        <f t="shared" si="140"/>
        <v>3</v>
      </c>
      <c r="JA45">
        <f t="shared" si="140"/>
        <v>4</v>
      </c>
      <c r="JB45">
        <f t="shared" si="140"/>
        <v>5</v>
      </c>
      <c r="JC45">
        <f t="shared" si="140"/>
        <v>6</v>
      </c>
      <c r="JD45">
        <f t="shared" si="140"/>
        <v>7</v>
      </c>
      <c r="JE45">
        <f t="shared" si="140"/>
        <v>8</v>
      </c>
      <c r="JF45">
        <f t="shared" si="140"/>
        <v>9</v>
      </c>
      <c r="JG45">
        <f t="shared" si="140"/>
        <v>10</v>
      </c>
      <c r="JH45">
        <f t="shared" si="140"/>
        <v>11</v>
      </c>
      <c r="JI45">
        <f t="shared" si="140"/>
        <v>12</v>
      </c>
      <c r="JJ45">
        <f t="shared" si="140"/>
        <v>13</v>
      </c>
      <c r="JK45">
        <f t="shared" si="140"/>
        <v>14</v>
      </c>
      <c r="JL45">
        <f t="shared" si="140"/>
        <v>17</v>
      </c>
      <c r="JM45">
        <f t="shared" si="140"/>
        <v>15</v>
      </c>
      <c r="JN45">
        <f t="shared" si="140"/>
        <v>18</v>
      </c>
      <c r="JO45">
        <f t="shared" si="140"/>
        <v>11</v>
      </c>
      <c r="JP45">
        <f t="shared" si="140"/>
        <v>9</v>
      </c>
      <c r="JQ45">
        <f t="shared" si="140"/>
        <v>6</v>
      </c>
      <c r="JR45">
        <f t="shared" si="140"/>
        <v>20</v>
      </c>
      <c r="JS45">
        <f t="shared" si="140"/>
        <v>7</v>
      </c>
      <c r="JT45">
        <f t="shared" si="140"/>
        <v>10</v>
      </c>
      <c r="JU45">
        <f t="shared" si="140"/>
        <v>22</v>
      </c>
      <c r="JV45">
        <f t="shared" si="140"/>
        <v>23</v>
      </c>
      <c r="JW45">
        <f t="shared" si="140"/>
        <v>26</v>
      </c>
      <c r="JX45">
        <f t="shared" si="140"/>
        <v>27</v>
      </c>
      <c r="JY45" s="16">
        <f t="shared" si="140"/>
        <v>30</v>
      </c>
    </row>
    <row r="46" spans="1:285" x14ac:dyDescent="0.25">
      <c r="A46" t="s">
        <v>397</v>
      </c>
      <c r="B46" t="s">
        <v>396</v>
      </c>
      <c r="P46" t="s">
        <v>361</v>
      </c>
      <c r="T46" s="14" t="s">
        <v>520</v>
      </c>
      <c r="U46" s="15">
        <f t="shared" si="95"/>
        <v>45</v>
      </c>
      <c r="V46" t="s">
        <v>421</v>
      </c>
      <c r="W46" t="s">
        <v>398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SUM(IF(ISNUMBER(FIND("TmAi",$BE$1:$AAL$1)),IF(IFERROR(ISODD(SUBSTITUTE($BE46:$AAL46,"A","")),FALSE),IF(ISODD(SUBSTITUTE($BE46:$AAL46,"A","")),1,0),0)))</f>
        <v>0</v>
      </c>
      <c r="AA46" t="str">
        <f t="shared" si="91"/>
        <v>7A</v>
      </c>
      <c r="AB46" t="str">
        <f t="shared" si="92"/>
        <v>7B</v>
      </c>
      <c r="AC46" s="15" t="s">
        <v>260</v>
      </c>
      <c r="AD46" s="15"/>
      <c r="AE46" s="15"/>
      <c r="AF46" t="s">
        <v>239</v>
      </c>
      <c r="AG46" t="s">
        <v>241</v>
      </c>
      <c r="AH46" s="15" t="s">
        <v>358</v>
      </c>
      <c r="AI46" s="61" cm="1">
        <f t="array" ref="AI46">IF(COUNTIFS(AH$2:AH46,AH46)=1,"1",VALUE(SUBSTITUTE(INDEX(AI:AI,_xlfn.XMATCH(AH46,AH$1:AH45,0,-1)),"A",""))+INDEX(AJ:AJ,_xlfn.XMATCH(AH46,AH$1:AH45,0,-1))+1)</f>
        <v>7</v>
      </c>
      <c r="AJ46" s="61" cm="1">
        <f t="array" ref="AJ46">SUM(IF(ISNUMBER(FIND("TmDo",$BE$1:$AAL$1)),IF(IFERROR(ISNUMBER(VALUE(SUBSTITUTE($BE46:$AAL46,"B",""))),FALSE),IF(ISNUMBER(VALUE(SUBSTITUTE($BE46:$AAL46,"B",""))),1,0),0)))</f>
        <v>1</v>
      </c>
      <c r="AK46" t="str">
        <f t="shared" si="0"/>
        <v>7A</v>
      </c>
      <c r="AL46" t="str">
        <f t="shared" si="1"/>
        <v>7B</v>
      </c>
      <c r="AM46" t="s">
        <v>395</v>
      </c>
      <c r="AP46" t="s">
        <v>137</v>
      </c>
      <c r="AQ46" t="s">
        <v>138</v>
      </c>
      <c r="AS46" t="s">
        <v>366</v>
      </c>
      <c r="AT46" t="s">
        <v>139</v>
      </c>
      <c r="AU46" t="s">
        <v>140</v>
      </c>
      <c r="BD46" s="16"/>
      <c r="GT46" s="27" t="str">
        <f t="shared" si="84"/>
        <v>XT45</v>
      </c>
      <c r="GU46" t="str">
        <f t="shared" si="85"/>
        <v>C20</v>
      </c>
      <c r="GV46" t="str">
        <f t="shared" si="96"/>
        <v>B20</v>
      </c>
      <c r="GW46" t="str">
        <f t="shared" si="97"/>
        <v>C21</v>
      </c>
      <c r="GX46" t="str">
        <f t="shared" si="98"/>
        <v>B21</v>
      </c>
      <c r="GY46" t="str">
        <f t="shared" si="99"/>
        <v>C22</v>
      </c>
      <c r="GZ46" t="str">
        <f t="shared" si="100"/>
        <v>B22</v>
      </c>
      <c r="HA46" t="str">
        <f t="shared" si="101"/>
        <v>C23</v>
      </c>
      <c r="HB46" t="str">
        <f t="shared" si="102"/>
        <v>B23</v>
      </c>
      <c r="HC46" t="str">
        <f t="shared" si="103"/>
        <v>C24</v>
      </c>
      <c r="HD46" t="str">
        <f t="shared" si="104"/>
        <v>B24</v>
      </c>
      <c r="HE46" t="str">
        <f t="shared" si="86"/>
        <v>8A</v>
      </c>
      <c r="HF46" t="str">
        <f t="shared" si="87"/>
        <v>8B</v>
      </c>
      <c r="HG46" t="str">
        <f t="shared" si="88"/>
        <v>AI1-7A</v>
      </c>
      <c r="HH46" t="str">
        <f t="shared" si="89"/>
        <v>AI1-7B</v>
      </c>
      <c r="HI46" t="str">
        <f t="shared" si="105"/>
        <v>DI9-C19</v>
      </c>
      <c r="HJ46" t="str">
        <f t="shared" si="106"/>
        <v>DI9-B19</v>
      </c>
      <c r="HK46" t="str">
        <f t="shared" si="107"/>
        <v>DI9-C20</v>
      </c>
      <c r="HL46" t="str">
        <f t="shared" si="108"/>
        <v>DI9-B20</v>
      </c>
      <c r="HM46" t="str">
        <f t="shared" si="109"/>
        <v>DI9-C21</v>
      </c>
      <c r="HN46" t="str">
        <f t="shared" si="110"/>
        <v>DI9-B21</v>
      </c>
      <c r="HO46" t="str">
        <f t="shared" si="111"/>
        <v>DI9-C22</v>
      </c>
      <c r="HP46" t="str">
        <f t="shared" si="112"/>
        <v>DI9-B22</v>
      </c>
      <c r="HQ46" t="str">
        <f t="shared" si="113"/>
        <v>DI9-C23</v>
      </c>
      <c r="HR46" t="str">
        <f t="shared" si="114"/>
        <v>DI9-B23</v>
      </c>
      <c r="HS46" t="str">
        <f t="shared" si="115"/>
        <v>DI9-C24</v>
      </c>
      <c r="HT46" t="str">
        <f t="shared" si="116"/>
        <v>DI9-B24</v>
      </c>
      <c r="HU46" t="str">
        <f t="shared" si="117"/>
        <v>DO6-7A</v>
      </c>
      <c r="HV46" t="str">
        <f t="shared" si="118"/>
        <v>DO6-7B</v>
      </c>
      <c r="HW46" t="str">
        <f t="shared" si="119"/>
        <v>DO6-8A</v>
      </c>
      <c r="HX46" t="str">
        <f t="shared" si="120"/>
        <v>DO6-8B</v>
      </c>
      <c r="HY46" t="str">
        <f t="shared" si="121"/>
        <v>K45-01</v>
      </c>
      <c r="HZ46" t="str">
        <f t="shared" si="122"/>
        <v>K45-02</v>
      </c>
      <c r="IA46" t="str">
        <f t="shared" si="123"/>
        <v>K45-03</v>
      </c>
      <c r="IB46" t="str">
        <f t="shared" si="124"/>
        <v>K45-04</v>
      </c>
      <c r="IC46" t="str">
        <f t="shared" si="125"/>
        <v>K45-05</v>
      </c>
      <c r="ID46" t="str">
        <f t="shared" si="126"/>
        <v>K45-06</v>
      </c>
      <c r="IE46" t="str">
        <f t="shared" si="127"/>
        <v>K45-07</v>
      </c>
      <c r="IF46" t="str">
        <f t="shared" si="128"/>
        <v>K45-08</v>
      </c>
      <c r="IG46" t="str">
        <f t="shared" si="129"/>
        <v>F0-M45-AMS-12</v>
      </c>
      <c r="IH46" t="str">
        <f t="shared" si="130"/>
        <v>F0-M45-AMS-10</v>
      </c>
      <c r="II46" t="str">
        <f t="shared" si="131"/>
        <v>F0-M45-AMS-11</v>
      </c>
      <c r="IJ46" t="str">
        <f t="shared" si="132"/>
        <v>F0-M45-AMS-13</v>
      </c>
      <c r="IK46" t="str">
        <f t="shared" si="133"/>
        <v>F0-M45-AMS-9</v>
      </c>
      <c r="IL46" t="str">
        <f t="shared" si="134"/>
        <v>F0-M45-AMS-7</v>
      </c>
      <c r="IM46" t="str">
        <f t="shared" si="135"/>
        <v>F0-M45-AMS-18</v>
      </c>
      <c r="IN46" t="str">
        <f t="shared" si="136"/>
        <v>F0-M45-AMS-20</v>
      </c>
      <c r="IO46" t="str">
        <f t="shared" si="137"/>
        <v>F0-M45-AMS-17</v>
      </c>
      <c r="IP46" t="str">
        <f t="shared" si="138"/>
        <v>F0-+24-M45</v>
      </c>
      <c r="IQ46" t="str">
        <f t="shared" si="139"/>
        <v>F0-M45-XM01</v>
      </c>
      <c r="IR46" t="str">
        <f t="shared" ref="IR46:JY46" si="141">IR45</f>
        <v>A1</v>
      </c>
      <c r="IS46" t="str">
        <f t="shared" si="141"/>
        <v>A2</v>
      </c>
      <c r="IT46">
        <f t="shared" si="141"/>
        <v>11</v>
      </c>
      <c r="IU46">
        <f t="shared" si="141"/>
        <v>14</v>
      </c>
      <c r="IV46" t="str">
        <f t="shared" si="141"/>
        <v>24v6</v>
      </c>
      <c r="IW46" t="str">
        <f t="shared" si="141"/>
        <v>0v6</v>
      </c>
      <c r="IX46">
        <f t="shared" si="141"/>
        <v>1</v>
      </c>
      <c r="IY46">
        <f t="shared" si="141"/>
        <v>2</v>
      </c>
      <c r="IZ46">
        <f t="shared" si="141"/>
        <v>3</v>
      </c>
      <c r="JA46">
        <f t="shared" si="141"/>
        <v>4</v>
      </c>
      <c r="JB46">
        <f t="shared" si="141"/>
        <v>5</v>
      </c>
      <c r="JC46">
        <f t="shared" si="141"/>
        <v>6</v>
      </c>
      <c r="JD46">
        <f t="shared" si="141"/>
        <v>7</v>
      </c>
      <c r="JE46">
        <f t="shared" si="141"/>
        <v>8</v>
      </c>
      <c r="JF46">
        <f t="shared" si="141"/>
        <v>9</v>
      </c>
      <c r="JG46">
        <f t="shared" si="141"/>
        <v>10</v>
      </c>
      <c r="JH46">
        <f t="shared" si="141"/>
        <v>11</v>
      </c>
      <c r="JI46">
        <f t="shared" si="141"/>
        <v>12</v>
      </c>
      <c r="JJ46">
        <f t="shared" si="141"/>
        <v>13</v>
      </c>
      <c r="JK46">
        <f t="shared" si="141"/>
        <v>14</v>
      </c>
      <c r="JL46">
        <f t="shared" si="141"/>
        <v>17</v>
      </c>
      <c r="JM46">
        <f t="shared" si="141"/>
        <v>15</v>
      </c>
      <c r="JN46">
        <f t="shared" si="141"/>
        <v>18</v>
      </c>
      <c r="JO46">
        <f t="shared" si="141"/>
        <v>11</v>
      </c>
      <c r="JP46">
        <f t="shared" si="141"/>
        <v>9</v>
      </c>
      <c r="JQ46">
        <f t="shared" si="141"/>
        <v>6</v>
      </c>
      <c r="JR46">
        <f t="shared" si="141"/>
        <v>20</v>
      </c>
      <c r="JS46">
        <f t="shared" si="141"/>
        <v>7</v>
      </c>
      <c r="JT46">
        <f t="shared" si="141"/>
        <v>10</v>
      </c>
      <c r="JU46">
        <f t="shared" si="141"/>
        <v>22</v>
      </c>
      <c r="JV46">
        <f t="shared" si="141"/>
        <v>23</v>
      </c>
      <c r="JW46">
        <f t="shared" si="141"/>
        <v>26</v>
      </c>
      <c r="JX46">
        <f t="shared" si="141"/>
        <v>27</v>
      </c>
      <c r="JY46" s="16">
        <f t="shared" si="141"/>
        <v>30</v>
      </c>
    </row>
    <row r="47" spans="1:285" x14ac:dyDescent="0.25">
      <c r="A47" t="s">
        <v>429</v>
      </c>
      <c r="B47" t="s">
        <v>428</v>
      </c>
      <c r="P47" t="s">
        <v>361</v>
      </c>
      <c r="T47" s="14" t="s">
        <v>520</v>
      </c>
      <c r="U47" s="15">
        <f t="shared" si="95"/>
        <v>46</v>
      </c>
      <c r="V47" t="s">
        <v>399</v>
      </c>
      <c r="W47" t="s">
        <v>400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SUM(IF(ISNUMBER(FIND("TmAi",$BE$1:$AAL$1)),IF(IFERROR(ISODD(SUBSTITUTE($BE47:$AAL47,"A","")),FALSE),IF(ISODD(SUBSTITUTE($BE47:$AAL47,"A","")),1,0),0)))</f>
        <v>0</v>
      </c>
      <c r="AA47" t="str">
        <f t="shared" si="91"/>
        <v>9A</v>
      </c>
      <c r="AB47" t="str">
        <f t="shared" si="92"/>
        <v>9B</v>
      </c>
      <c r="AC47" s="15" t="s">
        <v>260</v>
      </c>
      <c r="AD47" s="15"/>
      <c r="AE47" s="15"/>
      <c r="AF47" t="s">
        <v>240</v>
      </c>
      <c r="AG47" t="s">
        <v>242</v>
      </c>
      <c r="AH47" s="15" t="s">
        <v>358</v>
      </c>
      <c r="AI47" s="61" cm="1">
        <f t="array" ref="AI47">IF(COUNTIFS(AH$2:AH47,AH47)=1,"1",VALUE(SUBSTITUTE(INDEX(AI:AI,_xlfn.XMATCH(AH47,AH$1:AH46,0,-1)),"A",""))+INDEX(AJ:AJ,_xlfn.XMATCH(AH47,AH$1:AH46,0,-1))+1)</f>
        <v>9</v>
      </c>
      <c r="AJ47" s="61" cm="1">
        <f t="array" ref="AJ47">SUM(IF(ISNUMBER(FIND("TmDo",$BE$1:$AAL$1)),IF(IFERROR(ISNUMBER(VALUE(SUBSTITUTE($BE47:$AAL47,"B",""))),FALSE),IF(ISNUMBER(VALUE(SUBSTITUTE($BE47:$AAL47,"B",""))),1,0),0)))</f>
        <v>1</v>
      </c>
      <c r="AK47" s="15" t="str">
        <f t="shared" si="0"/>
        <v>9A</v>
      </c>
      <c r="AL47" s="15" t="str">
        <f t="shared" si="1"/>
        <v>9B</v>
      </c>
      <c r="AM47" s="15" t="s">
        <v>413</v>
      </c>
      <c r="AP47" t="s">
        <v>137</v>
      </c>
      <c r="AQ47" t="s">
        <v>138</v>
      </c>
      <c r="AS47" t="s">
        <v>366</v>
      </c>
      <c r="AT47" t="s">
        <v>139</v>
      </c>
      <c r="AU47" t="s">
        <v>140</v>
      </c>
      <c r="BD47" s="16"/>
      <c r="GT47" s="27" t="str">
        <f t="shared" si="84"/>
        <v>XT46</v>
      </c>
      <c r="GU47" t="str">
        <f t="shared" si="85"/>
        <v>C26</v>
      </c>
      <c r="GV47" t="str">
        <f t="shared" si="96"/>
        <v>B26</v>
      </c>
      <c r="GW47" t="str">
        <f t="shared" si="97"/>
        <v>C27</v>
      </c>
      <c r="GX47" t="str">
        <f t="shared" si="98"/>
        <v>B27</v>
      </c>
      <c r="GY47" t="str">
        <f t="shared" si="99"/>
        <v>C28</v>
      </c>
      <c r="GZ47" t="str">
        <f t="shared" si="100"/>
        <v>B28</v>
      </c>
      <c r="HA47" t="str">
        <f t="shared" si="101"/>
        <v>C29</v>
      </c>
      <c r="HB47" t="str">
        <f t="shared" si="102"/>
        <v>B29</v>
      </c>
      <c r="HC47" t="str">
        <f t="shared" si="103"/>
        <v>C30</v>
      </c>
      <c r="HD47" t="str">
        <f t="shared" si="104"/>
        <v>B30</v>
      </c>
      <c r="HE47" t="str">
        <f t="shared" si="86"/>
        <v>10A</v>
      </c>
      <c r="HF47" t="str">
        <f t="shared" si="87"/>
        <v>10B</v>
      </c>
      <c r="HG47" t="str">
        <f t="shared" si="88"/>
        <v>AI1-9A</v>
      </c>
      <c r="HH47" t="str">
        <f t="shared" si="89"/>
        <v>AI1-9B</v>
      </c>
      <c r="HI47" t="str">
        <f t="shared" si="105"/>
        <v>DI9-C25</v>
      </c>
      <c r="HJ47" t="str">
        <f t="shared" si="106"/>
        <v>DI9-B25</v>
      </c>
      <c r="HK47" t="str">
        <f t="shared" si="107"/>
        <v>DI9-C26</v>
      </c>
      <c r="HL47" t="str">
        <f t="shared" si="108"/>
        <v>DI9-B26</v>
      </c>
      <c r="HM47" t="str">
        <f t="shared" si="109"/>
        <v>DI9-C27</v>
      </c>
      <c r="HN47" t="str">
        <f t="shared" si="110"/>
        <v>DI9-B27</v>
      </c>
      <c r="HO47" t="str">
        <f t="shared" si="111"/>
        <v>DI9-C28</v>
      </c>
      <c r="HP47" t="str">
        <f t="shared" si="112"/>
        <v>DI9-B28</v>
      </c>
      <c r="HQ47" t="str">
        <f t="shared" si="113"/>
        <v>DI9-C29</v>
      </c>
      <c r="HR47" t="str">
        <f t="shared" si="114"/>
        <v>DI9-B29</v>
      </c>
      <c r="HS47" t="str">
        <f t="shared" si="115"/>
        <v>DI9-C30</v>
      </c>
      <c r="HT47" t="str">
        <f t="shared" si="116"/>
        <v>DI9-B30</v>
      </c>
      <c r="HU47" t="str">
        <f t="shared" si="117"/>
        <v>DO6-9A</v>
      </c>
      <c r="HV47" t="str">
        <f t="shared" si="118"/>
        <v>DO6-9B</v>
      </c>
      <c r="HW47" t="str">
        <f t="shared" si="119"/>
        <v>DO6-10A</v>
      </c>
      <c r="HX47" t="str">
        <f t="shared" si="120"/>
        <v>DO6-10B</v>
      </c>
      <c r="HY47" t="str">
        <f t="shared" si="121"/>
        <v>K46-01</v>
      </c>
      <c r="HZ47" t="str">
        <f t="shared" si="122"/>
        <v>K46-02</v>
      </c>
      <c r="IA47" t="str">
        <f t="shared" si="123"/>
        <v>K46-03</v>
      </c>
      <c r="IB47" t="str">
        <f t="shared" si="124"/>
        <v>K46-04</v>
      </c>
      <c r="IC47" t="str">
        <f t="shared" si="125"/>
        <v>K46-05</v>
      </c>
      <c r="ID47" t="str">
        <f t="shared" si="126"/>
        <v>K46-06</v>
      </c>
      <c r="IE47" t="str">
        <f t="shared" si="127"/>
        <v>K46-07</v>
      </c>
      <c r="IF47" t="str">
        <f t="shared" si="128"/>
        <v>K46-08</v>
      </c>
      <c r="IG47" t="str">
        <f t="shared" si="129"/>
        <v>F0-M46-AMS-12</v>
      </c>
      <c r="IH47" t="str">
        <f t="shared" si="130"/>
        <v>F0-M46-AMS-10</v>
      </c>
      <c r="II47" t="str">
        <f t="shared" si="131"/>
        <v>F0-M46-AMS-11</v>
      </c>
      <c r="IJ47" t="str">
        <f t="shared" si="132"/>
        <v>F0-M46-AMS-13</v>
      </c>
      <c r="IK47" t="str">
        <f t="shared" si="133"/>
        <v>F0-M46-AMS-9</v>
      </c>
      <c r="IL47" t="str">
        <f t="shared" si="134"/>
        <v>F0-M46-AMS-7</v>
      </c>
      <c r="IM47" t="str">
        <f t="shared" si="135"/>
        <v>F0-M46-AMS-18</v>
      </c>
      <c r="IN47" t="str">
        <f t="shared" si="136"/>
        <v>F0-M46-AMS-20</v>
      </c>
      <c r="IO47" t="str">
        <f t="shared" si="137"/>
        <v>F0-M46-AMS-17</v>
      </c>
      <c r="IP47" t="str">
        <f t="shared" si="138"/>
        <v>F0-+24-M46</v>
      </c>
      <c r="IQ47" t="str">
        <f t="shared" si="139"/>
        <v>F0-M46-XM01</v>
      </c>
      <c r="IR47" t="str">
        <f t="shared" ref="IR47:JY47" si="142">IR46</f>
        <v>A1</v>
      </c>
      <c r="IS47" t="str">
        <f t="shared" si="142"/>
        <v>A2</v>
      </c>
      <c r="IT47">
        <f t="shared" si="142"/>
        <v>11</v>
      </c>
      <c r="IU47">
        <f t="shared" si="142"/>
        <v>14</v>
      </c>
      <c r="IV47" t="str">
        <f t="shared" si="142"/>
        <v>24v6</v>
      </c>
      <c r="IW47" t="str">
        <f t="shared" si="142"/>
        <v>0v6</v>
      </c>
      <c r="IX47">
        <f t="shared" si="142"/>
        <v>1</v>
      </c>
      <c r="IY47">
        <f t="shared" si="142"/>
        <v>2</v>
      </c>
      <c r="IZ47">
        <f t="shared" si="142"/>
        <v>3</v>
      </c>
      <c r="JA47">
        <f t="shared" si="142"/>
        <v>4</v>
      </c>
      <c r="JB47">
        <f t="shared" si="142"/>
        <v>5</v>
      </c>
      <c r="JC47">
        <f t="shared" si="142"/>
        <v>6</v>
      </c>
      <c r="JD47">
        <f t="shared" si="142"/>
        <v>7</v>
      </c>
      <c r="JE47">
        <f t="shared" si="142"/>
        <v>8</v>
      </c>
      <c r="JF47">
        <f t="shared" si="142"/>
        <v>9</v>
      </c>
      <c r="JG47">
        <f t="shared" si="142"/>
        <v>10</v>
      </c>
      <c r="JH47">
        <f t="shared" si="142"/>
        <v>11</v>
      </c>
      <c r="JI47">
        <f t="shared" si="142"/>
        <v>12</v>
      </c>
      <c r="JJ47">
        <f t="shared" si="142"/>
        <v>13</v>
      </c>
      <c r="JK47">
        <f t="shared" si="142"/>
        <v>14</v>
      </c>
      <c r="JL47">
        <f t="shared" si="142"/>
        <v>17</v>
      </c>
      <c r="JM47">
        <f t="shared" si="142"/>
        <v>15</v>
      </c>
      <c r="JN47">
        <f t="shared" si="142"/>
        <v>18</v>
      </c>
      <c r="JO47">
        <f t="shared" si="142"/>
        <v>11</v>
      </c>
      <c r="JP47">
        <f t="shared" si="142"/>
        <v>9</v>
      </c>
      <c r="JQ47">
        <f t="shared" si="142"/>
        <v>6</v>
      </c>
      <c r="JR47">
        <f t="shared" si="142"/>
        <v>20</v>
      </c>
      <c r="JS47">
        <f t="shared" si="142"/>
        <v>7</v>
      </c>
      <c r="JT47">
        <f t="shared" si="142"/>
        <v>10</v>
      </c>
      <c r="JU47">
        <f t="shared" si="142"/>
        <v>22</v>
      </c>
      <c r="JV47">
        <f t="shared" si="142"/>
        <v>23</v>
      </c>
      <c r="JW47">
        <f t="shared" si="142"/>
        <v>26</v>
      </c>
      <c r="JX47">
        <f t="shared" si="142"/>
        <v>27</v>
      </c>
      <c r="JY47" s="16">
        <f t="shared" si="142"/>
        <v>30</v>
      </c>
    </row>
    <row r="48" spans="1:285" x14ac:dyDescent="0.25">
      <c r="A48" t="s">
        <v>431</v>
      </c>
      <c r="B48" t="s">
        <v>430</v>
      </c>
      <c r="P48" t="s">
        <v>361</v>
      </c>
      <c r="T48" s="14" t="s">
        <v>520</v>
      </c>
      <c r="U48" s="15">
        <f t="shared" si="95"/>
        <v>47</v>
      </c>
      <c r="V48" t="s">
        <v>401</v>
      </c>
      <c r="W48" t="s">
        <v>422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SUM(IF(ISNUMBER(FIND("TmAi",$BE$1:$AAL$1)),IF(IFERROR(ISODD(SUBSTITUTE($BE48:$AAL48,"A","")),FALSE),IF(ISODD(SUBSTITUTE($BE48:$AAL48,"A","")),1,0),0)))</f>
        <v>0</v>
      </c>
      <c r="AA48" t="str">
        <f t="shared" si="91"/>
        <v>11A</v>
      </c>
      <c r="AB48" t="str">
        <f t="shared" si="92"/>
        <v>11B</v>
      </c>
      <c r="AC48" s="15" t="s">
        <v>411</v>
      </c>
      <c r="AD48" s="15"/>
      <c r="AE48" s="15"/>
      <c r="AF48" t="s">
        <v>133</v>
      </c>
      <c r="AG48" t="s">
        <v>134</v>
      </c>
      <c r="AH48" s="15" t="s">
        <v>358</v>
      </c>
      <c r="AI48" s="61" cm="1">
        <f t="array" ref="AI48">IF(COUNTIFS(AH$2:AH48,AH48)=1,"1",VALUE(SUBSTITUTE(INDEX(AI:AI,_xlfn.XMATCH(AH48,AH$1:AH47,0,-1)),"A",""))+INDEX(AJ:AJ,_xlfn.XMATCH(AH48,AH$1:AH47,0,-1))+1)</f>
        <v>11</v>
      </c>
      <c r="AJ48" s="61" cm="1">
        <f t="array" ref="AJ48">SUM(IF(ISNUMBER(FIND("TmDo",$BE$1:$AAL$1)),IF(IFERROR(ISNUMBER(VALUE(SUBSTITUTE($BE48:$AAL48,"B",""))),FALSE),IF(ISNUMBER(VALUE(SUBSTITUTE($BE48:$AAL48,"B",""))),1,0),0)))</f>
        <v>1</v>
      </c>
      <c r="AK48" t="str">
        <f t="shared" si="0"/>
        <v>11A</v>
      </c>
      <c r="AL48" t="str">
        <f t="shared" si="1"/>
        <v>11B</v>
      </c>
      <c r="AM48" t="s">
        <v>414</v>
      </c>
      <c r="AP48" t="s">
        <v>137</v>
      </c>
      <c r="AQ48" t="s">
        <v>138</v>
      </c>
      <c r="AS48" t="s">
        <v>366</v>
      </c>
      <c r="AT48" t="s">
        <v>139</v>
      </c>
      <c r="AU48" t="s">
        <v>140</v>
      </c>
      <c r="BD48" s="16"/>
      <c r="GT48" s="27" t="str">
        <f t="shared" si="84"/>
        <v>XT47</v>
      </c>
      <c r="GU48" t="str">
        <f t="shared" si="85"/>
        <v>C2</v>
      </c>
      <c r="GV48" t="str">
        <f t="shared" si="96"/>
        <v>B2</v>
      </c>
      <c r="GW48" t="str">
        <f t="shared" si="97"/>
        <v>C3</v>
      </c>
      <c r="GX48" t="str">
        <f t="shared" si="98"/>
        <v>B3</v>
      </c>
      <c r="GY48" t="str">
        <f t="shared" si="99"/>
        <v>C4</v>
      </c>
      <c r="GZ48" t="str">
        <f t="shared" si="100"/>
        <v>B4</v>
      </c>
      <c r="HA48" t="str">
        <f t="shared" si="101"/>
        <v>C5</v>
      </c>
      <c r="HB48" t="str">
        <f t="shared" si="102"/>
        <v>B5</v>
      </c>
      <c r="HC48" t="str">
        <f t="shared" si="103"/>
        <v>C6</v>
      </c>
      <c r="HD48" t="str">
        <f t="shared" si="104"/>
        <v>B6</v>
      </c>
      <c r="HE48" t="str">
        <f t="shared" si="86"/>
        <v>12A</v>
      </c>
      <c r="HF48" t="str">
        <f t="shared" si="87"/>
        <v>12B</v>
      </c>
      <c r="HG48" t="str">
        <f t="shared" si="88"/>
        <v>AI1-11A</v>
      </c>
      <c r="HH48" t="str">
        <f t="shared" si="89"/>
        <v>AI1-11B</v>
      </c>
      <c r="HI48" t="str">
        <f t="shared" si="105"/>
        <v>DI10-C1</v>
      </c>
      <c r="HJ48" t="str">
        <f t="shared" si="106"/>
        <v>DI10-B1</v>
      </c>
      <c r="HK48" t="str">
        <f t="shared" si="107"/>
        <v>DI10-C2</v>
      </c>
      <c r="HL48" t="str">
        <f t="shared" si="108"/>
        <v>DI10-B2</v>
      </c>
      <c r="HM48" t="str">
        <f t="shared" si="109"/>
        <v>DI10-C3</v>
      </c>
      <c r="HN48" t="str">
        <f t="shared" si="110"/>
        <v>DI10-B3</v>
      </c>
      <c r="HO48" t="str">
        <f t="shared" si="111"/>
        <v>DI10-C4</v>
      </c>
      <c r="HP48" t="str">
        <f t="shared" si="112"/>
        <v>DI10-B4</v>
      </c>
      <c r="HQ48" t="str">
        <f t="shared" si="113"/>
        <v>DI10-C5</v>
      </c>
      <c r="HR48" t="str">
        <f t="shared" si="114"/>
        <v>DI10-B5</v>
      </c>
      <c r="HS48" t="str">
        <f t="shared" si="115"/>
        <v>DI10-C6</v>
      </c>
      <c r="HT48" t="str">
        <f t="shared" si="116"/>
        <v>DI10-B6</v>
      </c>
      <c r="HU48" t="str">
        <f t="shared" si="117"/>
        <v>DO6-11A</v>
      </c>
      <c r="HV48" t="str">
        <f t="shared" si="118"/>
        <v>DO6-11B</v>
      </c>
      <c r="HW48" t="str">
        <f t="shared" si="119"/>
        <v>DO6-12A</v>
      </c>
      <c r="HX48" t="str">
        <f t="shared" si="120"/>
        <v>DO6-12B</v>
      </c>
      <c r="HY48" t="str">
        <f t="shared" si="121"/>
        <v>K47-01</v>
      </c>
      <c r="HZ48" t="str">
        <f t="shared" si="122"/>
        <v>K47-02</v>
      </c>
      <c r="IA48" t="str">
        <f t="shared" si="123"/>
        <v>K47-03</v>
      </c>
      <c r="IB48" t="str">
        <f t="shared" si="124"/>
        <v>K47-04</v>
      </c>
      <c r="IC48" t="str">
        <f t="shared" si="125"/>
        <v>K47-05</v>
      </c>
      <c r="ID48" t="str">
        <f t="shared" si="126"/>
        <v>K47-06</v>
      </c>
      <c r="IE48" t="str">
        <f t="shared" si="127"/>
        <v>K47-07</v>
      </c>
      <c r="IF48" t="str">
        <f t="shared" si="128"/>
        <v>K47-08</v>
      </c>
      <c r="IG48" t="str">
        <f t="shared" si="129"/>
        <v>F0-M47-AMS-12</v>
      </c>
      <c r="IH48" t="str">
        <f t="shared" si="130"/>
        <v>F0-M47-AMS-10</v>
      </c>
      <c r="II48" t="str">
        <f t="shared" si="131"/>
        <v>F0-M47-AMS-11</v>
      </c>
      <c r="IJ48" t="str">
        <f t="shared" si="132"/>
        <v>F0-M47-AMS-13</v>
      </c>
      <c r="IK48" t="str">
        <f t="shared" si="133"/>
        <v>F0-M47-AMS-9</v>
      </c>
      <c r="IL48" t="str">
        <f t="shared" si="134"/>
        <v>F0-M47-AMS-7</v>
      </c>
      <c r="IM48" t="str">
        <f t="shared" si="135"/>
        <v>F0-M47-AMS-18</v>
      </c>
      <c r="IN48" t="str">
        <f t="shared" si="136"/>
        <v>F0-M47-AMS-20</v>
      </c>
      <c r="IO48" t="str">
        <f t="shared" si="137"/>
        <v>F0-M47-AMS-17</v>
      </c>
      <c r="IP48" t="str">
        <f t="shared" si="138"/>
        <v>F0-+24-M47</v>
      </c>
      <c r="IQ48" t="str">
        <f t="shared" si="139"/>
        <v>F0-M47-XM01</v>
      </c>
      <c r="IR48" t="str">
        <f t="shared" ref="IR48:JY48" si="143">IR47</f>
        <v>A1</v>
      </c>
      <c r="IS48" t="str">
        <f t="shared" si="143"/>
        <v>A2</v>
      </c>
      <c r="IT48">
        <f t="shared" si="143"/>
        <v>11</v>
      </c>
      <c r="IU48">
        <f t="shared" si="143"/>
        <v>14</v>
      </c>
      <c r="IV48" t="str">
        <f t="shared" si="143"/>
        <v>24v6</v>
      </c>
      <c r="IW48" t="str">
        <f t="shared" si="143"/>
        <v>0v6</v>
      </c>
      <c r="IX48">
        <f t="shared" si="143"/>
        <v>1</v>
      </c>
      <c r="IY48">
        <f t="shared" si="143"/>
        <v>2</v>
      </c>
      <c r="IZ48">
        <f t="shared" si="143"/>
        <v>3</v>
      </c>
      <c r="JA48">
        <f t="shared" si="143"/>
        <v>4</v>
      </c>
      <c r="JB48">
        <f t="shared" si="143"/>
        <v>5</v>
      </c>
      <c r="JC48">
        <f t="shared" si="143"/>
        <v>6</v>
      </c>
      <c r="JD48">
        <f t="shared" si="143"/>
        <v>7</v>
      </c>
      <c r="JE48">
        <f t="shared" si="143"/>
        <v>8</v>
      </c>
      <c r="JF48">
        <f t="shared" si="143"/>
        <v>9</v>
      </c>
      <c r="JG48">
        <f t="shared" si="143"/>
        <v>10</v>
      </c>
      <c r="JH48">
        <f t="shared" si="143"/>
        <v>11</v>
      </c>
      <c r="JI48">
        <f t="shared" si="143"/>
        <v>12</v>
      </c>
      <c r="JJ48">
        <f t="shared" si="143"/>
        <v>13</v>
      </c>
      <c r="JK48">
        <f t="shared" si="143"/>
        <v>14</v>
      </c>
      <c r="JL48">
        <f t="shared" si="143"/>
        <v>17</v>
      </c>
      <c r="JM48">
        <f t="shared" si="143"/>
        <v>15</v>
      </c>
      <c r="JN48">
        <f t="shared" si="143"/>
        <v>18</v>
      </c>
      <c r="JO48">
        <f t="shared" si="143"/>
        <v>11</v>
      </c>
      <c r="JP48">
        <f t="shared" si="143"/>
        <v>9</v>
      </c>
      <c r="JQ48">
        <f t="shared" si="143"/>
        <v>6</v>
      </c>
      <c r="JR48">
        <f t="shared" si="143"/>
        <v>20</v>
      </c>
      <c r="JS48">
        <f t="shared" si="143"/>
        <v>7</v>
      </c>
      <c r="JT48">
        <f t="shared" si="143"/>
        <v>10</v>
      </c>
      <c r="JU48">
        <f t="shared" si="143"/>
        <v>22</v>
      </c>
      <c r="JV48">
        <f t="shared" si="143"/>
        <v>23</v>
      </c>
      <c r="JW48">
        <f t="shared" si="143"/>
        <v>26</v>
      </c>
      <c r="JX48">
        <f t="shared" si="143"/>
        <v>27</v>
      </c>
      <c r="JY48" s="16">
        <f t="shared" si="143"/>
        <v>30</v>
      </c>
    </row>
    <row r="49" spans="1:305" x14ac:dyDescent="0.25">
      <c r="A49" t="s">
        <v>433</v>
      </c>
      <c r="B49" t="s">
        <v>432</v>
      </c>
      <c r="P49" t="s">
        <v>361</v>
      </c>
      <c r="T49" s="14" t="s">
        <v>520</v>
      </c>
      <c r="U49" s="15">
        <f t="shared" si="95"/>
        <v>48</v>
      </c>
      <c r="V49" t="s">
        <v>423</v>
      </c>
      <c r="W49" t="s">
        <v>402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SUM(IF(ISNUMBER(FIND("TmAi",$BE$1:$AAL$1)),IF(IFERROR(ISODD(SUBSTITUTE($BE49:$AAL49,"A","")),FALSE),IF(ISODD(SUBSTITUTE($BE49:$AAL49,"A","")),1,0),0)))</f>
        <v>0</v>
      </c>
      <c r="AA49" t="str">
        <f t="shared" si="91"/>
        <v>13A</v>
      </c>
      <c r="AB49" t="str">
        <f t="shared" si="92"/>
        <v>13B</v>
      </c>
      <c r="AC49" s="15" t="s">
        <v>411</v>
      </c>
      <c r="AD49" s="15"/>
      <c r="AE49" s="15"/>
      <c r="AF49" t="s">
        <v>148</v>
      </c>
      <c r="AG49" t="s">
        <v>149</v>
      </c>
      <c r="AH49" s="15" t="s">
        <v>358</v>
      </c>
      <c r="AI49" s="61" cm="1">
        <f t="array" ref="AI49">IF(COUNTIFS(AH$2:AH49,AH49)=1,"1",VALUE(SUBSTITUTE(INDEX(AI:AI,_xlfn.XMATCH(AH49,AH$1:AH48,0,-1)),"A",""))+INDEX(AJ:AJ,_xlfn.XMATCH(AH49,AH$1:AH48,0,-1))+1)</f>
        <v>13</v>
      </c>
      <c r="AJ49" s="61" cm="1">
        <f t="array" ref="AJ49">SUM(IF(ISNUMBER(FIND("TmDo",$BE$1:$AAL$1)),IF(IFERROR(ISNUMBER(VALUE(SUBSTITUTE($BE49:$AAL49,"B",""))),FALSE),IF(ISNUMBER(VALUE(SUBSTITUTE($BE49:$AAL49,"B",""))),1,0),0)))</f>
        <v>1</v>
      </c>
      <c r="AK49" s="15" t="str">
        <f t="shared" si="0"/>
        <v>13A</v>
      </c>
      <c r="AL49" s="15" t="str">
        <f t="shared" si="1"/>
        <v>13B</v>
      </c>
      <c r="AM49" s="15" t="s">
        <v>415</v>
      </c>
      <c r="AP49" t="s">
        <v>137</v>
      </c>
      <c r="AQ49" t="s">
        <v>138</v>
      </c>
      <c r="AS49" t="s">
        <v>366</v>
      </c>
      <c r="AT49" t="s">
        <v>139</v>
      </c>
      <c r="AU49" t="s">
        <v>140</v>
      </c>
      <c r="BD49" s="16"/>
      <c r="GT49" s="27" t="str">
        <f t="shared" si="84"/>
        <v>XT48</v>
      </c>
      <c r="GU49" t="str">
        <f t="shared" si="85"/>
        <v>C8</v>
      </c>
      <c r="GV49" t="str">
        <f t="shared" si="96"/>
        <v>B8</v>
      </c>
      <c r="GW49" t="str">
        <f t="shared" si="97"/>
        <v>C9</v>
      </c>
      <c r="GX49" t="str">
        <f t="shared" si="98"/>
        <v>B9</v>
      </c>
      <c r="GY49" t="str">
        <f t="shared" si="99"/>
        <v>C10</v>
      </c>
      <c r="GZ49" t="str">
        <f t="shared" si="100"/>
        <v>B10</v>
      </c>
      <c r="HA49" t="str">
        <f t="shared" si="101"/>
        <v>C11</v>
      </c>
      <c r="HB49" t="str">
        <f t="shared" si="102"/>
        <v>B11</v>
      </c>
      <c r="HC49" t="str">
        <f t="shared" si="103"/>
        <v>C12</v>
      </c>
      <c r="HD49" t="str">
        <f t="shared" si="104"/>
        <v>B12</v>
      </c>
      <c r="HE49" t="str">
        <f t="shared" si="86"/>
        <v>14A</v>
      </c>
      <c r="HF49" t="str">
        <f t="shared" si="87"/>
        <v>14B</v>
      </c>
      <c r="HG49" t="str">
        <f t="shared" si="88"/>
        <v>AI1-13A</v>
      </c>
      <c r="HH49" t="str">
        <f t="shared" si="89"/>
        <v>AI1-13B</v>
      </c>
      <c r="HI49" t="str">
        <f t="shared" si="105"/>
        <v>DI10-C7</v>
      </c>
      <c r="HJ49" t="str">
        <f t="shared" si="106"/>
        <v>DI10-B7</v>
      </c>
      <c r="HK49" t="str">
        <f t="shared" si="107"/>
        <v>DI10-C8</v>
      </c>
      <c r="HL49" t="str">
        <f t="shared" si="108"/>
        <v>DI10-B8</v>
      </c>
      <c r="HM49" t="str">
        <f t="shared" si="109"/>
        <v>DI10-C9</v>
      </c>
      <c r="HN49" t="str">
        <f t="shared" si="110"/>
        <v>DI10-B9</v>
      </c>
      <c r="HO49" t="str">
        <f t="shared" si="111"/>
        <v>DI10-C10</v>
      </c>
      <c r="HP49" t="str">
        <f t="shared" si="112"/>
        <v>DI10-B10</v>
      </c>
      <c r="HQ49" t="str">
        <f t="shared" si="113"/>
        <v>DI10-C11</v>
      </c>
      <c r="HR49" t="str">
        <f t="shared" si="114"/>
        <v>DI10-B11</v>
      </c>
      <c r="HS49" t="str">
        <f t="shared" si="115"/>
        <v>DI10-C12</v>
      </c>
      <c r="HT49" t="str">
        <f t="shared" si="116"/>
        <v>DI10-B12</v>
      </c>
      <c r="HU49" t="str">
        <f t="shared" si="117"/>
        <v>DO6-13A</v>
      </c>
      <c r="HV49" t="str">
        <f t="shared" si="118"/>
        <v>DO6-13B</v>
      </c>
      <c r="HW49" t="str">
        <f t="shared" si="119"/>
        <v>DO6-14A</v>
      </c>
      <c r="HX49" t="str">
        <f t="shared" si="120"/>
        <v>DO6-14B</v>
      </c>
      <c r="HY49" t="str">
        <f t="shared" si="121"/>
        <v>K48-01</v>
      </c>
      <c r="HZ49" t="str">
        <f t="shared" si="122"/>
        <v>K48-02</v>
      </c>
      <c r="IA49" t="str">
        <f t="shared" si="123"/>
        <v>K48-03</v>
      </c>
      <c r="IB49" t="str">
        <f t="shared" si="124"/>
        <v>K48-04</v>
      </c>
      <c r="IC49" t="str">
        <f t="shared" si="125"/>
        <v>K48-05</v>
      </c>
      <c r="ID49" t="str">
        <f t="shared" si="126"/>
        <v>K48-06</v>
      </c>
      <c r="IE49" t="str">
        <f t="shared" si="127"/>
        <v>K48-07</v>
      </c>
      <c r="IF49" t="str">
        <f t="shared" si="128"/>
        <v>K48-08</v>
      </c>
      <c r="IG49" t="str">
        <f t="shared" si="129"/>
        <v>F0-M48-AMS-12</v>
      </c>
      <c r="IH49" t="str">
        <f t="shared" si="130"/>
        <v>F0-M48-AMS-10</v>
      </c>
      <c r="II49" t="str">
        <f t="shared" si="131"/>
        <v>F0-M48-AMS-11</v>
      </c>
      <c r="IJ49" t="str">
        <f t="shared" si="132"/>
        <v>F0-M48-AMS-13</v>
      </c>
      <c r="IK49" t="str">
        <f t="shared" si="133"/>
        <v>F0-M48-AMS-9</v>
      </c>
      <c r="IL49" t="str">
        <f t="shared" si="134"/>
        <v>F0-M48-AMS-7</v>
      </c>
      <c r="IM49" t="str">
        <f t="shared" si="135"/>
        <v>F0-M48-AMS-18</v>
      </c>
      <c r="IN49" t="str">
        <f t="shared" si="136"/>
        <v>F0-M48-AMS-20</v>
      </c>
      <c r="IO49" t="str">
        <f t="shared" si="137"/>
        <v>F0-M48-AMS-17</v>
      </c>
      <c r="IP49" t="str">
        <f t="shared" si="138"/>
        <v>F0-+24-M48</v>
      </c>
      <c r="IQ49" t="str">
        <f t="shared" si="139"/>
        <v>F0-M48-XM01</v>
      </c>
      <c r="IR49" t="str">
        <f t="shared" ref="IR49:JY49" si="144">IR48</f>
        <v>A1</v>
      </c>
      <c r="IS49" t="str">
        <f t="shared" si="144"/>
        <v>A2</v>
      </c>
      <c r="IT49">
        <f t="shared" si="144"/>
        <v>11</v>
      </c>
      <c r="IU49">
        <f t="shared" si="144"/>
        <v>14</v>
      </c>
      <c r="IV49" t="str">
        <f t="shared" si="144"/>
        <v>24v6</v>
      </c>
      <c r="IW49" t="str">
        <f t="shared" si="144"/>
        <v>0v6</v>
      </c>
      <c r="IX49">
        <f t="shared" si="144"/>
        <v>1</v>
      </c>
      <c r="IY49">
        <f t="shared" si="144"/>
        <v>2</v>
      </c>
      <c r="IZ49">
        <f t="shared" si="144"/>
        <v>3</v>
      </c>
      <c r="JA49">
        <f t="shared" si="144"/>
        <v>4</v>
      </c>
      <c r="JB49">
        <f t="shared" si="144"/>
        <v>5</v>
      </c>
      <c r="JC49">
        <f t="shared" si="144"/>
        <v>6</v>
      </c>
      <c r="JD49">
        <f t="shared" si="144"/>
        <v>7</v>
      </c>
      <c r="JE49">
        <f t="shared" si="144"/>
        <v>8</v>
      </c>
      <c r="JF49">
        <f t="shared" si="144"/>
        <v>9</v>
      </c>
      <c r="JG49">
        <f t="shared" si="144"/>
        <v>10</v>
      </c>
      <c r="JH49">
        <f t="shared" si="144"/>
        <v>11</v>
      </c>
      <c r="JI49">
        <f t="shared" si="144"/>
        <v>12</v>
      </c>
      <c r="JJ49">
        <f t="shared" si="144"/>
        <v>13</v>
      </c>
      <c r="JK49">
        <f t="shared" si="144"/>
        <v>14</v>
      </c>
      <c r="JL49">
        <f t="shared" si="144"/>
        <v>17</v>
      </c>
      <c r="JM49">
        <f t="shared" si="144"/>
        <v>15</v>
      </c>
      <c r="JN49">
        <f t="shared" si="144"/>
        <v>18</v>
      </c>
      <c r="JO49">
        <f t="shared" si="144"/>
        <v>11</v>
      </c>
      <c r="JP49">
        <f t="shared" si="144"/>
        <v>9</v>
      </c>
      <c r="JQ49">
        <f t="shared" si="144"/>
        <v>6</v>
      </c>
      <c r="JR49">
        <f t="shared" si="144"/>
        <v>20</v>
      </c>
      <c r="JS49">
        <f t="shared" si="144"/>
        <v>7</v>
      </c>
      <c r="JT49">
        <f t="shared" si="144"/>
        <v>10</v>
      </c>
      <c r="JU49">
        <f t="shared" si="144"/>
        <v>22</v>
      </c>
      <c r="JV49">
        <f t="shared" si="144"/>
        <v>23</v>
      </c>
      <c r="JW49">
        <f t="shared" si="144"/>
        <v>26</v>
      </c>
      <c r="JX49">
        <f t="shared" si="144"/>
        <v>27</v>
      </c>
      <c r="JY49" s="16">
        <f t="shared" si="144"/>
        <v>30</v>
      </c>
    </row>
    <row r="50" spans="1:305" x14ac:dyDescent="0.25">
      <c r="A50" t="s">
        <v>435</v>
      </c>
      <c r="B50" t="s">
        <v>434</v>
      </c>
      <c r="P50" t="s">
        <v>361</v>
      </c>
      <c r="T50" s="14" t="s">
        <v>520</v>
      </c>
      <c r="U50" s="15">
        <f t="shared" si="95"/>
        <v>49</v>
      </c>
      <c r="V50" t="s">
        <v>403</v>
      </c>
      <c r="W50" t="s">
        <v>404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SUM(IF(ISNUMBER(FIND("TmAi",$BE$1:$AAL$1)),IF(IFERROR(ISODD(SUBSTITUTE($BE50:$AAL50,"A","")),FALSE),IF(ISODD(SUBSTITUTE($BE50:$AAL50,"A","")),1,0),0)))</f>
        <v>0</v>
      </c>
      <c r="AA50" t="str">
        <f t="shared" si="91"/>
        <v>15A</v>
      </c>
      <c r="AB50" t="str">
        <f t="shared" si="92"/>
        <v>15B</v>
      </c>
      <c r="AC50" s="15" t="s">
        <v>411</v>
      </c>
      <c r="AD50" s="15"/>
      <c r="AE50" s="15"/>
      <c r="AF50" t="s">
        <v>153</v>
      </c>
      <c r="AG50" t="s">
        <v>154</v>
      </c>
      <c r="AH50" s="15" t="s">
        <v>358</v>
      </c>
      <c r="AI50" s="61" cm="1">
        <f t="array" ref="AI50">IF(COUNTIFS(AH$2:AH50,AH50)=1,"1",VALUE(SUBSTITUTE(INDEX(AI:AI,_xlfn.XMATCH(AH50,AH$1:AH49,0,-1)),"A",""))+INDEX(AJ:AJ,_xlfn.XMATCH(AH50,AH$1:AH49,0,-1))+1)</f>
        <v>15</v>
      </c>
      <c r="AJ50" s="61" cm="1">
        <f t="array" ref="AJ50">SUM(IF(ISNUMBER(FIND("TmDo",$BE$1:$AAL$1)),IF(IFERROR(ISNUMBER(VALUE(SUBSTITUTE($BE50:$AAL50,"B",""))),FALSE),IF(ISNUMBER(VALUE(SUBSTITUTE($BE50:$AAL50,"B",""))),1,0),0)))</f>
        <v>1</v>
      </c>
      <c r="AK50" t="str">
        <f t="shared" si="0"/>
        <v>15A</v>
      </c>
      <c r="AL50" t="str">
        <f t="shared" si="1"/>
        <v>15B</v>
      </c>
      <c r="AM50" t="s">
        <v>416</v>
      </c>
      <c r="AP50" t="s">
        <v>137</v>
      </c>
      <c r="AQ50" t="s">
        <v>138</v>
      </c>
      <c r="AS50" t="s">
        <v>366</v>
      </c>
      <c r="AT50" t="s">
        <v>139</v>
      </c>
      <c r="AU50" t="s">
        <v>140</v>
      </c>
      <c r="BD50" s="16"/>
      <c r="GT50" s="27" t="str">
        <f t="shared" si="84"/>
        <v>XT49</v>
      </c>
      <c r="GU50" t="str">
        <f t="shared" si="85"/>
        <v>C14</v>
      </c>
      <c r="GV50" t="str">
        <f t="shared" si="96"/>
        <v>B14</v>
      </c>
      <c r="GW50" t="str">
        <f t="shared" si="97"/>
        <v>C15</v>
      </c>
      <c r="GX50" t="str">
        <f t="shared" si="98"/>
        <v>B15</v>
      </c>
      <c r="GY50" t="str">
        <f t="shared" si="99"/>
        <v>C16</v>
      </c>
      <c r="GZ50" t="str">
        <f t="shared" si="100"/>
        <v>B16</v>
      </c>
      <c r="HA50" t="str">
        <f t="shared" si="101"/>
        <v>C17</v>
      </c>
      <c r="HB50" t="str">
        <f t="shared" si="102"/>
        <v>B17</v>
      </c>
      <c r="HC50" t="str">
        <f t="shared" si="103"/>
        <v>C18</v>
      </c>
      <c r="HD50" t="str">
        <f t="shared" si="104"/>
        <v>B18</v>
      </c>
      <c r="HE50" t="str">
        <f t="shared" si="86"/>
        <v>16A</v>
      </c>
      <c r="HF50" t="str">
        <f t="shared" si="87"/>
        <v>16B</v>
      </c>
      <c r="HG50" t="str">
        <f t="shared" si="88"/>
        <v>AI1-15A</v>
      </c>
      <c r="HH50" t="str">
        <f t="shared" si="89"/>
        <v>AI1-15B</v>
      </c>
      <c r="HI50" t="str">
        <f t="shared" si="105"/>
        <v>DI10-C13</v>
      </c>
      <c r="HJ50" t="str">
        <f t="shared" si="106"/>
        <v>DI10-B13</v>
      </c>
      <c r="HK50" t="str">
        <f t="shared" si="107"/>
        <v>DI10-C14</v>
      </c>
      <c r="HL50" t="str">
        <f t="shared" si="108"/>
        <v>DI10-B14</v>
      </c>
      <c r="HM50" t="str">
        <f t="shared" si="109"/>
        <v>DI10-C15</v>
      </c>
      <c r="HN50" t="str">
        <f t="shared" si="110"/>
        <v>DI10-B15</v>
      </c>
      <c r="HO50" t="str">
        <f t="shared" si="111"/>
        <v>DI10-C16</v>
      </c>
      <c r="HP50" t="str">
        <f t="shared" si="112"/>
        <v>DI10-B16</v>
      </c>
      <c r="HQ50" t="str">
        <f t="shared" si="113"/>
        <v>DI10-C17</v>
      </c>
      <c r="HR50" t="str">
        <f t="shared" si="114"/>
        <v>DI10-B17</v>
      </c>
      <c r="HS50" t="str">
        <f t="shared" si="115"/>
        <v>DI10-C18</v>
      </c>
      <c r="HT50" t="str">
        <f t="shared" si="116"/>
        <v>DI10-B18</v>
      </c>
      <c r="HU50" t="str">
        <f t="shared" si="117"/>
        <v>DO6-15A</v>
      </c>
      <c r="HV50" t="str">
        <f t="shared" si="118"/>
        <v>DO6-15B</v>
      </c>
      <c r="HW50" t="str">
        <f t="shared" si="119"/>
        <v>DO6-16A</v>
      </c>
      <c r="HX50" t="str">
        <f t="shared" si="120"/>
        <v>DO6-16B</v>
      </c>
      <c r="HY50" t="str">
        <f t="shared" si="121"/>
        <v>K49-01</v>
      </c>
      <c r="HZ50" t="str">
        <f t="shared" si="122"/>
        <v>K49-02</v>
      </c>
      <c r="IA50" t="str">
        <f t="shared" si="123"/>
        <v>K49-03</v>
      </c>
      <c r="IB50" t="str">
        <f t="shared" si="124"/>
        <v>K49-04</v>
      </c>
      <c r="IC50" t="str">
        <f t="shared" si="125"/>
        <v>K49-05</v>
      </c>
      <c r="ID50" t="str">
        <f t="shared" si="126"/>
        <v>K49-06</v>
      </c>
      <c r="IE50" t="str">
        <f t="shared" si="127"/>
        <v>K49-07</v>
      </c>
      <c r="IF50" t="str">
        <f t="shared" si="128"/>
        <v>K49-08</v>
      </c>
      <c r="IG50" t="str">
        <f t="shared" si="129"/>
        <v>F0-M49-AMS-12</v>
      </c>
      <c r="IH50" t="str">
        <f t="shared" si="130"/>
        <v>F0-M49-AMS-10</v>
      </c>
      <c r="II50" t="str">
        <f t="shared" si="131"/>
        <v>F0-M49-AMS-11</v>
      </c>
      <c r="IJ50" t="str">
        <f t="shared" si="132"/>
        <v>F0-M49-AMS-13</v>
      </c>
      <c r="IK50" t="str">
        <f t="shared" si="133"/>
        <v>F0-M49-AMS-9</v>
      </c>
      <c r="IL50" t="str">
        <f t="shared" si="134"/>
        <v>F0-M49-AMS-7</v>
      </c>
      <c r="IM50" t="str">
        <f t="shared" si="135"/>
        <v>F0-M49-AMS-18</v>
      </c>
      <c r="IN50" t="str">
        <f t="shared" si="136"/>
        <v>F0-M49-AMS-20</v>
      </c>
      <c r="IO50" t="str">
        <f t="shared" si="137"/>
        <v>F0-M49-AMS-17</v>
      </c>
      <c r="IP50" t="str">
        <f t="shared" si="138"/>
        <v>F0-+24-M49</v>
      </c>
      <c r="IQ50" t="str">
        <f t="shared" si="139"/>
        <v>F0-M49-XM01</v>
      </c>
      <c r="IR50" t="str">
        <f t="shared" ref="IR50:JY50" si="145">IR49</f>
        <v>A1</v>
      </c>
      <c r="IS50" t="str">
        <f t="shared" si="145"/>
        <v>A2</v>
      </c>
      <c r="IT50">
        <f t="shared" si="145"/>
        <v>11</v>
      </c>
      <c r="IU50">
        <f t="shared" si="145"/>
        <v>14</v>
      </c>
      <c r="IV50" t="str">
        <f t="shared" si="145"/>
        <v>24v6</v>
      </c>
      <c r="IW50" t="str">
        <f t="shared" si="145"/>
        <v>0v6</v>
      </c>
      <c r="IX50">
        <f t="shared" si="145"/>
        <v>1</v>
      </c>
      <c r="IY50">
        <f t="shared" si="145"/>
        <v>2</v>
      </c>
      <c r="IZ50">
        <f t="shared" si="145"/>
        <v>3</v>
      </c>
      <c r="JA50">
        <f t="shared" si="145"/>
        <v>4</v>
      </c>
      <c r="JB50">
        <f t="shared" si="145"/>
        <v>5</v>
      </c>
      <c r="JC50">
        <f t="shared" si="145"/>
        <v>6</v>
      </c>
      <c r="JD50">
        <f t="shared" si="145"/>
        <v>7</v>
      </c>
      <c r="JE50">
        <f t="shared" si="145"/>
        <v>8</v>
      </c>
      <c r="JF50">
        <f t="shared" si="145"/>
        <v>9</v>
      </c>
      <c r="JG50">
        <f t="shared" si="145"/>
        <v>10</v>
      </c>
      <c r="JH50">
        <f t="shared" si="145"/>
        <v>11</v>
      </c>
      <c r="JI50">
        <f t="shared" si="145"/>
        <v>12</v>
      </c>
      <c r="JJ50">
        <f t="shared" si="145"/>
        <v>13</v>
      </c>
      <c r="JK50">
        <f t="shared" si="145"/>
        <v>14</v>
      </c>
      <c r="JL50">
        <f t="shared" si="145"/>
        <v>17</v>
      </c>
      <c r="JM50">
        <f t="shared" si="145"/>
        <v>15</v>
      </c>
      <c r="JN50">
        <f t="shared" si="145"/>
        <v>18</v>
      </c>
      <c r="JO50">
        <f t="shared" si="145"/>
        <v>11</v>
      </c>
      <c r="JP50">
        <f t="shared" si="145"/>
        <v>9</v>
      </c>
      <c r="JQ50">
        <f t="shared" si="145"/>
        <v>6</v>
      </c>
      <c r="JR50">
        <f t="shared" si="145"/>
        <v>20</v>
      </c>
      <c r="JS50">
        <f t="shared" si="145"/>
        <v>7</v>
      </c>
      <c r="JT50">
        <f t="shared" si="145"/>
        <v>10</v>
      </c>
      <c r="JU50">
        <f t="shared" si="145"/>
        <v>22</v>
      </c>
      <c r="JV50">
        <f t="shared" si="145"/>
        <v>23</v>
      </c>
      <c r="JW50">
        <f t="shared" si="145"/>
        <v>26</v>
      </c>
      <c r="JX50">
        <f t="shared" si="145"/>
        <v>27</v>
      </c>
      <c r="JY50" s="16">
        <f t="shared" si="145"/>
        <v>30</v>
      </c>
    </row>
    <row r="51" spans="1:305" x14ac:dyDescent="0.25">
      <c r="A51" t="s">
        <v>437</v>
      </c>
      <c r="B51" s="29" t="s">
        <v>436</v>
      </c>
      <c r="P51" t="s">
        <v>361</v>
      </c>
      <c r="T51" s="14" t="s">
        <v>520</v>
      </c>
      <c r="U51" s="15">
        <f t="shared" si="95"/>
        <v>50</v>
      </c>
      <c r="V51" t="s">
        <v>405</v>
      </c>
      <c r="W51" t="s">
        <v>424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SUM(IF(ISNUMBER(FIND("TmAi",$BE$1:$AAL$1)),IF(IFERROR(ISODD(SUBSTITUTE($BE51:$AAL51,"A","")),FALSE),IF(ISODD(SUBSTITUTE($BE51:$AAL51,"A","")),1,0),0)))</f>
        <v>0</v>
      </c>
      <c r="AA51" t="str">
        <f t="shared" si="91"/>
        <v>1A</v>
      </c>
      <c r="AB51" t="str">
        <f t="shared" si="92"/>
        <v>1B</v>
      </c>
      <c r="AC51" s="15" t="s">
        <v>411</v>
      </c>
      <c r="AD51" s="15"/>
      <c r="AE51" s="15"/>
      <c r="AF51" t="s">
        <v>239</v>
      </c>
      <c r="AG51" t="s">
        <v>241</v>
      </c>
      <c r="AH51" s="15" t="s">
        <v>358</v>
      </c>
      <c r="AI51" s="61" cm="1">
        <f t="array" ref="AI51">IF(COUNTIFS(AH$2:AH51,AH51)=1,"1",VALUE(SUBSTITUTE(INDEX(AI:AI,_xlfn.XMATCH(AH51,AH$1:AH50,0,-1)),"A",""))+INDEX(AJ:AJ,_xlfn.XMATCH(AH51,AH$1:AH50,0,-1))+1)</f>
        <v>17</v>
      </c>
      <c r="AJ51" s="61" cm="1">
        <f t="array" ref="AJ51">SUM(IF(ISNUMBER(FIND("TmDo",$BE$1:$AAL$1)),IF(IFERROR(ISNUMBER(VALUE(SUBSTITUTE($BE51:$AAL51,"B",""))),FALSE),IF(ISNUMBER(VALUE(SUBSTITUTE($BE51:$AAL51,"B",""))),1,0),0)))</f>
        <v>1</v>
      </c>
      <c r="AK51" s="15" t="str">
        <f t="shared" si="0"/>
        <v>17A</v>
      </c>
      <c r="AL51" s="15" t="str">
        <f t="shared" si="1"/>
        <v>17B</v>
      </c>
      <c r="AM51" s="15" t="s">
        <v>417</v>
      </c>
      <c r="AP51" t="s">
        <v>137</v>
      </c>
      <c r="AQ51" t="s">
        <v>138</v>
      </c>
      <c r="AS51" t="s">
        <v>366</v>
      </c>
      <c r="AT51" t="s">
        <v>139</v>
      </c>
      <c r="AU51" t="s">
        <v>140</v>
      </c>
      <c r="BD51" s="16"/>
      <c r="GT51" s="27" t="str">
        <f t="shared" si="84"/>
        <v>XT50</v>
      </c>
      <c r="GU51" t="str">
        <f t="shared" si="85"/>
        <v>C20</v>
      </c>
      <c r="GV51" t="str">
        <f t="shared" si="96"/>
        <v>B20</v>
      </c>
      <c r="GW51" t="str">
        <f t="shared" si="97"/>
        <v>C21</v>
      </c>
      <c r="GX51" t="str">
        <f t="shared" si="98"/>
        <v>B21</v>
      </c>
      <c r="GY51" t="str">
        <f t="shared" si="99"/>
        <v>C22</v>
      </c>
      <c r="GZ51" t="str">
        <f t="shared" si="100"/>
        <v>B22</v>
      </c>
      <c r="HA51" t="str">
        <f t="shared" si="101"/>
        <v>C23</v>
      </c>
      <c r="HB51" t="str">
        <f t="shared" si="102"/>
        <v>B23</v>
      </c>
      <c r="HC51" t="str">
        <f t="shared" si="103"/>
        <v>C24</v>
      </c>
      <c r="HD51" t="str">
        <f t="shared" si="104"/>
        <v>B24</v>
      </c>
      <c r="HE51" t="str">
        <f t="shared" si="86"/>
        <v>18A</v>
      </c>
      <c r="HF51" t="str">
        <f t="shared" si="87"/>
        <v>18B</v>
      </c>
      <c r="HG51" t="str">
        <f t="shared" si="88"/>
        <v>AI2-1A</v>
      </c>
      <c r="HH51" t="str">
        <f t="shared" si="89"/>
        <v>AI2-1B</v>
      </c>
      <c r="HI51" t="str">
        <f t="shared" si="105"/>
        <v>DI10-C19</v>
      </c>
      <c r="HJ51" t="str">
        <f t="shared" si="106"/>
        <v>DI10-B19</v>
      </c>
      <c r="HK51" t="str">
        <f t="shared" si="107"/>
        <v>DI10-C20</v>
      </c>
      <c r="HL51" t="str">
        <f t="shared" si="108"/>
        <v>DI10-B20</v>
      </c>
      <c r="HM51" t="str">
        <f t="shared" si="109"/>
        <v>DI10-C21</v>
      </c>
      <c r="HN51" t="str">
        <f t="shared" si="110"/>
        <v>DI10-B21</v>
      </c>
      <c r="HO51" t="str">
        <f t="shared" si="111"/>
        <v>DI10-C22</v>
      </c>
      <c r="HP51" t="str">
        <f t="shared" si="112"/>
        <v>DI10-B22</v>
      </c>
      <c r="HQ51" t="str">
        <f t="shared" si="113"/>
        <v>DI10-C23</v>
      </c>
      <c r="HR51" t="str">
        <f t="shared" si="114"/>
        <v>DI10-B23</v>
      </c>
      <c r="HS51" t="str">
        <f t="shared" si="115"/>
        <v>DI10-C24</v>
      </c>
      <c r="HT51" t="str">
        <f t="shared" si="116"/>
        <v>DI10-B24</v>
      </c>
      <c r="HU51" t="str">
        <f t="shared" si="117"/>
        <v>DO6-17A</v>
      </c>
      <c r="HV51" t="str">
        <f t="shared" si="118"/>
        <v>DO6-17B</v>
      </c>
      <c r="HW51" t="str">
        <f t="shared" si="119"/>
        <v>DO6-18A</v>
      </c>
      <c r="HX51" t="str">
        <f t="shared" si="120"/>
        <v>DO6-18B</v>
      </c>
      <c r="HY51" t="str">
        <f t="shared" si="121"/>
        <v>K50-01</v>
      </c>
      <c r="HZ51" t="str">
        <f t="shared" si="122"/>
        <v>K50-02</v>
      </c>
      <c r="IA51" t="str">
        <f t="shared" si="123"/>
        <v>K50-03</v>
      </c>
      <c r="IB51" t="str">
        <f t="shared" si="124"/>
        <v>K50-04</v>
      </c>
      <c r="IC51" t="str">
        <f t="shared" si="125"/>
        <v>K50-05</v>
      </c>
      <c r="ID51" t="str">
        <f t="shared" si="126"/>
        <v>K50-06</v>
      </c>
      <c r="IE51" t="str">
        <f t="shared" si="127"/>
        <v>K50-07</v>
      </c>
      <c r="IF51" t="str">
        <f t="shared" si="128"/>
        <v>K50-08</v>
      </c>
      <c r="IG51" t="str">
        <f t="shared" si="129"/>
        <v>F0-M50-AMS-12</v>
      </c>
      <c r="IH51" t="str">
        <f t="shared" si="130"/>
        <v>F0-M50-AMS-10</v>
      </c>
      <c r="II51" t="str">
        <f t="shared" si="131"/>
        <v>F0-M50-AMS-11</v>
      </c>
      <c r="IJ51" t="str">
        <f t="shared" si="132"/>
        <v>F0-M50-AMS-13</v>
      </c>
      <c r="IK51" t="str">
        <f t="shared" si="133"/>
        <v>F0-M50-AMS-9</v>
      </c>
      <c r="IL51" t="str">
        <f t="shared" si="134"/>
        <v>F0-M50-AMS-7</v>
      </c>
      <c r="IM51" t="str">
        <f t="shared" si="135"/>
        <v>F0-M50-AMS-18</v>
      </c>
      <c r="IN51" t="str">
        <f t="shared" si="136"/>
        <v>F0-M50-AMS-20</v>
      </c>
      <c r="IO51" t="str">
        <f t="shared" si="137"/>
        <v>F0-M50-AMS-17</v>
      </c>
      <c r="IP51" t="str">
        <f t="shared" si="138"/>
        <v>F0-+24-M50</v>
      </c>
      <c r="IQ51" t="str">
        <f t="shared" si="139"/>
        <v>F0-M50-XM01</v>
      </c>
      <c r="IR51" t="str">
        <f t="shared" ref="IR51:JY51" si="146">IR50</f>
        <v>A1</v>
      </c>
      <c r="IS51" t="str">
        <f t="shared" si="146"/>
        <v>A2</v>
      </c>
      <c r="IT51">
        <f t="shared" si="146"/>
        <v>11</v>
      </c>
      <c r="IU51">
        <f t="shared" si="146"/>
        <v>14</v>
      </c>
      <c r="IV51" t="str">
        <f t="shared" si="146"/>
        <v>24v6</v>
      </c>
      <c r="IW51" t="str">
        <f t="shared" si="146"/>
        <v>0v6</v>
      </c>
      <c r="IX51">
        <f t="shared" si="146"/>
        <v>1</v>
      </c>
      <c r="IY51">
        <f t="shared" si="146"/>
        <v>2</v>
      </c>
      <c r="IZ51">
        <f t="shared" si="146"/>
        <v>3</v>
      </c>
      <c r="JA51">
        <f t="shared" si="146"/>
        <v>4</v>
      </c>
      <c r="JB51">
        <f t="shared" si="146"/>
        <v>5</v>
      </c>
      <c r="JC51">
        <f t="shared" si="146"/>
        <v>6</v>
      </c>
      <c r="JD51">
        <f t="shared" si="146"/>
        <v>7</v>
      </c>
      <c r="JE51">
        <f t="shared" si="146"/>
        <v>8</v>
      </c>
      <c r="JF51">
        <f t="shared" si="146"/>
        <v>9</v>
      </c>
      <c r="JG51">
        <f t="shared" si="146"/>
        <v>10</v>
      </c>
      <c r="JH51">
        <f t="shared" si="146"/>
        <v>11</v>
      </c>
      <c r="JI51">
        <f t="shared" si="146"/>
        <v>12</v>
      </c>
      <c r="JJ51">
        <f t="shared" si="146"/>
        <v>13</v>
      </c>
      <c r="JK51">
        <f t="shared" si="146"/>
        <v>14</v>
      </c>
      <c r="JL51">
        <f t="shared" si="146"/>
        <v>17</v>
      </c>
      <c r="JM51">
        <f t="shared" si="146"/>
        <v>15</v>
      </c>
      <c r="JN51">
        <f t="shared" si="146"/>
        <v>18</v>
      </c>
      <c r="JO51">
        <f t="shared" si="146"/>
        <v>11</v>
      </c>
      <c r="JP51">
        <f t="shared" si="146"/>
        <v>9</v>
      </c>
      <c r="JQ51">
        <f t="shared" si="146"/>
        <v>6</v>
      </c>
      <c r="JR51">
        <f t="shared" si="146"/>
        <v>20</v>
      </c>
      <c r="JS51">
        <f t="shared" si="146"/>
        <v>7</v>
      </c>
      <c r="JT51">
        <f t="shared" si="146"/>
        <v>10</v>
      </c>
      <c r="JU51">
        <f t="shared" si="146"/>
        <v>22</v>
      </c>
      <c r="JV51">
        <f t="shared" si="146"/>
        <v>23</v>
      </c>
      <c r="JW51">
        <f t="shared" si="146"/>
        <v>26</v>
      </c>
      <c r="JX51">
        <f t="shared" si="146"/>
        <v>27</v>
      </c>
      <c r="JY51" s="16">
        <f t="shared" si="146"/>
        <v>30</v>
      </c>
    </row>
    <row r="52" spans="1:305" x14ac:dyDescent="0.25">
      <c r="A52" t="s">
        <v>439</v>
      </c>
      <c r="B52" t="s">
        <v>438</v>
      </c>
      <c r="P52" t="s">
        <v>361</v>
      </c>
      <c r="T52" s="14" t="s">
        <v>520</v>
      </c>
      <c r="U52" s="15">
        <f t="shared" si="95"/>
        <v>51</v>
      </c>
      <c r="V52" t="s">
        <v>425</v>
      </c>
      <c r="W52" t="s">
        <v>406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SUM(IF(ISNUMBER(FIND("TmAi",$BE$1:$AAL$1)),IF(IFERROR(ISODD(SUBSTITUTE($BE52:$AAL52,"A","")),FALSE),IF(ISODD(SUBSTITUTE($BE52:$AAL52,"A","")),1,0),0)))</f>
        <v>0</v>
      </c>
      <c r="AA52" t="str">
        <f t="shared" si="91"/>
        <v>3A</v>
      </c>
      <c r="AB52" t="str">
        <f t="shared" si="92"/>
        <v>3B</v>
      </c>
      <c r="AC52" s="15" t="s">
        <v>411</v>
      </c>
      <c r="AD52" s="15"/>
      <c r="AE52" s="15"/>
      <c r="AF52" t="s">
        <v>240</v>
      </c>
      <c r="AG52" t="s">
        <v>242</v>
      </c>
      <c r="AH52" s="15" t="s">
        <v>358</v>
      </c>
      <c r="AI52" s="61" cm="1">
        <f t="array" ref="AI52">IF(COUNTIFS(AH$2:AH52,AH52)=1,"1",VALUE(SUBSTITUTE(INDEX(AI:AI,_xlfn.XMATCH(AH52,AH$1:AH51,0,-1)),"A",""))+INDEX(AJ:AJ,_xlfn.XMATCH(AH52,AH$1:AH51,0,-1))+1)</f>
        <v>19</v>
      </c>
      <c r="AJ52" s="61" cm="1">
        <f t="array" ref="AJ52">SUM(IF(ISNUMBER(FIND("TmDo",$BE$1:$AAL$1)),IF(IFERROR(ISNUMBER(VALUE(SUBSTITUTE($BE52:$AAL52,"B",""))),FALSE),IF(ISNUMBER(VALUE(SUBSTITUTE($BE52:$AAL52,"B",""))),1,0),0)))</f>
        <v>1</v>
      </c>
      <c r="AK52" t="str">
        <f t="shared" si="0"/>
        <v>19A</v>
      </c>
      <c r="AL52" t="str">
        <f t="shared" si="1"/>
        <v>19B</v>
      </c>
      <c r="AM52" t="s">
        <v>419</v>
      </c>
      <c r="AP52" t="s">
        <v>137</v>
      </c>
      <c r="AQ52" t="s">
        <v>138</v>
      </c>
      <c r="AS52" t="s">
        <v>366</v>
      </c>
      <c r="AT52" t="s">
        <v>139</v>
      </c>
      <c r="AU52" t="s">
        <v>140</v>
      </c>
      <c r="BD52" s="16"/>
      <c r="GT52" s="27" t="str">
        <f t="shared" si="84"/>
        <v>XT51</v>
      </c>
      <c r="GU52" t="str">
        <f t="shared" si="85"/>
        <v>C26</v>
      </c>
      <c r="GV52" t="str">
        <f t="shared" si="96"/>
        <v>B26</v>
      </c>
      <c r="GW52" t="str">
        <f t="shared" si="97"/>
        <v>C27</v>
      </c>
      <c r="GX52" t="str">
        <f t="shared" si="98"/>
        <v>B27</v>
      </c>
      <c r="GY52" t="str">
        <f t="shared" si="99"/>
        <v>C28</v>
      </c>
      <c r="GZ52" t="str">
        <f t="shared" si="100"/>
        <v>B28</v>
      </c>
      <c r="HA52" t="str">
        <f t="shared" si="101"/>
        <v>C29</v>
      </c>
      <c r="HB52" t="str">
        <f t="shared" si="102"/>
        <v>B29</v>
      </c>
      <c r="HC52" t="str">
        <f t="shared" si="103"/>
        <v>C30</v>
      </c>
      <c r="HD52" t="str">
        <f t="shared" si="104"/>
        <v>B30</v>
      </c>
      <c r="HE52" t="str">
        <f t="shared" si="86"/>
        <v>20A</v>
      </c>
      <c r="HF52" t="str">
        <f t="shared" si="87"/>
        <v>20B</v>
      </c>
      <c r="HG52" t="str">
        <f t="shared" si="88"/>
        <v>AI2-3A</v>
      </c>
      <c r="HH52" t="str">
        <f t="shared" si="89"/>
        <v>AI2-3B</v>
      </c>
      <c r="HI52" t="str">
        <f t="shared" si="105"/>
        <v>DI10-C25</v>
      </c>
      <c r="HJ52" t="str">
        <f t="shared" si="106"/>
        <v>DI10-B25</v>
      </c>
      <c r="HK52" t="str">
        <f t="shared" si="107"/>
        <v>DI10-C26</v>
      </c>
      <c r="HL52" t="str">
        <f t="shared" si="108"/>
        <v>DI10-B26</v>
      </c>
      <c r="HM52" t="str">
        <f t="shared" si="109"/>
        <v>DI10-C27</v>
      </c>
      <c r="HN52" t="str">
        <f t="shared" si="110"/>
        <v>DI10-B27</v>
      </c>
      <c r="HO52" t="str">
        <f t="shared" si="111"/>
        <v>DI10-C28</v>
      </c>
      <c r="HP52" t="str">
        <f t="shared" si="112"/>
        <v>DI10-B28</v>
      </c>
      <c r="HQ52" t="str">
        <f t="shared" si="113"/>
        <v>DI10-C29</v>
      </c>
      <c r="HR52" t="str">
        <f t="shared" si="114"/>
        <v>DI10-B29</v>
      </c>
      <c r="HS52" t="str">
        <f t="shared" si="115"/>
        <v>DI10-C30</v>
      </c>
      <c r="HT52" t="str">
        <f t="shared" si="116"/>
        <v>DI10-B30</v>
      </c>
      <c r="HU52" t="str">
        <f t="shared" si="117"/>
        <v>DO6-19A</v>
      </c>
      <c r="HV52" t="str">
        <f t="shared" si="118"/>
        <v>DO6-19B</v>
      </c>
      <c r="HW52" t="str">
        <f t="shared" si="119"/>
        <v>DO6-20A</v>
      </c>
      <c r="HX52" t="str">
        <f t="shared" si="120"/>
        <v>DO6-20B</v>
      </c>
      <c r="HY52" t="str">
        <f t="shared" si="121"/>
        <v>K51-01</v>
      </c>
      <c r="HZ52" t="str">
        <f t="shared" si="122"/>
        <v>K51-02</v>
      </c>
      <c r="IA52" t="str">
        <f t="shared" si="123"/>
        <v>K51-03</v>
      </c>
      <c r="IB52" t="str">
        <f t="shared" si="124"/>
        <v>K51-04</v>
      </c>
      <c r="IC52" t="str">
        <f t="shared" si="125"/>
        <v>K51-05</v>
      </c>
      <c r="ID52" t="str">
        <f t="shared" si="126"/>
        <v>K51-06</v>
      </c>
      <c r="IE52" t="str">
        <f t="shared" si="127"/>
        <v>K51-07</v>
      </c>
      <c r="IF52" t="str">
        <f t="shared" si="128"/>
        <v>K51-08</v>
      </c>
      <c r="IG52" t="str">
        <f t="shared" si="129"/>
        <v>F0-M51-AMS-12</v>
      </c>
      <c r="IH52" t="str">
        <f t="shared" si="130"/>
        <v>F0-M51-AMS-10</v>
      </c>
      <c r="II52" t="str">
        <f t="shared" si="131"/>
        <v>F0-M51-AMS-11</v>
      </c>
      <c r="IJ52" t="str">
        <f t="shared" si="132"/>
        <v>F0-M51-AMS-13</v>
      </c>
      <c r="IK52" t="str">
        <f t="shared" si="133"/>
        <v>F0-M51-AMS-9</v>
      </c>
      <c r="IL52" t="str">
        <f t="shared" si="134"/>
        <v>F0-M51-AMS-7</v>
      </c>
      <c r="IM52" t="str">
        <f t="shared" si="135"/>
        <v>F0-M51-AMS-18</v>
      </c>
      <c r="IN52" t="str">
        <f t="shared" si="136"/>
        <v>F0-M51-AMS-20</v>
      </c>
      <c r="IO52" t="str">
        <f t="shared" si="137"/>
        <v>F0-M51-AMS-17</v>
      </c>
      <c r="IP52" t="str">
        <f t="shared" si="138"/>
        <v>F0-+24-M51</v>
      </c>
      <c r="IQ52" t="str">
        <f t="shared" si="139"/>
        <v>F0-M51-XM01</v>
      </c>
      <c r="IR52" t="str">
        <f t="shared" ref="IR52:JY52" si="147">IR51</f>
        <v>A1</v>
      </c>
      <c r="IS52" t="str">
        <f t="shared" si="147"/>
        <v>A2</v>
      </c>
      <c r="IT52">
        <f t="shared" si="147"/>
        <v>11</v>
      </c>
      <c r="IU52">
        <f t="shared" si="147"/>
        <v>14</v>
      </c>
      <c r="IV52" t="str">
        <f t="shared" si="147"/>
        <v>24v6</v>
      </c>
      <c r="IW52" t="str">
        <f t="shared" si="147"/>
        <v>0v6</v>
      </c>
      <c r="IX52">
        <f t="shared" si="147"/>
        <v>1</v>
      </c>
      <c r="IY52">
        <f t="shared" si="147"/>
        <v>2</v>
      </c>
      <c r="IZ52">
        <f t="shared" si="147"/>
        <v>3</v>
      </c>
      <c r="JA52">
        <f t="shared" si="147"/>
        <v>4</v>
      </c>
      <c r="JB52">
        <f t="shared" si="147"/>
        <v>5</v>
      </c>
      <c r="JC52">
        <f t="shared" si="147"/>
        <v>6</v>
      </c>
      <c r="JD52">
        <f t="shared" si="147"/>
        <v>7</v>
      </c>
      <c r="JE52">
        <f t="shared" si="147"/>
        <v>8</v>
      </c>
      <c r="JF52">
        <f t="shared" si="147"/>
        <v>9</v>
      </c>
      <c r="JG52">
        <f t="shared" si="147"/>
        <v>10</v>
      </c>
      <c r="JH52">
        <f t="shared" si="147"/>
        <v>11</v>
      </c>
      <c r="JI52">
        <f t="shared" si="147"/>
        <v>12</v>
      </c>
      <c r="JJ52">
        <f t="shared" si="147"/>
        <v>13</v>
      </c>
      <c r="JK52">
        <f t="shared" si="147"/>
        <v>14</v>
      </c>
      <c r="JL52">
        <f t="shared" si="147"/>
        <v>17</v>
      </c>
      <c r="JM52">
        <f t="shared" si="147"/>
        <v>15</v>
      </c>
      <c r="JN52">
        <f t="shared" si="147"/>
        <v>18</v>
      </c>
      <c r="JO52">
        <f t="shared" si="147"/>
        <v>11</v>
      </c>
      <c r="JP52">
        <f t="shared" si="147"/>
        <v>9</v>
      </c>
      <c r="JQ52">
        <f t="shared" si="147"/>
        <v>6</v>
      </c>
      <c r="JR52">
        <f t="shared" si="147"/>
        <v>20</v>
      </c>
      <c r="JS52">
        <f t="shared" si="147"/>
        <v>7</v>
      </c>
      <c r="JT52">
        <f t="shared" si="147"/>
        <v>10</v>
      </c>
      <c r="JU52">
        <f t="shared" si="147"/>
        <v>22</v>
      </c>
      <c r="JV52">
        <f t="shared" si="147"/>
        <v>23</v>
      </c>
      <c r="JW52">
        <f t="shared" si="147"/>
        <v>26</v>
      </c>
      <c r="JX52">
        <f t="shared" si="147"/>
        <v>27</v>
      </c>
      <c r="JY52" s="16">
        <f t="shared" si="147"/>
        <v>30</v>
      </c>
    </row>
    <row r="53" spans="1:305" x14ac:dyDescent="0.25">
      <c r="A53" t="s">
        <v>443</v>
      </c>
      <c r="B53" t="s">
        <v>442</v>
      </c>
      <c r="P53" t="s">
        <v>361</v>
      </c>
      <c r="T53" s="14" t="s">
        <v>520</v>
      </c>
      <c r="U53" s="15">
        <f t="shared" si="95"/>
        <v>52</v>
      </c>
      <c r="V53" t="s">
        <v>407</v>
      </c>
      <c r="W53" t="s">
        <v>408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SUM(IF(ISNUMBER(FIND("TmAi",$BE$1:$AAL$1)),IF(IFERROR(ISODD(SUBSTITUTE($BE53:$AAL53,"A","")),FALSE),IF(ISODD(SUBSTITUTE($BE53:$AAL53,"A","")),1,0),0)))</f>
        <v>0</v>
      </c>
      <c r="AA53" t="str">
        <f t="shared" si="91"/>
        <v>5A</v>
      </c>
      <c r="AB53" t="str">
        <f t="shared" si="92"/>
        <v>5B</v>
      </c>
      <c r="AC53" s="15" t="s">
        <v>412</v>
      </c>
      <c r="AD53" s="15"/>
      <c r="AE53" s="15"/>
      <c r="AF53" t="s">
        <v>133</v>
      </c>
      <c r="AG53" t="s">
        <v>134</v>
      </c>
      <c r="AH53" s="15" t="s">
        <v>358</v>
      </c>
      <c r="AI53" s="61" cm="1">
        <f t="array" ref="AI53">IF(COUNTIFS(AH$2:AH53,AH53)=1,"1",VALUE(SUBSTITUTE(INDEX(AI:AI,_xlfn.XMATCH(AH53,AH$1:AH52,0,-1)),"A",""))+INDEX(AJ:AJ,_xlfn.XMATCH(AH53,AH$1:AH52,0,-1))+1)</f>
        <v>21</v>
      </c>
      <c r="AJ53" s="61" cm="1">
        <f t="array" ref="AJ53">SUM(IF(ISNUMBER(FIND("TmDo",$BE$1:$AAL$1)),IF(IFERROR(ISNUMBER(VALUE(SUBSTITUTE($BE53:$AAL53,"B",""))),FALSE),IF(ISNUMBER(VALUE(SUBSTITUTE($BE53:$AAL53,"B",""))),1,0),0)))</f>
        <v>1</v>
      </c>
      <c r="AK53" s="15" t="str">
        <f t="shared" si="0"/>
        <v>21A</v>
      </c>
      <c r="AL53" s="15" t="str">
        <f t="shared" si="1"/>
        <v>21B</v>
      </c>
      <c r="AM53" s="15" t="s">
        <v>440</v>
      </c>
      <c r="AP53" t="s">
        <v>137</v>
      </c>
      <c r="AQ53" t="s">
        <v>138</v>
      </c>
      <c r="AS53" t="s">
        <v>366</v>
      </c>
      <c r="AT53" t="s">
        <v>139</v>
      </c>
      <c r="AU53" t="s">
        <v>140</v>
      </c>
      <c r="BD53" s="16"/>
      <c r="GT53" s="27" t="str">
        <f t="shared" si="84"/>
        <v>XT52</v>
      </c>
      <c r="GU53" t="str">
        <f t="shared" si="85"/>
        <v>C2</v>
      </c>
      <c r="GV53" t="str">
        <f t="shared" si="96"/>
        <v>B2</v>
      </c>
      <c r="GW53" t="str">
        <f t="shared" si="97"/>
        <v>C3</v>
      </c>
      <c r="GX53" t="str">
        <f t="shared" si="98"/>
        <v>B3</v>
      </c>
      <c r="GY53" t="str">
        <f t="shared" si="99"/>
        <v>C4</v>
      </c>
      <c r="GZ53" t="str">
        <f t="shared" si="100"/>
        <v>B4</v>
      </c>
      <c r="HA53" t="str">
        <f t="shared" si="101"/>
        <v>C5</v>
      </c>
      <c r="HB53" t="str">
        <f t="shared" si="102"/>
        <v>B5</v>
      </c>
      <c r="HC53" t="str">
        <f t="shared" si="103"/>
        <v>C6</v>
      </c>
      <c r="HD53" t="str">
        <f t="shared" si="104"/>
        <v>B6</v>
      </c>
      <c r="HE53" t="str">
        <f t="shared" si="86"/>
        <v>22A</v>
      </c>
      <c r="HF53" t="str">
        <f t="shared" si="87"/>
        <v>22B</v>
      </c>
      <c r="HG53" t="str">
        <f t="shared" si="88"/>
        <v>AI2-5A</v>
      </c>
      <c r="HH53" t="str">
        <f t="shared" si="89"/>
        <v>AI2-5B</v>
      </c>
      <c r="HI53" t="str">
        <f t="shared" si="105"/>
        <v>DI11-C1</v>
      </c>
      <c r="HJ53" t="str">
        <f t="shared" si="106"/>
        <v>DI11-B1</v>
      </c>
      <c r="HK53" t="str">
        <f t="shared" si="107"/>
        <v>DI11-C2</v>
      </c>
      <c r="HL53" t="str">
        <f t="shared" si="108"/>
        <v>DI11-B2</v>
      </c>
      <c r="HM53" t="str">
        <f t="shared" si="109"/>
        <v>DI11-C3</v>
      </c>
      <c r="HN53" t="str">
        <f t="shared" si="110"/>
        <v>DI11-B3</v>
      </c>
      <c r="HO53" t="str">
        <f t="shared" si="111"/>
        <v>DI11-C4</v>
      </c>
      <c r="HP53" t="str">
        <f t="shared" si="112"/>
        <v>DI11-B4</v>
      </c>
      <c r="HQ53" t="str">
        <f t="shared" si="113"/>
        <v>DI11-C5</v>
      </c>
      <c r="HR53" t="str">
        <f t="shared" si="114"/>
        <v>DI11-B5</v>
      </c>
      <c r="HS53" t="str">
        <f t="shared" si="115"/>
        <v>DI11-C6</v>
      </c>
      <c r="HT53" t="str">
        <f t="shared" si="116"/>
        <v>DI11-B6</v>
      </c>
      <c r="HU53" t="str">
        <f t="shared" si="117"/>
        <v>DO6-21A</v>
      </c>
      <c r="HV53" t="str">
        <f t="shared" si="118"/>
        <v>DO6-21B</v>
      </c>
      <c r="HW53" t="str">
        <f t="shared" si="119"/>
        <v>DO6-22A</v>
      </c>
      <c r="HX53" t="str">
        <f t="shared" si="120"/>
        <v>DO6-22B</v>
      </c>
      <c r="HY53" t="str">
        <f t="shared" si="121"/>
        <v>K52-01</v>
      </c>
      <c r="HZ53" t="str">
        <f t="shared" si="122"/>
        <v>K52-02</v>
      </c>
      <c r="IA53" t="str">
        <f t="shared" si="123"/>
        <v>K52-03</v>
      </c>
      <c r="IB53" t="str">
        <f t="shared" si="124"/>
        <v>K52-04</v>
      </c>
      <c r="IC53" t="str">
        <f t="shared" si="125"/>
        <v>K52-05</v>
      </c>
      <c r="ID53" t="str">
        <f t="shared" si="126"/>
        <v>K52-06</v>
      </c>
      <c r="IE53" t="str">
        <f t="shared" si="127"/>
        <v>K52-07</v>
      </c>
      <c r="IF53" t="str">
        <f t="shared" si="128"/>
        <v>K52-08</v>
      </c>
      <c r="IG53" t="str">
        <f t="shared" si="129"/>
        <v>F0-M52-AMS-12</v>
      </c>
      <c r="IH53" t="str">
        <f t="shared" si="130"/>
        <v>F0-M52-AMS-10</v>
      </c>
      <c r="II53" t="str">
        <f t="shared" si="131"/>
        <v>F0-M52-AMS-11</v>
      </c>
      <c r="IJ53" t="str">
        <f t="shared" si="132"/>
        <v>F0-M52-AMS-13</v>
      </c>
      <c r="IK53" t="str">
        <f t="shared" si="133"/>
        <v>F0-M52-AMS-9</v>
      </c>
      <c r="IL53" t="str">
        <f t="shared" si="134"/>
        <v>F0-M52-AMS-7</v>
      </c>
      <c r="IM53" t="str">
        <f t="shared" si="135"/>
        <v>F0-M52-AMS-18</v>
      </c>
      <c r="IN53" t="str">
        <f t="shared" si="136"/>
        <v>F0-M52-AMS-20</v>
      </c>
      <c r="IO53" t="str">
        <f t="shared" si="137"/>
        <v>F0-M52-AMS-17</v>
      </c>
      <c r="IP53" t="str">
        <f t="shared" si="138"/>
        <v>F0-+24-M52</v>
      </c>
      <c r="IQ53" t="str">
        <f t="shared" si="139"/>
        <v>F0-M52-XM01</v>
      </c>
      <c r="IR53" t="str">
        <f t="shared" ref="IR53:JY53" si="148">IR52</f>
        <v>A1</v>
      </c>
      <c r="IS53" t="str">
        <f t="shared" si="148"/>
        <v>A2</v>
      </c>
      <c r="IT53">
        <f t="shared" si="148"/>
        <v>11</v>
      </c>
      <c r="IU53">
        <f t="shared" si="148"/>
        <v>14</v>
      </c>
      <c r="IV53" t="str">
        <f t="shared" si="148"/>
        <v>24v6</v>
      </c>
      <c r="IW53" t="str">
        <f t="shared" si="148"/>
        <v>0v6</v>
      </c>
      <c r="IX53">
        <f t="shared" si="148"/>
        <v>1</v>
      </c>
      <c r="IY53">
        <f t="shared" si="148"/>
        <v>2</v>
      </c>
      <c r="IZ53">
        <f t="shared" si="148"/>
        <v>3</v>
      </c>
      <c r="JA53">
        <f t="shared" si="148"/>
        <v>4</v>
      </c>
      <c r="JB53">
        <f t="shared" si="148"/>
        <v>5</v>
      </c>
      <c r="JC53">
        <f t="shared" si="148"/>
        <v>6</v>
      </c>
      <c r="JD53">
        <f t="shared" si="148"/>
        <v>7</v>
      </c>
      <c r="JE53">
        <f t="shared" si="148"/>
        <v>8</v>
      </c>
      <c r="JF53">
        <f t="shared" si="148"/>
        <v>9</v>
      </c>
      <c r="JG53">
        <f t="shared" si="148"/>
        <v>10</v>
      </c>
      <c r="JH53">
        <f t="shared" si="148"/>
        <v>11</v>
      </c>
      <c r="JI53">
        <f t="shared" si="148"/>
        <v>12</v>
      </c>
      <c r="JJ53">
        <f t="shared" si="148"/>
        <v>13</v>
      </c>
      <c r="JK53">
        <f t="shared" si="148"/>
        <v>14</v>
      </c>
      <c r="JL53">
        <f t="shared" si="148"/>
        <v>17</v>
      </c>
      <c r="JM53">
        <f t="shared" si="148"/>
        <v>15</v>
      </c>
      <c r="JN53">
        <f t="shared" si="148"/>
        <v>18</v>
      </c>
      <c r="JO53">
        <f t="shared" si="148"/>
        <v>11</v>
      </c>
      <c r="JP53">
        <f t="shared" si="148"/>
        <v>9</v>
      </c>
      <c r="JQ53">
        <f t="shared" si="148"/>
        <v>6</v>
      </c>
      <c r="JR53">
        <f t="shared" si="148"/>
        <v>20</v>
      </c>
      <c r="JS53">
        <f t="shared" si="148"/>
        <v>7</v>
      </c>
      <c r="JT53">
        <f t="shared" si="148"/>
        <v>10</v>
      </c>
      <c r="JU53">
        <f t="shared" si="148"/>
        <v>22</v>
      </c>
      <c r="JV53">
        <f t="shared" si="148"/>
        <v>23</v>
      </c>
      <c r="JW53">
        <f t="shared" si="148"/>
        <v>26</v>
      </c>
      <c r="JX53">
        <f t="shared" si="148"/>
        <v>27</v>
      </c>
      <c r="JY53" s="16">
        <f t="shared" si="148"/>
        <v>30</v>
      </c>
    </row>
    <row r="54" spans="1:305" x14ac:dyDescent="0.25">
      <c r="A54" t="s">
        <v>445</v>
      </c>
      <c r="B54" t="s">
        <v>444</v>
      </c>
      <c r="P54" t="s">
        <v>361</v>
      </c>
      <c r="T54" s="14" t="s">
        <v>520</v>
      </c>
      <c r="U54" s="15">
        <f t="shared" si="95"/>
        <v>53</v>
      </c>
      <c r="V54" t="s">
        <v>409</v>
      </c>
      <c r="W54" t="s">
        <v>426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SUM(IF(ISNUMBER(FIND("TmAi",$BE$1:$AAL$1)),IF(IFERROR(ISODD(SUBSTITUTE($BE54:$AAL54,"A","")),FALSE),IF(ISODD(SUBSTITUTE($BE54:$AAL54,"A","")),1,0),0)))</f>
        <v>0</v>
      </c>
      <c r="AA54" t="str">
        <f t="shared" si="91"/>
        <v>7A</v>
      </c>
      <c r="AB54" t="str">
        <f t="shared" si="92"/>
        <v>7B</v>
      </c>
      <c r="AC54" s="15" t="s">
        <v>412</v>
      </c>
      <c r="AD54" s="15"/>
      <c r="AE54" s="15"/>
      <c r="AF54" t="s">
        <v>148</v>
      </c>
      <c r="AG54" t="s">
        <v>149</v>
      </c>
      <c r="AH54" s="15" t="s">
        <v>358</v>
      </c>
      <c r="AI54" s="61" cm="1">
        <f t="array" ref="AI54">IF(COUNTIFS(AH$2:AH54,AH54)=1,"1",VALUE(SUBSTITUTE(INDEX(AI:AI,_xlfn.XMATCH(AH54,AH$1:AH53,0,-1)),"A",""))+INDEX(AJ:AJ,_xlfn.XMATCH(AH54,AH$1:AH53,0,-1))+1)</f>
        <v>23</v>
      </c>
      <c r="AJ54" s="61" cm="1">
        <f t="array" ref="AJ54">SUM(IF(ISNUMBER(FIND("TmDo",$BE$1:$AAL$1)),IF(IFERROR(ISNUMBER(VALUE(SUBSTITUTE($BE54:$AAL54,"B",""))),FALSE),IF(ISNUMBER(VALUE(SUBSTITUTE($BE54:$AAL54,"B",""))),1,0),0)))</f>
        <v>1</v>
      </c>
      <c r="AK54" t="str">
        <f t="shared" si="0"/>
        <v>23A</v>
      </c>
      <c r="AL54" t="str">
        <f t="shared" si="1"/>
        <v>23B</v>
      </c>
      <c r="AM54" t="s">
        <v>441</v>
      </c>
      <c r="AP54" t="s">
        <v>137</v>
      </c>
      <c r="AQ54" t="s">
        <v>138</v>
      </c>
      <c r="AS54" t="s">
        <v>366</v>
      </c>
      <c r="AT54" t="s">
        <v>139</v>
      </c>
      <c r="AU54" t="s">
        <v>140</v>
      </c>
      <c r="BD54" s="16"/>
      <c r="GT54" s="27" t="str">
        <f t="shared" si="84"/>
        <v>XT53</v>
      </c>
      <c r="GU54" t="str">
        <f t="shared" si="85"/>
        <v>C8</v>
      </c>
      <c r="GV54" t="str">
        <f t="shared" si="96"/>
        <v>B8</v>
      </c>
      <c r="GW54" t="str">
        <f t="shared" si="97"/>
        <v>C9</v>
      </c>
      <c r="GX54" t="str">
        <f t="shared" si="98"/>
        <v>B9</v>
      </c>
      <c r="GY54" t="str">
        <f t="shared" si="99"/>
        <v>C10</v>
      </c>
      <c r="GZ54" t="str">
        <f t="shared" si="100"/>
        <v>B10</v>
      </c>
      <c r="HA54" t="str">
        <f t="shared" si="101"/>
        <v>C11</v>
      </c>
      <c r="HB54" t="str">
        <f t="shared" si="102"/>
        <v>B11</v>
      </c>
      <c r="HC54" t="str">
        <f t="shared" si="103"/>
        <v>C12</v>
      </c>
      <c r="HD54" t="str">
        <f t="shared" si="104"/>
        <v>B12</v>
      </c>
      <c r="HE54" t="str">
        <f t="shared" si="86"/>
        <v>24A</v>
      </c>
      <c r="HF54" t="str">
        <f t="shared" si="87"/>
        <v>24B</v>
      </c>
      <c r="HG54" t="str">
        <f t="shared" si="88"/>
        <v>AI2-7A</v>
      </c>
      <c r="HH54" t="str">
        <f t="shared" si="89"/>
        <v>AI2-7B</v>
      </c>
      <c r="HI54" t="str">
        <f t="shared" si="105"/>
        <v>DI11-C7</v>
      </c>
      <c r="HJ54" t="str">
        <f t="shared" si="106"/>
        <v>DI11-B7</v>
      </c>
      <c r="HK54" t="str">
        <f t="shared" si="107"/>
        <v>DI11-C8</v>
      </c>
      <c r="HL54" t="str">
        <f t="shared" si="108"/>
        <v>DI11-B8</v>
      </c>
      <c r="HM54" t="str">
        <f t="shared" si="109"/>
        <v>DI11-C9</v>
      </c>
      <c r="HN54" t="str">
        <f t="shared" si="110"/>
        <v>DI11-B9</v>
      </c>
      <c r="HO54" t="str">
        <f t="shared" si="111"/>
        <v>DI11-C10</v>
      </c>
      <c r="HP54" t="str">
        <f t="shared" si="112"/>
        <v>DI11-B10</v>
      </c>
      <c r="HQ54" t="str">
        <f t="shared" si="113"/>
        <v>DI11-C11</v>
      </c>
      <c r="HR54" t="str">
        <f t="shared" si="114"/>
        <v>DI11-B11</v>
      </c>
      <c r="HS54" t="str">
        <f t="shared" si="115"/>
        <v>DI11-C12</v>
      </c>
      <c r="HT54" t="str">
        <f t="shared" si="116"/>
        <v>DI11-B12</v>
      </c>
      <c r="HU54" t="str">
        <f t="shared" si="117"/>
        <v>DO6-23A</v>
      </c>
      <c r="HV54" t="str">
        <f t="shared" si="118"/>
        <v>DO6-23B</v>
      </c>
      <c r="HW54" t="str">
        <f t="shared" si="119"/>
        <v>DO6-24A</v>
      </c>
      <c r="HX54" t="str">
        <f t="shared" si="120"/>
        <v>DO6-24B</v>
      </c>
      <c r="HY54" t="str">
        <f t="shared" si="121"/>
        <v>K53-01</v>
      </c>
      <c r="HZ54" t="str">
        <f t="shared" si="122"/>
        <v>K53-02</v>
      </c>
      <c r="IA54" t="str">
        <f t="shared" si="123"/>
        <v>K53-03</v>
      </c>
      <c r="IB54" t="str">
        <f t="shared" si="124"/>
        <v>K53-04</v>
      </c>
      <c r="IC54" t="str">
        <f t="shared" si="125"/>
        <v>K53-05</v>
      </c>
      <c r="ID54" t="str">
        <f t="shared" si="126"/>
        <v>K53-06</v>
      </c>
      <c r="IE54" t="str">
        <f t="shared" si="127"/>
        <v>K53-07</v>
      </c>
      <c r="IF54" t="str">
        <f t="shared" si="128"/>
        <v>K53-08</v>
      </c>
      <c r="IG54" t="str">
        <f t="shared" si="129"/>
        <v>F0-M53-AMS-12</v>
      </c>
      <c r="IH54" t="str">
        <f t="shared" si="130"/>
        <v>F0-M53-AMS-10</v>
      </c>
      <c r="II54" t="str">
        <f t="shared" si="131"/>
        <v>F0-M53-AMS-11</v>
      </c>
      <c r="IJ54" t="str">
        <f t="shared" si="132"/>
        <v>F0-M53-AMS-13</v>
      </c>
      <c r="IK54" t="str">
        <f t="shared" si="133"/>
        <v>F0-M53-AMS-9</v>
      </c>
      <c r="IL54" t="str">
        <f t="shared" si="134"/>
        <v>F0-M53-AMS-7</v>
      </c>
      <c r="IM54" t="str">
        <f t="shared" si="135"/>
        <v>F0-M53-AMS-18</v>
      </c>
      <c r="IN54" t="str">
        <f t="shared" si="136"/>
        <v>F0-M53-AMS-20</v>
      </c>
      <c r="IO54" t="str">
        <f t="shared" si="137"/>
        <v>F0-M53-AMS-17</v>
      </c>
      <c r="IP54" t="str">
        <f t="shared" si="138"/>
        <v>F0-+24-M53</v>
      </c>
      <c r="IQ54" t="str">
        <f t="shared" si="139"/>
        <v>F0-M53-XM01</v>
      </c>
      <c r="IR54" t="str">
        <f t="shared" ref="IR54:JY54" si="149">IR53</f>
        <v>A1</v>
      </c>
      <c r="IS54" t="str">
        <f t="shared" si="149"/>
        <v>A2</v>
      </c>
      <c r="IT54">
        <f t="shared" si="149"/>
        <v>11</v>
      </c>
      <c r="IU54">
        <f t="shared" si="149"/>
        <v>14</v>
      </c>
      <c r="IV54" t="str">
        <f t="shared" si="149"/>
        <v>24v6</v>
      </c>
      <c r="IW54" t="str">
        <f t="shared" si="149"/>
        <v>0v6</v>
      </c>
      <c r="IX54">
        <f t="shared" si="149"/>
        <v>1</v>
      </c>
      <c r="IY54">
        <f t="shared" si="149"/>
        <v>2</v>
      </c>
      <c r="IZ54">
        <f t="shared" si="149"/>
        <v>3</v>
      </c>
      <c r="JA54">
        <f t="shared" si="149"/>
        <v>4</v>
      </c>
      <c r="JB54">
        <f t="shared" si="149"/>
        <v>5</v>
      </c>
      <c r="JC54">
        <f t="shared" si="149"/>
        <v>6</v>
      </c>
      <c r="JD54">
        <f t="shared" si="149"/>
        <v>7</v>
      </c>
      <c r="JE54">
        <f t="shared" si="149"/>
        <v>8</v>
      </c>
      <c r="JF54">
        <f t="shared" si="149"/>
        <v>9</v>
      </c>
      <c r="JG54">
        <f t="shared" si="149"/>
        <v>10</v>
      </c>
      <c r="JH54">
        <f t="shared" si="149"/>
        <v>11</v>
      </c>
      <c r="JI54">
        <f t="shared" si="149"/>
        <v>12</v>
      </c>
      <c r="JJ54">
        <f t="shared" si="149"/>
        <v>13</v>
      </c>
      <c r="JK54">
        <f t="shared" si="149"/>
        <v>14</v>
      </c>
      <c r="JL54">
        <f t="shared" si="149"/>
        <v>17</v>
      </c>
      <c r="JM54">
        <f t="shared" si="149"/>
        <v>15</v>
      </c>
      <c r="JN54">
        <f t="shared" si="149"/>
        <v>18</v>
      </c>
      <c r="JO54">
        <f t="shared" si="149"/>
        <v>11</v>
      </c>
      <c r="JP54">
        <f t="shared" si="149"/>
        <v>9</v>
      </c>
      <c r="JQ54">
        <f t="shared" si="149"/>
        <v>6</v>
      </c>
      <c r="JR54">
        <f t="shared" si="149"/>
        <v>20</v>
      </c>
      <c r="JS54">
        <f t="shared" si="149"/>
        <v>7</v>
      </c>
      <c r="JT54">
        <f t="shared" si="149"/>
        <v>10</v>
      </c>
      <c r="JU54">
        <f t="shared" si="149"/>
        <v>22</v>
      </c>
      <c r="JV54">
        <f t="shared" si="149"/>
        <v>23</v>
      </c>
      <c r="JW54">
        <f t="shared" si="149"/>
        <v>26</v>
      </c>
      <c r="JX54">
        <f t="shared" si="149"/>
        <v>27</v>
      </c>
      <c r="JY54" s="16">
        <f t="shared" si="149"/>
        <v>30</v>
      </c>
    </row>
    <row r="55" spans="1:305" ht="15.75" thickBot="1" x14ac:dyDescent="0.3">
      <c r="A55" t="s">
        <v>447</v>
      </c>
      <c r="B55" t="s">
        <v>446</v>
      </c>
      <c r="P55" t="s">
        <v>361</v>
      </c>
      <c r="T55" s="17" t="s">
        <v>520</v>
      </c>
      <c r="U55" s="18">
        <f t="shared" si="95"/>
        <v>54</v>
      </c>
      <c r="V55" s="19" t="s">
        <v>427</v>
      </c>
      <c r="W55" s="19" t="s">
        <v>410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SUM(IF(ISNUMBER(FIND("TmAi",$BE$1:$AAL$1)),IF(IFERROR(ISODD(SUBSTITUTE($BE55:$AAL55,"A","")),FALSE),IF(ISODD(SUBSTITUTE($BE55:$AAL55,"A","")),1,0),0)))</f>
        <v>0</v>
      </c>
      <c r="AA55" s="19" t="str">
        <f t="shared" si="91"/>
        <v>9A</v>
      </c>
      <c r="AB55" s="19" t="str">
        <f t="shared" si="92"/>
        <v>9B</v>
      </c>
      <c r="AC55" s="18" t="s">
        <v>412</v>
      </c>
      <c r="AD55" s="18"/>
      <c r="AE55" s="18"/>
      <c r="AF55" s="19" t="s">
        <v>153</v>
      </c>
      <c r="AG55" s="19" t="s">
        <v>154</v>
      </c>
      <c r="AH55" s="18" t="s">
        <v>358</v>
      </c>
      <c r="AI55" s="62" cm="1">
        <f t="array" ref="AI55">IF(COUNTIFS(AH$2:AH55,AH55)=1,"1",VALUE(SUBSTITUTE(INDEX(AI:AI,_xlfn.XMATCH(AH55,AH$1:AH54,0,-1)),"A",""))+INDEX(AJ:AJ,_xlfn.XMATCH(AH55,AH$1:AH54,0,-1))+1)</f>
        <v>25</v>
      </c>
      <c r="AJ55" s="62" cm="1">
        <f t="array" ref="AJ55">SUM(IF(ISNUMBER(FIND("TmDo",$BE$1:$AAL$1)),IF(IFERROR(ISNUMBER(VALUE(SUBSTITUTE($BE55:$AAL55,"B",""))),FALSE),IF(ISNUMBER(VALUE(SUBSTITUTE($BE55:$AAL55,"B",""))),1,0),0)))</f>
        <v>1</v>
      </c>
      <c r="AK55" s="18" t="str">
        <f t="shared" si="0"/>
        <v>25A</v>
      </c>
      <c r="AL55" s="18" t="str">
        <f t="shared" si="1"/>
        <v>25B</v>
      </c>
      <c r="AM55" s="18" t="s">
        <v>418</v>
      </c>
      <c r="AN55" s="19"/>
      <c r="AO55" s="19"/>
      <c r="AP55" s="19" t="s">
        <v>137</v>
      </c>
      <c r="AQ55" s="19" t="s">
        <v>138</v>
      </c>
      <c r="AR55" s="19"/>
      <c r="AS55" s="19" t="s">
        <v>366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4"/>
        <v>XT54</v>
      </c>
      <c r="GU55" s="19" t="str">
        <f t="shared" si="85"/>
        <v>C14</v>
      </c>
      <c r="GV55" s="19" t="str">
        <f t="shared" si="96"/>
        <v>B14</v>
      </c>
      <c r="GW55" s="19" t="str">
        <f t="shared" si="97"/>
        <v>C15</v>
      </c>
      <c r="GX55" s="19" t="str">
        <f t="shared" si="98"/>
        <v>B15</v>
      </c>
      <c r="GY55" s="19" t="str">
        <f t="shared" si="99"/>
        <v>C16</v>
      </c>
      <c r="GZ55" s="19" t="str">
        <f t="shared" si="100"/>
        <v>B16</v>
      </c>
      <c r="HA55" s="19" t="str">
        <f t="shared" si="101"/>
        <v>C17</v>
      </c>
      <c r="HB55" s="19" t="str">
        <f t="shared" si="102"/>
        <v>B17</v>
      </c>
      <c r="HC55" s="19" t="str">
        <f t="shared" si="103"/>
        <v>C18</v>
      </c>
      <c r="HD55" s="19" t="str">
        <f t="shared" si="104"/>
        <v>B18</v>
      </c>
      <c r="HE55" s="19" t="str">
        <f t="shared" si="86"/>
        <v>26A</v>
      </c>
      <c r="HF55" s="19" t="str">
        <f t="shared" si="87"/>
        <v>26B</v>
      </c>
      <c r="HG55" s="19" t="str">
        <f t="shared" si="88"/>
        <v>AI2-9A</v>
      </c>
      <c r="HH55" s="19" t="str">
        <f t="shared" si="89"/>
        <v>AI2-9B</v>
      </c>
      <c r="HI55" s="19" t="str">
        <f t="shared" si="105"/>
        <v>DI11-C13</v>
      </c>
      <c r="HJ55" s="19" t="str">
        <f t="shared" si="106"/>
        <v>DI11-B13</v>
      </c>
      <c r="HK55" s="19" t="str">
        <f t="shared" si="107"/>
        <v>DI11-C14</v>
      </c>
      <c r="HL55" s="19" t="str">
        <f t="shared" si="108"/>
        <v>DI11-B14</v>
      </c>
      <c r="HM55" s="19" t="str">
        <f t="shared" si="109"/>
        <v>DI11-C15</v>
      </c>
      <c r="HN55" s="19" t="str">
        <f t="shared" si="110"/>
        <v>DI11-B15</v>
      </c>
      <c r="HO55" s="19" t="str">
        <f t="shared" si="111"/>
        <v>DI11-C16</v>
      </c>
      <c r="HP55" s="19" t="str">
        <f t="shared" si="112"/>
        <v>DI11-B16</v>
      </c>
      <c r="HQ55" s="19" t="str">
        <f t="shared" si="113"/>
        <v>DI11-C17</v>
      </c>
      <c r="HR55" s="19" t="str">
        <f t="shared" si="114"/>
        <v>DI11-B17</v>
      </c>
      <c r="HS55" s="19" t="str">
        <f t="shared" si="115"/>
        <v>DI11-C18</v>
      </c>
      <c r="HT55" s="19" t="str">
        <f t="shared" si="116"/>
        <v>DI11-B18</v>
      </c>
      <c r="HU55" s="19" t="str">
        <f t="shared" si="117"/>
        <v>DO6-25A</v>
      </c>
      <c r="HV55" s="19" t="str">
        <f t="shared" si="118"/>
        <v>DO6-25B</v>
      </c>
      <c r="HW55" s="19" t="str">
        <f t="shared" si="119"/>
        <v>DO6-26A</v>
      </c>
      <c r="HX55" s="19" t="str">
        <f t="shared" si="120"/>
        <v>DO6-26B</v>
      </c>
      <c r="HY55" s="19" t="str">
        <f t="shared" si="121"/>
        <v>K54-01</v>
      </c>
      <c r="HZ55" s="19" t="str">
        <f t="shared" si="122"/>
        <v>K54-02</v>
      </c>
      <c r="IA55" s="19" t="str">
        <f t="shared" si="123"/>
        <v>K54-03</v>
      </c>
      <c r="IB55" s="19" t="str">
        <f t="shared" si="124"/>
        <v>K54-04</v>
      </c>
      <c r="IC55" s="19" t="str">
        <f t="shared" si="125"/>
        <v>K54-05</v>
      </c>
      <c r="ID55" s="19" t="str">
        <f t="shared" si="126"/>
        <v>K54-06</v>
      </c>
      <c r="IE55" s="19" t="str">
        <f t="shared" si="127"/>
        <v>K54-07</v>
      </c>
      <c r="IF55" s="19" t="str">
        <f t="shared" si="128"/>
        <v>K54-08</v>
      </c>
      <c r="IG55" s="19" t="str">
        <f t="shared" si="129"/>
        <v>F0-M54-AMS-12</v>
      </c>
      <c r="IH55" s="19" t="str">
        <f t="shared" si="130"/>
        <v>F0-M54-AMS-10</v>
      </c>
      <c r="II55" s="19" t="str">
        <f t="shared" si="131"/>
        <v>F0-M54-AMS-11</v>
      </c>
      <c r="IJ55" s="19" t="str">
        <f t="shared" si="132"/>
        <v>F0-M54-AMS-13</v>
      </c>
      <c r="IK55" s="19" t="str">
        <f t="shared" si="133"/>
        <v>F0-M54-AMS-9</v>
      </c>
      <c r="IL55" s="19" t="str">
        <f t="shared" si="134"/>
        <v>F0-M54-AMS-7</v>
      </c>
      <c r="IM55" s="19" t="str">
        <f t="shared" si="135"/>
        <v>F0-M54-AMS-18</v>
      </c>
      <c r="IN55" s="19" t="str">
        <f t="shared" si="136"/>
        <v>F0-M54-AMS-20</v>
      </c>
      <c r="IO55" s="19" t="str">
        <f t="shared" si="137"/>
        <v>F0-M54-AMS-17</v>
      </c>
      <c r="IP55" s="19" t="str">
        <f t="shared" si="138"/>
        <v>F0-+24-M54</v>
      </c>
      <c r="IQ55" s="19" t="str">
        <f t="shared" si="139"/>
        <v>F0-M54-XM01</v>
      </c>
      <c r="IR55" s="19" t="str">
        <f t="shared" ref="IR55:JY55" si="150">IR54</f>
        <v>A1</v>
      </c>
      <c r="IS55" s="19" t="str">
        <f t="shared" si="150"/>
        <v>A2</v>
      </c>
      <c r="IT55" s="19">
        <f t="shared" si="150"/>
        <v>11</v>
      </c>
      <c r="IU55" s="19">
        <f t="shared" si="150"/>
        <v>14</v>
      </c>
      <c r="IV55" s="19" t="str">
        <f t="shared" si="150"/>
        <v>24v6</v>
      </c>
      <c r="IW55" s="19" t="str">
        <f t="shared" si="150"/>
        <v>0v6</v>
      </c>
      <c r="IX55" s="19">
        <f t="shared" si="150"/>
        <v>1</v>
      </c>
      <c r="IY55" s="19">
        <f t="shared" si="150"/>
        <v>2</v>
      </c>
      <c r="IZ55" s="19">
        <f t="shared" si="150"/>
        <v>3</v>
      </c>
      <c r="JA55" s="19">
        <f t="shared" si="150"/>
        <v>4</v>
      </c>
      <c r="JB55" s="19">
        <f t="shared" si="150"/>
        <v>5</v>
      </c>
      <c r="JC55" s="19">
        <f t="shared" si="150"/>
        <v>6</v>
      </c>
      <c r="JD55" s="19">
        <f t="shared" si="150"/>
        <v>7</v>
      </c>
      <c r="JE55" s="19">
        <f t="shared" si="150"/>
        <v>8</v>
      </c>
      <c r="JF55" s="19">
        <f t="shared" si="150"/>
        <v>9</v>
      </c>
      <c r="JG55" s="19">
        <f t="shared" si="150"/>
        <v>10</v>
      </c>
      <c r="JH55" s="19">
        <f t="shared" si="150"/>
        <v>11</v>
      </c>
      <c r="JI55" s="19">
        <f t="shared" si="150"/>
        <v>12</v>
      </c>
      <c r="JJ55" s="19">
        <f t="shared" si="150"/>
        <v>13</v>
      </c>
      <c r="JK55" s="19">
        <f t="shared" si="150"/>
        <v>14</v>
      </c>
      <c r="JL55" s="19">
        <f t="shared" si="150"/>
        <v>17</v>
      </c>
      <c r="JM55" s="19">
        <f t="shared" si="150"/>
        <v>15</v>
      </c>
      <c r="JN55" s="19">
        <f t="shared" si="150"/>
        <v>18</v>
      </c>
      <c r="JO55" s="19">
        <f t="shared" si="150"/>
        <v>11</v>
      </c>
      <c r="JP55" s="19">
        <f t="shared" si="150"/>
        <v>9</v>
      </c>
      <c r="JQ55" s="19">
        <f t="shared" si="150"/>
        <v>6</v>
      </c>
      <c r="JR55" s="19">
        <f t="shared" si="150"/>
        <v>20</v>
      </c>
      <c r="JS55" s="19">
        <f t="shared" si="150"/>
        <v>7</v>
      </c>
      <c r="JT55" s="19">
        <f t="shared" si="150"/>
        <v>10</v>
      </c>
      <c r="JU55" s="19">
        <f t="shared" si="150"/>
        <v>22</v>
      </c>
      <c r="JV55" s="19">
        <f t="shared" si="150"/>
        <v>23</v>
      </c>
      <c r="JW55" s="19">
        <f t="shared" si="150"/>
        <v>26</v>
      </c>
      <c r="JX55" s="19">
        <f t="shared" si="150"/>
        <v>27</v>
      </c>
      <c r="JY55" s="20">
        <f t="shared" si="150"/>
        <v>30</v>
      </c>
    </row>
    <row r="56" spans="1:305" x14ac:dyDescent="0.25">
      <c r="A56" t="s">
        <v>452</v>
      </c>
      <c r="B56" t="s">
        <v>451</v>
      </c>
      <c r="C56" t="s">
        <v>458</v>
      </c>
      <c r="P56" t="s">
        <v>448</v>
      </c>
      <c r="T56" s="14" t="s">
        <v>520</v>
      </c>
      <c r="U56">
        <v>55</v>
      </c>
      <c r="V56" t="s">
        <v>449</v>
      </c>
      <c r="X56" t="s">
        <v>450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SUM(IF(ISNUMBER(FIND("TmAi",$BE$1:$AAL$1)),IF(IFERROR(ISODD(SUBSTITUTE($BE56:$AAL56,"A","")),FALSE),IF(ISODD(SUBSTITUTE($BE56:$AAL56,"A","")),1,0),0)))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366</v>
      </c>
      <c r="JZ56" s="25" t="str">
        <f t="shared" ref="JZ56:JZ87" si="151">CONCATENATE("XT",U56)</f>
        <v>XT55</v>
      </c>
      <c r="KA56" s="12"/>
      <c r="KB56" s="12"/>
      <c r="KC56" s="12" t="str">
        <f t="shared" ref="KC56:KC87" si="152">CONCATENATE(T56,"-AI",REPLACE($X56,1,3,""),"-",AA56)</f>
        <v>F0-AI3-1B</v>
      </c>
      <c r="KD56" s="12" t="str">
        <f t="shared" ref="KD56:KD87" si="153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460</v>
      </c>
      <c r="B57" t="s">
        <v>459</v>
      </c>
      <c r="C57" t="s">
        <v>464</v>
      </c>
      <c r="P57" t="s">
        <v>448</v>
      </c>
      <c r="T57" s="14" t="s">
        <v>520</v>
      </c>
      <c r="U57">
        <v>55</v>
      </c>
      <c r="V57" t="s">
        <v>461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SUM(IF(ISNUMBER(FIND("TmAi",$BE$1:$AAL$1)),IF(IFERROR(ISODD(SUBSTITUTE($BE57:$AAL57,"A","")),FALSE),IF(ISODD(SUBSTITUTE($BE57:$AAL57,"A","")),1,0),0)))</f>
        <v>0</v>
      </c>
      <c r="AA57" t="str">
        <f t="shared" ref="AA57:AA67" si="154">CONCATENATE($Y57*2-1,"B")</f>
        <v>3B</v>
      </c>
      <c r="AB57" t="str">
        <f t="shared" ref="AB57:AB67" si="155">CONCATENATE($Y57*2,"B")</f>
        <v>4B</v>
      </c>
      <c r="AP57" t="s">
        <v>137</v>
      </c>
      <c r="AS57" t="s">
        <v>366</v>
      </c>
      <c r="JZ57" s="27" t="str">
        <f t="shared" si="151"/>
        <v>XT55</v>
      </c>
      <c r="KC57" t="str">
        <f t="shared" si="152"/>
        <v>F0-AI3-3B</v>
      </c>
      <c r="KD57" t="str">
        <f t="shared" si="153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466</v>
      </c>
      <c r="B58" t="s">
        <v>465</v>
      </c>
      <c r="C58" t="s">
        <v>464</v>
      </c>
      <c r="P58" t="s">
        <v>448</v>
      </c>
      <c r="T58" s="14" t="s">
        <v>520</v>
      </c>
      <c r="U58">
        <v>55</v>
      </c>
      <c r="V58" t="s">
        <v>462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SUM(IF(ISNUMBER(FIND("TmAi",$BE$1:$AAL$1)),IF(IFERROR(ISODD(SUBSTITUTE($BE58:$AAL58,"A","")),FALSE),IF(ISODD(SUBSTITUTE($BE58:$AAL58,"A","")),1,0),0)))</f>
        <v>0</v>
      </c>
      <c r="AA58" t="str">
        <f t="shared" si="154"/>
        <v>5B</v>
      </c>
      <c r="AB58" t="str">
        <f t="shared" si="155"/>
        <v>6B</v>
      </c>
      <c r="AP58" t="s">
        <v>137</v>
      </c>
      <c r="AS58" t="s">
        <v>366</v>
      </c>
      <c r="JZ58" s="27" t="str">
        <f t="shared" si="151"/>
        <v>XT55</v>
      </c>
      <c r="KC58" t="str">
        <f t="shared" si="152"/>
        <v>F0-AI3-5B</v>
      </c>
      <c r="KD58" t="str">
        <f t="shared" si="153"/>
        <v>F0-AI3-6B</v>
      </c>
      <c r="KI58" cm="1">
        <f t="array" ref="KI58">IF(COUNTIFS($U$2:$U58,$U58)=1,1,INDEX(KI:KI,_xlfn.XMATCH(U58,U$1:U57,0,-1))+COUNT(KI57:KM57))</f>
        <v>7</v>
      </c>
      <c r="KJ58">
        <f t="shared" ref="KJ58:KK58" si="156">KI58+1</f>
        <v>8</v>
      </c>
      <c r="KK58">
        <f t="shared" si="156"/>
        <v>9</v>
      </c>
      <c r="KN58">
        <v>1</v>
      </c>
      <c r="KO58" s="16">
        <v>2</v>
      </c>
      <c r="KS58" s="16"/>
    </row>
    <row r="59" spans="1:305" x14ac:dyDescent="0.25">
      <c r="A59" t="s">
        <v>468</v>
      </c>
      <c r="B59" s="33" t="s">
        <v>467</v>
      </c>
      <c r="C59" t="s">
        <v>464</v>
      </c>
      <c r="P59" t="s">
        <v>448</v>
      </c>
      <c r="T59" s="14" t="s">
        <v>520</v>
      </c>
      <c r="U59">
        <v>55</v>
      </c>
      <c r="V59" t="s">
        <v>463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SUM(IF(ISNUMBER(FIND("TmAi",$BE$1:$AAL$1)),IF(IFERROR(ISODD(SUBSTITUTE($BE59:$AAL59,"A","")),FALSE),IF(ISODD(SUBSTITUTE($BE59:$AAL59,"A","")),1,0),0)))</f>
        <v>0</v>
      </c>
      <c r="AA59" t="str">
        <f t="shared" si="154"/>
        <v>7B</v>
      </c>
      <c r="AB59" t="str">
        <f t="shared" si="155"/>
        <v>8B</v>
      </c>
      <c r="AP59" t="s">
        <v>137</v>
      </c>
      <c r="AS59" t="s">
        <v>366</v>
      </c>
      <c r="JZ59" s="27" t="str">
        <f t="shared" si="151"/>
        <v>XT55</v>
      </c>
      <c r="KC59" t="str">
        <f t="shared" si="152"/>
        <v>F0-AI3-7B</v>
      </c>
      <c r="KD59" t="str">
        <f t="shared" si="153"/>
        <v>F0-AI3-8B</v>
      </c>
      <c r="KI59" cm="1">
        <f t="array" ref="KI59">IF(COUNTIFS($U$2:$U59,$U59)=1,1,INDEX(KI:KI,_xlfn.XMATCH(U59,U$1:U58,0,-1))+COUNT(KI58:KM58))</f>
        <v>10</v>
      </c>
      <c r="KJ59">
        <f t="shared" ref="KJ59:KK59" si="157">KI59+1</f>
        <v>11</v>
      </c>
      <c r="KK59">
        <f t="shared" si="157"/>
        <v>12</v>
      </c>
      <c r="KN59">
        <v>1</v>
      </c>
      <c r="KO59" s="16">
        <v>2</v>
      </c>
      <c r="KS59" s="16"/>
    </row>
    <row r="60" spans="1:305" x14ac:dyDescent="0.25">
      <c r="A60" t="s">
        <v>477</v>
      </c>
      <c r="B60" s="34" t="s">
        <v>476</v>
      </c>
      <c r="C60" t="s">
        <v>464</v>
      </c>
      <c r="P60" t="s">
        <v>448</v>
      </c>
      <c r="T60" s="14" t="s">
        <v>520</v>
      </c>
      <c r="U60">
        <v>55</v>
      </c>
      <c r="V60" t="s">
        <v>470</v>
      </c>
      <c r="X60" t="s">
        <v>475</v>
      </c>
      <c r="Y60" s="43" t="str" cm="1">
        <f t="array" ref="Y60">IF(COUNTIFS($X$2:$X60,$X60)=1,"1",VALUE(SUBSTITUTE(INDEX(Y:Y,_xlfn.XMATCH($X60,$X$1:$X59,0,-1)),"A",""))+INDEX(Z:Z,_xlfn.XMATCH($X60,$X$1:$X59,0,-1))+1)</f>
        <v>1</v>
      </c>
      <c r="Z60" s="43" cm="1">
        <f t="array" ref="Z60">SUM(IF(ISNUMBER(FIND("TmAi",$BE$1:$AAL$1)),IF(IFERROR(ISODD(SUBSTITUTE($BE60:$AAL60,"A","")),FALSE),IF(ISODD(SUBSTITUTE($BE60:$AAL60,"A","")),1,0),0)))</f>
        <v>0</v>
      </c>
      <c r="AA60" t="str">
        <f t="shared" si="154"/>
        <v>1B</v>
      </c>
      <c r="AB60" t="str">
        <f t="shared" si="155"/>
        <v>2B</v>
      </c>
      <c r="AP60" t="s">
        <v>137</v>
      </c>
      <c r="AS60" t="s">
        <v>366</v>
      </c>
      <c r="JZ60" s="27" t="str">
        <f t="shared" si="151"/>
        <v>XT55</v>
      </c>
      <c r="KC60" t="str">
        <f t="shared" si="152"/>
        <v>F0-AI4-1B</v>
      </c>
      <c r="KD60" t="str">
        <f t="shared" si="153"/>
        <v>F0-AI4-2B</v>
      </c>
      <c r="KI60" cm="1">
        <f t="array" ref="KI60">IF(COUNTIFS($U$2:$U60,$U60)=1,1,INDEX(KI:KI,_xlfn.XMATCH(U60,U$1:U59,0,-1))+COUNT(KI59:KM59))</f>
        <v>13</v>
      </c>
      <c r="KJ60">
        <f t="shared" ref="KJ60:KK60" si="158">KI60+1</f>
        <v>14</v>
      </c>
      <c r="KK60">
        <f t="shared" si="158"/>
        <v>15</v>
      </c>
      <c r="KN60">
        <v>1</v>
      </c>
      <c r="KO60" s="16">
        <v>2</v>
      </c>
      <c r="KS60" s="16"/>
    </row>
    <row r="61" spans="1:305" x14ac:dyDescent="0.25">
      <c r="A61" t="s">
        <v>479</v>
      </c>
      <c r="B61" t="s">
        <v>478</v>
      </c>
      <c r="C61" t="s">
        <v>464</v>
      </c>
      <c r="P61" t="s">
        <v>448</v>
      </c>
      <c r="T61" s="14" t="s">
        <v>520</v>
      </c>
      <c r="U61">
        <v>55</v>
      </c>
      <c r="V61" t="s">
        <v>471</v>
      </c>
      <c r="X61" t="str">
        <f>IF(COUNTIF(X$1:X60,X60)&gt;7,REPLACE(X60,LEN(X60),1,VALUE(RIGHT(X60,1))+1),X60)</f>
        <v>A3.4</v>
      </c>
      <c r="Y61" s="43" cm="1">
        <f t="array" ref="Y61">IF(COUNTIFS($X$2:$X61,$X61)=1,"1",VALUE(SUBSTITUTE(INDEX(Y:Y,_xlfn.XMATCH($X61,$X$1:$X60,0,-1)),"A",""))+INDEX(Z:Z,_xlfn.XMATCH($X61,$X$1:$X60,0,-1))+1)</f>
        <v>2</v>
      </c>
      <c r="Z61" s="43" cm="1">
        <f t="array" ref="Z61">SUM(IF(ISNUMBER(FIND("TmAi",$BE$1:$AAL$1)),IF(IFERROR(ISODD(SUBSTITUTE($BE61:$AAL61,"A","")),FALSE),IF(ISODD(SUBSTITUTE($BE61:$AAL61,"A","")),1,0),0)))</f>
        <v>0</v>
      </c>
      <c r="AA61" t="str">
        <f t="shared" si="154"/>
        <v>3B</v>
      </c>
      <c r="AB61" t="str">
        <f t="shared" si="155"/>
        <v>4B</v>
      </c>
      <c r="AP61" t="s">
        <v>137</v>
      </c>
      <c r="AS61" t="s">
        <v>366</v>
      </c>
      <c r="JZ61" s="27" t="str">
        <f t="shared" si="151"/>
        <v>XT55</v>
      </c>
      <c r="KC61" t="str">
        <f t="shared" si="152"/>
        <v>F0-AI4-3B</v>
      </c>
      <c r="KD61" t="str">
        <f t="shared" si="153"/>
        <v>F0-AI4-4B</v>
      </c>
      <c r="KI61" cm="1">
        <f t="array" ref="KI61">IF(COUNTIFS($U$2:$U61,$U61)=1,1,INDEX(KI:KI,_xlfn.XMATCH(U61,U$1:U60,0,-1))+COUNT(KI60:KM60))</f>
        <v>16</v>
      </c>
      <c r="KJ61">
        <f t="shared" ref="KJ61:KK61" si="159">KI61+1</f>
        <v>17</v>
      </c>
      <c r="KK61">
        <f t="shared" si="159"/>
        <v>18</v>
      </c>
      <c r="KN61">
        <v>1</v>
      </c>
      <c r="KO61" s="16">
        <v>2</v>
      </c>
      <c r="KS61" s="16"/>
    </row>
    <row r="62" spans="1:305" x14ac:dyDescent="0.25">
      <c r="A62" t="s">
        <v>483</v>
      </c>
      <c r="B62" t="s">
        <v>480</v>
      </c>
      <c r="C62" t="s">
        <v>464</v>
      </c>
      <c r="P62" t="s">
        <v>448</v>
      </c>
      <c r="T62" s="14" t="s">
        <v>520</v>
      </c>
      <c r="U62">
        <v>55</v>
      </c>
      <c r="V62" t="s">
        <v>472</v>
      </c>
      <c r="X62" t="str">
        <f>IF(COUNTIF(X$1:X61,X61)&gt;7,REPLACE(X61,LEN(X61),1,VALUE(RIGHT(X61,1))+1),X61)</f>
        <v>A3.4</v>
      </c>
      <c r="Y62" s="43" cm="1">
        <f t="array" ref="Y62">IF(COUNTIFS($X$2:$X62,$X62)=1,"1",VALUE(SUBSTITUTE(INDEX(Y:Y,_xlfn.XMATCH($X62,$X$1:$X61,0,-1)),"A",""))+INDEX(Z:Z,_xlfn.XMATCH($X62,$X$1:$X61,0,-1))+1)</f>
        <v>3</v>
      </c>
      <c r="Z62" s="43" cm="1">
        <f t="array" ref="Z62">SUM(IF(ISNUMBER(FIND("TmAi",$BE$1:$AAL$1)),IF(IFERROR(ISODD(SUBSTITUTE($BE62:$AAL62,"A","")),FALSE),IF(ISODD(SUBSTITUTE($BE62:$AAL62,"A","")),1,0),0)))</f>
        <v>0</v>
      </c>
      <c r="AA62" t="str">
        <f t="shared" si="154"/>
        <v>5B</v>
      </c>
      <c r="AB62" t="str">
        <f t="shared" si="155"/>
        <v>6B</v>
      </c>
      <c r="AP62" t="s">
        <v>137</v>
      </c>
      <c r="AS62" t="s">
        <v>366</v>
      </c>
      <c r="JZ62" s="27" t="str">
        <f t="shared" si="151"/>
        <v>XT55</v>
      </c>
      <c r="KC62" t="str">
        <f t="shared" si="152"/>
        <v>F0-AI4-5B</v>
      </c>
      <c r="KD62" t="str">
        <f t="shared" si="153"/>
        <v>F0-AI4-6B</v>
      </c>
      <c r="KI62" cm="1">
        <f t="array" ref="KI62">IF(COUNTIFS($U$2:$U62,$U62)=1,1,INDEX(KI:KI,_xlfn.XMATCH(U62,U$1:U61,0,-1))+COUNT(KI61:KM61))</f>
        <v>19</v>
      </c>
      <c r="KJ62">
        <f t="shared" ref="KJ62:KK62" si="160">KI62+1</f>
        <v>20</v>
      </c>
      <c r="KK62">
        <f t="shared" si="160"/>
        <v>21</v>
      </c>
      <c r="KN62">
        <v>1</v>
      </c>
      <c r="KO62" s="16">
        <v>2</v>
      </c>
      <c r="KS62" s="16"/>
    </row>
    <row r="63" spans="1:305" x14ac:dyDescent="0.25">
      <c r="A63" t="s">
        <v>482</v>
      </c>
      <c r="B63" t="s">
        <v>481</v>
      </c>
      <c r="C63" t="s">
        <v>464</v>
      </c>
      <c r="P63" t="s">
        <v>448</v>
      </c>
      <c r="T63" s="14" t="s">
        <v>520</v>
      </c>
      <c r="U63">
        <v>55</v>
      </c>
      <c r="V63" t="s">
        <v>473</v>
      </c>
      <c r="X63" s="33" t="str">
        <f>IF(COUNTIF(X$1:X62,X62)&gt;7,REPLACE(X62,LEN(X62),1,VALUE(RIGHT(X62,1))+1),X62)</f>
        <v>A3.4</v>
      </c>
      <c r="Y63" s="45" cm="1">
        <f t="array" ref="Y63">IF(COUNTIFS($X$2:$X63,$X63)=1,"1",VALUE(SUBSTITUTE(INDEX(Y:Y,_xlfn.XMATCH($X63,$X$1:$X62,0,-1)),"A",""))+INDEX(Z:Z,_xlfn.XMATCH($X63,$X$1:$X62,0,-1))+1)</f>
        <v>4</v>
      </c>
      <c r="Z63" s="43" cm="1">
        <f t="array" ref="Z63">SUM(IF(ISNUMBER(FIND("TmAi",$BE$1:$AAL$1)),IF(IFERROR(ISODD(SUBSTITUTE($BE63:$AAL63,"A","")),FALSE),IF(ISODD(SUBSTITUTE($BE63:$AAL63,"A","")),1,0),0)))</f>
        <v>0</v>
      </c>
      <c r="AA63" t="str">
        <f t="shared" si="154"/>
        <v>7B</v>
      </c>
      <c r="AB63" t="str">
        <f t="shared" si="155"/>
        <v>8B</v>
      </c>
      <c r="AP63" t="s">
        <v>137</v>
      </c>
      <c r="AS63" t="s">
        <v>366</v>
      </c>
      <c r="JZ63" s="27" t="str">
        <f t="shared" si="151"/>
        <v>XT55</v>
      </c>
      <c r="KC63" t="str">
        <f t="shared" si="152"/>
        <v>F0-AI4-7B</v>
      </c>
      <c r="KD63" t="str">
        <f t="shared" si="153"/>
        <v>F0-AI4-8B</v>
      </c>
      <c r="KI63" cm="1">
        <f t="array" ref="KI63">IF(COUNTIFS($U$2:$U63,$U63)=1,1,INDEX(KI:KI,_xlfn.XMATCH(U63,U$1:U62,0,-1))+COUNT(KI62:KM62))</f>
        <v>22</v>
      </c>
      <c r="KJ63">
        <f t="shared" ref="KJ63:KK63" si="161">KI63+1</f>
        <v>23</v>
      </c>
      <c r="KK63">
        <f t="shared" si="161"/>
        <v>24</v>
      </c>
      <c r="KN63">
        <v>1</v>
      </c>
      <c r="KO63" s="16">
        <v>2</v>
      </c>
      <c r="KS63" s="16"/>
    </row>
    <row r="64" spans="1:305" x14ac:dyDescent="0.25">
      <c r="A64" t="s">
        <v>485</v>
      </c>
      <c r="B64" t="s">
        <v>484</v>
      </c>
      <c r="C64" t="s">
        <v>464</v>
      </c>
      <c r="P64" t="s">
        <v>448</v>
      </c>
      <c r="T64" s="14" t="s">
        <v>520</v>
      </c>
      <c r="U64">
        <v>55</v>
      </c>
      <c r="V64" t="s">
        <v>474</v>
      </c>
      <c r="X64" t="str">
        <f>IF(COUNTIF(X$1:X63,X63)&gt;7,REPLACE(X63,LEN(X63),1,VALUE(RIGHT(X63,1))+1),X63)</f>
        <v>A3.4</v>
      </c>
      <c r="Y64" s="43" cm="1">
        <f t="array" ref="Y64">IF(COUNTIFS($X$2:$X64,$X64)=1,"1",VALUE(SUBSTITUTE(INDEX(Y:Y,_xlfn.XMATCH($X64,$X$1:$X63,0,-1)),"A",""))+INDEX(Z:Z,_xlfn.XMATCH($X64,$X$1:$X63,0,-1))+1)</f>
        <v>5</v>
      </c>
      <c r="Z64" s="43" cm="1">
        <f t="array" ref="Z64">SUM(IF(ISNUMBER(FIND("TmAi",$BE$1:$AAL$1)),IF(IFERROR(ISODD(SUBSTITUTE($BE64:$AAL64,"A","")),FALSE),IF(ISODD(SUBSTITUTE($BE64:$AAL64,"A","")),1,0),0)))</f>
        <v>0</v>
      </c>
      <c r="AA64" t="str">
        <f t="shared" si="154"/>
        <v>9B</v>
      </c>
      <c r="AB64" t="str">
        <f t="shared" si="155"/>
        <v>10B</v>
      </c>
      <c r="AP64" t="s">
        <v>137</v>
      </c>
      <c r="AS64" t="s">
        <v>366</v>
      </c>
      <c r="JZ64" s="27" t="str">
        <f t="shared" si="151"/>
        <v>XT55</v>
      </c>
      <c r="KC64" t="str">
        <f t="shared" si="152"/>
        <v>F0-AI4-9B</v>
      </c>
      <c r="KD64" t="str">
        <f t="shared" si="153"/>
        <v>F0-AI4-10B</v>
      </c>
      <c r="KI64" cm="1">
        <f t="array" ref="KI64">IF(COUNTIFS($U$2:$U64,$U64)=1,1,INDEX(KI:KI,_xlfn.XMATCH(U64,U$1:U63,0,-1))+COUNT(KI63:KM63))</f>
        <v>25</v>
      </c>
      <c r="KJ64">
        <f t="shared" ref="KJ64:KK64" si="162">KI64+1</f>
        <v>26</v>
      </c>
      <c r="KK64">
        <f t="shared" si="162"/>
        <v>27</v>
      </c>
      <c r="KN64">
        <v>1</v>
      </c>
      <c r="KO64" s="16">
        <v>2</v>
      </c>
      <c r="KS64" s="16"/>
    </row>
    <row r="65" spans="1:305" x14ac:dyDescent="0.25">
      <c r="A65" t="s">
        <v>487</v>
      </c>
      <c r="B65" s="33" t="s">
        <v>486</v>
      </c>
      <c r="C65" t="s">
        <v>464</v>
      </c>
      <c r="P65" t="s">
        <v>448</v>
      </c>
      <c r="T65" s="14" t="s">
        <v>520</v>
      </c>
      <c r="U65">
        <v>55</v>
      </c>
      <c r="V65" t="s">
        <v>488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6</v>
      </c>
      <c r="Z65" s="43" cm="1">
        <f t="array" ref="Z65">SUM(IF(ISNUMBER(FIND("TmAi",$BE$1:$AAL$1)),IF(IFERROR(ISODD(SUBSTITUTE($BE65:$AAL65,"A","")),FALSE),IF(ISODD(SUBSTITUTE($BE65:$AAL65,"A","")),1,0),0)))</f>
        <v>0</v>
      </c>
      <c r="AA65" t="str">
        <f t="shared" si="154"/>
        <v>11B</v>
      </c>
      <c r="AB65" t="str">
        <f t="shared" si="155"/>
        <v>12B</v>
      </c>
      <c r="AP65" t="s">
        <v>137</v>
      </c>
      <c r="AS65" t="s">
        <v>366</v>
      </c>
      <c r="JZ65" s="27" t="str">
        <f t="shared" si="151"/>
        <v>XT55</v>
      </c>
      <c r="KC65" t="str">
        <f t="shared" si="152"/>
        <v>F0-AI4-11B</v>
      </c>
      <c r="KD65" t="str">
        <f t="shared" si="153"/>
        <v>F0-AI4-12B</v>
      </c>
      <c r="KI65" cm="1">
        <f t="array" ref="KI65">IF(COUNTIFS($U$2:$U65,$U65)=1,1,INDEX(KI:KI,_xlfn.XMATCH(U65,U$1:U64,0,-1))+COUNT(KI64:KM64))</f>
        <v>28</v>
      </c>
      <c r="KJ65">
        <f t="shared" ref="KJ65:KK65" si="163">KI65+1</f>
        <v>29</v>
      </c>
      <c r="KK65">
        <f t="shared" si="163"/>
        <v>30</v>
      </c>
      <c r="KN65">
        <v>1</v>
      </c>
      <c r="KO65" s="16">
        <v>2</v>
      </c>
      <c r="KS65" s="16"/>
    </row>
    <row r="66" spans="1:305" x14ac:dyDescent="0.25">
      <c r="A66" t="s">
        <v>491</v>
      </c>
      <c r="B66" s="34" t="s">
        <v>489</v>
      </c>
      <c r="C66" t="s">
        <v>458</v>
      </c>
      <c r="P66" t="s">
        <v>448</v>
      </c>
      <c r="T66" s="14" t="s">
        <v>520</v>
      </c>
      <c r="U66">
        <v>55</v>
      </c>
      <c r="V66" t="s">
        <v>490</v>
      </c>
      <c r="X66" t="s">
        <v>1582</v>
      </c>
      <c r="Y66" s="43" t="str" cm="1">
        <f t="array" ref="Y66">IF(COUNTIFS($X$2:$X66,$X66)=1,"1",VALUE(SUBSTITUTE(INDEX(Y:Y,_xlfn.XMATCH($X66,$X$1:$X65,0,-1)),"A",""))+INDEX(Z:Z,_xlfn.XMATCH($X66,$X$1:$X65,0,-1))+1)</f>
        <v>1</v>
      </c>
      <c r="Z66" s="43" cm="1">
        <f t="array" ref="Z66">SUM(IF(ISNUMBER(FIND("TmAi",$BE$1:$AAL$1)),IF(IFERROR(ISODD(SUBSTITUTE($BE66:$AAL66,"A","")),FALSE),IF(ISODD(SUBSTITUTE($BE66:$AAL66,"A","")),1,0),0)))</f>
        <v>0</v>
      </c>
      <c r="AA66" t="str">
        <f t="shared" si="154"/>
        <v>1B</v>
      </c>
      <c r="AB66" t="str">
        <f t="shared" si="155"/>
        <v>2B</v>
      </c>
      <c r="AP66" t="s">
        <v>137</v>
      </c>
      <c r="AS66" t="s">
        <v>366</v>
      </c>
      <c r="JZ66" s="27" t="str">
        <f t="shared" si="151"/>
        <v>XT55</v>
      </c>
      <c r="KC66" t="str">
        <f t="shared" si="152"/>
        <v>F0-AI5-1B</v>
      </c>
      <c r="KD66" t="str">
        <f t="shared" si="153"/>
        <v>F0-AI5-2B</v>
      </c>
      <c r="KI66" cm="1">
        <f t="array" ref="KI66">IF(COUNTIFS($U$2:$U66,$U66)=1,1,INDEX(KI:KI,_xlfn.XMATCH(U66,U$1:U65,0,-1))+COUNT(KI65:KM65))</f>
        <v>31</v>
      </c>
      <c r="KJ66">
        <f t="shared" ref="KJ66:KK66" si="164">KI66+1</f>
        <v>32</v>
      </c>
      <c r="KK66">
        <f t="shared" si="164"/>
        <v>33</v>
      </c>
      <c r="KN66">
        <v>1</v>
      </c>
      <c r="KO66" s="16">
        <v>2</v>
      </c>
      <c r="KS66" s="16"/>
    </row>
    <row r="67" spans="1:305" x14ac:dyDescent="0.25">
      <c r="A67" t="s">
        <v>493</v>
      </c>
      <c r="B67" s="33" t="s">
        <v>492</v>
      </c>
      <c r="C67" t="s">
        <v>464</v>
      </c>
      <c r="P67" t="s">
        <v>448</v>
      </c>
      <c r="T67" s="14" t="s">
        <v>520</v>
      </c>
      <c r="U67">
        <v>55</v>
      </c>
      <c r="V67" t="s">
        <v>494</v>
      </c>
      <c r="X67" t="str">
        <f>IF(COUNTIF(X$1:X66,X66)&gt;7,REPLACE(X66,LEN(X66),1,VALUE(RIGHT(X66,1))+1),X66)</f>
        <v>A3.5</v>
      </c>
      <c r="Y67" s="43" cm="1">
        <f t="array" ref="Y67">IF(COUNTIFS($X$2:$X67,$X67)=1,"1",VALUE(SUBSTITUTE(INDEX(Y:Y,_xlfn.XMATCH($X67,$X$1:$X66,0,-1)),"A",""))+INDEX(Z:Z,_xlfn.XMATCH($X67,$X$1:$X66,0,-1))+1)</f>
        <v>2</v>
      </c>
      <c r="Z67" s="43" cm="1">
        <f t="array" ref="Z67">SUM(IF(ISNUMBER(FIND("TmAi",$BE$1:$AAL$1)),IF(IFERROR(ISODD(SUBSTITUTE($BE67:$AAL67,"A","")),FALSE),IF(ISODD(SUBSTITUTE($BE67:$AAL67,"A","")),1,0),0)))</f>
        <v>0</v>
      </c>
      <c r="AA67" t="str">
        <f t="shared" si="154"/>
        <v>3B</v>
      </c>
      <c r="AB67" t="str">
        <f t="shared" si="155"/>
        <v>4B</v>
      </c>
      <c r="AP67" t="s">
        <v>137</v>
      </c>
      <c r="AS67" t="s">
        <v>366</v>
      </c>
      <c r="JZ67" s="27" t="str">
        <f t="shared" si="151"/>
        <v>XT55</v>
      </c>
      <c r="KC67" t="str">
        <f t="shared" si="152"/>
        <v>F0-AI5-3B</v>
      </c>
      <c r="KD67" t="str">
        <f t="shared" si="153"/>
        <v>F0-AI5-4B</v>
      </c>
      <c r="KI67" cm="1">
        <f t="array" ref="KI67">IF(COUNTIFS($U$2:$U67,$U67)=1,1,INDEX(KI:KI,_xlfn.XMATCH(U67,U$1:U66,0,-1))+COUNT(KI66:KM66))</f>
        <v>34</v>
      </c>
      <c r="KJ67">
        <f t="shared" ref="KJ67:KK67" si="165">KI67+1</f>
        <v>35</v>
      </c>
      <c r="KK67">
        <f t="shared" si="165"/>
        <v>36</v>
      </c>
      <c r="KN67">
        <v>1</v>
      </c>
      <c r="KO67" s="16">
        <v>2</v>
      </c>
      <c r="KS67" s="16"/>
    </row>
    <row r="68" spans="1:305" x14ac:dyDescent="0.25">
      <c r="A68" t="s">
        <v>496</v>
      </c>
      <c r="B68" t="s">
        <v>495</v>
      </c>
      <c r="C68" t="s">
        <v>497</v>
      </c>
      <c r="P68" t="s">
        <v>469</v>
      </c>
      <c r="T68" s="14" t="s">
        <v>520</v>
      </c>
      <c r="U68">
        <v>55</v>
      </c>
      <c r="V68" t="s">
        <v>498</v>
      </c>
      <c r="X68" s="33" t="str">
        <f>IF(COUNTIF(X$1:X67,X67)&gt;7,REPLACE(X67,LEN(X67),1,VALUE(RIGHT(X67,1))+1),X67)</f>
        <v>A3.5</v>
      </c>
      <c r="Y68" s="45" cm="1">
        <f t="array" ref="Y68">IF(COUNTIFS($X$2:$X68,$X68)=1,"1",VALUE(SUBSTITUTE(INDEX(Y:Y,_xlfn.XMATCH($X68,$X$1:$X67,0,-1)),"A",""))+INDEX(Z:Z,_xlfn.XMATCH($X68,$X$1:$X67,0,-1))+1)</f>
        <v>3</v>
      </c>
      <c r="Z68" s="43" cm="1">
        <f t="array" ref="Z68">SUM(IF(ISNUMBER(FIND("TmAi",$BE$1:$AAL$1)),IF(IFERROR(ISODD(SUBSTITUTE($BE68:$AAL68,"A","")),FALSE),IF(ISODD(SUBSTITUTE($BE68:$AAL68,"A","")),1,0),0)))</f>
        <v>0</v>
      </c>
      <c r="AA68" t="str">
        <f>CONCATENATE($Y68*2-1,"A")</f>
        <v>5A</v>
      </c>
      <c r="AB68" t="str">
        <f>CONCATENATE($Y68*2-1,"B")</f>
        <v>5B</v>
      </c>
      <c r="AP68" t="s">
        <v>137</v>
      </c>
      <c r="AS68" t="s">
        <v>366</v>
      </c>
      <c r="JZ68" s="27" t="str">
        <f t="shared" si="151"/>
        <v>XT55</v>
      </c>
      <c r="KC68" t="str">
        <f t="shared" si="152"/>
        <v>F0-AI5-5A</v>
      </c>
      <c r="KD68" t="str">
        <f t="shared" si="153"/>
        <v>F0-AI5-5B</v>
      </c>
      <c r="KG68" t="s">
        <v>454</v>
      </c>
      <c r="KH68" t="s">
        <v>453</v>
      </c>
      <c r="KI68" cm="1">
        <f t="array" ref="KI68">IF(COUNTIFS($U$2:$U68,$U68)=1,1,INDEX(KI:KI,_xlfn.XMATCH(U68,U$1:U67,0,-1))+COUNT(KI67:KM67))</f>
        <v>37</v>
      </c>
      <c r="KJ68">
        <f t="shared" ref="KJ68:KM68" si="166">KI68+1</f>
        <v>38</v>
      </c>
      <c r="KK68">
        <f t="shared" si="166"/>
        <v>39</v>
      </c>
      <c r="KL68">
        <f t="shared" si="166"/>
        <v>40</v>
      </c>
      <c r="KM68">
        <f t="shared" si="166"/>
        <v>41</v>
      </c>
      <c r="KN68" t="s">
        <v>513</v>
      </c>
      <c r="KO68" s="16" t="s">
        <v>514</v>
      </c>
      <c r="KP68" t="s">
        <v>513</v>
      </c>
      <c r="KQ68" t="s">
        <v>514</v>
      </c>
      <c r="KR68" t="s">
        <v>517</v>
      </c>
      <c r="KS68" s="16" t="s">
        <v>518</v>
      </c>
    </row>
    <row r="69" spans="1:305" x14ac:dyDescent="0.25">
      <c r="A69" t="s">
        <v>500</v>
      </c>
      <c r="B69" t="s">
        <v>499</v>
      </c>
      <c r="C69" t="s">
        <v>503</v>
      </c>
      <c r="P69" t="s">
        <v>508</v>
      </c>
      <c r="T69" s="14" t="s">
        <v>520</v>
      </c>
      <c r="U69">
        <v>55</v>
      </c>
      <c r="V69" t="s">
        <v>509</v>
      </c>
      <c r="X69" t="s">
        <v>1307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SUM(IF(ISNUMBER(FIND("TmAi",$BE$1:$AAL$1)),IF(IFERROR(ISODD(SUBSTITUTE($BE69:$AAL69,"A","")),FALSE),IF(ISODD(SUBSTITUTE($BE69:$AAL69,"A","")),1,0),0)))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366</v>
      </c>
      <c r="JZ69" s="27" t="str">
        <f t="shared" si="151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2"/>
        <v>F0-AI38-1A</v>
      </c>
      <c r="KD69" t="str">
        <f t="shared" si="153"/>
        <v>F0-AI38-1B</v>
      </c>
      <c r="KE69" t="str">
        <f>CONCATENATE($T69,"-AI",REPLACE($X69,1,3,""),"-",KA69)</f>
        <v>F0-AI38-2A</v>
      </c>
      <c r="KF69" t="str">
        <f>CONCATENATE($T69,"-AI",REPLACE($X69,1,3,""),"-",KB69)</f>
        <v>F0-AI38-2B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501</v>
      </c>
      <c r="B70" t="s">
        <v>502</v>
      </c>
      <c r="C70" t="s">
        <v>503</v>
      </c>
      <c r="P70" t="s">
        <v>508</v>
      </c>
      <c r="T70" s="14" t="s">
        <v>520</v>
      </c>
      <c r="U70">
        <v>55</v>
      </c>
      <c r="V70" t="s">
        <v>510</v>
      </c>
      <c r="X70" s="33" t="str">
        <f>IF(COUNTIF(X$1:X69,X69)&gt;7,REPLACE(X69,LEN(X69),1,VALUE(RIGHT(X69,1))+1),X69)</f>
        <v>A3.38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SUM(IF(ISNUMBER(FIND("TmAi",$BE$1:$AAL$1)),IF(IFERROR(ISODD(SUBSTITUTE($BE70:$AAL70,"A","")),FALSE),IF(ISODD(SUBSTITUTE($BE70:$AAL70,"A","")),1,0),0)))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366</v>
      </c>
      <c r="JZ70" s="27" t="str">
        <f t="shared" si="151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2"/>
        <v>F0-AI38-3A</v>
      </c>
      <c r="KD70" t="str">
        <f t="shared" si="153"/>
        <v>F0-AI38-3B</v>
      </c>
      <c r="KE70" t="str">
        <f>CONCATENATE($T70,"-AI",REPLACE($X70,1,3,""),"-",KA70)</f>
        <v>F0-AI38-4A</v>
      </c>
      <c r="KF70" t="str">
        <f>CONCATENATE($T70,"-AI",REPLACE($X70,1,3,""),"-",KB70)</f>
        <v>F0-AI38-4B</v>
      </c>
      <c r="KI70" cm="1">
        <f t="array" ref="KI70">IF(COUNTIFS($U$2:$U70,$U70)=1,1,INDEX(KI:KI,_xlfn.XMATCH(U70,U$1:U69,0,-1))+COUNT(KI69:KM69))</f>
        <v>46</v>
      </c>
      <c r="KJ70">
        <f t="shared" ref="KJ70:KL70" si="167">KI70+1</f>
        <v>47</v>
      </c>
      <c r="KK70">
        <f t="shared" si="167"/>
        <v>48</v>
      </c>
      <c r="KL70">
        <f t="shared" si="167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505</v>
      </c>
      <c r="B71" s="34" t="s">
        <v>504</v>
      </c>
      <c r="C71" t="s">
        <v>458</v>
      </c>
      <c r="P71" t="s">
        <v>448</v>
      </c>
      <c r="T71" s="14" t="s">
        <v>520</v>
      </c>
      <c r="U71">
        <v>55</v>
      </c>
      <c r="V71" t="s">
        <v>511</v>
      </c>
      <c r="X71" t="s">
        <v>1663</v>
      </c>
      <c r="Y71" s="43" t="str" cm="1">
        <f t="array" ref="Y71">IF(COUNTIFS($X$2:$X71,$X71)=1,"1",VALUE(SUBSTITUTE(INDEX(Y:Y,_xlfn.XMATCH($X71,$X$1:$X70,0,-1)),"A",""))+INDEX(Z:Z,_xlfn.XMATCH($X71,$X$1:$X70,0,-1))+1)</f>
        <v>1</v>
      </c>
      <c r="Z71" s="43" cm="1">
        <f t="array" ref="Z71">SUM(IF(ISNUMBER(FIND("TmAi",$BE$1:$AAL$1)),IF(IFERROR(ISODD(SUBSTITUTE($BE71:$AAL71,"A","")),FALSE),IF(ISODD(SUBSTITUTE($BE71:$AAL71,"A","")),1,0),0)))</f>
        <v>0</v>
      </c>
      <c r="AA71" t="str">
        <f t="shared" ref="AA71:AA75" si="168">CONCATENATE($Y71*2-1,"B")</f>
        <v>1B</v>
      </c>
      <c r="AB71" t="str">
        <f t="shared" ref="AB71:AB75" si="169">CONCATENATE($Y71*2,"B")</f>
        <v>2B</v>
      </c>
      <c r="AP71" t="s">
        <v>137</v>
      </c>
      <c r="AS71" t="s">
        <v>366</v>
      </c>
      <c r="JZ71" s="27" t="str">
        <f t="shared" si="151"/>
        <v>XT55</v>
      </c>
      <c r="KC71" t="str">
        <f t="shared" si="152"/>
        <v>F0-AI6-1B</v>
      </c>
      <c r="KD71" t="str">
        <f t="shared" si="153"/>
        <v>F0-AI6-2B</v>
      </c>
      <c r="KI71" cm="1">
        <f t="array" ref="KI71">IF(COUNTIFS($U$2:$U71,$U71)=1,1,INDEX(KI:KI,_xlfn.XMATCH(U71,U$1:U70,0,-1))+COUNT(KI70:KM70))</f>
        <v>50</v>
      </c>
      <c r="KJ71">
        <f t="shared" ref="KJ71:KK71" si="170">KI71+1</f>
        <v>51</v>
      </c>
      <c r="KK71">
        <f t="shared" si="170"/>
        <v>52</v>
      </c>
      <c r="KN71">
        <v>1</v>
      </c>
      <c r="KO71" s="16">
        <v>2</v>
      </c>
      <c r="KS71" s="16"/>
    </row>
    <row r="72" spans="1:305" x14ac:dyDescent="0.25">
      <c r="A72" t="s">
        <v>507</v>
      </c>
      <c r="B72" t="s">
        <v>506</v>
      </c>
      <c r="C72" t="s">
        <v>464</v>
      </c>
      <c r="P72" t="s">
        <v>448</v>
      </c>
      <c r="T72" s="14" t="s">
        <v>520</v>
      </c>
      <c r="U72">
        <v>55</v>
      </c>
      <c r="V72" t="s">
        <v>512</v>
      </c>
      <c r="X72" t="str">
        <f>IF(COUNTIF(X$1:X71,X71)&gt;7,REPLACE(X71,LEN(X71),1,VALUE(RIGHT(X71,1))+1),X71)</f>
        <v>A3.6</v>
      </c>
      <c r="Y72" s="43" cm="1">
        <f t="array" ref="Y72">IF(COUNTIFS($X$2:$X72,$X72)=1,"1",VALUE(SUBSTITUTE(INDEX(Y:Y,_xlfn.XMATCH($X72,$X$1:$X71,0,-1)),"A",""))+INDEX(Z:Z,_xlfn.XMATCH($X72,$X$1:$X71,0,-1))+1)</f>
        <v>2</v>
      </c>
      <c r="Z72" s="43" cm="1">
        <f t="array" ref="Z72">SUM(IF(ISNUMBER(FIND("TmAi",$BE$1:$AAL$1)),IF(IFERROR(ISODD(SUBSTITUTE($BE72:$AAL72,"A","")),FALSE),IF(ISODD(SUBSTITUTE($BE72:$AAL72,"A","")),1,0),0)))</f>
        <v>0</v>
      </c>
      <c r="AA72" t="str">
        <f t="shared" si="168"/>
        <v>3B</v>
      </c>
      <c r="AB72" t="str">
        <f t="shared" si="169"/>
        <v>4B</v>
      </c>
      <c r="AP72" t="s">
        <v>137</v>
      </c>
      <c r="AS72" t="s">
        <v>366</v>
      </c>
      <c r="JZ72" s="27" t="str">
        <f t="shared" si="151"/>
        <v>XT55</v>
      </c>
      <c r="KC72" t="str">
        <f t="shared" si="152"/>
        <v>F0-AI6-3B</v>
      </c>
      <c r="KD72" t="str">
        <f t="shared" si="153"/>
        <v>F0-AI6-4B</v>
      </c>
      <c r="KI72" cm="1">
        <f t="array" ref="KI72">IF(COUNTIFS($U$2:$U72,$U72)=1,1,INDEX(KI:KI,_xlfn.XMATCH(U72,U$1:U71,0,-1))+COUNT(KI71:KM71))</f>
        <v>53</v>
      </c>
      <c r="KJ72">
        <f t="shared" ref="KJ72:KK72" si="171">KI72+1</f>
        <v>54</v>
      </c>
      <c r="KK72">
        <f t="shared" si="171"/>
        <v>55</v>
      </c>
      <c r="KN72">
        <v>1</v>
      </c>
      <c r="KO72" s="16">
        <v>2</v>
      </c>
      <c r="KS72" s="16"/>
    </row>
    <row r="73" spans="1:305" x14ac:dyDescent="0.25">
      <c r="A73" t="s">
        <v>526</v>
      </c>
      <c r="B73" t="s">
        <v>525</v>
      </c>
      <c r="C73" t="s">
        <v>464</v>
      </c>
      <c r="P73" t="s">
        <v>448</v>
      </c>
      <c r="T73" s="14" t="s">
        <v>520</v>
      </c>
      <c r="U73">
        <v>55</v>
      </c>
      <c r="V73" t="s">
        <v>543</v>
      </c>
      <c r="X73" s="33" t="str">
        <f>IF(COUNTIF(X$1:X72,X72)&gt;7,REPLACE(X72,LEN(X72),1,VALUE(RIGHT(X72,1))+1),X72)</f>
        <v>A3.6</v>
      </c>
      <c r="Y73" s="45" cm="1">
        <f t="array" ref="Y73">IF(COUNTIFS($X$2:$X73,$X73)=1,"1",VALUE(SUBSTITUTE(INDEX(Y:Y,_xlfn.XMATCH($X73,$X$1:$X72,0,-1)),"A",""))+INDEX(Z:Z,_xlfn.XMATCH($X73,$X$1:$X72,0,-1))+1)</f>
        <v>3</v>
      </c>
      <c r="Z73" s="43" cm="1">
        <f t="array" ref="Z73">SUM(IF(ISNUMBER(FIND("TmAi",$BE$1:$AAL$1)),IF(IFERROR(ISODD(SUBSTITUTE($BE73:$AAL73,"A","")),FALSE),IF(ISODD(SUBSTITUTE($BE73:$AAL73,"A","")),1,0),0)))</f>
        <v>0</v>
      </c>
      <c r="AA73" t="str">
        <f t="shared" si="168"/>
        <v>5B</v>
      </c>
      <c r="AB73" t="str">
        <f t="shared" si="169"/>
        <v>6B</v>
      </c>
      <c r="AP73" t="s">
        <v>137</v>
      </c>
      <c r="AS73" t="s">
        <v>366</v>
      </c>
      <c r="JZ73" s="27" t="str">
        <f t="shared" si="151"/>
        <v>XT55</v>
      </c>
      <c r="KC73" t="str">
        <f t="shared" si="152"/>
        <v>F0-AI6-5B</v>
      </c>
      <c r="KD73" t="str">
        <f t="shared" si="153"/>
        <v>F0-AI6-6B</v>
      </c>
      <c r="KI73" cm="1">
        <f t="array" ref="KI73">IF(COUNTIFS($U$2:$U73,$U73)=1,1,INDEX(KI:KI,_xlfn.XMATCH(U73,U$1:U72,0,-1))+COUNT(KI72:KM72))</f>
        <v>56</v>
      </c>
      <c r="KJ73">
        <f t="shared" ref="KJ73:KK73" si="172">KI73+1</f>
        <v>57</v>
      </c>
      <c r="KK73">
        <f t="shared" si="172"/>
        <v>58</v>
      </c>
      <c r="KN73">
        <v>1</v>
      </c>
      <c r="KO73" s="16">
        <v>2</v>
      </c>
      <c r="KS73" s="16"/>
    </row>
    <row r="74" spans="1:305" x14ac:dyDescent="0.25">
      <c r="A74" t="s">
        <v>528</v>
      </c>
      <c r="B74" t="s">
        <v>527</v>
      </c>
      <c r="C74" t="s">
        <v>464</v>
      </c>
      <c r="P74" t="s">
        <v>448</v>
      </c>
      <c r="T74" s="14" t="s">
        <v>520</v>
      </c>
      <c r="U74">
        <v>55</v>
      </c>
      <c r="V74" t="s">
        <v>544</v>
      </c>
      <c r="X74" t="str">
        <f>IF(COUNTIF(X$1:X73,X73)&gt;7,REPLACE(X73,LEN(X73),1,VALUE(RIGHT(X73,1))+1),X73)</f>
        <v>A3.6</v>
      </c>
      <c r="Y74" s="43" cm="1">
        <f t="array" ref="Y74">IF(COUNTIFS($X$2:$X74,$X74)=1,"1",VALUE(SUBSTITUTE(INDEX(Y:Y,_xlfn.XMATCH($X74,$X$1:$X73,0,-1)),"A",""))+INDEX(Z:Z,_xlfn.XMATCH($X74,$X$1:$X73,0,-1))+1)</f>
        <v>4</v>
      </c>
      <c r="Z74" s="43" cm="1">
        <f t="array" ref="Z74">SUM(IF(ISNUMBER(FIND("TmAi",$BE$1:$AAL$1)),IF(IFERROR(ISODD(SUBSTITUTE($BE74:$AAL74,"A","")),FALSE),IF(ISODD(SUBSTITUTE($BE74:$AAL74,"A","")),1,0),0)))</f>
        <v>0</v>
      </c>
      <c r="AA74" t="str">
        <f t="shared" si="168"/>
        <v>7B</v>
      </c>
      <c r="AB74" t="str">
        <f t="shared" si="169"/>
        <v>8B</v>
      </c>
      <c r="AP74" t="s">
        <v>137</v>
      </c>
      <c r="AS74" t="s">
        <v>366</v>
      </c>
      <c r="JZ74" s="27" t="str">
        <f t="shared" si="151"/>
        <v>XT55</v>
      </c>
      <c r="KC74" t="str">
        <f t="shared" si="152"/>
        <v>F0-AI6-7B</v>
      </c>
      <c r="KD74" t="str">
        <f t="shared" si="153"/>
        <v>F0-AI6-8B</v>
      </c>
      <c r="KI74" cm="1">
        <f t="array" ref="KI74">IF(COUNTIFS($U$2:$U74,$U74)=1,1,INDEX(KI:KI,_xlfn.XMATCH(U74,U$1:U73,0,-1))+COUNT(KI73:KM73))</f>
        <v>59</v>
      </c>
      <c r="KJ74">
        <f t="shared" ref="KJ74:KK74" si="173">KI74+1</f>
        <v>60</v>
      </c>
      <c r="KK74">
        <f t="shared" si="173"/>
        <v>61</v>
      </c>
      <c r="KN74">
        <v>1</v>
      </c>
      <c r="KO74" s="16">
        <v>2</v>
      </c>
      <c r="KS74" s="16"/>
    </row>
    <row r="75" spans="1:305" x14ac:dyDescent="0.25">
      <c r="A75" t="s">
        <v>530</v>
      </c>
      <c r="B75" t="s">
        <v>529</v>
      </c>
      <c r="C75" t="s">
        <v>464</v>
      </c>
      <c r="P75" t="s">
        <v>448</v>
      </c>
      <c r="T75" s="14" t="s">
        <v>520</v>
      </c>
      <c r="U75">
        <v>55</v>
      </c>
      <c r="V75" t="s">
        <v>545</v>
      </c>
      <c r="X75" t="str">
        <f>IF(COUNTIF(X$1:X74,X74)&gt;7,REPLACE(X74,LEN(X74),1,VALUE(RIGHT(X74,1))+1),X74)</f>
        <v>A3.6</v>
      </c>
      <c r="Y75" s="43" cm="1">
        <f t="array" ref="Y75">IF(COUNTIFS($X$2:$X75,$X75)=1,"1",VALUE(SUBSTITUTE(INDEX(Y:Y,_xlfn.XMATCH($X75,$X$1:$X74,0,-1)),"A",""))+INDEX(Z:Z,_xlfn.XMATCH($X75,$X$1:$X74,0,-1))+1)</f>
        <v>5</v>
      </c>
      <c r="Z75" s="43" cm="1">
        <f t="array" ref="Z75">SUM(IF(ISNUMBER(FIND("TmAi",$BE$1:$AAL$1)),IF(IFERROR(ISODD(SUBSTITUTE($BE75:$AAL75,"A","")),FALSE),IF(ISODD(SUBSTITUTE($BE75:$AAL75,"A","")),1,0),0)))</f>
        <v>0</v>
      </c>
      <c r="AA75" t="str">
        <f t="shared" si="168"/>
        <v>9B</v>
      </c>
      <c r="AB75" t="str">
        <f t="shared" si="169"/>
        <v>10B</v>
      </c>
      <c r="AP75" t="s">
        <v>137</v>
      </c>
      <c r="AS75" t="s">
        <v>366</v>
      </c>
      <c r="JZ75" s="27" t="str">
        <f t="shared" si="151"/>
        <v>XT55</v>
      </c>
      <c r="KC75" t="str">
        <f t="shared" si="152"/>
        <v>F0-AI6-9B</v>
      </c>
      <c r="KD75" t="str">
        <f t="shared" si="153"/>
        <v>F0-AI6-10B</v>
      </c>
      <c r="KI75" cm="1">
        <f t="array" ref="KI75">IF(COUNTIFS($U$2:$U75,$U75)=1,1,INDEX(KI:KI,_xlfn.XMATCH(U75,U$1:U74,0,-1))+COUNT(KI74:KM74))</f>
        <v>62</v>
      </c>
      <c r="KJ75">
        <f t="shared" ref="KJ75:KK75" si="174">KI75+1</f>
        <v>63</v>
      </c>
      <c r="KK75">
        <f t="shared" si="174"/>
        <v>64</v>
      </c>
      <c r="KN75">
        <v>1</v>
      </c>
      <c r="KO75" s="16">
        <v>2</v>
      </c>
      <c r="KS75" s="16"/>
    </row>
    <row r="76" spans="1:305" x14ac:dyDescent="0.25">
      <c r="A76" t="s">
        <v>532</v>
      </c>
      <c r="B76" t="s">
        <v>531</v>
      </c>
      <c r="C76" t="s">
        <v>497</v>
      </c>
      <c r="P76" t="s">
        <v>469</v>
      </c>
      <c r="T76" s="14" t="s">
        <v>520</v>
      </c>
      <c r="U76">
        <v>55</v>
      </c>
      <c r="V76" t="s">
        <v>546</v>
      </c>
      <c r="X76" t="str">
        <f>IF(COUNTIF(X$1:X75,X75)&gt;7,REPLACE(X75,LEN(X75),1,VALUE(RIGHT(X75,1))+1),X75)</f>
        <v>A3.6</v>
      </c>
      <c r="Y76" s="43" cm="1">
        <f t="array" ref="Y76">IF(COUNTIFS($X$2:$X76,$X76)=1,"1",VALUE(SUBSTITUTE(INDEX(Y:Y,_xlfn.XMATCH($X76,$X$1:$X75,0,-1)),"A",""))+INDEX(Z:Z,_xlfn.XMATCH($X76,$X$1:$X75,0,-1))+1)</f>
        <v>6</v>
      </c>
      <c r="Z76" s="43" cm="1">
        <f t="array" ref="Z76">SUM(IF(ISNUMBER(FIND("TmAi",$BE$1:$AAL$1)),IF(IFERROR(ISODD(SUBSTITUTE($BE76:$AAL76,"A","")),FALSE),IF(ISODD(SUBSTITUTE($BE76:$AAL76,"A","")),1,0),0)))</f>
        <v>0</v>
      </c>
      <c r="AA76" t="str">
        <f>CONCATENATE($Y76*2-1,"A")</f>
        <v>11A</v>
      </c>
      <c r="AB76" t="str">
        <f>CONCATENATE($Y76*2-1,"B")</f>
        <v>11B</v>
      </c>
      <c r="AP76" t="s">
        <v>137</v>
      </c>
      <c r="AS76" t="s">
        <v>366</v>
      </c>
      <c r="JZ76" s="27" t="str">
        <f t="shared" si="151"/>
        <v>XT55</v>
      </c>
      <c r="KC76" t="str">
        <f t="shared" si="152"/>
        <v>F0-AI6-11A</v>
      </c>
      <c r="KD76" t="str">
        <f t="shared" si="153"/>
        <v>F0-AI6-11B</v>
      </c>
      <c r="KG76" t="s">
        <v>454</v>
      </c>
      <c r="KH76" t="s">
        <v>453</v>
      </c>
      <c r="KI76" cm="1">
        <f t="array" ref="KI76">IF(COUNTIFS($U$2:$U76,$U76)=1,1,INDEX(KI:KI,_xlfn.XMATCH(U76,U$1:U75,0,-1))+COUNT(KI75:KM75))</f>
        <v>65</v>
      </c>
      <c r="KJ76">
        <f t="shared" ref="KJ76:KM76" si="175">KI76+1</f>
        <v>66</v>
      </c>
      <c r="KK76">
        <f t="shared" si="175"/>
        <v>67</v>
      </c>
      <c r="KL76">
        <f t="shared" si="175"/>
        <v>68</v>
      </c>
      <c r="KM76">
        <f t="shared" si="175"/>
        <v>69</v>
      </c>
      <c r="KN76" t="s">
        <v>513</v>
      </c>
      <c r="KO76" s="16" t="s">
        <v>514</v>
      </c>
      <c r="KP76" t="s">
        <v>513</v>
      </c>
      <c r="KQ76" t="s">
        <v>514</v>
      </c>
      <c r="KR76" t="s">
        <v>517</v>
      </c>
      <c r="KS76" s="16" t="s">
        <v>518</v>
      </c>
    </row>
    <row r="77" spans="1:305" x14ac:dyDescent="0.25">
      <c r="A77" t="s">
        <v>534</v>
      </c>
      <c r="B77" t="s">
        <v>533</v>
      </c>
      <c r="C77" t="s">
        <v>464</v>
      </c>
      <c r="P77" t="s">
        <v>448</v>
      </c>
      <c r="T77" s="14" t="s">
        <v>520</v>
      </c>
      <c r="U77">
        <v>55</v>
      </c>
      <c r="V77" t="s">
        <v>547</v>
      </c>
      <c r="X77" t="str">
        <f>IF(COUNTIF(X$1:X76,X76)&gt;7,REPLACE(X76,LEN(X76),1,VALUE(RIGHT(X76,1))+1),X76)</f>
        <v>A3.6</v>
      </c>
      <c r="Y77" s="43" cm="1">
        <f t="array" ref="Y77">IF(COUNTIFS($X$2:$X77,$X77)=1,"1",VALUE(SUBSTITUTE(INDEX(Y:Y,_xlfn.XMATCH($X77,$X$1:$X76,0,-1)),"A",""))+INDEX(Z:Z,_xlfn.XMATCH($X77,$X$1:$X76,0,-1))+1)</f>
        <v>7</v>
      </c>
      <c r="Z77" s="43" cm="1">
        <f t="array" ref="Z77">SUM(IF(ISNUMBER(FIND("TmAi",$BE$1:$AAL$1)),IF(IFERROR(ISODD(SUBSTITUTE($BE77:$AAL77,"A","")),FALSE),IF(ISODD(SUBSTITUTE($BE77:$AAL77,"A","")),1,0),0)))</f>
        <v>0</v>
      </c>
      <c r="AA77" t="str">
        <f t="shared" ref="AA77:AA88" si="176">CONCATENATE($Y77*2-1,"B")</f>
        <v>13B</v>
      </c>
      <c r="AB77" t="str">
        <f t="shared" ref="AB77:AB88" si="177">CONCATENATE($Y77*2,"B")</f>
        <v>14B</v>
      </c>
      <c r="AP77" t="s">
        <v>137</v>
      </c>
      <c r="AS77" t="s">
        <v>366</v>
      </c>
      <c r="JZ77" s="27" t="str">
        <f t="shared" si="151"/>
        <v>XT55</v>
      </c>
      <c r="KC77" t="str">
        <f t="shared" si="152"/>
        <v>F0-AI6-13B</v>
      </c>
      <c r="KD77" t="str">
        <f t="shared" si="153"/>
        <v>F0-AI6-14B</v>
      </c>
      <c r="KI77" cm="1">
        <f t="array" ref="KI77">IF(COUNTIFS($U$2:$U77,$U77)=1,1,INDEX(KI:KI,_xlfn.XMATCH(U77,U$1:U76,0,-1))+COUNT(KI76:KM76))</f>
        <v>70</v>
      </c>
      <c r="KJ77">
        <f t="shared" ref="KJ77:KK77" si="178">KI77+1</f>
        <v>71</v>
      </c>
      <c r="KK77">
        <f t="shared" si="178"/>
        <v>72</v>
      </c>
      <c r="KN77">
        <v>1</v>
      </c>
      <c r="KO77" s="16">
        <v>2</v>
      </c>
      <c r="KS77" s="16"/>
    </row>
    <row r="78" spans="1:305" x14ac:dyDescent="0.25">
      <c r="A78" t="s">
        <v>536</v>
      </c>
      <c r="B78" s="33" t="s">
        <v>535</v>
      </c>
      <c r="C78" t="s">
        <v>458</v>
      </c>
      <c r="P78" t="s">
        <v>448</v>
      </c>
      <c r="T78" s="14" t="s">
        <v>520</v>
      </c>
      <c r="U78">
        <v>55</v>
      </c>
      <c r="V78" t="s">
        <v>548</v>
      </c>
      <c r="X78" t="str">
        <f>IF(COUNTIF(X$1:X77,X77)&gt;7,REPLACE(X77,LEN(X77),1,VALUE(RIGHT(X77,1))+1),X77)</f>
        <v>A3.6</v>
      </c>
      <c r="Y78" s="43" cm="1">
        <f t="array" ref="Y78">IF(COUNTIFS($X$2:$X78,$X78)=1,"1",VALUE(SUBSTITUTE(INDEX(Y:Y,_xlfn.XMATCH($X78,$X$1:$X77,0,-1)),"A",""))+INDEX(Z:Z,_xlfn.XMATCH($X78,$X$1:$X77,0,-1))+1)</f>
        <v>8</v>
      </c>
      <c r="Z78" s="43" cm="1">
        <f t="array" ref="Z78">SUM(IF(ISNUMBER(FIND("TmAi",$BE$1:$AAL$1)),IF(IFERROR(ISODD(SUBSTITUTE($BE78:$AAL78,"A","")),FALSE),IF(ISODD(SUBSTITUTE($BE78:$AAL78,"A","")),1,0),0)))</f>
        <v>0</v>
      </c>
      <c r="AA78" t="str">
        <f t="shared" si="176"/>
        <v>15B</v>
      </c>
      <c r="AB78" t="str">
        <f t="shared" si="177"/>
        <v>16B</v>
      </c>
      <c r="AP78" t="s">
        <v>137</v>
      </c>
      <c r="AS78" t="s">
        <v>366</v>
      </c>
      <c r="JZ78" s="27" t="str">
        <f t="shared" si="151"/>
        <v>XT55</v>
      </c>
      <c r="KC78" t="str">
        <f t="shared" si="152"/>
        <v>F0-AI6-15B</v>
      </c>
      <c r="KD78" t="str">
        <f t="shared" si="153"/>
        <v>F0-AI6-16B</v>
      </c>
      <c r="KI78" cm="1">
        <f t="array" ref="KI78">IF(COUNTIFS($U$2:$U78,$U78)=1,1,INDEX(KI:KI,_xlfn.XMATCH(U78,U$1:U77,0,-1))+COUNT(KI77:KM77))</f>
        <v>73</v>
      </c>
      <c r="KJ78">
        <f t="shared" ref="KJ78:KK78" si="179">KI78+1</f>
        <v>74</v>
      </c>
      <c r="KK78">
        <f t="shared" si="179"/>
        <v>75</v>
      </c>
      <c r="KN78">
        <v>1</v>
      </c>
      <c r="KO78" s="16">
        <v>2</v>
      </c>
      <c r="KS78" s="16"/>
    </row>
    <row r="79" spans="1:305" x14ac:dyDescent="0.25">
      <c r="A79" t="s">
        <v>538</v>
      </c>
      <c r="B79" t="s">
        <v>537</v>
      </c>
      <c r="C79" t="s">
        <v>458</v>
      </c>
      <c r="P79" t="s">
        <v>448</v>
      </c>
      <c r="T79" s="14" t="s">
        <v>520</v>
      </c>
      <c r="U79">
        <v>55</v>
      </c>
      <c r="V79" t="s">
        <v>549</v>
      </c>
      <c r="X79" t="str">
        <f>IF(COUNTIF(X$1:X78,X78)&gt;7,REPLACE(X78,LEN(X78),1,VALUE(RIGHT(X78,1))+1),X78)</f>
        <v>A3.7</v>
      </c>
      <c r="Y79" s="43" t="str" cm="1">
        <f t="array" ref="Y79">IF(COUNTIFS($X$2:$X79,$X79)=1,"1",VALUE(SUBSTITUTE(INDEX(Y:Y,_xlfn.XMATCH($X79,$X$1:$X78,0,-1)),"A",""))+INDEX(Z:Z,_xlfn.XMATCH($X79,$X$1:$X78,0,-1))+1)</f>
        <v>1</v>
      </c>
      <c r="Z79" s="43" cm="1">
        <f t="array" ref="Z79">SUM(IF(ISNUMBER(FIND("TmAi",$BE$1:$AAL$1)),IF(IFERROR(ISODD(SUBSTITUTE($BE79:$AAL79,"A","")),FALSE),IF(ISODD(SUBSTITUTE($BE79:$AAL79,"A","")),1,0),0)))</f>
        <v>0</v>
      </c>
      <c r="AA79" t="str">
        <f t="shared" si="176"/>
        <v>1B</v>
      </c>
      <c r="AB79" t="str">
        <f t="shared" si="177"/>
        <v>2B</v>
      </c>
      <c r="AP79" t="s">
        <v>137</v>
      </c>
      <c r="AS79" t="s">
        <v>366</v>
      </c>
      <c r="JZ79" s="27" t="str">
        <f t="shared" si="151"/>
        <v>XT55</v>
      </c>
      <c r="KC79" t="str">
        <f t="shared" si="152"/>
        <v>F0-AI7-1B</v>
      </c>
      <c r="KD79" t="str">
        <f t="shared" si="153"/>
        <v>F0-AI7-2B</v>
      </c>
      <c r="KI79" cm="1">
        <f t="array" ref="KI79">IF(COUNTIFS($U$2:$U79,$U79)=1,1,INDEX(KI:KI,_xlfn.XMATCH(U79,U$1:U78,0,-1))+COUNT(KI78:KM78))</f>
        <v>76</v>
      </c>
      <c r="KJ79">
        <f t="shared" ref="KJ79:KK79" si="180">KI79+1</f>
        <v>77</v>
      </c>
      <c r="KK79">
        <f t="shared" si="180"/>
        <v>78</v>
      </c>
      <c r="KN79">
        <v>1</v>
      </c>
      <c r="KO79" s="16">
        <v>2</v>
      </c>
      <c r="KS79" s="16"/>
    </row>
    <row r="80" spans="1:305" x14ac:dyDescent="0.25">
      <c r="A80" t="s">
        <v>540</v>
      </c>
      <c r="B80" t="s">
        <v>539</v>
      </c>
      <c r="C80" t="s">
        <v>464</v>
      </c>
      <c r="P80" t="s">
        <v>448</v>
      </c>
      <c r="T80" s="14" t="s">
        <v>520</v>
      </c>
      <c r="U80">
        <v>55</v>
      </c>
      <c r="V80" t="s">
        <v>550</v>
      </c>
      <c r="X80" t="str">
        <f>IF(COUNTIF(X$1:X79,X79)&gt;7,REPLACE(X79,LEN(X79),1,VALUE(RIGHT(X79,1))+1),X79)</f>
        <v>A3.7</v>
      </c>
      <c r="Y80" s="43" cm="1">
        <f t="array" ref="Y80">IF(COUNTIFS($X$2:$X80,$X80)=1,"1",VALUE(SUBSTITUTE(INDEX(Y:Y,_xlfn.XMATCH($X80,$X$1:$X79,0,-1)),"A",""))+INDEX(Z:Z,_xlfn.XMATCH($X80,$X$1:$X79,0,-1))+1)</f>
        <v>2</v>
      </c>
      <c r="Z80" s="43" cm="1">
        <f t="array" ref="Z80">SUM(IF(ISNUMBER(FIND("TmAi",$BE$1:$AAL$1)),IF(IFERROR(ISODD(SUBSTITUTE($BE80:$AAL80,"A","")),FALSE),IF(ISODD(SUBSTITUTE($BE80:$AAL80,"A","")),1,0),0)))</f>
        <v>0</v>
      </c>
      <c r="AA80" t="str">
        <f t="shared" si="176"/>
        <v>3B</v>
      </c>
      <c r="AB80" t="str">
        <f t="shared" si="177"/>
        <v>4B</v>
      </c>
      <c r="AP80" t="s">
        <v>137</v>
      </c>
      <c r="AS80" t="s">
        <v>366</v>
      </c>
      <c r="JZ80" s="27" t="str">
        <f t="shared" si="151"/>
        <v>XT55</v>
      </c>
      <c r="KC80" t="str">
        <f t="shared" si="152"/>
        <v>F0-AI7-3B</v>
      </c>
      <c r="KD80" t="str">
        <f t="shared" si="153"/>
        <v>F0-AI7-4B</v>
      </c>
      <c r="KI80" cm="1">
        <f t="array" ref="KI80">IF(COUNTIFS($U$2:$U80,$U80)=1,1,INDEX(KI:KI,_xlfn.XMATCH(U80,U$1:U79,0,-1))+COUNT(KI79:KM79))</f>
        <v>79</v>
      </c>
      <c r="KJ80">
        <f t="shared" ref="KJ80:KK80" si="181">KI80+1</f>
        <v>80</v>
      </c>
      <c r="KK80">
        <f t="shared" si="181"/>
        <v>81</v>
      </c>
      <c r="KN80">
        <v>1</v>
      </c>
      <c r="KO80" s="16">
        <v>2</v>
      </c>
      <c r="KS80" s="16"/>
    </row>
    <row r="81" spans="1:305" x14ac:dyDescent="0.25">
      <c r="A81" t="s">
        <v>542</v>
      </c>
      <c r="B81" t="s">
        <v>541</v>
      </c>
      <c r="C81" t="s">
        <v>458</v>
      </c>
      <c r="P81" t="s">
        <v>448</v>
      </c>
      <c r="T81" s="14" t="s">
        <v>520</v>
      </c>
      <c r="U81">
        <v>55</v>
      </c>
      <c r="V81" t="s">
        <v>551</v>
      </c>
      <c r="X81" s="33" t="str">
        <f>IF(COUNTIF(X$1:X80,X80)&gt;7,REPLACE(X80,LEN(X80),1,VALUE(RIGHT(X80,1))+1),X80)</f>
        <v>A3.7</v>
      </c>
      <c r="Y81" s="45" cm="1">
        <f t="array" ref="Y81">IF(COUNTIFS($X$2:$X81,$X81)=1,"1",VALUE(SUBSTITUTE(INDEX(Y:Y,_xlfn.XMATCH($X81,$X$1:$X80,0,-1)),"A",""))+INDEX(Z:Z,_xlfn.XMATCH($X81,$X$1:$X80,0,-1))+1)</f>
        <v>3</v>
      </c>
      <c r="Z81" s="43" cm="1">
        <f t="array" ref="Z81">SUM(IF(ISNUMBER(FIND("TmAi",$BE$1:$AAL$1)),IF(IFERROR(ISODD(SUBSTITUTE($BE81:$AAL81,"A","")),FALSE),IF(ISODD(SUBSTITUTE($BE81:$AAL81,"A","")),1,0),0)))</f>
        <v>0</v>
      </c>
      <c r="AA81" t="str">
        <f t="shared" si="176"/>
        <v>5B</v>
      </c>
      <c r="AB81" t="str">
        <f t="shared" si="177"/>
        <v>6B</v>
      </c>
      <c r="AP81" t="s">
        <v>137</v>
      </c>
      <c r="AS81" t="s">
        <v>366</v>
      </c>
      <c r="JZ81" s="27" t="str">
        <f t="shared" si="151"/>
        <v>XT55</v>
      </c>
      <c r="KC81" t="str">
        <f t="shared" si="152"/>
        <v>F0-AI7-5B</v>
      </c>
      <c r="KD81" t="str">
        <f t="shared" si="153"/>
        <v>F0-AI7-6B</v>
      </c>
      <c r="KI81" cm="1">
        <f t="array" ref="KI81">IF(COUNTIFS($U$2:$U81,$U81)=1,1,INDEX(KI:KI,_xlfn.XMATCH(U81,U$1:U80,0,-1))+COUNT(KI80:KM80))</f>
        <v>82</v>
      </c>
      <c r="KJ81">
        <f t="shared" ref="KJ81:KK81" si="182">KI81+1</f>
        <v>83</v>
      </c>
      <c r="KK81">
        <f t="shared" si="182"/>
        <v>84</v>
      </c>
      <c r="KN81">
        <v>1</v>
      </c>
      <c r="KO81" s="16">
        <v>2</v>
      </c>
      <c r="KS81" s="16"/>
    </row>
    <row r="82" spans="1:305" x14ac:dyDescent="0.25">
      <c r="A82" t="s">
        <v>553</v>
      </c>
      <c r="B82" t="s">
        <v>552</v>
      </c>
      <c r="C82" t="s">
        <v>464</v>
      </c>
      <c r="P82" t="s">
        <v>448</v>
      </c>
      <c r="T82" s="14" t="s">
        <v>520</v>
      </c>
      <c r="U82">
        <v>55</v>
      </c>
      <c r="V82" t="s">
        <v>554</v>
      </c>
      <c r="X82" t="str">
        <f>IF(COUNTIF(X$1:X81,X81)&gt;7,REPLACE(X81,LEN(X81),1,VALUE(RIGHT(X81,1))+1),X81)</f>
        <v>A3.7</v>
      </c>
      <c r="Y82" s="43" cm="1">
        <f t="array" ref="Y82">IF(COUNTIFS($X$2:$X82,$X82)=1,"1",VALUE(SUBSTITUTE(INDEX(Y:Y,_xlfn.XMATCH($X82,$X$1:$X81,0,-1)),"A",""))+INDEX(Z:Z,_xlfn.XMATCH($X82,$X$1:$X81,0,-1))+1)</f>
        <v>4</v>
      </c>
      <c r="Z82" s="43" cm="1">
        <f t="array" ref="Z82">SUM(IF(ISNUMBER(FIND("TmAi",$BE$1:$AAL$1)),IF(IFERROR(ISODD(SUBSTITUTE($BE82:$AAL82,"A","")),FALSE),IF(ISODD(SUBSTITUTE($BE82:$AAL82,"A","")),1,0),0)))</f>
        <v>0</v>
      </c>
      <c r="AA82" t="str">
        <f t="shared" si="176"/>
        <v>7B</v>
      </c>
      <c r="AB82" t="str">
        <f t="shared" si="177"/>
        <v>8B</v>
      </c>
      <c r="AP82" t="s">
        <v>137</v>
      </c>
      <c r="AS82" t="s">
        <v>366</v>
      </c>
      <c r="JZ82" s="27" t="str">
        <f t="shared" si="151"/>
        <v>XT55</v>
      </c>
      <c r="KC82" t="str">
        <f t="shared" si="152"/>
        <v>F0-AI7-7B</v>
      </c>
      <c r="KD82" t="str">
        <f t="shared" si="153"/>
        <v>F0-AI7-8B</v>
      </c>
      <c r="KI82" cm="1">
        <f t="array" ref="KI82">IF(COUNTIFS($U$2:$U82,$U82)=1,1,INDEX(KI:KI,_xlfn.XMATCH(U82,U$1:U81,0,-1))+COUNT(KI81:KM81))</f>
        <v>85</v>
      </c>
      <c r="KJ82">
        <f t="shared" ref="KJ82:KK82" si="183">KI82+1</f>
        <v>86</v>
      </c>
      <c r="KK82">
        <f t="shared" si="183"/>
        <v>87</v>
      </c>
      <c r="KN82">
        <v>1</v>
      </c>
      <c r="KO82" s="16">
        <v>2</v>
      </c>
      <c r="KS82" s="16"/>
    </row>
    <row r="83" spans="1:305" x14ac:dyDescent="0.25">
      <c r="A83" t="s">
        <v>556</v>
      </c>
      <c r="B83" t="s">
        <v>555</v>
      </c>
      <c r="C83" t="s">
        <v>464</v>
      </c>
      <c r="P83" t="s">
        <v>448</v>
      </c>
      <c r="T83" s="14" t="s">
        <v>520</v>
      </c>
      <c r="U83">
        <v>55</v>
      </c>
      <c r="V83" t="s">
        <v>567</v>
      </c>
      <c r="X83" t="s">
        <v>1583</v>
      </c>
      <c r="Y83" s="43" t="str" cm="1">
        <f t="array" ref="Y83">IF(COUNTIFS($X$2:$X83,$X83)=1,"1",VALUE(SUBSTITUTE(INDEX(Y:Y,_xlfn.XMATCH($X83,$X$1:$X82,0,-1)),"A",""))+INDEX(Z:Z,_xlfn.XMATCH($X83,$X$1:$X82,0,-1))+1)</f>
        <v>1</v>
      </c>
      <c r="Z83" s="43" cm="1">
        <f t="array" ref="Z83">SUM(IF(ISNUMBER(FIND("TmAi",$BE$1:$AAL$1)),IF(IFERROR(ISODD(SUBSTITUTE($BE83:$AAL83,"A","")),FALSE),IF(ISODD(SUBSTITUTE($BE83:$AAL83,"A","")),1,0),0)))</f>
        <v>0</v>
      </c>
      <c r="AA83" t="str">
        <f t="shared" si="176"/>
        <v>1B</v>
      </c>
      <c r="AB83" t="str">
        <f t="shared" si="177"/>
        <v>2B</v>
      </c>
      <c r="AP83" t="s">
        <v>137</v>
      </c>
      <c r="AS83" t="s">
        <v>366</v>
      </c>
      <c r="JZ83" s="27" t="str">
        <f t="shared" si="151"/>
        <v>XT55</v>
      </c>
      <c r="KC83" t="str">
        <f t="shared" si="152"/>
        <v>F0-AI8-1B</v>
      </c>
      <c r="KD83" t="str">
        <f t="shared" si="153"/>
        <v>F0-AI8-2B</v>
      </c>
      <c r="KI83" cm="1">
        <f t="array" ref="KI83">IF(COUNTIFS($U$2:$U83,$U83)=1,1,INDEX(KI:KI,_xlfn.XMATCH(U83,U$1:U82,0,-1))+COUNT(KI82:KM82))</f>
        <v>88</v>
      </c>
      <c r="KJ83">
        <f t="shared" ref="KJ83:KK83" si="184">KI83+1</f>
        <v>89</v>
      </c>
      <c r="KK83">
        <f t="shared" si="184"/>
        <v>90</v>
      </c>
      <c r="KN83">
        <v>1</v>
      </c>
      <c r="KO83" s="16">
        <v>2</v>
      </c>
      <c r="KS83" s="16"/>
    </row>
    <row r="84" spans="1:305" x14ac:dyDescent="0.25">
      <c r="A84" t="s">
        <v>558</v>
      </c>
      <c r="B84" t="s">
        <v>557</v>
      </c>
      <c r="C84" t="s">
        <v>464</v>
      </c>
      <c r="P84" t="s">
        <v>448</v>
      </c>
      <c r="T84" s="14" t="s">
        <v>520</v>
      </c>
      <c r="U84">
        <v>55</v>
      </c>
      <c r="V84" t="s">
        <v>568</v>
      </c>
      <c r="X84" t="str">
        <f>IF(COUNTIF(X$1:X83,X83)&gt;7,REPLACE(X83,LEN(X83),1,VALUE(RIGHT(X83,1))+1),X83)</f>
        <v>A3.8</v>
      </c>
      <c r="Y84" s="43" cm="1">
        <f t="array" ref="Y84">IF(COUNTIFS($X$2:$X84,$X84)=1,"1",VALUE(SUBSTITUTE(INDEX(Y:Y,_xlfn.XMATCH($X84,$X$1:$X83,0,-1)),"A",""))+INDEX(Z:Z,_xlfn.XMATCH($X84,$X$1:$X83,0,-1))+1)</f>
        <v>2</v>
      </c>
      <c r="Z84" s="43" cm="1">
        <f t="array" ref="Z84">SUM(IF(ISNUMBER(FIND("TmAi",$BE$1:$AAL$1)),IF(IFERROR(ISODD(SUBSTITUTE($BE84:$AAL84,"A","")),FALSE),IF(ISODD(SUBSTITUTE($BE84:$AAL84,"A","")),1,0),0)))</f>
        <v>0</v>
      </c>
      <c r="AA84" t="str">
        <f t="shared" si="176"/>
        <v>3B</v>
      </c>
      <c r="AB84" t="str">
        <f t="shared" si="177"/>
        <v>4B</v>
      </c>
      <c r="AP84" t="s">
        <v>137</v>
      </c>
      <c r="AS84" t="s">
        <v>366</v>
      </c>
      <c r="JZ84" s="27" t="str">
        <f t="shared" si="151"/>
        <v>XT55</v>
      </c>
      <c r="KC84" t="str">
        <f t="shared" si="152"/>
        <v>F0-AI8-3B</v>
      </c>
      <c r="KD84" t="str">
        <f t="shared" si="153"/>
        <v>F0-AI8-4B</v>
      </c>
      <c r="KI84" cm="1">
        <f t="array" ref="KI84">IF(COUNTIFS($U$2:$U84,$U84)=1,1,INDEX(KI:KI,_xlfn.XMATCH(U84,U$1:U83,0,-1))+COUNT(KI83:KM83))</f>
        <v>91</v>
      </c>
      <c r="KJ84">
        <f t="shared" ref="KJ84:KK84" si="185">KI84+1</f>
        <v>92</v>
      </c>
      <c r="KK84">
        <f t="shared" si="185"/>
        <v>93</v>
      </c>
      <c r="KN84">
        <v>1</v>
      </c>
      <c r="KO84" s="16">
        <v>2</v>
      </c>
      <c r="KS84" s="16"/>
    </row>
    <row r="85" spans="1:305" x14ac:dyDescent="0.25">
      <c r="A85" t="s">
        <v>563</v>
      </c>
      <c r="B85" t="s">
        <v>559</v>
      </c>
      <c r="C85" t="s">
        <v>464</v>
      </c>
      <c r="P85" t="s">
        <v>448</v>
      </c>
      <c r="T85" s="14" t="s">
        <v>520</v>
      </c>
      <c r="U85">
        <v>55</v>
      </c>
      <c r="V85" t="s">
        <v>569</v>
      </c>
      <c r="X85" t="str">
        <f>IF(COUNTIF(X$1:X84,X84)&gt;7,REPLACE(X84,LEN(X84),1,VALUE(RIGHT(X84,1))+1),X84)</f>
        <v>A3.8</v>
      </c>
      <c r="Y85" s="43" cm="1">
        <f t="array" ref="Y85">IF(COUNTIFS($X$2:$X85,$X85)=1,"1",VALUE(SUBSTITUTE(INDEX(Y:Y,_xlfn.XMATCH($X85,$X$1:$X84,0,-1)),"A",""))+INDEX(Z:Z,_xlfn.XMATCH($X85,$X$1:$X84,0,-1))+1)</f>
        <v>3</v>
      </c>
      <c r="Z85" s="43" cm="1">
        <f t="array" ref="Z85">SUM(IF(ISNUMBER(FIND("TmAi",$BE$1:$AAL$1)),IF(IFERROR(ISODD(SUBSTITUTE($BE85:$AAL85,"A","")),FALSE),IF(ISODD(SUBSTITUTE($BE85:$AAL85,"A","")),1,0),0)))</f>
        <v>0</v>
      </c>
      <c r="AA85" t="str">
        <f t="shared" si="176"/>
        <v>5B</v>
      </c>
      <c r="AB85" t="str">
        <f t="shared" si="177"/>
        <v>6B</v>
      </c>
      <c r="AP85" t="s">
        <v>137</v>
      </c>
      <c r="AS85" t="s">
        <v>366</v>
      </c>
      <c r="JZ85" s="27" t="str">
        <f t="shared" si="151"/>
        <v>XT55</v>
      </c>
      <c r="KC85" t="str">
        <f t="shared" si="152"/>
        <v>F0-AI8-5B</v>
      </c>
      <c r="KD85" t="str">
        <f t="shared" si="153"/>
        <v>F0-AI8-6B</v>
      </c>
      <c r="KI85" cm="1">
        <f t="array" ref="KI85">IF(COUNTIFS($U$2:$U85,$U85)=1,1,INDEX(KI:KI,_xlfn.XMATCH(U85,U$1:U84,0,-1))+COUNT(KI84:KM84))</f>
        <v>94</v>
      </c>
      <c r="KJ85">
        <f t="shared" ref="KJ85:KK85" si="186">KI85+1</f>
        <v>95</v>
      </c>
      <c r="KK85">
        <f t="shared" si="186"/>
        <v>96</v>
      </c>
      <c r="KN85">
        <v>1</v>
      </c>
      <c r="KO85" s="16">
        <v>2</v>
      </c>
      <c r="KS85" s="16"/>
    </row>
    <row r="86" spans="1:305" x14ac:dyDescent="0.25">
      <c r="A86" t="s">
        <v>564</v>
      </c>
      <c r="B86" t="s">
        <v>560</v>
      </c>
      <c r="C86" t="s">
        <v>464</v>
      </c>
      <c r="P86" t="s">
        <v>448</v>
      </c>
      <c r="T86" s="14" t="s">
        <v>520</v>
      </c>
      <c r="U86">
        <v>55</v>
      </c>
      <c r="V86" t="s">
        <v>570</v>
      </c>
      <c r="X86" t="str">
        <f>IF(COUNTIF(X$1:X85,X85)&gt;7,REPLACE(X85,LEN(X85),1,VALUE(RIGHT(X85,1))+1),X85)</f>
        <v>A3.8</v>
      </c>
      <c r="Y86" s="43" cm="1">
        <f t="array" ref="Y86">IF(COUNTIFS($X$2:$X86,$X86)=1,"1",VALUE(SUBSTITUTE(INDEX(Y:Y,_xlfn.XMATCH($X86,$X$1:$X85,0,-1)),"A",""))+INDEX(Z:Z,_xlfn.XMATCH($X86,$X$1:$X85,0,-1))+1)</f>
        <v>4</v>
      </c>
      <c r="Z86" s="43" cm="1">
        <f t="array" ref="Z86">SUM(IF(ISNUMBER(FIND("TmAi",$BE$1:$AAL$1)),IF(IFERROR(ISODD(SUBSTITUTE($BE86:$AAL86,"A","")),FALSE),IF(ISODD(SUBSTITUTE($BE86:$AAL86,"A","")),1,0),0)))</f>
        <v>0</v>
      </c>
      <c r="AA86" t="str">
        <f t="shared" si="176"/>
        <v>7B</v>
      </c>
      <c r="AB86" t="str">
        <f t="shared" si="177"/>
        <v>8B</v>
      </c>
      <c r="AP86" t="s">
        <v>137</v>
      </c>
      <c r="AS86" t="s">
        <v>366</v>
      </c>
      <c r="JZ86" s="27" t="str">
        <f t="shared" si="151"/>
        <v>XT55</v>
      </c>
      <c r="KC86" t="str">
        <f t="shared" si="152"/>
        <v>F0-AI8-7B</v>
      </c>
      <c r="KD86" t="str">
        <f t="shared" si="153"/>
        <v>F0-AI8-8B</v>
      </c>
      <c r="KI86" cm="1">
        <f t="array" ref="KI86">IF(COUNTIFS($U$2:$U86,$U86)=1,1,INDEX(KI:KI,_xlfn.XMATCH(U86,U$1:U85,0,-1))+COUNT(KI85:KM85))</f>
        <v>97</v>
      </c>
      <c r="KJ86">
        <f t="shared" ref="KJ86:KK86" si="187">KI86+1</f>
        <v>98</v>
      </c>
      <c r="KK86">
        <f t="shared" si="187"/>
        <v>99</v>
      </c>
      <c r="KN86">
        <v>1</v>
      </c>
      <c r="KO86" s="16">
        <v>2</v>
      </c>
      <c r="KS86" s="16"/>
    </row>
    <row r="87" spans="1:305" x14ac:dyDescent="0.25">
      <c r="A87" t="s">
        <v>565</v>
      </c>
      <c r="B87" t="s">
        <v>561</v>
      </c>
      <c r="C87" t="s">
        <v>464</v>
      </c>
      <c r="P87" t="s">
        <v>448</v>
      </c>
      <c r="T87" s="14" t="s">
        <v>520</v>
      </c>
      <c r="U87">
        <v>55</v>
      </c>
      <c r="V87" t="s">
        <v>571</v>
      </c>
      <c r="X87" t="str">
        <f>IF(COUNTIF(X$1:X86,X86)&gt;7,REPLACE(X86,LEN(X86),1,VALUE(RIGHT(X86,1))+1),X86)</f>
        <v>A3.8</v>
      </c>
      <c r="Y87" s="43" cm="1">
        <f t="array" ref="Y87">IF(COUNTIFS($X$2:$X87,$X87)=1,"1",VALUE(SUBSTITUTE(INDEX(Y:Y,_xlfn.XMATCH($X87,$X$1:$X86,0,-1)),"A",""))+INDEX(Z:Z,_xlfn.XMATCH($X87,$X$1:$X86,0,-1))+1)</f>
        <v>5</v>
      </c>
      <c r="Z87" s="43" cm="1">
        <f t="array" ref="Z87">SUM(IF(ISNUMBER(FIND("TmAi",$BE$1:$AAL$1)),IF(IFERROR(ISODD(SUBSTITUTE($BE87:$AAL87,"A","")),FALSE),IF(ISODD(SUBSTITUTE($BE87:$AAL87,"A","")),1,0),0)))</f>
        <v>0</v>
      </c>
      <c r="AA87" t="str">
        <f t="shared" si="176"/>
        <v>9B</v>
      </c>
      <c r="AB87" t="str">
        <f t="shared" si="177"/>
        <v>10B</v>
      </c>
      <c r="AP87" t="s">
        <v>137</v>
      </c>
      <c r="AS87" t="s">
        <v>366</v>
      </c>
      <c r="JZ87" s="27" t="str">
        <f t="shared" si="151"/>
        <v>XT55</v>
      </c>
      <c r="KC87" t="str">
        <f t="shared" si="152"/>
        <v>F0-AI8-9B</v>
      </c>
      <c r="KD87" t="str">
        <f t="shared" si="153"/>
        <v>F0-AI8-10B</v>
      </c>
      <c r="KI87" cm="1">
        <f t="array" ref="KI87">IF(COUNTIFS($U$2:$U87,$U87)=1,1,INDEX(KI:KI,_xlfn.XMATCH(U87,U$1:U86,0,-1))+COUNT(KI86:KM86))</f>
        <v>100</v>
      </c>
      <c r="KJ87">
        <f t="shared" ref="KJ87:KK87" si="188">KI87+1</f>
        <v>101</v>
      </c>
      <c r="KK87">
        <f t="shared" si="188"/>
        <v>102</v>
      </c>
      <c r="KN87">
        <v>1</v>
      </c>
      <c r="KO87" s="16">
        <v>2</v>
      </c>
      <c r="KS87" s="16"/>
    </row>
    <row r="88" spans="1:305" x14ac:dyDescent="0.25">
      <c r="A88" t="s">
        <v>566</v>
      </c>
      <c r="B88" t="s">
        <v>562</v>
      </c>
      <c r="C88" t="s">
        <v>464</v>
      </c>
      <c r="P88" t="s">
        <v>448</v>
      </c>
      <c r="T88" s="14" t="s">
        <v>520</v>
      </c>
      <c r="U88">
        <v>55</v>
      </c>
      <c r="V88" t="s">
        <v>572</v>
      </c>
      <c r="X88" t="str">
        <f>IF(COUNTIF(X$1:X87,X87)&gt;7,REPLACE(X87,LEN(X87),1,VALUE(RIGHT(X87,1))+1),X87)</f>
        <v>A3.8</v>
      </c>
      <c r="Y88" s="43" cm="1">
        <f t="array" ref="Y88">IF(COUNTIFS($X$2:$X88,$X88)=1,"1",VALUE(SUBSTITUTE(INDEX(Y:Y,_xlfn.XMATCH($X88,$X$1:$X87,0,-1)),"A",""))+INDEX(Z:Z,_xlfn.XMATCH($X88,$X$1:$X87,0,-1))+1)</f>
        <v>6</v>
      </c>
      <c r="Z88" s="43" cm="1">
        <f t="array" ref="Z88">SUM(IF(ISNUMBER(FIND("TmAi",$BE$1:$AAL$1)),IF(IFERROR(ISODD(SUBSTITUTE($BE88:$AAL88,"A","")),FALSE),IF(ISODD(SUBSTITUTE($BE88:$AAL88,"A","")),1,0),0)))</f>
        <v>0</v>
      </c>
      <c r="AA88" t="str">
        <f t="shared" si="176"/>
        <v>11B</v>
      </c>
      <c r="AB88" t="str">
        <f t="shared" si="177"/>
        <v>12B</v>
      </c>
      <c r="AP88" t="s">
        <v>137</v>
      </c>
      <c r="AS88" t="s">
        <v>366</v>
      </c>
      <c r="JZ88" s="27" t="str">
        <f t="shared" ref="JZ88:JZ119" si="189">CONCATENATE("XT",U88)</f>
        <v>XT55</v>
      </c>
      <c r="KC88" t="str">
        <f t="shared" ref="KC88:KC119" si="190">CONCATENATE(T88,"-AI",REPLACE($X88,1,3,""),"-",AA88)</f>
        <v>F0-AI8-11B</v>
      </c>
      <c r="KD88" t="str">
        <f t="shared" ref="KD88:KD119" si="191">CONCATENATE(T88,"-AI",REPLACE($X88,1,3,""),"-",AB88)</f>
        <v>F0-AI8-12B</v>
      </c>
      <c r="KI88" cm="1">
        <f t="array" ref="KI88">IF(COUNTIFS($U$2:$U88,$U88)=1,1,INDEX(KI:KI,_xlfn.XMATCH(U88,U$1:U87,0,-1))+COUNT(KI87:KM87))</f>
        <v>103</v>
      </c>
      <c r="KJ88">
        <f t="shared" ref="KJ88:KK88" si="192">KI88+1</f>
        <v>104</v>
      </c>
      <c r="KK88">
        <f t="shared" si="192"/>
        <v>105</v>
      </c>
      <c r="KN88">
        <v>1</v>
      </c>
      <c r="KO88" s="16">
        <v>2</v>
      </c>
      <c r="KS88" s="16"/>
    </row>
    <row r="89" spans="1:305" x14ac:dyDescent="0.25">
      <c r="A89" t="s">
        <v>574</v>
      </c>
      <c r="B89" t="s">
        <v>573</v>
      </c>
      <c r="C89" t="s">
        <v>497</v>
      </c>
      <c r="P89" t="s">
        <v>469</v>
      </c>
      <c r="T89" s="14" t="s">
        <v>520</v>
      </c>
      <c r="U89">
        <v>55</v>
      </c>
      <c r="V89" t="s">
        <v>575</v>
      </c>
      <c r="X89" s="33" t="s">
        <v>1584</v>
      </c>
      <c r="Y89" s="45" t="str" cm="1">
        <f t="array" ref="Y89">IF(COUNTIFS($X$2:$X89,$X89)=1,"1",VALUE(SUBSTITUTE(INDEX(Y:Y,_xlfn.XMATCH($X89,$X$1:$X88,0,-1)),"A",""))+INDEX(Z:Z,_xlfn.XMATCH($X89,$X$1:$X88,0,-1))+1)</f>
        <v>1</v>
      </c>
      <c r="Z89" s="43" cm="1">
        <f t="array" ref="Z89">SUM(IF(ISNUMBER(FIND("TmAi",$BE$1:$AAL$1)),IF(IFERROR(ISODD(SUBSTITUTE($BE89:$AAL89,"A","")),FALSE),IF(ISODD(SUBSTITUTE($BE89:$AAL89,"A","")),1,0),0)))</f>
        <v>0</v>
      </c>
      <c r="AA89" t="str">
        <f>CONCATENATE($Y89*2-1,"A")</f>
        <v>1A</v>
      </c>
      <c r="AB89" t="str">
        <f>CONCATENATE($Y89*2-1,"B")</f>
        <v>1B</v>
      </c>
      <c r="AP89" t="s">
        <v>137</v>
      </c>
      <c r="AS89" t="s">
        <v>366</v>
      </c>
      <c r="JZ89" s="27" t="str">
        <f t="shared" si="189"/>
        <v>XT55</v>
      </c>
      <c r="KC89" t="str">
        <f t="shared" si="190"/>
        <v>F0-AI9-1A</v>
      </c>
      <c r="KD89" t="str">
        <f t="shared" si="191"/>
        <v>F0-AI9-1B</v>
      </c>
      <c r="KG89" t="s">
        <v>454</v>
      </c>
      <c r="KH89" t="s">
        <v>453</v>
      </c>
      <c r="KI89" cm="1">
        <f t="array" ref="KI89">IF(COUNTIFS($U$2:$U89,$U89)=1,1,INDEX(KI:KI,_xlfn.XMATCH(U89,U$1:U88,0,-1))+COUNT(KI88:KM88))</f>
        <v>106</v>
      </c>
      <c r="KJ89">
        <f t="shared" ref="KJ89:KK89" si="193">KI89+1</f>
        <v>107</v>
      </c>
      <c r="KK89">
        <f t="shared" si="193"/>
        <v>108</v>
      </c>
      <c r="KL89">
        <f t="shared" ref="KL89" si="194">KK89+1</f>
        <v>109</v>
      </c>
      <c r="KM89">
        <f t="shared" ref="KM89" si="195">KL89+1</f>
        <v>110</v>
      </c>
      <c r="KN89" t="s">
        <v>513</v>
      </c>
      <c r="KO89" s="16" t="s">
        <v>514</v>
      </c>
      <c r="KP89" t="s">
        <v>513</v>
      </c>
      <c r="KQ89" t="s">
        <v>514</v>
      </c>
      <c r="KR89" t="s">
        <v>517</v>
      </c>
      <c r="KS89" s="16" t="s">
        <v>518</v>
      </c>
    </row>
    <row r="90" spans="1:305" x14ac:dyDescent="0.25">
      <c r="A90" t="s">
        <v>577</v>
      </c>
      <c r="B90" t="s">
        <v>576</v>
      </c>
      <c r="C90" t="s">
        <v>464</v>
      </c>
      <c r="P90" t="s">
        <v>448</v>
      </c>
      <c r="T90" s="14" t="s">
        <v>520</v>
      </c>
      <c r="U90">
        <v>55</v>
      </c>
      <c r="V90" t="s">
        <v>578</v>
      </c>
      <c r="X90" t="str">
        <f>IF(COUNTIF(X$1:X89,X89)&gt;7,REPLACE(X89,LEN(X89),1,VALUE(RIGHT(X89,1))+1),X89)</f>
        <v>A3.9</v>
      </c>
      <c r="Y90" s="43" cm="1">
        <f t="array" ref="Y90">IF(COUNTIFS($X$2:$X90,$X90)=1,"1",VALUE(SUBSTITUTE(INDEX(Y:Y,_xlfn.XMATCH($X90,$X$1:$X89,0,-1)),"A",""))+INDEX(Z:Z,_xlfn.XMATCH($X90,$X$1:$X89,0,-1))+1)</f>
        <v>2</v>
      </c>
      <c r="Z90" s="43" cm="1">
        <f t="array" ref="Z90">SUM(IF(ISNUMBER(FIND("TmAi",$BE$1:$AAL$1)),IF(IFERROR(ISODD(SUBSTITUTE($BE90:$AAL90,"A","")),FALSE),IF(ISODD(SUBSTITUTE($BE90:$AAL90,"A","")),1,0),0)))</f>
        <v>0</v>
      </c>
      <c r="AA90" t="str">
        <f t="shared" ref="AA90:AA153" si="196">CONCATENATE($Y90*2-1,"B")</f>
        <v>3B</v>
      </c>
      <c r="AB90" t="str">
        <f t="shared" ref="AB90:AB153" si="197">CONCATENATE($Y90*2,"B")</f>
        <v>4B</v>
      </c>
      <c r="AP90" t="s">
        <v>137</v>
      </c>
      <c r="AS90" t="s">
        <v>366</v>
      </c>
      <c r="JZ90" s="27" t="str">
        <f t="shared" si="189"/>
        <v>XT55</v>
      </c>
      <c r="KC90" t="str">
        <f t="shared" si="190"/>
        <v>F0-AI9-3B</v>
      </c>
      <c r="KD90" t="str">
        <f t="shared" si="191"/>
        <v>F0-AI9-4B</v>
      </c>
      <c r="KI90" cm="1">
        <f t="array" ref="KI90">IF(COUNTIFS($U$2:$U90,$U90)=1,1,INDEX(KI:KI,_xlfn.XMATCH(U90,U$1:U89,0,-1))+COUNT(KI89:KM89))</f>
        <v>111</v>
      </c>
      <c r="KJ90">
        <f t="shared" ref="KJ90:KK90" si="198">KI90+1</f>
        <v>112</v>
      </c>
      <c r="KK90">
        <f t="shared" si="198"/>
        <v>113</v>
      </c>
      <c r="KN90">
        <v>1</v>
      </c>
      <c r="KO90" s="16">
        <v>2</v>
      </c>
      <c r="KS90" s="16"/>
    </row>
    <row r="91" spans="1:305" x14ac:dyDescent="0.25">
      <c r="A91" t="s">
        <v>580</v>
      </c>
      <c r="B91" t="s">
        <v>579</v>
      </c>
      <c r="C91" t="s">
        <v>458</v>
      </c>
      <c r="P91" t="s">
        <v>448</v>
      </c>
      <c r="T91" s="14" t="s">
        <v>520</v>
      </c>
      <c r="U91">
        <v>55</v>
      </c>
      <c r="V91" t="s">
        <v>595</v>
      </c>
      <c r="X91" t="str">
        <f>IF(COUNTIF(X$1:X90,X90)&gt;7,REPLACE(X90,LEN(X90),1,VALUE(RIGHT(X90,1))+1),X90)</f>
        <v>A3.9</v>
      </c>
      <c r="Y91" s="43" cm="1">
        <f t="array" ref="Y91">IF(COUNTIFS($X$2:$X91,$X91)=1,"1",VALUE(SUBSTITUTE(INDEX(Y:Y,_xlfn.XMATCH($X91,$X$1:$X90,0,-1)),"A",""))+INDEX(Z:Z,_xlfn.XMATCH($X91,$X$1:$X90,0,-1))+1)</f>
        <v>3</v>
      </c>
      <c r="Z91" s="43" cm="1">
        <f t="array" ref="Z91">SUM(IF(ISNUMBER(FIND("TmAi",$BE$1:$AAL$1)),IF(IFERROR(ISODD(SUBSTITUTE($BE91:$AAL91,"A","")),FALSE),IF(ISODD(SUBSTITUTE($BE91:$AAL91,"A","")),1,0),0)))</f>
        <v>0</v>
      </c>
      <c r="AA91" t="str">
        <f t="shared" si="196"/>
        <v>5B</v>
      </c>
      <c r="AB91" t="str">
        <f t="shared" si="197"/>
        <v>6B</v>
      </c>
      <c r="AP91" t="s">
        <v>137</v>
      </c>
      <c r="AS91" t="s">
        <v>366</v>
      </c>
      <c r="JZ91" s="27" t="str">
        <f t="shared" si="189"/>
        <v>XT55</v>
      </c>
      <c r="KC91" t="str">
        <f t="shared" si="190"/>
        <v>F0-AI9-5B</v>
      </c>
      <c r="KD91" t="str">
        <f t="shared" si="191"/>
        <v>F0-AI9-6B</v>
      </c>
      <c r="KI91" cm="1">
        <f t="array" ref="KI91">IF(COUNTIFS($U$2:$U91,$U91)=1,1,INDEX(KI:KI,_xlfn.XMATCH(U91,U$1:U90,0,-1))+COUNT(KI90:KM90))</f>
        <v>114</v>
      </c>
      <c r="KJ91">
        <f t="shared" ref="KJ91:KK91" si="199">KI91+1</f>
        <v>115</v>
      </c>
      <c r="KK91">
        <f t="shared" si="199"/>
        <v>116</v>
      </c>
      <c r="KN91">
        <v>1</v>
      </c>
      <c r="KO91" s="16">
        <v>2</v>
      </c>
      <c r="KS91" s="16"/>
    </row>
    <row r="92" spans="1:305" x14ac:dyDescent="0.25">
      <c r="A92" t="s">
        <v>582</v>
      </c>
      <c r="B92" t="s">
        <v>581</v>
      </c>
      <c r="C92" t="s">
        <v>464</v>
      </c>
      <c r="P92" t="s">
        <v>448</v>
      </c>
      <c r="T92" s="14" t="s">
        <v>520</v>
      </c>
      <c r="U92">
        <v>55</v>
      </c>
      <c r="V92" t="s">
        <v>596</v>
      </c>
      <c r="X92" t="s">
        <v>1664</v>
      </c>
      <c r="Y92" s="43" t="str" cm="1">
        <f t="array" ref="Y92">IF(COUNTIFS($X$2:$X92,$X92)=1,"1",VALUE(SUBSTITUTE(INDEX(Y:Y,_xlfn.XMATCH($X92,$X$1:$X91,0,-1)),"A",""))+INDEX(Z:Z,_xlfn.XMATCH($X92,$X$1:$X91,0,-1))+1)</f>
        <v>1</v>
      </c>
      <c r="Z92" s="43" cm="1">
        <f t="array" ref="Z92">SUM(IF(ISNUMBER(FIND("TmAi",$BE$1:$AAL$1)),IF(IFERROR(ISODD(SUBSTITUTE($BE92:$AAL92,"A","")),FALSE),IF(ISODD(SUBSTITUTE($BE92:$AAL92,"A","")),1,0),0)))</f>
        <v>0</v>
      </c>
      <c r="AA92" t="str">
        <f t="shared" si="196"/>
        <v>1B</v>
      </c>
      <c r="AB92" t="str">
        <f t="shared" si="197"/>
        <v>2B</v>
      </c>
      <c r="AP92" t="s">
        <v>137</v>
      </c>
      <c r="AS92" t="s">
        <v>366</v>
      </c>
      <c r="JZ92" s="27" t="str">
        <f t="shared" si="189"/>
        <v>XT55</v>
      </c>
      <c r="KC92" t="str">
        <f t="shared" si="190"/>
        <v>F0-AI10-1B</v>
      </c>
      <c r="KD92" t="str">
        <f t="shared" si="191"/>
        <v>F0-AI10-2B</v>
      </c>
      <c r="KI92" cm="1">
        <f t="array" ref="KI92">IF(COUNTIFS($U$2:$U92,$U92)=1,1,INDEX(KI:KI,_xlfn.XMATCH(U92,U$1:U91,0,-1))+COUNT(KI91:KM91))</f>
        <v>117</v>
      </c>
      <c r="KJ92">
        <f t="shared" ref="KJ92:KK92" si="200">KI92+1</f>
        <v>118</v>
      </c>
      <c r="KK92">
        <f t="shared" si="200"/>
        <v>119</v>
      </c>
      <c r="KN92">
        <v>1</v>
      </c>
      <c r="KO92" s="16">
        <v>2</v>
      </c>
      <c r="KS92" s="16"/>
    </row>
    <row r="93" spans="1:305" x14ac:dyDescent="0.25">
      <c r="A93" t="s">
        <v>584</v>
      </c>
      <c r="B93" t="s">
        <v>583</v>
      </c>
      <c r="C93" t="s">
        <v>458</v>
      </c>
      <c r="P93" t="s">
        <v>448</v>
      </c>
      <c r="T93" s="14" t="s">
        <v>520</v>
      </c>
      <c r="U93">
        <v>55</v>
      </c>
      <c r="V93" t="s">
        <v>597</v>
      </c>
      <c r="X93" t="str">
        <f>IF(COUNTIF(X$1:X92,X92)&gt;7,REPLACE(X92,LEN(X92),1,VALUE(RIGHT(X92,1))+1),X92)</f>
        <v>A3.10</v>
      </c>
      <c r="Y93" s="43" cm="1">
        <f t="array" ref="Y93">IF(COUNTIFS($X$2:$X93,$X93)=1,"1",VALUE(SUBSTITUTE(INDEX(Y:Y,_xlfn.XMATCH($X93,$X$1:$X92,0,-1)),"A",""))+INDEX(Z:Z,_xlfn.XMATCH($X93,$X$1:$X92,0,-1))+1)</f>
        <v>2</v>
      </c>
      <c r="Z93" s="43" cm="1">
        <f t="array" ref="Z93">SUM(IF(ISNUMBER(FIND("TmAi",$BE$1:$AAL$1)),IF(IFERROR(ISODD(SUBSTITUTE($BE93:$AAL93,"A","")),FALSE),IF(ISODD(SUBSTITUTE($BE93:$AAL93,"A","")),1,0),0)))</f>
        <v>0</v>
      </c>
      <c r="AA93" t="str">
        <f t="shared" si="196"/>
        <v>3B</v>
      </c>
      <c r="AB93" t="str">
        <f t="shared" si="197"/>
        <v>4B</v>
      </c>
      <c r="AP93" t="s">
        <v>137</v>
      </c>
      <c r="AS93" t="s">
        <v>366</v>
      </c>
      <c r="JZ93" s="27" t="str">
        <f t="shared" si="189"/>
        <v>XT55</v>
      </c>
      <c r="KC93" t="str">
        <f t="shared" si="190"/>
        <v>F0-AI10-3B</v>
      </c>
      <c r="KD93" t="str">
        <f t="shared" si="191"/>
        <v>F0-AI10-4B</v>
      </c>
      <c r="KI93" cm="1">
        <f t="array" ref="KI93">IF(COUNTIFS($U$2:$U93,$U93)=1,1,INDEX(KI:KI,_xlfn.XMATCH(U93,U$1:U92,0,-1))+COUNT(KI92:KM92))</f>
        <v>120</v>
      </c>
      <c r="KJ93">
        <f t="shared" ref="KJ93:KJ113" si="201">KI93+1</f>
        <v>121</v>
      </c>
      <c r="KK93">
        <f t="shared" ref="KK93:KK113" si="202">KJ93+1</f>
        <v>122</v>
      </c>
      <c r="KN93">
        <v>1</v>
      </c>
      <c r="KO93" s="16">
        <v>2</v>
      </c>
      <c r="KS93" s="16"/>
    </row>
    <row r="94" spans="1:305" x14ac:dyDescent="0.25">
      <c r="A94" t="s">
        <v>586</v>
      </c>
      <c r="B94" t="s">
        <v>585</v>
      </c>
      <c r="C94" t="s">
        <v>464</v>
      </c>
      <c r="P94" t="s">
        <v>448</v>
      </c>
      <c r="T94" s="14" t="s">
        <v>520</v>
      </c>
      <c r="U94">
        <v>55</v>
      </c>
      <c r="V94" t="s">
        <v>598</v>
      </c>
      <c r="X94" t="str">
        <f>IF(COUNTIF(X$1:X93,X93)&gt;7,REPLACE(X93,LEN(X93),1,VALUE(RIGHT(X93,1))+1),X93)</f>
        <v>A3.10</v>
      </c>
      <c r="Y94" s="43" cm="1">
        <f t="array" ref="Y94">IF(COUNTIFS($X$2:$X94,$X94)=1,"1",VALUE(SUBSTITUTE(INDEX(Y:Y,_xlfn.XMATCH($X94,$X$1:$X93,0,-1)),"A",""))+INDEX(Z:Z,_xlfn.XMATCH($X94,$X$1:$X93,0,-1))+1)</f>
        <v>3</v>
      </c>
      <c r="Z94" s="43" cm="1">
        <f t="array" ref="Z94">SUM(IF(ISNUMBER(FIND("TmAi",$BE$1:$AAL$1)),IF(IFERROR(ISODD(SUBSTITUTE($BE94:$AAL94,"A","")),FALSE),IF(ISODD(SUBSTITUTE($BE94:$AAL94,"A","")),1,0),0)))</f>
        <v>0</v>
      </c>
      <c r="AA94" t="str">
        <f t="shared" si="196"/>
        <v>5B</v>
      </c>
      <c r="AB94" t="str">
        <f t="shared" si="197"/>
        <v>6B</v>
      </c>
      <c r="AP94" t="s">
        <v>137</v>
      </c>
      <c r="AS94" t="s">
        <v>366</v>
      </c>
      <c r="JZ94" s="27" t="str">
        <f t="shared" si="189"/>
        <v>XT55</v>
      </c>
      <c r="KC94" t="str">
        <f t="shared" si="190"/>
        <v>F0-AI10-5B</v>
      </c>
      <c r="KD94" t="str">
        <f t="shared" si="191"/>
        <v>F0-AI10-6B</v>
      </c>
      <c r="KI94" cm="1">
        <f t="array" ref="KI94">IF(COUNTIFS($U$2:$U94,$U94)=1,1,INDEX(KI:KI,_xlfn.XMATCH(U94,U$1:U93,0,-1))+COUNT(KI93:KM93))</f>
        <v>123</v>
      </c>
      <c r="KJ94">
        <f t="shared" si="201"/>
        <v>124</v>
      </c>
      <c r="KK94">
        <f t="shared" si="202"/>
        <v>125</v>
      </c>
      <c r="KN94">
        <v>1</v>
      </c>
      <c r="KO94" s="16">
        <v>2</v>
      </c>
      <c r="KS94" s="16"/>
    </row>
    <row r="95" spans="1:305" x14ac:dyDescent="0.25">
      <c r="A95" t="s">
        <v>588</v>
      </c>
      <c r="B95" t="s">
        <v>587</v>
      </c>
      <c r="C95" t="s">
        <v>458</v>
      </c>
      <c r="P95" t="s">
        <v>448</v>
      </c>
      <c r="T95" s="14" t="s">
        <v>520</v>
      </c>
      <c r="U95">
        <v>55</v>
      </c>
      <c r="V95" t="s">
        <v>599</v>
      </c>
      <c r="X95" t="str">
        <f>IF(COUNTIF(X$1:X94,X94)&gt;7,REPLACE(X94,LEN(X94),1,VALUE(RIGHT(X94,1))+1),X94)</f>
        <v>A3.10</v>
      </c>
      <c r="Y95" s="43" cm="1">
        <f t="array" ref="Y95">IF(COUNTIFS($X$2:$X95,$X95)=1,"1",VALUE(SUBSTITUTE(INDEX(Y:Y,_xlfn.XMATCH($X95,$X$1:$X94,0,-1)),"A",""))+INDEX(Z:Z,_xlfn.XMATCH($X95,$X$1:$X94,0,-1))+1)</f>
        <v>4</v>
      </c>
      <c r="Z95" s="43" cm="1">
        <f t="array" ref="Z95">SUM(IF(ISNUMBER(FIND("TmAi",$BE$1:$AAL$1)),IF(IFERROR(ISODD(SUBSTITUTE($BE95:$AAL95,"A","")),FALSE),IF(ISODD(SUBSTITUTE($BE95:$AAL95,"A","")),1,0),0)))</f>
        <v>0</v>
      </c>
      <c r="AA95" t="str">
        <f t="shared" si="196"/>
        <v>7B</v>
      </c>
      <c r="AB95" t="str">
        <f t="shared" si="197"/>
        <v>8B</v>
      </c>
      <c r="AP95" t="s">
        <v>137</v>
      </c>
      <c r="AS95" t="s">
        <v>366</v>
      </c>
      <c r="JZ95" s="27" t="str">
        <f t="shared" si="189"/>
        <v>XT55</v>
      </c>
      <c r="KC95" t="str">
        <f t="shared" si="190"/>
        <v>F0-AI10-7B</v>
      </c>
      <c r="KD95" t="str">
        <f t="shared" si="191"/>
        <v>F0-AI10-8B</v>
      </c>
      <c r="KI95" cm="1">
        <f t="array" ref="KI95">IF(COUNTIFS($U$2:$U95,$U95)=1,1,INDEX(KI:KI,_xlfn.XMATCH(U95,U$1:U94,0,-1))+COUNT(KI94:KM94))</f>
        <v>126</v>
      </c>
      <c r="KJ95">
        <f t="shared" si="201"/>
        <v>127</v>
      </c>
      <c r="KK95">
        <f t="shared" si="202"/>
        <v>128</v>
      </c>
      <c r="KN95">
        <v>1</v>
      </c>
      <c r="KO95" s="16">
        <v>2</v>
      </c>
      <c r="KS95" s="16"/>
    </row>
    <row r="96" spans="1:305" x14ac:dyDescent="0.25">
      <c r="A96" t="s">
        <v>590</v>
      </c>
      <c r="B96" t="s">
        <v>589</v>
      </c>
      <c r="C96" t="s">
        <v>464</v>
      </c>
      <c r="P96" t="s">
        <v>448</v>
      </c>
      <c r="T96" s="14" t="s">
        <v>520</v>
      </c>
      <c r="U96">
        <v>55</v>
      </c>
      <c r="V96" t="s">
        <v>600</v>
      </c>
      <c r="X96" t="str">
        <f>IF(COUNTIF(X$1:X95,X95)&gt;7,REPLACE(X95,LEN(X95),1,VALUE(RIGHT(X95,1))+1),X95)</f>
        <v>A3.10</v>
      </c>
      <c r="Y96" s="43" cm="1">
        <f t="array" ref="Y96">IF(COUNTIFS($X$2:$X96,$X96)=1,"1",VALUE(SUBSTITUTE(INDEX(Y:Y,_xlfn.XMATCH($X96,$X$1:$X95,0,-1)),"A",""))+INDEX(Z:Z,_xlfn.XMATCH($X96,$X$1:$X95,0,-1))+1)</f>
        <v>5</v>
      </c>
      <c r="Z96" s="43" cm="1">
        <f t="array" ref="Z96">SUM(IF(ISNUMBER(FIND("TmAi",$BE$1:$AAL$1)),IF(IFERROR(ISODD(SUBSTITUTE($BE96:$AAL96,"A","")),FALSE),IF(ISODD(SUBSTITUTE($BE96:$AAL96,"A","")),1,0),0)))</f>
        <v>0</v>
      </c>
      <c r="AA96" t="str">
        <f t="shared" si="196"/>
        <v>9B</v>
      </c>
      <c r="AB96" t="str">
        <f t="shared" si="197"/>
        <v>10B</v>
      </c>
      <c r="AP96" t="s">
        <v>137</v>
      </c>
      <c r="AS96" t="s">
        <v>366</v>
      </c>
      <c r="JZ96" s="27" t="str">
        <f t="shared" si="189"/>
        <v>XT55</v>
      </c>
      <c r="KC96" t="str">
        <f t="shared" si="190"/>
        <v>F0-AI10-9B</v>
      </c>
      <c r="KD96" t="str">
        <f t="shared" si="191"/>
        <v>F0-AI10-10B</v>
      </c>
      <c r="KI96" cm="1">
        <f t="array" ref="KI96">IF(COUNTIFS($U$2:$U96,$U96)=1,1,INDEX(KI:KI,_xlfn.XMATCH(U96,U$1:U95,0,-1))+COUNT(KI95:KM95))</f>
        <v>129</v>
      </c>
      <c r="KJ96">
        <f t="shared" si="201"/>
        <v>130</v>
      </c>
      <c r="KK96">
        <f t="shared" si="202"/>
        <v>131</v>
      </c>
      <c r="KN96">
        <v>1</v>
      </c>
      <c r="KO96" s="16">
        <v>2</v>
      </c>
      <c r="KS96" s="16"/>
    </row>
    <row r="97" spans="1:305" x14ac:dyDescent="0.25">
      <c r="A97" t="s">
        <v>592</v>
      </c>
      <c r="B97" t="s">
        <v>591</v>
      </c>
      <c r="C97" t="s">
        <v>458</v>
      </c>
      <c r="P97" t="s">
        <v>448</v>
      </c>
      <c r="T97" s="14" t="s">
        <v>520</v>
      </c>
      <c r="U97">
        <v>55</v>
      </c>
      <c r="V97" t="s">
        <v>601</v>
      </c>
      <c r="X97" s="33" t="str">
        <f>IF(COUNTIF(X$1:X96,X96)&gt;7,REPLACE(X96,LEN(X96),1,VALUE(RIGHT(X96,1))+1),X96)</f>
        <v>A3.10</v>
      </c>
      <c r="Y97" s="45" cm="1">
        <f t="array" ref="Y97">IF(COUNTIFS($X$2:$X97,$X97)=1,"1",VALUE(SUBSTITUTE(INDEX(Y:Y,_xlfn.XMATCH($X97,$X$1:$X96,0,-1)),"A",""))+INDEX(Z:Z,_xlfn.XMATCH($X97,$X$1:$X96,0,-1))+1)</f>
        <v>6</v>
      </c>
      <c r="Z97" s="43" cm="1">
        <f t="array" ref="Z97">SUM(IF(ISNUMBER(FIND("TmAi",$BE$1:$AAL$1)),IF(IFERROR(ISODD(SUBSTITUTE($BE97:$AAL97,"A","")),FALSE),IF(ISODD(SUBSTITUTE($BE97:$AAL97,"A","")),1,0),0)))</f>
        <v>0</v>
      </c>
      <c r="AA97" t="str">
        <f t="shared" si="196"/>
        <v>11B</v>
      </c>
      <c r="AB97" t="str">
        <f t="shared" si="197"/>
        <v>12B</v>
      </c>
      <c r="AP97" t="s">
        <v>137</v>
      </c>
      <c r="AS97" t="s">
        <v>366</v>
      </c>
      <c r="JZ97" s="27" t="str">
        <f t="shared" si="189"/>
        <v>XT55</v>
      </c>
      <c r="KC97" t="str">
        <f t="shared" si="190"/>
        <v>F0-AI10-11B</v>
      </c>
      <c r="KD97" t="str">
        <f t="shared" si="191"/>
        <v>F0-AI10-12B</v>
      </c>
      <c r="KI97" cm="1">
        <f t="array" ref="KI97">IF(COUNTIFS($U$2:$U97,$U97)=1,1,INDEX(KI:KI,_xlfn.XMATCH(U97,U$1:U96,0,-1))+COUNT(KI96:KM96))</f>
        <v>132</v>
      </c>
      <c r="KJ97">
        <f t="shared" si="201"/>
        <v>133</v>
      </c>
      <c r="KK97">
        <f t="shared" si="202"/>
        <v>134</v>
      </c>
      <c r="KN97">
        <v>1</v>
      </c>
      <c r="KO97" s="16">
        <v>2</v>
      </c>
      <c r="KS97" s="16"/>
    </row>
    <row r="98" spans="1:305" x14ac:dyDescent="0.25">
      <c r="A98" t="s">
        <v>594</v>
      </c>
      <c r="B98" t="s">
        <v>593</v>
      </c>
      <c r="C98" t="s">
        <v>464</v>
      </c>
      <c r="P98" t="s">
        <v>448</v>
      </c>
      <c r="T98" s="14" t="s">
        <v>520</v>
      </c>
      <c r="U98">
        <v>55</v>
      </c>
      <c r="V98" t="s">
        <v>602</v>
      </c>
      <c r="X98" t="str">
        <f>IF(COUNTIF(X$1:X97,X97)&gt;7,REPLACE(X97,LEN(X97),1,VALUE(RIGHT(X97,1))+1),X97)</f>
        <v>A3.10</v>
      </c>
      <c r="Y98" s="43" cm="1">
        <f t="array" ref="Y98">IF(COUNTIFS($X$2:$X98,$X98)=1,"1",VALUE(SUBSTITUTE(INDEX(Y:Y,_xlfn.XMATCH($X98,$X$1:$X97,0,-1)),"A",""))+INDEX(Z:Z,_xlfn.XMATCH($X98,$X$1:$X97,0,-1))+1)</f>
        <v>7</v>
      </c>
      <c r="Z98" s="43" cm="1">
        <f t="array" ref="Z98">SUM(IF(ISNUMBER(FIND("TmAi",$BE$1:$AAL$1)),IF(IFERROR(ISODD(SUBSTITUTE($BE98:$AAL98,"A","")),FALSE),IF(ISODD(SUBSTITUTE($BE98:$AAL98,"A","")),1,0),0)))</f>
        <v>0</v>
      </c>
      <c r="AA98" t="str">
        <f t="shared" si="196"/>
        <v>13B</v>
      </c>
      <c r="AB98" t="str">
        <f t="shared" si="197"/>
        <v>14B</v>
      </c>
      <c r="AP98" t="s">
        <v>137</v>
      </c>
      <c r="AS98" t="s">
        <v>366</v>
      </c>
      <c r="JZ98" s="27" t="str">
        <f t="shared" si="189"/>
        <v>XT55</v>
      </c>
      <c r="KC98" t="str">
        <f t="shared" si="190"/>
        <v>F0-AI10-13B</v>
      </c>
      <c r="KD98" t="str">
        <f t="shared" si="191"/>
        <v>F0-AI10-14B</v>
      </c>
      <c r="KI98" cm="1">
        <f t="array" ref="KI98">IF(COUNTIFS($U$2:$U98,$U98)=1,1,INDEX(KI:KI,_xlfn.XMATCH(U98,U$1:U97,0,-1))+COUNT(KI97:KM97))</f>
        <v>135</v>
      </c>
      <c r="KJ98">
        <f t="shared" si="201"/>
        <v>136</v>
      </c>
      <c r="KK98">
        <f t="shared" si="202"/>
        <v>137</v>
      </c>
      <c r="KN98">
        <v>1</v>
      </c>
      <c r="KO98" s="16">
        <v>2</v>
      </c>
      <c r="KS98" s="16"/>
    </row>
    <row r="99" spans="1:305" x14ac:dyDescent="0.25">
      <c r="A99" t="s">
        <v>604</v>
      </c>
      <c r="B99" t="s">
        <v>603</v>
      </c>
      <c r="C99" t="s">
        <v>458</v>
      </c>
      <c r="P99" t="s">
        <v>448</v>
      </c>
      <c r="T99" s="14" t="s">
        <v>520</v>
      </c>
      <c r="U99">
        <v>55</v>
      </c>
      <c r="V99" t="s">
        <v>621</v>
      </c>
      <c r="X99" t="str">
        <f>IF(COUNTIF(X$1:X98,X98)&gt;7,REPLACE(X98,LEN(X98),1,VALUE(RIGHT(X98,1))+1),X98)</f>
        <v>A3.10</v>
      </c>
      <c r="Y99" s="43" cm="1">
        <f t="array" ref="Y99">IF(COUNTIFS($X$2:$X99,$X99)=1,"1",VALUE(SUBSTITUTE(INDEX(Y:Y,_xlfn.XMATCH($X99,$X$1:$X98,0,-1)),"A",""))+INDEX(Z:Z,_xlfn.XMATCH($X99,$X$1:$X98,0,-1))+1)</f>
        <v>8</v>
      </c>
      <c r="Z99" s="43" cm="1">
        <f t="array" ref="Z99">SUM(IF(ISNUMBER(FIND("TmAi",$BE$1:$AAL$1)),IF(IFERROR(ISODD(SUBSTITUTE($BE99:$AAL99,"A","")),FALSE),IF(ISODD(SUBSTITUTE($BE99:$AAL99,"A","")),1,0),0)))</f>
        <v>0</v>
      </c>
      <c r="AA99" t="str">
        <f t="shared" si="196"/>
        <v>15B</v>
      </c>
      <c r="AB99" t="str">
        <f t="shared" si="197"/>
        <v>16B</v>
      </c>
      <c r="AP99" t="s">
        <v>137</v>
      </c>
      <c r="AS99" t="s">
        <v>366</v>
      </c>
      <c r="JZ99" s="27" t="str">
        <f t="shared" si="189"/>
        <v>XT55</v>
      </c>
      <c r="KC99" t="str">
        <f t="shared" si="190"/>
        <v>F0-AI10-15B</v>
      </c>
      <c r="KD99" t="str">
        <f t="shared" si="191"/>
        <v>F0-AI10-16B</v>
      </c>
      <c r="KI99" cm="1">
        <f t="array" ref="KI99">IF(COUNTIFS($U$2:$U99,$U99)=1,1,INDEX(KI:KI,_xlfn.XMATCH(U99,U$1:U98,0,-1))+COUNT(KI98:KM98))</f>
        <v>138</v>
      </c>
      <c r="KJ99">
        <f t="shared" si="201"/>
        <v>139</v>
      </c>
      <c r="KK99">
        <f t="shared" si="202"/>
        <v>140</v>
      </c>
      <c r="KN99">
        <v>1</v>
      </c>
      <c r="KO99" s="16">
        <v>2</v>
      </c>
      <c r="KS99" s="16"/>
    </row>
    <row r="100" spans="1:305" x14ac:dyDescent="0.25">
      <c r="A100" t="s">
        <v>606</v>
      </c>
      <c r="B100" t="s">
        <v>605</v>
      </c>
      <c r="C100" t="s">
        <v>464</v>
      </c>
      <c r="P100" t="s">
        <v>448</v>
      </c>
      <c r="T100" s="14" t="s">
        <v>520</v>
      </c>
      <c r="U100">
        <v>55</v>
      </c>
      <c r="V100" t="s">
        <v>622</v>
      </c>
      <c r="X100" t="str">
        <f>IF(COUNTIF(X$1:X99,X99)&gt;7,REPLACE(X99,LEN(X99),1,VALUE(RIGHT(X99,1))+1),X99)</f>
        <v>A3.11</v>
      </c>
      <c r="Y100" s="43" t="str" cm="1">
        <f t="array" ref="Y100">IF(COUNTIFS($X$2:$X100,$X100)=1,"1",VALUE(SUBSTITUTE(INDEX(Y:Y,_xlfn.XMATCH($X100,$X$1:$X99,0,-1)),"A",""))+INDEX(Z:Z,_xlfn.XMATCH($X100,$X$1:$X99,0,-1))+1)</f>
        <v>1</v>
      </c>
      <c r="Z100" s="43" cm="1">
        <f t="array" ref="Z100">SUM(IF(ISNUMBER(FIND("TmAi",$BE$1:$AAL$1)),IF(IFERROR(ISODD(SUBSTITUTE($BE100:$AAL100,"A","")),FALSE),IF(ISODD(SUBSTITUTE($BE100:$AAL100,"A","")),1,0),0)))</f>
        <v>0</v>
      </c>
      <c r="AA100" t="str">
        <f t="shared" si="196"/>
        <v>1B</v>
      </c>
      <c r="AB100" t="str">
        <f t="shared" si="197"/>
        <v>2B</v>
      </c>
      <c r="AP100" t="s">
        <v>137</v>
      </c>
      <c r="AS100" t="s">
        <v>366</v>
      </c>
      <c r="JZ100" s="27" t="str">
        <f t="shared" si="189"/>
        <v>XT55</v>
      </c>
      <c r="KC100" t="str">
        <f t="shared" si="190"/>
        <v>F0-AI11-1B</v>
      </c>
      <c r="KD100" t="str">
        <f t="shared" si="191"/>
        <v>F0-AI11-2B</v>
      </c>
      <c r="KI100" cm="1">
        <f t="array" ref="KI100">IF(COUNTIFS($U$2:$U100,$U100)=1,1,INDEX(KI:KI,_xlfn.XMATCH(U100,U$1:U99,0,-1))+COUNT(KI99:KM99))</f>
        <v>141</v>
      </c>
      <c r="KJ100">
        <f t="shared" si="201"/>
        <v>142</v>
      </c>
      <c r="KK100">
        <f t="shared" si="202"/>
        <v>143</v>
      </c>
      <c r="KN100">
        <v>1</v>
      </c>
      <c r="KO100" s="16">
        <v>2</v>
      </c>
      <c r="KS100" s="16"/>
    </row>
    <row r="101" spans="1:305" x14ac:dyDescent="0.25">
      <c r="A101" t="s">
        <v>608</v>
      </c>
      <c r="B101" t="s">
        <v>607</v>
      </c>
      <c r="C101" t="s">
        <v>458</v>
      </c>
      <c r="P101" t="s">
        <v>448</v>
      </c>
      <c r="T101" s="14" t="s">
        <v>520</v>
      </c>
      <c r="U101">
        <v>55</v>
      </c>
      <c r="V101" t="s">
        <v>623</v>
      </c>
      <c r="X101" t="str">
        <f>IF(COUNTIF(X$1:X100,X100)&gt;7,REPLACE(X100,LEN(X100),1,VALUE(RIGHT(X100,1))+1),X100)</f>
        <v>A3.11</v>
      </c>
      <c r="Y101" s="43" cm="1">
        <f t="array" ref="Y101">IF(COUNTIFS($X$2:$X101,$X101)=1,"1",VALUE(SUBSTITUTE(INDEX(Y:Y,_xlfn.XMATCH($X101,$X$1:$X100,0,-1)),"A",""))+INDEX(Z:Z,_xlfn.XMATCH($X101,$X$1:$X100,0,-1))+1)</f>
        <v>2</v>
      </c>
      <c r="Z101" s="43" cm="1">
        <f t="array" ref="Z101">SUM(IF(ISNUMBER(FIND("TmAi",$BE$1:$AAL$1)),IF(IFERROR(ISODD(SUBSTITUTE($BE101:$AAL101,"A","")),FALSE),IF(ISODD(SUBSTITUTE($BE101:$AAL101,"A","")),1,0),0)))</f>
        <v>0</v>
      </c>
      <c r="AA101" t="str">
        <f t="shared" si="196"/>
        <v>3B</v>
      </c>
      <c r="AB101" t="str">
        <f t="shared" si="197"/>
        <v>4B</v>
      </c>
      <c r="AP101" t="s">
        <v>137</v>
      </c>
      <c r="AS101" t="s">
        <v>366</v>
      </c>
      <c r="JZ101" s="27" t="str">
        <f t="shared" si="189"/>
        <v>XT55</v>
      </c>
      <c r="KC101" t="str">
        <f t="shared" si="190"/>
        <v>F0-AI11-3B</v>
      </c>
      <c r="KD101" t="str">
        <f t="shared" si="191"/>
        <v>F0-AI11-4B</v>
      </c>
      <c r="KI101" cm="1">
        <f t="array" ref="KI101">IF(COUNTIFS($U$2:$U101,$U101)=1,1,INDEX(KI:KI,_xlfn.XMATCH(U101,U$1:U100,0,-1))+COUNT(KI100:KM100))</f>
        <v>144</v>
      </c>
      <c r="KJ101">
        <f t="shared" si="201"/>
        <v>145</v>
      </c>
      <c r="KK101">
        <f t="shared" si="202"/>
        <v>146</v>
      </c>
      <c r="KN101">
        <v>1</v>
      </c>
      <c r="KO101" s="16">
        <v>2</v>
      </c>
      <c r="KS101" s="16"/>
    </row>
    <row r="102" spans="1:305" x14ac:dyDescent="0.25">
      <c r="A102" t="s">
        <v>610</v>
      </c>
      <c r="B102" t="s">
        <v>609</v>
      </c>
      <c r="C102" t="s">
        <v>464</v>
      </c>
      <c r="P102" t="s">
        <v>448</v>
      </c>
      <c r="T102" s="14" t="s">
        <v>520</v>
      </c>
      <c r="U102">
        <v>55</v>
      </c>
      <c r="V102" t="s">
        <v>624</v>
      </c>
      <c r="X102" t="str">
        <f>IF(COUNTIF(X$1:X101,X101)&gt;7,REPLACE(X101,LEN(X101),1,VALUE(RIGHT(X101,1))+1),X101)</f>
        <v>A3.11</v>
      </c>
      <c r="Y102" s="43" cm="1">
        <f t="array" ref="Y102">IF(COUNTIFS($X$2:$X102,$X102)=1,"1",VALUE(SUBSTITUTE(INDEX(Y:Y,_xlfn.XMATCH($X102,$X$1:$X101,0,-1)),"A",""))+INDEX(Z:Z,_xlfn.XMATCH($X102,$X$1:$X101,0,-1))+1)</f>
        <v>3</v>
      </c>
      <c r="Z102" s="43" cm="1">
        <f t="array" ref="Z102">SUM(IF(ISNUMBER(FIND("TmAi",$BE$1:$AAL$1)),IF(IFERROR(ISODD(SUBSTITUTE($BE102:$AAL102,"A","")),FALSE),IF(ISODD(SUBSTITUTE($BE102:$AAL102,"A","")),1,0),0)))</f>
        <v>0</v>
      </c>
      <c r="AA102" t="str">
        <f t="shared" si="196"/>
        <v>5B</v>
      </c>
      <c r="AB102" t="str">
        <f t="shared" si="197"/>
        <v>6B</v>
      </c>
      <c r="AP102" t="s">
        <v>137</v>
      </c>
      <c r="AS102" t="s">
        <v>366</v>
      </c>
      <c r="JZ102" s="27" t="str">
        <f t="shared" si="189"/>
        <v>XT55</v>
      </c>
      <c r="KC102" t="str">
        <f t="shared" si="190"/>
        <v>F0-AI11-5B</v>
      </c>
      <c r="KD102" t="str">
        <f t="shared" si="191"/>
        <v>F0-AI11-6B</v>
      </c>
      <c r="KI102" cm="1">
        <f t="array" ref="KI102">IF(COUNTIFS($U$2:$U102,$U102)=1,1,INDEX(KI:KI,_xlfn.XMATCH(U102,U$1:U101,0,-1))+COUNT(KI101:KM101))</f>
        <v>147</v>
      </c>
      <c r="KJ102">
        <f t="shared" si="201"/>
        <v>148</v>
      </c>
      <c r="KK102">
        <f t="shared" si="202"/>
        <v>149</v>
      </c>
      <c r="KN102">
        <v>1</v>
      </c>
      <c r="KO102" s="16">
        <v>2</v>
      </c>
      <c r="KS102" s="16"/>
    </row>
    <row r="103" spans="1:305" x14ac:dyDescent="0.25">
      <c r="A103" t="s">
        <v>612</v>
      </c>
      <c r="B103" t="s">
        <v>611</v>
      </c>
      <c r="C103" t="s">
        <v>458</v>
      </c>
      <c r="P103" t="s">
        <v>448</v>
      </c>
      <c r="T103" s="14" t="s">
        <v>520</v>
      </c>
      <c r="U103">
        <v>55</v>
      </c>
      <c r="V103" t="s">
        <v>625</v>
      </c>
      <c r="X103" t="str">
        <f>IF(COUNTIF(X$1:X102,X102)&gt;7,REPLACE(X102,LEN(X102),1,VALUE(RIGHT(X102,1))+1),X102)</f>
        <v>A3.11</v>
      </c>
      <c r="Y103" s="43" cm="1">
        <f t="array" ref="Y103">IF(COUNTIFS($X$2:$X103,$X103)=1,"1",VALUE(SUBSTITUTE(INDEX(Y:Y,_xlfn.XMATCH($X103,$X$1:$X102,0,-1)),"A",""))+INDEX(Z:Z,_xlfn.XMATCH($X103,$X$1:$X102,0,-1))+1)</f>
        <v>4</v>
      </c>
      <c r="Z103" s="43" cm="1">
        <f t="array" ref="Z103">SUM(IF(ISNUMBER(FIND("TmAi",$BE$1:$AAL$1)),IF(IFERROR(ISODD(SUBSTITUTE($BE103:$AAL103,"A","")),FALSE),IF(ISODD(SUBSTITUTE($BE103:$AAL103,"A","")),1,0),0)))</f>
        <v>0</v>
      </c>
      <c r="AA103" t="str">
        <f t="shared" si="196"/>
        <v>7B</v>
      </c>
      <c r="AB103" t="str">
        <f t="shared" si="197"/>
        <v>8B</v>
      </c>
      <c r="AP103" t="s">
        <v>137</v>
      </c>
      <c r="AS103" t="s">
        <v>366</v>
      </c>
      <c r="JZ103" s="27" t="str">
        <f t="shared" si="189"/>
        <v>XT55</v>
      </c>
      <c r="KC103" t="str">
        <f t="shared" si="190"/>
        <v>F0-AI11-7B</v>
      </c>
      <c r="KD103" t="str">
        <f t="shared" si="191"/>
        <v>F0-AI11-8B</v>
      </c>
      <c r="KI103" cm="1">
        <f t="array" ref="KI103">IF(COUNTIFS($U$2:$U103,$U103)=1,1,INDEX(KI:KI,_xlfn.XMATCH(U103,U$1:U102,0,-1))+COUNT(KI102:KM102))</f>
        <v>150</v>
      </c>
      <c r="KJ103">
        <f t="shared" si="201"/>
        <v>151</v>
      </c>
      <c r="KK103">
        <f t="shared" si="202"/>
        <v>152</v>
      </c>
      <c r="KN103">
        <v>1</v>
      </c>
      <c r="KO103" s="16">
        <v>2</v>
      </c>
      <c r="KS103" s="16"/>
    </row>
    <row r="104" spans="1:305" x14ac:dyDescent="0.25">
      <c r="A104" t="s">
        <v>614</v>
      </c>
      <c r="B104" t="s">
        <v>613</v>
      </c>
      <c r="C104" t="s">
        <v>464</v>
      </c>
      <c r="P104" t="s">
        <v>448</v>
      </c>
      <c r="T104" s="14" t="s">
        <v>520</v>
      </c>
      <c r="U104">
        <v>55</v>
      </c>
      <c r="V104" t="s">
        <v>626</v>
      </c>
      <c r="X104" t="str">
        <f>IF(COUNTIF(X$1:X103,X103)&gt;7,REPLACE(X103,LEN(X103),1,VALUE(RIGHT(X103,1))+1),X103)</f>
        <v>A3.11</v>
      </c>
      <c r="Y104" s="43" cm="1">
        <f t="array" ref="Y104">IF(COUNTIFS($X$2:$X104,$X104)=1,"1",VALUE(SUBSTITUTE(INDEX(Y:Y,_xlfn.XMATCH($X104,$X$1:$X103,0,-1)),"A",""))+INDEX(Z:Z,_xlfn.XMATCH($X104,$X$1:$X103,0,-1))+1)</f>
        <v>5</v>
      </c>
      <c r="Z104" s="43" cm="1">
        <f t="array" ref="Z104">SUM(IF(ISNUMBER(FIND("TmAi",$BE$1:$AAL$1)),IF(IFERROR(ISODD(SUBSTITUTE($BE104:$AAL104,"A","")),FALSE),IF(ISODD(SUBSTITUTE($BE104:$AAL104,"A","")),1,0),0)))</f>
        <v>0</v>
      </c>
      <c r="AA104" t="str">
        <f t="shared" si="196"/>
        <v>9B</v>
      </c>
      <c r="AB104" t="str">
        <f t="shared" si="197"/>
        <v>10B</v>
      </c>
      <c r="AP104" t="s">
        <v>137</v>
      </c>
      <c r="AS104" t="s">
        <v>366</v>
      </c>
      <c r="JZ104" s="27" t="str">
        <f t="shared" si="189"/>
        <v>XT55</v>
      </c>
      <c r="KC104" t="str">
        <f t="shared" si="190"/>
        <v>F0-AI11-9B</v>
      </c>
      <c r="KD104" t="str">
        <f t="shared" si="191"/>
        <v>F0-AI11-10B</v>
      </c>
      <c r="KI104" cm="1">
        <f t="array" ref="KI104">IF(COUNTIFS($U$2:$U104,$U104)=1,1,INDEX(KI:KI,_xlfn.XMATCH(U104,U$1:U103,0,-1))+COUNT(KI103:KM103))</f>
        <v>153</v>
      </c>
      <c r="KJ104">
        <f t="shared" si="201"/>
        <v>154</v>
      </c>
      <c r="KK104">
        <f t="shared" si="202"/>
        <v>155</v>
      </c>
      <c r="KN104">
        <v>1</v>
      </c>
      <c r="KO104" s="16">
        <v>2</v>
      </c>
      <c r="KS104" s="16"/>
    </row>
    <row r="105" spans="1:305" x14ac:dyDescent="0.25">
      <c r="A105" t="s">
        <v>616</v>
      </c>
      <c r="B105" t="s">
        <v>615</v>
      </c>
      <c r="C105" t="s">
        <v>458</v>
      </c>
      <c r="P105" t="s">
        <v>448</v>
      </c>
      <c r="T105" s="14" t="s">
        <v>520</v>
      </c>
      <c r="U105">
        <v>55</v>
      </c>
      <c r="V105" t="s">
        <v>627</v>
      </c>
      <c r="X105" s="33" t="str">
        <f>IF(COUNTIF(X$1:X104,X104)&gt;7,REPLACE(X104,LEN(X104),1,VALUE(RIGHT(X104,1))+1),X104)</f>
        <v>A3.11</v>
      </c>
      <c r="Y105" s="45" cm="1">
        <f t="array" ref="Y105">IF(COUNTIFS($X$2:$X105,$X105)=1,"1",VALUE(SUBSTITUTE(INDEX(Y:Y,_xlfn.XMATCH($X105,$X$1:$X104,0,-1)),"A",""))+INDEX(Z:Z,_xlfn.XMATCH($X105,$X$1:$X104,0,-1))+1)</f>
        <v>6</v>
      </c>
      <c r="Z105" s="43" cm="1">
        <f t="array" ref="Z105">SUM(IF(ISNUMBER(FIND("TmAi",$BE$1:$AAL$1)),IF(IFERROR(ISODD(SUBSTITUTE($BE105:$AAL105,"A","")),FALSE),IF(ISODD(SUBSTITUTE($BE105:$AAL105,"A","")),1,0),0)))</f>
        <v>0</v>
      </c>
      <c r="AA105" t="str">
        <f t="shared" si="196"/>
        <v>11B</v>
      </c>
      <c r="AB105" t="str">
        <f t="shared" si="197"/>
        <v>12B</v>
      </c>
      <c r="AP105" t="s">
        <v>137</v>
      </c>
      <c r="AS105" t="s">
        <v>366</v>
      </c>
      <c r="JZ105" s="27" t="str">
        <f t="shared" si="189"/>
        <v>XT55</v>
      </c>
      <c r="KC105" t="str">
        <f t="shared" si="190"/>
        <v>F0-AI11-11B</v>
      </c>
      <c r="KD105" t="str">
        <f t="shared" si="191"/>
        <v>F0-AI11-12B</v>
      </c>
      <c r="KI105" cm="1">
        <f t="array" ref="KI105">IF(COUNTIFS($U$2:$U105,$U105)=1,1,INDEX(KI:KI,_xlfn.XMATCH(U105,U$1:U104,0,-1))+COUNT(KI104:KM104))</f>
        <v>156</v>
      </c>
      <c r="KJ105">
        <f t="shared" si="201"/>
        <v>157</v>
      </c>
      <c r="KK105">
        <f t="shared" si="202"/>
        <v>158</v>
      </c>
      <c r="KN105">
        <v>1</v>
      </c>
      <c r="KO105" s="16">
        <v>2</v>
      </c>
      <c r="KS105" s="16"/>
    </row>
    <row r="106" spans="1:305" x14ac:dyDescent="0.25">
      <c r="A106" t="s">
        <v>618</v>
      </c>
      <c r="B106" t="s">
        <v>617</v>
      </c>
      <c r="C106" t="s">
        <v>464</v>
      </c>
      <c r="P106" t="s">
        <v>448</v>
      </c>
      <c r="T106" s="14" t="s">
        <v>520</v>
      </c>
      <c r="U106">
        <v>55</v>
      </c>
      <c r="V106" t="s">
        <v>628</v>
      </c>
      <c r="X106" t="str">
        <f>IF(COUNTIF(X$1:X105,X105)&gt;7,REPLACE(X105,LEN(X105),1,VALUE(RIGHT(X105,1))+1),X105)</f>
        <v>A3.11</v>
      </c>
      <c r="Y106" s="43" cm="1">
        <f t="array" ref="Y106">IF(COUNTIFS($X$2:$X106,$X106)=1,"1",VALUE(SUBSTITUTE(INDEX(Y:Y,_xlfn.XMATCH($X106,$X$1:$X105,0,-1)),"A",""))+INDEX(Z:Z,_xlfn.XMATCH($X106,$X$1:$X105,0,-1))+1)</f>
        <v>7</v>
      </c>
      <c r="Z106" s="43" cm="1">
        <f t="array" ref="Z106">SUM(IF(ISNUMBER(FIND("TmAi",$BE$1:$AAL$1)),IF(IFERROR(ISODD(SUBSTITUTE($BE106:$AAL106,"A","")),FALSE),IF(ISODD(SUBSTITUTE($BE106:$AAL106,"A","")),1,0),0)))</f>
        <v>0</v>
      </c>
      <c r="AA106" t="str">
        <f t="shared" si="196"/>
        <v>13B</v>
      </c>
      <c r="AB106" t="str">
        <f t="shared" si="197"/>
        <v>14B</v>
      </c>
      <c r="AP106" t="s">
        <v>137</v>
      </c>
      <c r="AS106" t="s">
        <v>366</v>
      </c>
      <c r="JZ106" s="27" t="str">
        <f t="shared" si="189"/>
        <v>XT55</v>
      </c>
      <c r="KC106" t="str">
        <f t="shared" si="190"/>
        <v>F0-AI11-13B</v>
      </c>
      <c r="KD106" t="str">
        <f t="shared" si="191"/>
        <v>F0-AI11-14B</v>
      </c>
      <c r="KI106" cm="1">
        <f t="array" ref="KI106">IF(COUNTIFS($U$2:$U106,$U106)=1,1,INDEX(KI:KI,_xlfn.XMATCH(U106,U$1:U105,0,-1))+COUNT(KI105:KM105))</f>
        <v>159</v>
      </c>
      <c r="KJ106">
        <f t="shared" si="201"/>
        <v>160</v>
      </c>
      <c r="KK106">
        <f t="shared" si="202"/>
        <v>161</v>
      </c>
      <c r="KN106">
        <v>1</v>
      </c>
      <c r="KO106" s="16">
        <v>2</v>
      </c>
      <c r="KS106" s="16"/>
    </row>
    <row r="107" spans="1:305" x14ac:dyDescent="0.25">
      <c r="A107" t="s">
        <v>620</v>
      </c>
      <c r="B107" t="s">
        <v>619</v>
      </c>
      <c r="C107" t="s">
        <v>458</v>
      </c>
      <c r="P107" t="s">
        <v>448</v>
      </c>
      <c r="T107" s="14" t="s">
        <v>520</v>
      </c>
      <c r="U107">
        <v>55</v>
      </c>
      <c r="V107" t="s">
        <v>629</v>
      </c>
      <c r="X107" t="str">
        <f>IF(COUNTIF(X$1:X106,X106)&gt;7,REPLACE(X106,LEN(X106),1,VALUE(RIGHT(X106,1))+1),X106)</f>
        <v>A3.11</v>
      </c>
      <c r="Y107" s="43" cm="1">
        <f t="array" ref="Y107">IF(COUNTIFS($X$2:$X107,$X107)=1,"1",VALUE(SUBSTITUTE(INDEX(Y:Y,_xlfn.XMATCH($X107,$X$1:$X106,0,-1)),"A",""))+INDEX(Z:Z,_xlfn.XMATCH($X107,$X$1:$X106,0,-1))+1)</f>
        <v>8</v>
      </c>
      <c r="Z107" s="43" cm="1">
        <f t="array" ref="Z107">SUM(IF(ISNUMBER(FIND("TmAi",$BE$1:$AAL$1)),IF(IFERROR(ISODD(SUBSTITUTE($BE107:$AAL107,"A","")),FALSE),IF(ISODD(SUBSTITUTE($BE107:$AAL107,"A","")),1,0),0)))</f>
        <v>0</v>
      </c>
      <c r="AA107" t="str">
        <f t="shared" si="196"/>
        <v>15B</v>
      </c>
      <c r="AB107" t="str">
        <f t="shared" si="197"/>
        <v>16B</v>
      </c>
      <c r="AP107" t="s">
        <v>137</v>
      </c>
      <c r="AS107" t="s">
        <v>366</v>
      </c>
      <c r="JZ107" s="27" t="str">
        <f t="shared" si="189"/>
        <v>XT55</v>
      </c>
      <c r="KC107" t="str">
        <f t="shared" si="190"/>
        <v>F0-AI11-15B</v>
      </c>
      <c r="KD107" t="str">
        <f t="shared" si="191"/>
        <v>F0-AI11-16B</v>
      </c>
      <c r="KI107" cm="1">
        <f t="array" ref="KI107">IF(COUNTIFS($U$2:$U107,$U107)=1,1,INDEX(KI:KI,_xlfn.XMATCH(U107,U$1:U106,0,-1))+COUNT(KI106:KM106))</f>
        <v>162</v>
      </c>
      <c r="KJ107">
        <f t="shared" si="201"/>
        <v>163</v>
      </c>
      <c r="KK107">
        <f t="shared" si="202"/>
        <v>164</v>
      </c>
      <c r="KN107">
        <v>1</v>
      </c>
      <c r="KO107" s="16">
        <v>2</v>
      </c>
      <c r="KS107" s="16"/>
    </row>
    <row r="108" spans="1:305" x14ac:dyDescent="0.25">
      <c r="A108" t="s">
        <v>631</v>
      </c>
      <c r="B108" s="33" t="s">
        <v>630</v>
      </c>
      <c r="C108" t="s">
        <v>458</v>
      </c>
      <c r="P108" t="s">
        <v>448</v>
      </c>
      <c r="T108" s="14" t="s">
        <v>520</v>
      </c>
      <c r="U108">
        <v>55</v>
      </c>
      <c r="V108" t="s">
        <v>649</v>
      </c>
      <c r="X108" t="s">
        <v>1584</v>
      </c>
      <c r="Y108" s="43" cm="1">
        <f t="array" ref="Y108">IF(COUNTIFS($X$2:$X108,$X108)=1,"1",VALUE(SUBSTITUTE(INDEX(Y:Y,_xlfn.XMATCH($X108,$X$1:$X107,0,-1)),"A",""))+INDEX(Z:Z,_xlfn.XMATCH($X108,$X$1:$X107,0,-1))+1)</f>
        <v>4</v>
      </c>
      <c r="Z108" s="43" cm="1">
        <f t="array" ref="Z108">SUM(IF(ISNUMBER(FIND("TmAi",$BE$1:$AAL$1)),IF(IFERROR(ISODD(SUBSTITUTE($BE108:$AAL108,"A","")),FALSE),IF(ISODD(SUBSTITUTE($BE108:$AAL108,"A","")),1,0),0)))</f>
        <v>0</v>
      </c>
      <c r="AA108" t="str">
        <f t="shared" si="196"/>
        <v>7B</v>
      </c>
      <c r="AB108" t="str">
        <f t="shared" si="197"/>
        <v>8B</v>
      </c>
      <c r="AP108" t="s">
        <v>137</v>
      </c>
      <c r="AS108" t="s">
        <v>366</v>
      </c>
      <c r="JZ108" s="27" t="str">
        <f t="shared" si="189"/>
        <v>XT55</v>
      </c>
      <c r="KC108" t="str">
        <f t="shared" si="190"/>
        <v>F0-AI9-7B</v>
      </c>
      <c r="KD108" t="str">
        <f t="shared" si="191"/>
        <v>F0-AI9-8B</v>
      </c>
      <c r="KI108" cm="1">
        <f t="array" ref="KI108">IF(COUNTIFS($U$2:$U108,$U108)=1,1,INDEX(KI:KI,_xlfn.XMATCH(U108,U$1:U107,0,-1))+COUNT(KI107:KM107))</f>
        <v>165</v>
      </c>
      <c r="KJ108">
        <f t="shared" si="201"/>
        <v>166</v>
      </c>
      <c r="KK108">
        <f t="shared" si="202"/>
        <v>167</v>
      </c>
      <c r="KN108">
        <v>1</v>
      </c>
      <c r="KO108" s="16">
        <v>2</v>
      </c>
      <c r="KS108" s="16"/>
    </row>
    <row r="109" spans="1:305" x14ac:dyDescent="0.25">
      <c r="A109" t="s">
        <v>633</v>
      </c>
      <c r="B109" t="s">
        <v>632</v>
      </c>
      <c r="C109" t="s">
        <v>458</v>
      </c>
      <c r="P109" t="s">
        <v>448</v>
      </c>
      <c r="T109" s="14" t="s">
        <v>520</v>
      </c>
      <c r="U109">
        <v>55</v>
      </c>
      <c r="V109" t="s">
        <v>650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5</v>
      </c>
      <c r="Z109" s="43" cm="1">
        <f t="array" ref="Z109">SUM(IF(ISNUMBER(FIND("TmAi",$BE$1:$AAL$1)),IF(IFERROR(ISODD(SUBSTITUTE($BE109:$AAL109,"A","")),FALSE),IF(ISODD(SUBSTITUTE($BE109:$AAL109,"A","")),1,0),0)))</f>
        <v>0</v>
      </c>
      <c r="AA109" t="str">
        <f t="shared" si="196"/>
        <v>9B</v>
      </c>
      <c r="AB109" t="str">
        <f t="shared" si="197"/>
        <v>10B</v>
      </c>
      <c r="AP109" t="s">
        <v>137</v>
      </c>
      <c r="AS109" t="s">
        <v>366</v>
      </c>
      <c r="JZ109" s="27" t="str">
        <f t="shared" si="189"/>
        <v>XT55</v>
      </c>
      <c r="KC109" t="str">
        <f t="shared" si="190"/>
        <v>F0-AI9-9B</v>
      </c>
      <c r="KD109" t="str">
        <f t="shared" si="191"/>
        <v>F0-AI9-10B</v>
      </c>
      <c r="KI109" cm="1">
        <f t="array" ref="KI109">IF(COUNTIFS($U$2:$U109,$U109)=1,1,INDEX(KI:KI,_xlfn.XMATCH(U109,U$1:U108,0,-1))+COUNT(KI108:KM108))</f>
        <v>168</v>
      </c>
      <c r="KJ109">
        <f t="shared" si="201"/>
        <v>169</v>
      </c>
      <c r="KK109">
        <f t="shared" si="202"/>
        <v>170</v>
      </c>
      <c r="KN109">
        <v>1</v>
      </c>
      <c r="KO109" s="16">
        <v>2</v>
      </c>
      <c r="KS109" s="16"/>
    </row>
    <row r="110" spans="1:305" x14ac:dyDescent="0.25">
      <c r="A110" t="s">
        <v>635</v>
      </c>
      <c r="B110" t="s">
        <v>634</v>
      </c>
      <c r="C110" t="s">
        <v>464</v>
      </c>
      <c r="P110" t="s">
        <v>448</v>
      </c>
      <c r="T110" s="14" t="s">
        <v>520</v>
      </c>
      <c r="U110">
        <v>55</v>
      </c>
      <c r="V110" t="s">
        <v>651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6</v>
      </c>
      <c r="Z110" s="43" cm="1">
        <f t="array" ref="Z110">SUM(IF(ISNUMBER(FIND("TmAi",$BE$1:$AAL$1)),IF(IFERROR(ISODD(SUBSTITUTE($BE110:$AAL110,"A","")),FALSE),IF(ISODD(SUBSTITUTE($BE110:$AAL110,"A","")),1,0),0)))</f>
        <v>0</v>
      </c>
      <c r="AA110" t="str">
        <f t="shared" si="196"/>
        <v>11B</v>
      </c>
      <c r="AB110" t="str">
        <f t="shared" si="197"/>
        <v>12B</v>
      </c>
      <c r="AP110" t="s">
        <v>137</v>
      </c>
      <c r="AS110" t="s">
        <v>366</v>
      </c>
      <c r="JZ110" s="27" t="str">
        <f t="shared" si="189"/>
        <v>XT55</v>
      </c>
      <c r="KC110" t="str">
        <f t="shared" si="190"/>
        <v>F0-AI9-11B</v>
      </c>
      <c r="KD110" t="str">
        <f t="shared" si="191"/>
        <v>F0-AI9-12B</v>
      </c>
      <c r="KI110" cm="1">
        <f t="array" ref="KI110">IF(COUNTIFS($U$2:$U110,$U110)=1,1,INDEX(KI:KI,_xlfn.XMATCH(U110,U$1:U109,0,-1))+COUNT(KI109:KM109))</f>
        <v>171</v>
      </c>
      <c r="KJ110">
        <f t="shared" si="201"/>
        <v>172</v>
      </c>
      <c r="KK110">
        <f t="shared" si="202"/>
        <v>173</v>
      </c>
      <c r="KN110">
        <v>1</v>
      </c>
      <c r="KO110" s="16">
        <v>2</v>
      </c>
      <c r="KS110" s="16"/>
    </row>
    <row r="111" spans="1:305" x14ac:dyDescent="0.25">
      <c r="A111" t="s">
        <v>637</v>
      </c>
      <c r="B111" t="s">
        <v>636</v>
      </c>
      <c r="C111" t="s">
        <v>464</v>
      </c>
      <c r="P111" t="s">
        <v>448</v>
      </c>
      <c r="T111" s="14" t="s">
        <v>520</v>
      </c>
      <c r="U111">
        <v>55</v>
      </c>
      <c r="V111" t="s">
        <v>652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7</v>
      </c>
      <c r="Z111" s="43" cm="1">
        <f t="array" ref="Z111">SUM(IF(ISNUMBER(FIND("TmAi",$BE$1:$AAL$1)),IF(IFERROR(ISODD(SUBSTITUTE($BE111:$AAL111,"A","")),FALSE),IF(ISODD(SUBSTITUTE($BE111:$AAL111,"A","")),1,0),0)))</f>
        <v>0</v>
      </c>
      <c r="AA111" t="str">
        <f t="shared" si="196"/>
        <v>13B</v>
      </c>
      <c r="AB111" t="str">
        <f t="shared" si="197"/>
        <v>14B</v>
      </c>
      <c r="AP111" t="s">
        <v>137</v>
      </c>
      <c r="AS111" t="s">
        <v>366</v>
      </c>
      <c r="JZ111" s="27" t="str">
        <f t="shared" si="189"/>
        <v>XT55</v>
      </c>
      <c r="KC111" t="str">
        <f t="shared" si="190"/>
        <v>F0-AI9-13B</v>
      </c>
      <c r="KD111" t="str">
        <f t="shared" si="191"/>
        <v>F0-AI9-14B</v>
      </c>
      <c r="KI111" cm="1">
        <f t="array" ref="KI111">IF(COUNTIFS($U$2:$U111,$U111)=1,1,INDEX(KI:KI,_xlfn.XMATCH(U111,U$1:U110,0,-1))+COUNT(KI110:KM110))</f>
        <v>174</v>
      </c>
      <c r="KJ111">
        <f t="shared" si="201"/>
        <v>175</v>
      </c>
      <c r="KK111">
        <f t="shared" si="202"/>
        <v>176</v>
      </c>
      <c r="KN111">
        <v>1</v>
      </c>
      <c r="KO111" s="16">
        <v>2</v>
      </c>
      <c r="KS111" s="16"/>
    </row>
    <row r="112" spans="1:305" x14ac:dyDescent="0.25">
      <c r="A112" t="s">
        <v>639</v>
      </c>
      <c r="B112" t="s">
        <v>638</v>
      </c>
      <c r="C112" t="s">
        <v>464</v>
      </c>
      <c r="P112" t="s">
        <v>448</v>
      </c>
      <c r="T112" s="14" t="s">
        <v>520</v>
      </c>
      <c r="U112">
        <v>55</v>
      </c>
      <c r="V112" t="s">
        <v>653</v>
      </c>
      <c r="X112" t="s">
        <v>1665</v>
      </c>
      <c r="Y112" s="43" t="str" cm="1">
        <f t="array" ref="Y112">IF(COUNTIFS($X$2:$X112,$X112)=1,"1",VALUE(SUBSTITUTE(INDEX(Y:Y,_xlfn.XMATCH($X112,$X$1:$X111,0,-1)),"A",""))+INDEX(Z:Z,_xlfn.XMATCH($X112,$X$1:$X111,0,-1))+1)</f>
        <v>1</v>
      </c>
      <c r="Z112" s="43" cm="1">
        <f t="array" ref="Z112">SUM(IF(ISNUMBER(FIND("TmAi",$BE$1:$AAL$1)),IF(IFERROR(ISODD(SUBSTITUTE($BE112:$AAL112,"A","")),FALSE),IF(ISODD(SUBSTITUTE($BE112:$AAL112,"A","")),1,0),0)))</f>
        <v>0</v>
      </c>
      <c r="AA112" t="str">
        <f t="shared" si="196"/>
        <v>1B</v>
      </c>
      <c r="AB112" t="str">
        <f t="shared" si="197"/>
        <v>2B</v>
      </c>
      <c r="AP112" t="s">
        <v>137</v>
      </c>
      <c r="AS112" t="s">
        <v>366</v>
      </c>
      <c r="JZ112" s="27" t="str">
        <f t="shared" si="189"/>
        <v>XT55</v>
      </c>
      <c r="KC112" t="str">
        <f t="shared" si="190"/>
        <v>F0-AI12-1B</v>
      </c>
      <c r="KD112" t="str">
        <f t="shared" si="191"/>
        <v>F0-AI12-2B</v>
      </c>
      <c r="KI112" cm="1">
        <f t="array" ref="KI112">IF(COUNTIFS($U$2:$U112,$U112)=1,1,INDEX(KI:KI,_xlfn.XMATCH(U112,U$1:U111,0,-1))+COUNT(KI111:KM111))</f>
        <v>177</v>
      </c>
      <c r="KJ112">
        <f t="shared" si="201"/>
        <v>178</v>
      </c>
      <c r="KK112">
        <f t="shared" si="202"/>
        <v>179</v>
      </c>
      <c r="KN112">
        <v>1</v>
      </c>
      <c r="KO112" s="16">
        <v>2</v>
      </c>
      <c r="KS112" s="16"/>
    </row>
    <row r="113" spans="1:305" x14ac:dyDescent="0.25">
      <c r="A113" t="s">
        <v>641</v>
      </c>
      <c r="B113" t="s">
        <v>640</v>
      </c>
      <c r="C113" t="s">
        <v>464</v>
      </c>
      <c r="P113" t="s">
        <v>448</v>
      </c>
      <c r="T113" s="14" t="s">
        <v>520</v>
      </c>
      <c r="U113">
        <v>55</v>
      </c>
      <c r="V113" t="s">
        <v>654</v>
      </c>
      <c r="X113" s="33" t="str">
        <f>IF(COUNTIF(X$1:X112,X112)&gt;7,REPLACE(X112,LEN(X112),1,VALUE(RIGHT(X112,1))+1),X112)</f>
        <v>A3.12</v>
      </c>
      <c r="Y113" s="45" cm="1">
        <f t="array" ref="Y113">IF(COUNTIFS($X$2:$X113,$X113)=1,"1",VALUE(SUBSTITUTE(INDEX(Y:Y,_xlfn.XMATCH($X113,$X$1:$X112,0,-1)),"A",""))+INDEX(Z:Z,_xlfn.XMATCH($X113,$X$1:$X112,0,-1))+1)</f>
        <v>2</v>
      </c>
      <c r="Z113" s="43" cm="1">
        <f t="array" ref="Z113">SUM(IF(ISNUMBER(FIND("TmAi",$BE$1:$AAL$1)),IF(IFERROR(ISODD(SUBSTITUTE($BE113:$AAL113,"A","")),FALSE),IF(ISODD(SUBSTITUTE($BE113:$AAL113,"A","")),1,0),0)))</f>
        <v>0</v>
      </c>
      <c r="AA113" t="str">
        <f t="shared" si="196"/>
        <v>3B</v>
      </c>
      <c r="AB113" t="str">
        <f t="shared" si="197"/>
        <v>4B</v>
      </c>
      <c r="AP113" t="s">
        <v>137</v>
      </c>
      <c r="AS113" t="s">
        <v>366</v>
      </c>
      <c r="JZ113" s="27" t="str">
        <f t="shared" si="189"/>
        <v>XT55</v>
      </c>
      <c r="KC113" t="str">
        <f t="shared" si="190"/>
        <v>F0-AI12-3B</v>
      </c>
      <c r="KD113" t="str">
        <f t="shared" si="191"/>
        <v>F0-AI12-4B</v>
      </c>
      <c r="KI113" cm="1">
        <f t="array" ref="KI113">IF(COUNTIFS($U$2:$U113,$U113)=1,1,INDEX(KI:KI,_xlfn.XMATCH(U113,U$1:U112,0,-1))+COUNT(KI112:KM112))</f>
        <v>180</v>
      </c>
      <c r="KJ113">
        <f t="shared" si="201"/>
        <v>181</v>
      </c>
      <c r="KK113">
        <f t="shared" si="202"/>
        <v>182</v>
      </c>
      <c r="KN113">
        <v>1</v>
      </c>
      <c r="KO113" s="16">
        <v>2</v>
      </c>
      <c r="KS113" s="16"/>
    </row>
    <row r="114" spans="1:305" x14ac:dyDescent="0.25">
      <c r="A114" t="s">
        <v>643</v>
      </c>
      <c r="B114" t="s">
        <v>642</v>
      </c>
      <c r="C114" t="s">
        <v>464</v>
      </c>
      <c r="P114" t="s">
        <v>448</v>
      </c>
      <c r="T114" s="14" t="s">
        <v>520</v>
      </c>
      <c r="U114">
        <v>55</v>
      </c>
      <c r="V114" t="s">
        <v>655</v>
      </c>
      <c r="X114" t="str">
        <f>IF(COUNTIF(X$1:X113,X113)&gt;7,REPLACE(X113,LEN(X113),1,VALUE(RIGHT(X113,1))+1),X113)</f>
        <v>A3.12</v>
      </c>
      <c r="Y114" s="43" cm="1">
        <f t="array" ref="Y114">IF(COUNTIFS($X$2:$X114,$X114)=1,"1",VALUE(SUBSTITUTE(INDEX(Y:Y,_xlfn.XMATCH($X114,$X$1:$X113,0,-1)),"A",""))+INDEX(Z:Z,_xlfn.XMATCH($X114,$X$1:$X113,0,-1))+1)</f>
        <v>3</v>
      </c>
      <c r="Z114" s="43" cm="1">
        <f t="array" ref="Z114">SUM(IF(ISNUMBER(FIND("TmAi",$BE$1:$AAL$1)),IF(IFERROR(ISODD(SUBSTITUTE($BE114:$AAL114,"A","")),FALSE),IF(ISODD(SUBSTITUTE($BE114:$AAL114,"A","")),1,0),0)))</f>
        <v>0</v>
      </c>
      <c r="AA114" t="str">
        <f t="shared" si="196"/>
        <v>5B</v>
      </c>
      <c r="AB114" t="str">
        <f t="shared" si="197"/>
        <v>6B</v>
      </c>
      <c r="AP114" t="s">
        <v>137</v>
      </c>
      <c r="AS114" t="s">
        <v>366</v>
      </c>
      <c r="JZ114" s="27" t="str">
        <f t="shared" si="189"/>
        <v>XT55</v>
      </c>
      <c r="KC114" t="str">
        <f t="shared" si="190"/>
        <v>F0-AI12-5B</v>
      </c>
      <c r="KD114" t="str">
        <f t="shared" si="191"/>
        <v>F0-AI12-6B</v>
      </c>
      <c r="KI114" cm="1">
        <f t="array" ref="KI114">IF(COUNTIFS($U$2:$U114,$U114)=1,1,INDEX(KI:KI,_xlfn.XMATCH(U114,U$1:U113,0,-1))+COUNT(KI113:KM113))</f>
        <v>183</v>
      </c>
      <c r="KJ114">
        <f t="shared" ref="KJ114:KJ152" si="203">KI114+1</f>
        <v>184</v>
      </c>
      <c r="KK114">
        <f t="shared" ref="KK114:KK152" si="204">KJ114+1</f>
        <v>185</v>
      </c>
      <c r="KN114">
        <v>1</v>
      </c>
      <c r="KO114" s="16">
        <v>2</v>
      </c>
      <c r="KS114" s="16"/>
    </row>
    <row r="115" spans="1:305" x14ac:dyDescent="0.25">
      <c r="A115" t="s">
        <v>645</v>
      </c>
      <c r="B115" t="s">
        <v>644</v>
      </c>
      <c r="C115" t="s">
        <v>464</v>
      </c>
      <c r="P115" t="s">
        <v>448</v>
      </c>
      <c r="T115" s="14" t="s">
        <v>520</v>
      </c>
      <c r="U115">
        <v>55</v>
      </c>
      <c r="V115" t="s">
        <v>656</v>
      </c>
      <c r="X115" t="str">
        <f>IF(COUNTIF(X$1:X114,X114)&gt;7,REPLACE(X114,LEN(X114),1,VALUE(RIGHT(X114,1))+1),X114)</f>
        <v>A3.12</v>
      </c>
      <c r="Y115" s="43" cm="1">
        <f t="array" ref="Y115">IF(COUNTIFS($X$2:$X115,$X115)=1,"1",VALUE(SUBSTITUTE(INDEX(Y:Y,_xlfn.XMATCH($X115,$X$1:$X114,0,-1)),"A",""))+INDEX(Z:Z,_xlfn.XMATCH($X115,$X$1:$X114,0,-1))+1)</f>
        <v>4</v>
      </c>
      <c r="Z115" s="43" cm="1">
        <f t="array" ref="Z115">SUM(IF(ISNUMBER(FIND("TmAi",$BE$1:$AAL$1)),IF(IFERROR(ISODD(SUBSTITUTE($BE115:$AAL115,"A","")),FALSE),IF(ISODD(SUBSTITUTE($BE115:$AAL115,"A","")),1,0),0)))</f>
        <v>0</v>
      </c>
      <c r="AA115" t="str">
        <f t="shared" si="196"/>
        <v>7B</v>
      </c>
      <c r="AB115" t="str">
        <f t="shared" si="197"/>
        <v>8B</v>
      </c>
      <c r="AP115" t="s">
        <v>137</v>
      </c>
      <c r="AS115" t="s">
        <v>366</v>
      </c>
      <c r="JZ115" s="27" t="str">
        <f t="shared" si="189"/>
        <v>XT55</v>
      </c>
      <c r="KC115" t="str">
        <f t="shared" si="190"/>
        <v>F0-AI12-7B</v>
      </c>
      <c r="KD115" t="str">
        <f t="shared" si="191"/>
        <v>F0-AI12-8B</v>
      </c>
      <c r="KI115" cm="1">
        <f t="array" ref="KI115">IF(COUNTIFS($U$2:$U115,$U115)=1,1,INDEX(KI:KI,_xlfn.XMATCH(U115,U$1:U114,0,-1))+COUNT(KI114:KM114))</f>
        <v>186</v>
      </c>
      <c r="KJ115">
        <f t="shared" si="203"/>
        <v>187</v>
      </c>
      <c r="KK115">
        <f t="shared" si="204"/>
        <v>188</v>
      </c>
      <c r="KN115">
        <v>1</v>
      </c>
      <c r="KO115" s="16">
        <v>2</v>
      </c>
      <c r="KS115" s="16"/>
    </row>
    <row r="116" spans="1:305" x14ac:dyDescent="0.25">
      <c r="A116" t="s">
        <v>647</v>
      </c>
      <c r="B116" s="33" t="s">
        <v>646</v>
      </c>
      <c r="C116" t="s">
        <v>458</v>
      </c>
      <c r="P116" t="s">
        <v>448</v>
      </c>
      <c r="T116" s="14" t="s">
        <v>520</v>
      </c>
      <c r="U116">
        <v>55</v>
      </c>
      <c r="V116" t="s">
        <v>648</v>
      </c>
      <c r="X116" t="str">
        <f>IF(COUNTIF(X$1:X115,X115)&gt;7,REPLACE(X115,LEN(X115),1,VALUE(RIGHT(X115,1))+1),X115)</f>
        <v>A3.12</v>
      </c>
      <c r="Y116" s="43" cm="1">
        <f t="array" ref="Y116">IF(COUNTIFS($X$2:$X116,$X116)=1,"1",VALUE(SUBSTITUTE(INDEX(Y:Y,_xlfn.XMATCH($X116,$X$1:$X115,0,-1)),"A",""))+INDEX(Z:Z,_xlfn.XMATCH($X116,$X$1:$X115,0,-1))+1)</f>
        <v>5</v>
      </c>
      <c r="Z116" s="43" cm="1">
        <f t="array" ref="Z116">SUM(IF(ISNUMBER(FIND("TmAi",$BE$1:$AAL$1)),IF(IFERROR(ISODD(SUBSTITUTE($BE116:$AAL116,"A","")),FALSE),IF(ISODD(SUBSTITUTE($BE116:$AAL116,"A","")),1,0),0)))</f>
        <v>0</v>
      </c>
      <c r="AA116" t="str">
        <f t="shared" si="196"/>
        <v>9B</v>
      </c>
      <c r="AB116" t="str">
        <f t="shared" si="197"/>
        <v>10B</v>
      </c>
      <c r="AP116" t="s">
        <v>137</v>
      </c>
      <c r="AS116" t="s">
        <v>366</v>
      </c>
      <c r="JZ116" s="27" t="str">
        <f t="shared" si="189"/>
        <v>XT55</v>
      </c>
      <c r="KC116" t="str">
        <f t="shared" si="190"/>
        <v>F0-AI12-9B</v>
      </c>
      <c r="KD116" t="str">
        <f t="shared" si="191"/>
        <v>F0-AI12-10B</v>
      </c>
      <c r="KI116" cm="1">
        <f t="array" ref="KI116">IF(COUNTIFS($U$2:$U116,$U116)=1,1,INDEX(KI:KI,_xlfn.XMATCH(U116,U$1:U115,0,-1))+COUNT(KI115:KM115))</f>
        <v>189</v>
      </c>
      <c r="KJ116">
        <f t="shared" si="203"/>
        <v>190</v>
      </c>
      <c r="KK116">
        <f t="shared" si="204"/>
        <v>191</v>
      </c>
      <c r="KN116">
        <v>1</v>
      </c>
      <c r="KO116" s="16">
        <v>2</v>
      </c>
      <c r="KS116" s="16"/>
    </row>
    <row r="117" spans="1:305" x14ac:dyDescent="0.25">
      <c r="A117" t="s">
        <v>658</v>
      </c>
      <c r="B117" t="s">
        <v>657</v>
      </c>
      <c r="C117" t="s">
        <v>458</v>
      </c>
      <c r="P117" t="s">
        <v>448</v>
      </c>
      <c r="T117" s="14" t="s">
        <v>520</v>
      </c>
      <c r="U117">
        <v>55</v>
      </c>
      <c r="V117" t="s">
        <v>705</v>
      </c>
      <c r="X117" t="s">
        <v>1590</v>
      </c>
      <c r="Y117" s="43" t="str" cm="1">
        <f t="array" ref="Y117">IF(COUNTIFS($X$2:$X117,$X117)=1,"1",VALUE(SUBSTITUTE(INDEX(Y:Y,_xlfn.XMATCH($X117,$X$1:$X116,0,-1)),"A",""))+INDEX(Z:Z,_xlfn.XMATCH($X117,$X$1:$X116,0,-1))+1)</f>
        <v>1</v>
      </c>
      <c r="Z117" s="43" cm="1">
        <f t="array" ref="Z117">SUM(IF(ISNUMBER(FIND("TmAi",$BE$1:$AAL$1)),IF(IFERROR(ISODD(SUBSTITUTE($BE117:$AAL117,"A","")),FALSE),IF(ISODD(SUBSTITUTE($BE117:$AAL117,"A","")),1,0),0)))</f>
        <v>0</v>
      </c>
      <c r="AA117" t="str">
        <f t="shared" si="196"/>
        <v>1B</v>
      </c>
      <c r="AB117" t="str">
        <f t="shared" si="197"/>
        <v>2B</v>
      </c>
      <c r="AP117" t="s">
        <v>137</v>
      </c>
      <c r="AS117" t="s">
        <v>366</v>
      </c>
      <c r="JZ117" s="27" t="str">
        <f t="shared" si="189"/>
        <v>XT55</v>
      </c>
      <c r="KC117" t="str">
        <f t="shared" si="190"/>
        <v>F0-AI13-1B</v>
      </c>
      <c r="KD117" t="str">
        <f t="shared" si="191"/>
        <v>F0-AI13-2B</v>
      </c>
      <c r="KI117" cm="1">
        <f t="array" ref="KI117">IF(COUNTIFS($U$2:$U117,$U117)=1,1,INDEX(KI:KI,_xlfn.XMATCH(U117,U$1:U116,0,-1))+COUNT(KI116:KM116))</f>
        <v>192</v>
      </c>
      <c r="KJ117">
        <f t="shared" si="203"/>
        <v>193</v>
      </c>
      <c r="KK117">
        <f t="shared" si="204"/>
        <v>194</v>
      </c>
      <c r="KN117">
        <v>1</v>
      </c>
      <c r="KO117" s="16">
        <v>2</v>
      </c>
      <c r="KS117" s="16"/>
    </row>
    <row r="118" spans="1:305" x14ac:dyDescent="0.25">
      <c r="A118" t="s">
        <v>660</v>
      </c>
      <c r="B118" t="s">
        <v>659</v>
      </c>
      <c r="C118" t="s">
        <v>464</v>
      </c>
      <c r="P118" t="s">
        <v>448</v>
      </c>
      <c r="T118" s="14" t="s">
        <v>520</v>
      </c>
      <c r="U118">
        <v>55</v>
      </c>
      <c r="V118" t="s">
        <v>706</v>
      </c>
      <c r="X118" t="str">
        <f>IF(COUNTIF(X$1:X117,X117)&gt;7,REPLACE(X117,LEN(X117),1,VALUE(RIGHT(X117,1))+1),X117)</f>
        <v>A3.13</v>
      </c>
      <c r="Y118" s="43" cm="1">
        <f t="array" ref="Y118">IF(COUNTIFS($X$2:$X118,$X118)=1,"1",VALUE(SUBSTITUTE(INDEX(Y:Y,_xlfn.XMATCH($X118,$X$1:$X117,0,-1)),"A",""))+INDEX(Z:Z,_xlfn.XMATCH($X118,$X$1:$X117,0,-1))+1)</f>
        <v>2</v>
      </c>
      <c r="Z118" s="43" cm="1">
        <f t="array" ref="Z118">SUM(IF(ISNUMBER(FIND("TmAi",$BE$1:$AAL$1)),IF(IFERROR(ISODD(SUBSTITUTE($BE118:$AAL118,"A","")),FALSE),IF(ISODD(SUBSTITUTE($BE118:$AAL118,"A","")),1,0),0)))</f>
        <v>0</v>
      </c>
      <c r="AA118" t="str">
        <f t="shared" si="196"/>
        <v>3B</v>
      </c>
      <c r="AB118" t="str">
        <f t="shared" si="197"/>
        <v>4B</v>
      </c>
      <c r="AP118" t="s">
        <v>137</v>
      </c>
      <c r="AS118" t="s">
        <v>366</v>
      </c>
      <c r="JZ118" s="27" t="str">
        <f t="shared" si="189"/>
        <v>XT55</v>
      </c>
      <c r="KC118" t="str">
        <f t="shared" si="190"/>
        <v>F0-AI13-3B</v>
      </c>
      <c r="KD118" t="str">
        <f t="shared" si="191"/>
        <v>F0-AI13-4B</v>
      </c>
      <c r="KI118" cm="1">
        <f t="array" ref="KI118">IF(COUNTIFS($U$2:$U118,$U118)=1,1,INDEX(KI:KI,_xlfn.XMATCH(U118,U$1:U117,0,-1))+COUNT(KI117:KM117))</f>
        <v>195</v>
      </c>
      <c r="KJ118">
        <f t="shared" si="203"/>
        <v>196</v>
      </c>
      <c r="KK118">
        <f t="shared" si="204"/>
        <v>197</v>
      </c>
      <c r="KN118">
        <v>1</v>
      </c>
      <c r="KO118" s="16">
        <v>2</v>
      </c>
      <c r="KS118" s="16"/>
    </row>
    <row r="119" spans="1:305" x14ac:dyDescent="0.25">
      <c r="A119" t="s">
        <v>662</v>
      </c>
      <c r="B119" s="33" t="s">
        <v>661</v>
      </c>
      <c r="C119" t="s">
        <v>458</v>
      </c>
      <c r="P119" t="s">
        <v>448</v>
      </c>
      <c r="T119" s="14" t="s">
        <v>520</v>
      </c>
      <c r="U119">
        <v>55</v>
      </c>
      <c r="V119" t="s">
        <v>707</v>
      </c>
      <c r="X119" t="str">
        <f>IF(COUNTIF(X$1:X118,X118)&gt;7,REPLACE(X118,LEN(X118),1,VALUE(RIGHT(X118,1))+1),X118)</f>
        <v>A3.13</v>
      </c>
      <c r="Y119" s="43" cm="1">
        <f t="array" ref="Y119">IF(COUNTIFS($X$2:$X119,$X119)=1,"1",VALUE(SUBSTITUTE(INDEX(Y:Y,_xlfn.XMATCH($X119,$X$1:$X118,0,-1)),"A",""))+INDEX(Z:Z,_xlfn.XMATCH($X119,$X$1:$X118,0,-1))+1)</f>
        <v>3</v>
      </c>
      <c r="Z119" s="43" cm="1">
        <f t="array" ref="Z119">SUM(IF(ISNUMBER(FIND("TmAi",$BE$1:$AAL$1)),IF(IFERROR(ISODD(SUBSTITUTE($BE119:$AAL119,"A","")),FALSE),IF(ISODD(SUBSTITUTE($BE119:$AAL119,"A","")),1,0),0)))</f>
        <v>0</v>
      </c>
      <c r="AA119" t="str">
        <f t="shared" si="196"/>
        <v>5B</v>
      </c>
      <c r="AB119" t="str">
        <f t="shared" si="197"/>
        <v>6B</v>
      </c>
      <c r="AP119" t="s">
        <v>137</v>
      </c>
      <c r="AS119" t="s">
        <v>366</v>
      </c>
      <c r="JZ119" s="27" t="str">
        <f t="shared" si="189"/>
        <v>XT55</v>
      </c>
      <c r="KC119" t="str">
        <f t="shared" si="190"/>
        <v>F0-AI13-5B</v>
      </c>
      <c r="KD119" t="str">
        <f t="shared" si="191"/>
        <v>F0-AI13-6B</v>
      </c>
      <c r="KI119" cm="1">
        <f t="array" ref="KI119">IF(COUNTIFS($U$2:$U119,$U119)=1,1,INDEX(KI:KI,_xlfn.XMATCH(U119,U$1:U118,0,-1))+COUNT(KI118:KM118))</f>
        <v>198</v>
      </c>
      <c r="KJ119">
        <f t="shared" si="203"/>
        <v>199</v>
      </c>
      <c r="KK119">
        <f t="shared" si="204"/>
        <v>200</v>
      </c>
      <c r="KN119">
        <v>1</v>
      </c>
      <c r="KO119" s="16">
        <v>2</v>
      </c>
      <c r="KS119" s="16"/>
    </row>
    <row r="120" spans="1:305" x14ac:dyDescent="0.25">
      <c r="A120" t="s">
        <v>663</v>
      </c>
      <c r="B120" t="s">
        <v>684</v>
      </c>
      <c r="C120" t="s">
        <v>458</v>
      </c>
      <c r="P120" t="s">
        <v>448</v>
      </c>
      <c r="T120" s="14" t="s">
        <v>520</v>
      </c>
      <c r="U120">
        <v>55</v>
      </c>
      <c r="V120" t="s">
        <v>708</v>
      </c>
      <c r="X120" t="str">
        <f>IF(COUNTIF(X$1:X119,X119)&gt;7,REPLACE(X119,LEN(X119),1,VALUE(RIGHT(X119,1))+1),X119)</f>
        <v>A3.13</v>
      </c>
      <c r="Y120" s="43" cm="1">
        <f t="array" ref="Y120">IF(COUNTIFS($X$2:$X120,$X120)=1,"1",VALUE(SUBSTITUTE(INDEX(Y:Y,_xlfn.XMATCH($X120,$X$1:$X119,0,-1)),"A",""))+INDEX(Z:Z,_xlfn.XMATCH($X120,$X$1:$X119,0,-1))+1)</f>
        <v>4</v>
      </c>
      <c r="Z120" s="43" cm="1">
        <f t="array" ref="Z120">SUM(IF(ISNUMBER(FIND("TmAi",$BE$1:$AAL$1)),IF(IFERROR(ISODD(SUBSTITUTE($BE120:$AAL120,"A","")),FALSE),IF(ISODD(SUBSTITUTE($BE120:$AAL120,"A","")),1,0),0)))</f>
        <v>0</v>
      </c>
      <c r="AA120" t="str">
        <f t="shared" si="196"/>
        <v>7B</v>
      </c>
      <c r="AB120" t="str">
        <f t="shared" si="197"/>
        <v>8B</v>
      </c>
      <c r="AP120" t="s">
        <v>137</v>
      </c>
      <c r="AS120" t="s">
        <v>366</v>
      </c>
      <c r="JZ120" s="27" t="str">
        <f t="shared" ref="JZ120:JZ151" si="205">CONCATENATE("XT",U120)</f>
        <v>XT55</v>
      </c>
      <c r="KC120" t="str">
        <f t="shared" ref="KC120:KC151" si="206">CONCATENATE(T120,"-AI",REPLACE($X120,1,3,""),"-",AA120)</f>
        <v>F0-AI13-7B</v>
      </c>
      <c r="KD120" t="str">
        <f t="shared" ref="KD120:KD151" si="207">CONCATENATE(T120,"-AI",REPLACE($X120,1,3,""),"-",AB120)</f>
        <v>F0-AI13-8B</v>
      </c>
      <c r="KI120" cm="1">
        <f t="array" ref="KI120">IF(COUNTIFS($U$2:$U120,$U120)=1,1,INDEX(KI:KI,_xlfn.XMATCH(U120,U$1:U119,0,-1))+COUNT(KI119:KM119))</f>
        <v>201</v>
      </c>
      <c r="KJ120">
        <f t="shared" si="203"/>
        <v>202</v>
      </c>
      <c r="KK120">
        <f t="shared" si="204"/>
        <v>203</v>
      </c>
      <c r="KN120">
        <v>1</v>
      </c>
      <c r="KO120" s="16">
        <v>2</v>
      </c>
      <c r="KS120" s="16"/>
    </row>
    <row r="121" spans="1:305" x14ac:dyDescent="0.25">
      <c r="A121" t="s">
        <v>664</v>
      </c>
      <c r="B121" t="s">
        <v>685</v>
      </c>
      <c r="C121" t="s">
        <v>464</v>
      </c>
      <c r="P121" t="s">
        <v>448</v>
      </c>
      <c r="T121" s="14" t="s">
        <v>520</v>
      </c>
      <c r="U121">
        <v>55</v>
      </c>
      <c r="V121" t="s">
        <v>709</v>
      </c>
      <c r="X121" s="33" t="str">
        <f>IF(COUNTIF(X$1:X120,X120)&gt;7,REPLACE(X120,LEN(X120),1,VALUE(RIGHT(X120,1))+1),X120)</f>
        <v>A3.13</v>
      </c>
      <c r="Y121" s="45" cm="1">
        <f t="array" ref="Y121">IF(COUNTIFS($X$2:$X121,$X121)=1,"1",VALUE(SUBSTITUTE(INDEX(Y:Y,_xlfn.XMATCH($X121,$X$1:$X120,0,-1)),"A",""))+INDEX(Z:Z,_xlfn.XMATCH($X121,$X$1:$X120,0,-1))+1)</f>
        <v>5</v>
      </c>
      <c r="Z121" s="43" cm="1">
        <f t="array" ref="Z121">SUM(IF(ISNUMBER(FIND("TmAi",$BE$1:$AAL$1)),IF(IFERROR(ISODD(SUBSTITUTE($BE121:$AAL121,"A","")),FALSE),IF(ISODD(SUBSTITUTE($BE121:$AAL121,"A","")),1,0),0)))</f>
        <v>0</v>
      </c>
      <c r="AA121" t="str">
        <f t="shared" si="196"/>
        <v>9B</v>
      </c>
      <c r="AB121" t="str">
        <f t="shared" si="197"/>
        <v>10B</v>
      </c>
      <c r="AP121" t="s">
        <v>137</v>
      </c>
      <c r="AS121" t="s">
        <v>366</v>
      </c>
      <c r="JZ121" s="27" t="str">
        <f t="shared" si="205"/>
        <v>XT55</v>
      </c>
      <c r="KC121" t="str">
        <f t="shared" si="206"/>
        <v>F0-AI13-9B</v>
      </c>
      <c r="KD121" t="str">
        <f t="shared" si="207"/>
        <v>F0-AI13-10B</v>
      </c>
      <c r="KI121" cm="1">
        <f t="array" ref="KI121">IF(COUNTIFS($U$2:$U121,$U121)=1,1,INDEX(KI:KI,_xlfn.XMATCH(U121,U$1:U120,0,-1))+COUNT(KI120:KM120))</f>
        <v>204</v>
      </c>
      <c r="KJ121">
        <f t="shared" si="203"/>
        <v>205</v>
      </c>
      <c r="KK121">
        <f t="shared" si="204"/>
        <v>206</v>
      </c>
      <c r="KN121">
        <v>1</v>
      </c>
      <c r="KO121" s="16">
        <v>2</v>
      </c>
      <c r="KS121" s="16"/>
    </row>
    <row r="122" spans="1:305" x14ac:dyDescent="0.25">
      <c r="A122" t="s">
        <v>665</v>
      </c>
      <c r="B122" s="33" t="s">
        <v>686</v>
      </c>
      <c r="C122" t="s">
        <v>458</v>
      </c>
      <c r="P122" t="s">
        <v>448</v>
      </c>
      <c r="T122" s="14" t="s">
        <v>520</v>
      </c>
      <c r="U122">
        <v>55</v>
      </c>
      <c r="V122" t="s">
        <v>710</v>
      </c>
      <c r="X122" t="str">
        <f>IF(COUNTIF(X$1:X121,X121)&gt;7,REPLACE(X121,LEN(X121),1,VALUE(RIGHT(X121,1))+1),X121)</f>
        <v>A3.13</v>
      </c>
      <c r="Y122" s="43" cm="1">
        <f t="array" ref="Y122">IF(COUNTIFS($X$2:$X122,$X122)=1,"1",VALUE(SUBSTITUTE(INDEX(Y:Y,_xlfn.XMATCH($X122,$X$1:$X121,0,-1)),"A",""))+INDEX(Z:Z,_xlfn.XMATCH($X122,$X$1:$X121,0,-1))+1)</f>
        <v>6</v>
      </c>
      <c r="Z122" s="43" cm="1">
        <f t="array" ref="Z122">SUM(IF(ISNUMBER(FIND("TmAi",$BE$1:$AAL$1)),IF(IFERROR(ISODD(SUBSTITUTE($BE122:$AAL122,"A","")),FALSE),IF(ISODD(SUBSTITUTE($BE122:$AAL122,"A","")),1,0),0)))</f>
        <v>0</v>
      </c>
      <c r="AA122" t="str">
        <f t="shared" si="196"/>
        <v>11B</v>
      </c>
      <c r="AB122" t="str">
        <f t="shared" si="197"/>
        <v>12B</v>
      </c>
      <c r="AP122" t="s">
        <v>137</v>
      </c>
      <c r="AS122" t="s">
        <v>366</v>
      </c>
      <c r="JZ122" s="27" t="str">
        <f t="shared" si="205"/>
        <v>XT55</v>
      </c>
      <c r="KC122" t="str">
        <f t="shared" si="206"/>
        <v>F0-AI13-11B</v>
      </c>
      <c r="KD122" t="str">
        <f t="shared" si="207"/>
        <v>F0-AI13-12B</v>
      </c>
      <c r="KI122" cm="1">
        <f t="array" ref="KI122">IF(COUNTIFS($U$2:$U122,$U122)=1,1,INDEX(KI:KI,_xlfn.XMATCH(U122,U$1:U121,0,-1))+COUNT(KI121:KM121))</f>
        <v>207</v>
      </c>
      <c r="KJ122">
        <f t="shared" si="203"/>
        <v>208</v>
      </c>
      <c r="KK122">
        <f t="shared" si="204"/>
        <v>209</v>
      </c>
      <c r="KN122">
        <v>1</v>
      </c>
      <c r="KO122" s="16">
        <v>2</v>
      </c>
      <c r="KS122" s="16"/>
    </row>
    <row r="123" spans="1:305" x14ac:dyDescent="0.25">
      <c r="A123" t="s">
        <v>666</v>
      </c>
      <c r="B123" t="s">
        <v>687</v>
      </c>
      <c r="C123" t="s">
        <v>458</v>
      </c>
      <c r="P123" t="s">
        <v>448</v>
      </c>
      <c r="T123" s="14" t="s">
        <v>520</v>
      </c>
      <c r="U123">
        <v>55</v>
      </c>
      <c r="V123" t="s">
        <v>711</v>
      </c>
      <c r="X123" t="s">
        <v>1666</v>
      </c>
      <c r="Y123" s="43" t="str" cm="1">
        <f t="array" ref="Y123">IF(COUNTIFS($X$2:$X123,$X123)=1,"1",VALUE(SUBSTITUTE(INDEX(Y:Y,_xlfn.XMATCH($X123,$X$1:$X122,0,-1)),"A",""))+INDEX(Z:Z,_xlfn.XMATCH($X123,$X$1:$X122,0,-1))+1)</f>
        <v>1</v>
      </c>
      <c r="Z123" s="43" cm="1">
        <f t="array" ref="Z123">SUM(IF(ISNUMBER(FIND("TmAi",$BE$1:$AAL$1)),IF(IFERROR(ISODD(SUBSTITUTE($BE123:$AAL123,"A","")),FALSE),IF(ISODD(SUBSTITUTE($BE123:$AAL123,"A","")),1,0),0)))</f>
        <v>0</v>
      </c>
      <c r="AA123" t="str">
        <f t="shared" si="196"/>
        <v>1B</v>
      </c>
      <c r="AB123" t="str">
        <f t="shared" si="197"/>
        <v>2B</v>
      </c>
      <c r="AP123" t="s">
        <v>137</v>
      </c>
      <c r="AS123" t="s">
        <v>366</v>
      </c>
      <c r="JZ123" s="27" t="str">
        <f t="shared" si="205"/>
        <v>XT55</v>
      </c>
      <c r="KC123" t="str">
        <f t="shared" si="206"/>
        <v>F0-AI14-1B</v>
      </c>
      <c r="KD123" t="str">
        <f t="shared" si="207"/>
        <v>F0-AI14-2B</v>
      </c>
      <c r="KI123" cm="1">
        <f t="array" ref="KI123">IF(COUNTIFS($U$2:$U123,$U123)=1,1,INDEX(KI:KI,_xlfn.XMATCH(U123,U$1:U122,0,-1))+COUNT(KI122:KM122))</f>
        <v>210</v>
      </c>
      <c r="KJ123">
        <f t="shared" si="203"/>
        <v>211</v>
      </c>
      <c r="KK123">
        <f t="shared" si="204"/>
        <v>212</v>
      </c>
      <c r="KN123">
        <v>1</v>
      </c>
      <c r="KO123" s="16">
        <v>2</v>
      </c>
      <c r="KS123" s="16"/>
    </row>
    <row r="124" spans="1:305" x14ac:dyDescent="0.25">
      <c r="A124" t="s">
        <v>667</v>
      </c>
      <c r="B124" t="s">
        <v>688</v>
      </c>
      <c r="C124" t="s">
        <v>464</v>
      </c>
      <c r="P124" t="s">
        <v>448</v>
      </c>
      <c r="T124" s="14" t="s">
        <v>520</v>
      </c>
      <c r="U124">
        <v>55</v>
      </c>
      <c r="V124" t="s">
        <v>712</v>
      </c>
      <c r="X124" t="str">
        <f>IF(COUNTIF(X$1:X123,X123)&gt;7,REPLACE(X123,LEN(X123),1,VALUE(RIGHT(X123,1))+1),X123)</f>
        <v>A3.14</v>
      </c>
      <c r="Y124" s="43" cm="1">
        <f t="array" ref="Y124">IF(COUNTIFS($X$2:$X124,$X124)=1,"1",VALUE(SUBSTITUTE(INDEX(Y:Y,_xlfn.XMATCH($X124,$X$1:$X123,0,-1)),"A",""))+INDEX(Z:Z,_xlfn.XMATCH($X124,$X$1:$X123,0,-1))+1)</f>
        <v>2</v>
      </c>
      <c r="Z124" s="43" cm="1">
        <f t="array" ref="Z124">SUM(IF(ISNUMBER(FIND("TmAi",$BE$1:$AAL$1)),IF(IFERROR(ISODD(SUBSTITUTE($BE124:$AAL124,"A","")),FALSE),IF(ISODD(SUBSTITUTE($BE124:$AAL124,"A","")),1,0),0)))</f>
        <v>0</v>
      </c>
      <c r="AA124" t="str">
        <f t="shared" si="196"/>
        <v>3B</v>
      </c>
      <c r="AB124" t="str">
        <f t="shared" si="197"/>
        <v>4B</v>
      </c>
      <c r="AP124" t="s">
        <v>137</v>
      </c>
      <c r="AS124" t="s">
        <v>366</v>
      </c>
      <c r="JZ124" s="27" t="str">
        <f t="shared" si="205"/>
        <v>XT55</v>
      </c>
      <c r="KC124" t="str">
        <f t="shared" si="206"/>
        <v>F0-AI14-3B</v>
      </c>
      <c r="KD124" t="str">
        <f t="shared" si="207"/>
        <v>F0-AI14-4B</v>
      </c>
      <c r="KI124" cm="1">
        <f t="array" ref="KI124">IF(COUNTIFS($U$2:$U124,$U124)=1,1,INDEX(KI:KI,_xlfn.XMATCH(U124,U$1:U123,0,-1))+COUNT(KI123:KM123))</f>
        <v>213</v>
      </c>
      <c r="KJ124">
        <f t="shared" si="203"/>
        <v>214</v>
      </c>
      <c r="KK124">
        <f t="shared" si="204"/>
        <v>215</v>
      </c>
      <c r="KN124">
        <v>1</v>
      </c>
      <c r="KO124" s="16">
        <v>2</v>
      </c>
      <c r="KS124" s="16"/>
    </row>
    <row r="125" spans="1:305" x14ac:dyDescent="0.25">
      <c r="A125" t="s">
        <v>668</v>
      </c>
      <c r="B125" s="33" t="s">
        <v>689</v>
      </c>
      <c r="C125" t="s">
        <v>458</v>
      </c>
      <c r="P125" t="s">
        <v>448</v>
      </c>
      <c r="T125" s="14" t="s">
        <v>520</v>
      </c>
      <c r="U125">
        <v>55</v>
      </c>
      <c r="V125" t="s">
        <v>713</v>
      </c>
      <c r="X125" t="str">
        <f>IF(COUNTIF(X$1:X124,X124)&gt;7,REPLACE(X124,LEN(X124),1,VALUE(RIGHT(X124,1))+1),X124)</f>
        <v>A3.14</v>
      </c>
      <c r="Y125" s="43" cm="1">
        <f t="array" ref="Y125">IF(COUNTIFS($X$2:$X125,$X125)=1,"1",VALUE(SUBSTITUTE(INDEX(Y:Y,_xlfn.XMATCH($X125,$X$1:$X124,0,-1)),"A",""))+INDEX(Z:Z,_xlfn.XMATCH($X125,$X$1:$X124,0,-1))+1)</f>
        <v>3</v>
      </c>
      <c r="Z125" s="43" cm="1">
        <f t="array" ref="Z125">SUM(IF(ISNUMBER(FIND("TmAi",$BE$1:$AAL$1)),IF(IFERROR(ISODD(SUBSTITUTE($BE125:$AAL125,"A","")),FALSE),IF(ISODD(SUBSTITUTE($BE125:$AAL125,"A","")),1,0),0)))</f>
        <v>0</v>
      </c>
      <c r="AA125" t="str">
        <f t="shared" si="196"/>
        <v>5B</v>
      </c>
      <c r="AB125" t="str">
        <f t="shared" si="197"/>
        <v>6B</v>
      </c>
      <c r="AP125" t="s">
        <v>137</v>
      </c>
      <c r="AS125" t="s">
        <v>366</v>
      </c>
      <c r="JZ125" s="27" t="str">
        <f t="shared" si="205"/>
        <v>XT55</v>
      </c>
      <c r="KC125" t="str">
        <f t="shared" si="206"/>
        <v>F0-AI14-5B</v>
      </c>
      <c r="KD125" t="str">
        <f t="shared" si="207"/>
        <v>F0-AI14-6B</v>
      </c>
      <c r="KI125" cm="1">
        <f t="array" ref="KI125">IF(COUNTIFS($U$2:$U125,$U125)=1,1,INDEX(KI:KI,_xlfn.XMATCH(U125,U$1:U124,0,-1))+COUNT(KI124:KM124))</f>
        <v>216</v>
      </c>
      <c r="KJ125">
        <f t="shared" si="203"/>
        <v>217</v>
      </c>
      <c r="KK125">
        <f t="shared" si="204"/>
        <v>218</v>
      </c>
      <c r="KN125">
        <v>1</v>
      </c>
      <c r="KO125" s="16">
        <v>2</v>
      </c>
      <c r="KS125" s="16"/>
    </row>
    <row r="126" spans="1:305" x14ac:dyDescent="0.25">
      <c r="A126" t="s">
        <v>669</v>
      </c>
      <c r="B126" t="s">
        <v>690</v>
      </c>
      <c r="C126" t="s">
        <v>458</v>
      </c>
      <c r="P126" t="s">
        <v>448</v>
      </c>
      <c r="T126" s="14" t="s">
        <v>520</v>
      </c>
      <c r="U126">
        <v>55</v>
      </c>
      <c r="V126" t="s">
        <v>714</v>
      </c>
      <c r="X126" t="str">
        <f>IF(COUNTIF(X$1:X125,X125)&gt;7,REPLACE(X125,LEN(X125),1,VALUE(RIGHT(X125,1))+1),X125)</f>
        <v>A3.14</v>
      </c>
      <c r="Y126" s="43" cm="1">
        <f t="array" ref="Y126">IF(COUNTIFS($X$2:$X126,$X126)=1,"1",VALUE(SUBSTITUTE(INDEX(Y:Y,_xlfn.XMATCH($X126,$X$1:$X125,0,-1)),"A",""))+INDEX(Z:Z,_xlfn.XMATCH($X126,$X$1:$X125,0,-1))+1)</f>
        <v>4</v>
      </c>
      <c r="Z126" s="43" cm="1">
        <f t="array" ref="Z126">SUM(IF(ISNUMBER(FIND("TmAi",$BE$1:$AAL$1)),IF(IFERROR(ISODD(SUBSTITUTE($BE126:$AAL126,"A","")),FALSE),IF(ISODD(SUBSTITUTE($BE126:$AAL126,"A","")),1,0),0)))</f>
        <v>0</v>
      </c>
      <c r="AA126" t="str">
        <f t="shared" si="196"/>
        <v>7B</v>
      </c>
      <c r="AB126" t="str">
        <f t="shared" si="197"/>
        <v>8B</v>
      </c>
      <c r="AP126" t="s">
        <v>137</v>
      </c>
      <c r="AS126" t="s">
        <v>366</v>
      </c>
      <c r="JZ126" s="27" t="str">
        <f t="shared" si="205"/>
        <v>XT55</v>
      </c>
      <c r="KC126" t="str">
        <f t="shared" si="206"/>
        <v>F0-AI14-7B</v>
      </c>
      <c r="KD126" t="str">
        <f t="shared" si="207"/>
        <v>F0-AI14-8B</v>
      </c>
      <c r="KI126" cm="1">
        <f t="array" ref="KI126">IF(COUNTIFS($U$2:$U126,$U126)=1,1,INDEX(KI:KI,_xlfn.XMATCH(U126,U$1:U125,0,-1))+COUNT(KI125:KM125))</f>
        <v>219</v>
      </c>
      <c r="KJ126">
        <f t="shared" si="203"/>
        <v>220</v>
      </c>
      <c r="KK126">
        <f t="shared" si="204"/>
        <v>221</v>
      </c>
      <c r="KN126">
        <v>1</v>
      </c>
      <c r="KO126" s="16">
        <v>2</v>
      </c>
      <c r="KS126" s="16"/>
    </row>
    <row r="127" spans="1:305" x14ac:dyDescent="0.25">
      <c r="A127" t="s">
        <v>670</v>
      </c>
      <c r="B127" t="s">
        <v>691</v>
      </c>
      <c r="C127" t="s">
        <v>464</v>
      </c>
      <c r="P127" t="s">
        <v>448</v>
      </c>
      <c r="T127" s="14" t="s">
        <v>520</v>
      </c>
      <c r="U127">
        <v>55</v>
      </c>
      <c r="V127" t="s">
        <v>715</v>
      </c>
      <c r="X127" t="str">
        <f>IF(COUNTIF(X$1:X126,X126)&gt;7,REPLACE(X126,LEN(X126),1,VALUE(RIGHT(X126,1))+1),X126)</f>
        <v>A3.14</v>
      </c>
      <c r="Y127" s="43" cm="1">
        <f t="array" ref="Y127">IF(COUNTIFS($X$2:$X127,$X127)=1,"1",VALUE(SUBSTITUTE(INDEX(Y:Y,_xlfn.XMATCH($X127,$X$1:$X126,0,-1)),"A",""))+INDEX(Z:Z,_xlfn.XMATCH($X127,$X$1:$X126,0,-1))+1)</f>
        <v>5</v>
      </c>
      <c r="Z127" s="43" cm="1">
        <f t="array" ref="Z127">SUM(IF(ISNUMBER(FIND("TmAi",$BE$1:$AAL$1)),IF(IFERROR(ISODD(SUBSTITUTE($BE127:$AAL127,"A","")),FALSE),IF(ISODD(SUBSTITUTE($BE127:$AAL127,"A","")),1,0),0)))</f>
        <v>0</v>
      </c>
      <c r="AA127" t="str">
        <f t="shared" si="196"/>
        <v>9B</v>
      </c>
      <c r="AB127" t="str">
        <f t="shared" si="197"/>
        <v>10B</v>
      </c>
      <c r="AP127" t="s">
        <v>137</v>
      </c>
      <c r="AS127" t="s">
        <v>366</v>
      </c>
      <c r="JZ127" s="27" t="str">
        <f t="shared" si="205"/>
        <v>XT55</v>
      </c>
      <c r="KC127" t="str">
        <f t="shared" si="206"/>
        <v>F0-AI14-9B</v>
      </c>
      <c r="KD127" t="str">
        <f t="shared" si="207"/>
        <v>F0-AI14-10B</v>
      </c>
      <c r="KI127" cm="1">
        <f t="array" ref="KI127">IF(COUNTIFS($U$2:$U127,$U127)=1,1,INDEX(KI:KI,_xlfn.XMATCH(U127,U$1:U126,0,-1))+COUNT(KI126:KM126))</f>
        <v>222</v>
      </c>
      <c r="KJ127">
        <f t="shared" si="203"/>
        <v>223</v>
      </c>
      <c r="KK127">
        <f t="shared" si="204"/>
        <v>224</v>
      </c>
      <c r="KN127">
        <v>1</v>
      </c>
      <c r="KO127" s="16">
        <v>2</v>
      </c>
      <c r="KS127" s="16"/>
    </row>
    <row r="128" spans="1:305" x14ac:dyDescent="0.25">
      <c r="A128" t="s">
        <v>671</v>
      </c>
      <c r="B128" s="33" t="s">
        <v>692</v>
      </c>
      <c r="C128" t="s">
        <v>458</v>
      </c>
      <c r="P128" t="s">
        <v>448</v>
      </c>
      <c r="T128" s="14" t="s">
        <v>520</v>
      </c>
      <c r="U128">
        <v>55</v>
      </c>
      <c r="V128" t="s">
        <v>716</v>
      </c>
      <c r="X128" t="str">
        <f>IF(COUNTIF(X$1:X127,X127)&gt;7,REPLACE(X127,LEN(X127),1,VALUE(RIGHT(X127,1))+1),X127)</f>
        <v>A3.14</v>
      </c>
      <c r="Y128" s="43" cm="1">
        <f t="array" ref="Y128">IF(COUNTIFS($X$2:$X128,$X128)=1,"1",VALUE(SUBSTITUTE(INDEX(Y:Y,_xlfn.XMATCH($X128,$X$1:$X127,0,-1)),"A",""))+INDEX(Z:Z,_xlfn.XMATCH($X128,$X$1:$X127,0,-1))+1)</f>
        <v>6</v>
      </c>
      <c r="Z128" s="43" cm="1">
        <f t="array" ref="Z128">SUM(IF(ISNUMBER(FIND("TmAi",$BE$1:$AAL$1)),IF(IFERROR(ISODD(SUBSTITUTE($BE128:$AAL128,"A","")),FALSE),IF(ISODD(SUBSTITUTE($BE128:$AAL128,"A","")),1,0),0)))</f>
        <v>0</v>
      </c>
      <c r="AA128" t="str">
        <f t="shared" si="196"/>
        <v>11B</v>
      </c>
      <c r="AB128" t="str">
        <f t="shared" si="197"/>
        <v>12B</v>
      </c>
      <c r="AP128" t="s">
        <v>137</v>
      </c>
      <c r="AS128" t="s">
        <v>366</v>
      </c>
      <c r="JZ128" s="27" t="str">
        <f t="shared" si="205"/>
        <v>XT55</v>
      </c>
      <c r="KC128" t="str">
        <f t="shared" si="206"/>
        <v>F0-AI14-11B</v>
      </c>
      <c r="KD128" t="str">
        <f t="shared" si="207"/>
        <v>F0-AI14-12B</v>
      </c>
      <c r="KI128" cm="1">
        <f t="array" ref="KI128">IF(COUNTIFS($U$2:$U128,$U128)=1,1,INDEX(KI:KI,_xlfn.XMATCH(U128,U$1:U127,0,-1))+COUNT(KI127:KM127))</f>
        <v>225</v>
      </c>
      <c r="KJ128">
        <f t="shared" si="203"/>
        <v>226</v>
      </c>
      <c r="KK128">
        <f t="shared" si="204"/>
        <v>227</v>
      </c>
      <c r="KN128">
        <v>1</v>
      </c>
      <c r="KO128" s="16">
        <v>2</v>
      </c>
      <c r="KS128" s="16"/>
    </row>
    <row r="129" spans="1:305" x14ac:dyDescent="0.25">
      <c r="A129" t="s">
        <v>672</v>
      </c>
      <c r="B129" t="s">
        <v>693</v>
      </c>
      <c r="C129" t="s">
        <v>458</v>
      </c>
      <c r="P129" t="s">
        <v>448</v>
      </c>
      <c r="T129" s="14" t="s">
        <v>520</v>
      </c>
      <c r="U129">
        <v>55</v>
      </c>
      <c r="V129" t="s">
        <v>717</v>
      </c>
      <c r="X129" s="33" t="s">
        <v>1591</v>
      </c>
      <c r="Y129" s="45" t="str" cm="1">
        <f t="array" ref="Y129">IF(COUNTIFS($X$2:$X129,$X129)=1,"1",VALUE(SUBSTITUTE(INDEX(Y:Y,_xlfn.XMATCH($X129,$X$1:$X128,0,-1)),"A",""))+INDEX(Z:Z,_xlfn.XMATCH($X129,$X$1:$X128,0,-1))+1)</f>
        <v>1</v>
      </c>
      <c r="Z129" s="43" cm="1">
        <f t="array" ref="Z129">SUM(IF(ISNUMBER(FIND("TmAi",$BE$1:$AAL$1)),IF(IFERROR(ISODD(SUBSTITUTE($BE129:$AAL129,"A","")),FALSE),IF(ISODD(SUBSTITUTE($BE129:$AAL129,"A","")),1,0),0)))</f>
        <v>0</v>
      </c>
      <c r="AA129" t="str">
        <f t="shared" si="196"/>
        <v>1B</v>
      </c>
      <c r="AB129" t="str">
        <f t="shared" si="197"/>
        <v>2B</v>
      </c>
      <c r="AP129" t="s">
        <v>137</v>
      </c>
      <c r="AS129" t="s">
        <v>366</v>
      </c>
      <c r="JZ129" s="27" t="str">
        <f t="shared" si="205"/>
        <v>XT55</v>
      </c>
      <c r="KC129" t="str">
        <f t="shared" si="206"/>
        <v>F0-AI15-1B</v>
      </c>
      <c r="KD129" t="str">
        <f t="shared" si="207"/>
        <v>F0-AI15-2B</v>
      </c>
      <c r="KI129" cm="1">
        <f t="array" ref="KI129">IF(COUNTIFS($U$2:$U129,$U129)=1,1,INDEX(KI:KI,_xlfn.XMATCH(U129,U$1:U128,0,-1))+COUNT(KI128:KM128))</f>
        <v>228</v>
      </c>
      <c r="KJ129">
        <f t="shared" si="203"/>
        <v>229</v>
      </c>
      <c r="KK129">
        <f t="shared" si="204"/>
        <v>230</v>
      </c>
      <c r="KN129">
        <v>1</v>
      </c>
      <c r="KO129" s="16">
        <v>2</v>
      </c>
      <c r="KS129" s="16"/>
    </row>
    <row r="130" spans="1:305" x14ac:dyDescent="0.25">
      <c r="A130" t="s">
        <v>673</v>
      </c>
      <c r="B130" t="s">
        <v>694</v>
      </c>
      <c r="C130" t="s">
        <v>464</v>
      </c>
      <c r="P130" t="s">
        <v>448</v>
      </c>
      <c r="T130" s="14" t="s">
        <v>520</v>
      </c>
      <c r="U130">
        <v>55</v>
      </c>
      <c r="V130" t="s">
        <v>718</v>
      </c>
      <c r="X130" t="str">
        <f>IF(COUNTIF(X$1:X129,X129)&gt;7,REPLACE(X129,LEN(X129),1,VALUE(RIGHT(X129,1))+1),X129)</f>
        <v>A3.15</v>
      </c>
      <c r="Y130" s="43" cm="1">
        <f t="array" ref="Y130">IF(COUNTIFS($X$2:$X130,$X130)=1,"1",VALUE(SUBSTITUTE(INDEX(Y:Y,_xlfn.XMATCH($X130,$X$1:$X129,0,-1)),"A",""))+INDEX(Z:Z,_xlfn.XMATCH($X130,$X$1:$X129,0,-1))+1)</f>
        <v>2</v>
      </c>
      <c r="Z130" s="43" cm="1">
        <f t="array" ref="Z130">SUM(IF(ISNUMBER(FIND("TmAi",$BE$1:$AAL$1)),IF(IFERROR(ISODD(SUBSTITUTE($BE130:$AAL130,"A","")),FALSE),IF(ISODD(SUBSTITUTE($BE130:$AAL130,"A","")),1,0),0)))</f>
        <v>0</v>
      </c>
      <c r="AA130" t="str">
        <f t="shared" si="196"/>
        <v>3B</v>
      </c>
      <c r="AB130" t="str">
        <f t="shared" si="197"/>
        <v>4B</v>
      </c>
      <c r="AP130" t="s">
        <v>137</v>
      </c>
      <c r="AS130" t="s">
        <v>366</v>
      </c>
      <c r="JZ130" s="27" t="str">
        <f t="shared" si="205"/>
        <v>XT55</v>
      </c>
      <c r="KC130" t="str">
        <f t="shared" si="206"/>
        <v>F0-AI15-3B</v>
      </c>
      <c r="KD130" t="str">
        <f t="shared" si="207"/>
        <v>F0-AI15-4B</v>
      </c>
      <c r="KI130" cm="1">
        <f t="array" ref="KI130">IF(COUNTIFS($U$2:$U130,$U130)=1,1,INDEX(KI:KI,_xlfn.XMATCH(U130,U$1:U129,0,-1))+COUNT(KI129:KM129))</f>
        <v>231</v>
      </c>
      <c r="KJ130">
        <f t="shared" si="203"/>
        <v>232</v>
      </c>
      <c r="KK130">
        <f t="shared" si="204"/>
        <v>233</v>
      </c>
      <c r="KN130">
        <v>1</v>
      </c>
      <c r="KO130" s="16">
        <v>2</v>
      </c>
      <c r="KS130" s="16"/>
    </row>
    <row r="131" spans="1:305" x14ac:dyDescent="0.25">
      <c r="A131" t="s">
        <v>674</v>
      </c>
      <c r="B131" s="33" t="s">
        <v>695</v>
      </c>
      <c r="C131" t="s">
        <v>458</v>
      </c>
      <c r="P131" t="s">
        <v>448</v>
      </c>
      <c r="T131" s="14" t="s">
        <v>520</v>
      </c>
      <c r="U131">
        <v>55</v>
      </c>
      <c r="V131" t="s">
        <v>719</v>
      </c>
      <c r="X131" t="str">
        <f>IF(COUNTIF(X$1:X130,X130)&gt;7,REPLACE(X130,LEN(X130),1,VALUE(RIGHT(X130,1))+1),X130)</f>
        <v>A3.15</v>
      </c>
      <c r="Y131" s="43" cm="1">
        <f t="array" ref="Y131">IF(COUNTIFS($X$2:$X131,$X131)=1,"1",VALUE(SUBSTITUTE(INDEX(Y:Y,_xlfn.XMATCH($X131,$X$1:$X130,0,-1)),"A",""))+INDEX(Z:Z,_xlfn.XMATCH($X131,$X$1:$X130,0,-1))+1)</f>
        <v>3</v>
      </c>
      <c r="Z131" s="43" cm="1">
        <f t="array" ref="Z131">SUM(IF(ISNUMBER(FIND("TmAi",$BE$1:$AAL$1)),IF(IFERROR(ISODD(SUBSTITUTE($BE131:$AAL131,"A","")),FALSE),IF(ISODD(SUBSTITUTE($BE131:$AAL131,"A","")),1,0),0)))</f>
        <v>0</v>
      </c>
      <c r="AA131" t="str">
        <f t="shared" si="196"/>
        <v>5B</v>
      </c>
      <c r="AB131" t="str">
        <f t="shared" si="197"/>
        <v>6B</v>
      </c>
      <c r="AP131" t="s">
        <v>137</v>
      </c>
      <c r="AS131" t="s">
        <v>366</v>
      </c>
      <c r="JZ131" s="27" t="str">
        <f t="shared" si="205"/>
        <v>XT55</v>
      </c>
      <c r="KC131" t="str">
        <f t="shared" si="206"/>
        <v>F0-AI15-5B</v>
      </c>
      <c r="KD131" t="str">
        <f t="shared" si="207"/>
        <v>F0-AI15-6B</v>
      </c>
      <c r="KI131" cm="1">
        <f t="array" ref="KI131">IF(COUNTIFS($U$2:$U131,$U131)=1,1,INDEX(KI:KI,_xlfn.XMATCH(U131,U$1:U130,0,-1))+COUNT(KI130:KM130))</f>
        <v>234</v>
      </c>
      <c r="KJ131">
        <f t="shared" si="203"/>
        <v>235</v>
      </c>
      <c r="KK131">
        <f t="shared" si="204"/>
        <v>236</v>
      </c>
      <c r="KN131">
        <v>1</v>
      </c>
      <c r="KO131" s="16">
        <v>2</v>
      </c>
      <c r="KS131" s="16"/>
    </row>
    <row r="132" spans="1:305" x14ac:dyDescent="0.25">
      <c r="A132" t="s">
        <v>675</v>
      </c>
      <c r="B132" t="s">
        <v>696</v>
      </c>
      <c r="C132" t="s">
        <v>458</v>
      </c>
      <c r="P132" t="s">
        <v>448</v>
      </c>
      <c r="T132" s="14" t="s">
        <v>520</v>
      </c>
      <c r="U132">
        <v>55</v>
      </c>
      <c r="V132" t="s">
        <v>720</v>
      </c>
      <c r="X132" t="str">
        <f>IF(COUNTIF(X$1:X131,X131)&gt;7,REPLACE(X131,LEN(X131),1,VALUE(RIGHT(X131,1))+1),X131)</f>
        <v>A3.15</v>
      </c>
      <c r="Y132" s="43" cm="1">
        <f t="array" ref="Y132">IF(COUNTIFS($X$2:$X132,$X132)=1,"1",VALUE(SUBSTITUTE(INDEX(Y:Y,_xlfn.XMATCH($X132,$X$1:$X131,0,-1)),"A",""))+INDEX(Z:Z,_xlfn.XMATCH($X132,$X$1:$X131,0,-1))+1)</f>
        <v>4</v>
      </c>
      <c r="Z132" s="43" cm="1">
        <f t="array" ref="Z132">SUM(IF(ISNUMBER(FIND("TmAi",$BE$1:$AAL$1)),IF(IFERROR(ISODD(SUBSTITUTE($BE132:$AAL132,"A","")),FALSE),IF(ISODD(SUBSTITUTE($BE132:$AAL132,"A","")),1,0),0)))</f>
        <v>0</v>
      </c>
      <c r="AA132" t="str">
        <f t="shared" si="196"/>
        <v>7B</v>
      </c>
      <c r="AB132" t="str">
        <f t="shared" si="197"/>
        <v>8B</v>
      </c>
      <c r="AP132" t="s">
        <v>137</v>
      </c>
      <c r="AS132" t="s">
        <v>366</v>
      </c>
      <c r="JZ132" s="27" t="str">
        <f t="shared" si="205"/>
        <v>XT55</v>
      </c>
      <c r="KC132" t="str">
        <f t="shared" si="206"/>
        <v>F0-AI15-7B</v>
      </c>
      <c r="KD132" t="str">
        <f t="shared" si="207"/>
        <v>F0-AI15-8B</v>
      </c>
      <c r="KI132" cm="1">
        <f t="array" ref="KI132">IF(COUNTIFS($U$2:$U132,$U132)=1,1,INDEX(KI:KI,_xlfn.XMATCH(U132,U$1:U131,0,-1))+COUNT(KI131:KM131))</f>
        <v>237</v>
      </c>
      <c r="KJ132">
        <f t="shared" si="203"/>
        <v>238</v>
      </c>
      <c r="KK132">
        <f t="shared" si="204"/>
        <v>239</v>
      </c>
      <c r="KN132">
        <v>1</v>
      </c>
      <c r="KO132" s="16">
        <v>2</v>
      </c>
      <c r="KS132" s="16"/>
    </row>
    <row r="133" spans="1:305" x14ac:dyDescent="0.25">
      <c r="A133" t="s">
        <v>676</v>
      </c>
      <c r="B133" t="s">
        <v>697</v>
      </c>
      <c r="C133" t="s">
        <v>464</v>
      </c>
      <c r="P133" t="s">
        <v>448</v>
      </c>
      <c r="T133" s="14" t="s">
        <v>520</v>
      </c>
      <c r="U133">
        <v>55</v>
      </c>
      <c r="V133" t="s">
        <v>721</v>
      </c>
      <c r="X133" t="str">
        <f>IF(COUNTIF(X$1:X132,X132)&gt;7,REPLACE(X132,LEN(X132),1,VALUE(RIGHT(X132,1))+1),X132)</f>
        <v>A3.15</v>
      </c>
      <c r="Y133" s="43" cm="1">
        <f t="array" ref="Y133">IF(COUNTIFS($X$2:$X133,$X133)=1,"1",VALUE(SUBSTITUTE(INDEX(Y:Y,_xlfn.XMATCH($X133,$X$1:$X132,0,-1)),"A",""))+INDEX(Z:Z,_xlfn.XMATCH($X133,$X$1:$X132,0,-1))+1)</f>
        <v>5</v>
      </c>
      <c r="Z133" s="43" cm="1">
        <f t="array" ref="Z133">SUM(IF(ISNUMBER(FIND("TmAi",$BE$1:$AAL$1)),IF(IFERROR(ISODD(SUBSTITUTE($BE133:$AAL133,"A","")),FALSE),IF(ISODD(SUBSTITUTE($BE133:$AAL133,"A","")),1,0),0)))</f>
        <v>0</v>
      </c>
      <c r="AA133" t="str">
        <f t="shared" si="196"/>
        <v>9B</v>
      </c>
      <c r="AB133" t="str">
        <f t="shared" si="197"/>
        <v>10B</v>
      </c>
      <c r="AP133" t="s">
        <v>137</v>
      </c>
      <c r="AS133" t="s">
        <v>366</v>
      </c>
      <c r="JZ133" s="27" t="str">
        <f t="shared" si="205"/>
        <v>XT55</v>
      </c>
      <c r="KC133" t="str">
        <f t="shared" si="206"/>
        <v>F0-AI15-9B</v>
      </c>
      <c r="KD133" t="str">
        <f t="shared" si="207"/>
        <v>F0-AI15-10B</v>
      </c>
      <c r="KI133" cm="1">
        <f t="array" ref="KI133">IF(COUNTIFS($U$2:$U133,$U133)=1,1,INDEX(KI:KI,_xlfn.XMATCH(U133,U$1:U132,0,-1))+COUNT(KI132:KM132))</f>
        <v>240</v>
      </c>
      <c r="KJ133">
        <f t="shared" si="203"/>
        <v>241</v>
      </c>
      <c r="KK133">
        <f t="shared" si="204"/>
        <v>242</v>
      </c>
      <c r="KN133">
        <v>1</v>
      </c>
      <c r="KO133" s="16">
        <v>2</v>
      </c>
      <c r="KS133" s="16"/>
    </row>
    <row r="134" spans="1:305" x14ac:dyDescent="0.25">
      <c r="A134" t="s">
        <v>677</v>
      </c>
      <c r="B134" s="33" t="s">
        <v>698</v>
      </c>
      <c r="C134" t="s">
        <v>458</v>
      </c>
      <c r="P134" t="s">
        <v>448</v>
      </c>
      <c r="T134" s="14" t="s">
        <v>520</v>
      </c>
      <c r="U134">
        <v>55</v>
      </c>
      <c r="V134" t="s">
        <v>722</v>
      </c>
      <c r="X134" t="str">
        <f>IF(COUNTIF(X$1:X133,X133)&gt;7,REPLACE(X133,LEN(X133),1,VALUE(RIGHT(X133,1))+1),X133)</f>
        <v>A3.15</v>
      </c>
      <c r="Y134" s="43" cm="1">
        <f t="array" ref="Y134">IF(COUNTIFS($X$2:$X134,$X134)=1,"1",VALUE(SUBSTITUTE(INDEX(Y:Y,_xlfn.XMATCH($X134,$X$1:$X133,0,-1)),"A",""))+INDEX(Z:Z,_xlfn.XMATCH($X134,$X$1:$X133,0,-1))+1)</f>
        <v>6</v>
      </c>
      <c r="Z134" s="43" cm="1">
        <f t="array" ref="Z134">SUM(IF(ISNUMBER(FIND("TmAi",$BE$1:$AAL$1)),IF(IFERROR(ISODD(SUBSTITUTE($BE134:$AAL134,"A","")),FALSE),IF(ISODD(SUBSTITUTE($BE134:$AAL134,"A","")),1,0),0)))</f>
        <v>0</v>
      </c>
      <c r="AA134" t="str">
        <f t="shared" si="196"/>
        <v>11B</v>
      </c>
      <c r="AB134" t="str">
        <f t="shared" si="197"/>
        <v>12B</v>
      </c>
      <c r="AP134" t="s">
        <v>137</v>
      </c>
      <c r="AS134" t="s">
        <v>366</v>
      </c>
      <c r="JZ134" s="27" t="str">
        <f t="shared" si="205"/>
        <v>XT55</v>
      </c>
      <c r="KC134" t="str">
        <f t="shared" si="206"/>
        <v>F0-AI15-11B</v>
      </c>
      <c r="KD134" t="str">
        <f t="shared" si="207"/>
        <v>F0-AI15-12B</v>
      </c>
      <c r="KI134" cm="1">
        <f t="array" ref="KI134">IF(COUNTIFS($U$2:$U134,$U134)=1,1,INDEX(KI:KI,_xlfn.XMATCH(U134,U$1:U133,0,-1))+COUNT(KI133:KM133))</f>
        <v>243</v>
      </c>
      <c r="KJ134">
        <f t="shared" si="203"/>
        <v>244</v>
      </c>
      <c r="KK134">
        <f t="shared" si="204"/>
        <v>245</v>
      </c>
      <c r="KN134">
        <v>1</v>
      </c>
      <c r="KO134" s="16">
        <v>2</v>
      </c>
      <c r="KS134" s="16"/>
    </row>
    <row r="135" spans="1:305" x14ac:dyDescent="0.25">
      <c r="A135" t="s">
        <v>678</v>
      </c>
      <c r="B135" t="s">
        <v>699</v>
      </c>
      <c r="C135" t="s">
        <v>458</v>
      </c>
      <c r="P135" t="s">
        <v>448</v>
      </c>
      <c r="T135" s="14" t="s">
        <v>520</v>
      </c>
      <c r="U135">
        <v>55</v>
      </c>
      <c r="V135" t="s">
        <v>723</v>
      </c>
      <c r="X135" t="s">
        <v>799</v>
      </c>
      <c r="Y135" s="43" t="str" cm="1">
        <f t="array" ref="Y135">IF(COUNTIFS($X$2:$X135,$X135)=1,"1",VALUE(SUBSTITUTE(INDEX(Y:Y,_xlfn.XMATCH($X135,$X$1:$X134,0,-1)),"A",""))+INDEX(Z:Z,_xlfn.XMATCH($X135,$X$1:$X134,0,-1))+1)</f>
        <v>1</v>
      </c>
      <c r="Z135" s="43" cm="1">
        <f t="array" ref="Z135">SUM(IF(ISNUMBER(FIND("TmAi",$BE$1:$AAL$1)),IF(IFERROR(ISODD(SUBSTITUTE($BE135:$AAL135,"A","")),FALSE),IF(ISODD(SUBSTITUTE($BE135:$AAL135,"A","")),1,0),0)))</f>
        <v>0</v>
      </c>
      <c r="AA135" t="str">
        <f t="shared" si="196"/>
        <v>1B</v>
      </c>
      <c r="AB135" t="str">
        <f t="shared" si="197"/>
        <v>2B</v>
      </c>
      <c r="AP135" t="s">
        <v>137</v>
      </c>
      <c r="AS135" t="s">
        <v>366</v>
      </c>
      <c r="JZ135" s="27" t="str">
        <f t="shared" si="205"/>
        <v>XT55</v>
      </c>
      <c r="KC135" t="str">
        <f t="shared" si="206"/>
        <v>F0-AI16-1B</v>
      </c>
      <c r="KD135" t="str">
        <f t="shared" si="207"/>
        <v>F0-AI16-2B</v>
      </c>
      <c r="KI135" cm="1">
        <f t="array" ref="KI135">IF(COUNTIFS($U$2:$U135,$U135)=1,1,INDEX(KI:KI,_xlfn.XMATCH(U135,U$1:U134,0,-1))+COUNT(KI134:KM134))</f>
        <v>246</v>
      </c>
      <c r="KJ135">
        <f t="shared" si="203"/>
        <v>247</v>
      </c>
      <c r="KK135">
        <f t="shared" si="204"/>
        <v>248</v>
      </c>
      <c r="KN135">
        <v>1</v>
      </c>
      <c r="KO135" s="16">
        <v>2</v>
      </c>
      <c r="KS135" s="16"/>
    </row>
    <row r="136" spans="1:305" x14ac:dyDescent="0.25">
      <c r="A136" t="s">
        <v>679</v>
      </c>
      <c r="B136" t="s">
        <v>700</v>
      </c>
      <c r="C136" t="s">
        <v>464</v>
      </c>
      <c r="P136" t="s">
        <v>448</v>
      </c>
      <c r="T136" s="14" t="s">
        <v>520</v>
      </c>
      <c r="U136">
        <v>55</v>
      </c>
      <c r="V136" t="s">
        <v>724</v>
      </c>
      <c r="X136" t="str">
        <f>IF(COUNTIF(X$1:X135,X135)&gt;7,REPLACE(X135,LEN(X135),1,VALUE(RIGHT(X135,1))+1),X135)</f>
        <v>A3.16</v>
      </c>
      <c r="Y136" s="43" cm="1">
        <f t="array" ref="Y136">IF(COUNTIFS($X$2:$X136,$X136)=1,"1",VALUE(SUBSTITUTE(INDEX(Y:Y,_xlfn.XMATCH($X136,$X$1:$X135,0,-1)),"A",""))+INDEX(Z:Z,_xlfn.XMATCH($X136,$X$1:$X135,0,-1))+1)</f>
        <v>2</v>
      </c>
      <c r="Z136" s="43" cm="1">
        <f t="array" ref="Z136">SUM(IF(ISNUMBER(FIND("TmAi",$BE$1:$AAL$1)),IF(IFERROR(ISODD(SUBSTITUTE($BE136:$AAL136,"A","")),FALSE),IF(ISODD(SUBSTITUTE($BE136:$AAL136,"A","")),1,0),0)))</f>
        <v>0</v>
      </c>
      <c r="AA136" t="str">
        <f t="shared" si="196"/>
        <v>3B</v>
      </c>
      <c r="AB136" t="str">
        <f t="shared" si="197"/>
        <v>4B</v>
      </c>
      <c r="AP136" t="s">
        <v>137</v>
      </c>
      <c r="AS136" t="s">
        <v>366</v>
      </c>
      <c r="JZ136" s="27" t="str">
        <f t="shared" si="205"/>
        <v>XT55</v>
      </c>
      <c r="KC136" t="str">
        <f t="shared" si="206"/>
        <v>F0-AI16-3B</v>
      </c>
      <c r="KD136" t="str">
        <f t="shared" si="207"/>
        <v>F0-AI16-4B</v>
      </c>
      <c r="KI136" cm="1">
        <f t="array" ref="KI136">IF(COUNTIFS($U$2:$U136,$U136)=1,1,INDEX(KI:KI,_xlfn.XMATCH(U136,U$1:U135,0,-1))+COUNT(KI135:KM135))</f>
        <v>249</v>
      </c>
      <c r="KJ136">
        <f t="shared" si="203"/>
        <v>250</v>
      </c>
      <c r="KK136">
        <f t="shared" si="204"/>
        <v>251</v>
      </c>
      <c r="KN136">
        <v>1</v>
      </c>
      <c r="KO136" s="16">
        <v>2</v>
      </c>
      <c r="KS136" s="16"/>
    </row>
    <row r="137" spans="1:305" x14ac:dyDescent="0.25">
      <c r="A137" t="s">
        <v>680</v>
      </c>
      <c r="B137" s="33" t="s">
        <v>701</v>
      </c>
      <c r="C137" t="s">
        <v>458</v>
      </c>
      <c r="P137" t="s">
        <v>448</v>
      </c>
      <c r="T137" s="14" t="s">
        <v>520</v>
      </c>
      <c r="U137">
        <v>55</v>
      </c>
      <c r="V137" t="s">
        <v>725</v>
      </c>
      <c r="X137" s="33" t="str">
        <f>IF(COUNTIF(X$1:X136,X136)&gt;7,REPLACE(X136,LEN(X136),1,VALUE(RIGHT(X136,1))+1),X136)</f>
        <v>A3.16</v>
      </c>
      <c r="Y137" s="45" cm="1">
        <f t="array" ref="Y137">IF(COUNTIFS($X$2:$X137,$X137)=1,"1",VALUE(SUBSTITUTE(INDEX(Y:Y,_xlfn.XMATCH($X137,$X$1:$X136,0,-1)),"A",""))+INDEX(Z:Z,_xlfn.XMATCH($X137,$X$1:$X136,0,-1))+1)</f>
        <v>3</v>
      </c>
      <c r="Z137" s="43" cm="1">
        <f t="array" ref="Z137">SUM(IF(ISNUMBER(FIND("TmAi",$BE$1:$AAL$1)),IF(IFERROR(ISODD(SUBSTITUTE($BE137:$AAL137,"A","")),FALSE),IF(ISODD(SUBSTITUTE($BE137:$AAL137,"A","")),1,0),0)))</f>
        <v>0</v>
      </c>
      <c r="AA137" t="str">
        <f t="shared" si="196"/>
        <v>5B</v>
      </c>
      <c r="AB137" t="str">
        <f t="shared" si="197"/>
        <v>6B</v>
      </c>
      <c r="AP137" t="s">
        <v>137</v>
      </c>
      <c r="AS137" t="s">
        <v>366</v>
      </c>
      <c r="JZ137" s="27" t="str">
        <f t="shared" si="205"/>
        <v>XT55</v>
      </c>
      <c r="KC137" t="str">
        <f t="shared" si="206"/>
        <v>F0-AI16-5B</v>
      </c>
      <c r="KD137" t="str">
        <f t="shared" si="207"/>
        <v>F0-AI16-6B</v>
      </c>
      <c r="KI137" cm="1">
        <f t="array" ref="KI137">IF(COUNTIFS($U$2:$U137,$U137)=1,1,INDEX(KI:KI,_xlfn.XMATCH(U137,U$1:U136,0,-1))+COUNT(KI136:KM136))</f>
        <v>252</v>
      </c>
      <c r="KJ137">
        <f t="shared" si="203"/>
        <v>253</v>
      </c>
      <c r="KK137">
        <f t="shared" si="204"/>
        <v>254</v>
      </c>
      <c r="KN137">
        <v>1</v>
      </c>
      <c r="KO137" s="16">
        <v>2</v>
      </c>
      <c r="KS137" s="16"/>
    </row>
    <row r="138" spans="1:305" x14ac:dyDescent="0.25">
      <c r="A138" t="s">
        <v>681</v>
      </c>
      <c r="B138" t="s">
        <v>702</v>
      </c>
      <c r="C138" t="s">
        <v>458</v>
      </c>
      <c r="P138" t="s">
        <v>448</v>
      </c>
      <c r="T138" s="14" t="s">
        <v>520</v>
      </c>
      <c r="U138">
        <v>55</v>
      </c>
      <c r="V138" t="s">
        <v>726</v>
      </c>
      <c r="X138" t="str">
        <f>IF(COUNTIF(X$1:X137,X137)&gt;7,REPLACE(X137,LEN(X137),1,VALUE(RIGHT(X137,1))+1),X137)</f>
        <v>A3.16</v>
      </c>
      <c r="Y138" s="43" cm="1">
        <f t="array" ref="Y138">IF(COUNTIFS($X$2:$X138,$X138)=1,"1",VALUE(SUBSTITUTE(INDEX(Y:Y,_xlfn.XMATCH($X138,$X$1:$X137,0,-1)),"A",""))+INDEX(Z:Z,_xlfn.XMATCH($X138,$X$1:$X137,0,-1))+1)</f>
        <v>4</v>
      </c>
      <c r="Z138" s="43" cm="1">
        <f t="array" ref="Z138">SUM(IF(ISNUMBER(FIND("TmAi",$BE$1:$AAL$1)),IF(IFERROR(ISODD(SUBSTITUTE($BE138:$AAL138,"A","")),FALSE),IF(ISODD(SUBSTITUTE($BE138:$AAL138,"A","")),1,0),0)))</f>
        <v>0</v>
      </c>
      <c r="AA138" t="str">
        <f t="shared" si="196"/>
        <v>7B</v>
      </c>
      <c r="AB138" t="str">
        <f t="shared" si="197"/>
        <v>8B</v>
      </c>
      <c r="AP138" t="s">
        <v>137</v>
      </c>
      <c r="AS138" t="s">
        <v>366</v>
      </c>
      <c r="JZ138" s="27" t="str">
        <f t="shared" si="205"/>
        <v>XT55</v>
      </c>
      <c r="KC138" t="str">
        <f t="shared" si="206"/>
        <v>F0-AI16-7B</v>
      </c>
      <c r="KD138" t="str">
        <f t="shared" si="207"/>
        <v>F0-AI16-8B</v>
      </c>
      <c r="KI138" cm="1">
        <f t="array" ref="KI138">IF(COUNTIFS($U$2:$U138,$U138)=1,1,INDEX(KI:KI,_xlfn.XMATCH(U138,U$1:U137,0,-1))+COUNT(KI137:KM137))</f>
        <v>255</v>
      </c>
      <c r="KJ138">
        <f t="shared" si="203"/>
        <v>256</v>
      </c>
      <c r="KK138">
        <f t="shared" si="204"/>
        <v>257</v>
      </c>
      <c r="KN138">
        <v>1</v>
      </c>
      <c r="KO138" s="16">
        <v>2</v>
      </c>
      <c r="KS138" s="16"/>
    </row>
    <row r="139" spans="1:305" x14ac:dyDescent="0.25">
      <c r="A139" t="s">
        <v>682</v>
      </c>
      <c r="B139" t="s">
        <v>703</v>
      </c>
      <c r="C139" t="s">
        <v>464</v>
      </c>
      <c r="P139" t="s">
        <v>448</v>
      </c>
      <c r="T139" s="14" t="s">
        <v>520</v>
      </c>
      <c r="U139">
        <v>55</v>
      </c>
      <c r="V139" t="s">
        <v>727</v>
      </c>
      <c r="X139" t="str">
        <f>IF(COUNTIF(X$1:X138,X138)&gt;7,REPLACE(X138,LEN(X138),1,VALUE(RIGHT(X138,1))+1),X138)</f>
        <v>A3.16</v>
      </c>
      <c r="Y139" s="43" cm="1">
        <f t="array" ref="Y139">IF(COUNTIFS($X$2:$X139,$X139)=1,"1",VALUE(SUBSTITUTE(INDEX(Y:Y,_xlfn.XMATCH($X139,$X$1:$X138,0,-1)),"A",""))+INDEX(Z:Z,_xlfn.XMATCH($X139,$X$1:$X138,0,-1))+1)</f>
        <v>5</v>
      </c>
      <c r="Z139" s="43" cm="1">
        <f t="array" ref="Z139">SUM(IF(ISNUMBER(FIND("TmAi",$BE$1:$AAL$1)),IF(IFERROR(ISODD(SUBSTITUTE($BE139:$AAL139,"A","")),FALSE),IF(ISODD(SUBSTITUTE($BE139:$AAL139,"A","")),1,0),0)))</f>
        <v>0</v>
      </c>
      <c r="AA139" t="str">
        <f t="shared" si="196"/>
        <v>9B</v>
      </c>
      <c r="AB139" t="str">
        <f t="shared" si="197"/>
        <v>10B</v>
      </c>
      <c r="AP139" t="s">
        <v>137</v>
      </c>
      <c r="AS139" t="s">
        <v>366</v>
      </c>
      <c r="JZ139" s="27" t="str">
        <f t="shared" si="205"/>
        <v>XT55</v>
      </c>
      <c r="KC139" t="str">
        <f t="shared" si="206"/>
        <v>F0-AI16-9B</v>
      </c>
      <c r="KD139" t="str">
        <f t="shared" si="207"/>
        <v>F0-AI16-10B</v>
      </c>
      <c r="KI139" cm="1">
        <f t="array" ref="KI139">IF(COUNTIFS($U$2:$U139,$U139)=1,1,INDEX(KI:KI,_xlfn.XMATCH(U139,U$1:U138,0,-1))+COUNT(KI138:KM138))</f>
        <v>258</v>
      </c>
      <c r="KJ139">
        <f t="shared" si="203"/>
        <v>259</v>
      </c>
      <c r="KK139">
        <f t="shared" si="204"/>
        <v>260</v>
      </c>
      <c r="KN139">
        <v>1</v>
      </c>
      <c r="KO139" s="16">
        <v>2</v>
      </c>
      <c r="KS139" s="16"/>
    </row>
    <row r="140" spans="1:305" x14ac:dyDescent="0.25">
      <c r="A140" t="s">
        <v>683</v>
      </c>
      <c r="B140" s="33" t="s">
        <v>704</v>
      </c>
      <c r="C140" t="s">
        <v>458</v>
      </c>
      <c r="P140" t="s">
        <v>448</v>
      </c>
      <c r="T140" s="14" t="s">
        <v>520</v>
      </c>
      <c r="U140">
        <v>55</v>
      </c>
      <c r="V140" t="s">
        <v>728</v>
      </c>
      <c r="X140" t="str">
        <f>IF(COUNTIF(X$1:X139,X139)&gt;7,REPLACE(X139,LEN(X139),1,VALUE(RIGHT(X139,1))+1),X139)</f>
        <v>A3.16</v>
      </c>
      <c r="Y140" s="43" cm="1">
        <f t="array" ref="Y140">IF(COUNTIFS($X$2:$X140,$X140)=1,"1",VALUE(SUBSTITUTE(INDEX(Y:Y,_xlfn.XMATCH($X140,$X$1:$X139,0,-1)),"A",""))+INDEX(Z:Z,_xlfn.XMATCH($X140,$X$1:$X139,0,-1))+1)</f>
        <v>6</v>
      </c>
      <c r="Z140" s="43" cm="1">
        <f t="array" ref="Z140">SUM(IF(ISNUMBER(FIND("TmAi",$BE$1:$AAL$1)),IF(IFERROR(ISODD(SUBSTITUTE($BE140:$AAL140,"A","")),FALSE),IF(ISODD(SUBSTITUTE($BE140:$AAL140,"A","")),1,0),0)))</f>
        <v>0</v>
      </c>
      <c r="AA140" t="str">
        <f t="shared" si="196"/>
        <v>11B</v>
      </c>
      <c r="AB140" t="str">
        <f t="shared" si="197"/>
        <v>12B</v>
      </c>
      <c r="AP140" t="s">
        <v>137</v>
      </c>
      <c r="AS140" t="s">
        <v>366</v>
      </c>
      <c r="JZ140" s="27" t="str">
        <f t="shared" si="205"/>
        <v>XT55</v>
      </c>
      <c r="KC140" t="str">
        <f t="shared" si="206"/>
        <v>F0-AI16-11B</v>
      </c>
      <c r="KD140" t="str">
        <f t="shared" si="207"/>
        <v>F0-AI16-12B</v>
      </c>
      <c r="KI140" cm="1">
        <f t="array" ref="KI140">IF(COUNTIFS($U$2:$U140,$U140)=1,1,INDEX(KI:KI,_xlfn.XMATCH(U140,U$1:U139,0,-1))+COUNT(KI139:KM139))</f>
        <v>261</v>
      </c>
      <c r="KJ140">
        <f t="shared" si="203"/>
        <v>262</v>
      </c>
      <c r="KK140">
        <f t="shared" si="204"/>
        <v>263</v>
      </c>
      <c r="KN140">
        <v>1</v>
      </c>
      <c r="KO140" s="16">
        <v>2</v>
      </c>
      <c r="KS140" s="16"/>
    </row>
    <row r="141" spans="1:305" x14ac:dyDescent="0.25">
      <c r="A141" t="s">
        <v>730</v>
      </c>
      <c r="B141" t="s">
        <v>729</v>
      </c>
      <c r="C141" t="s">
        <v>464</v>
      </c>
      <c r="P141" t="s">
        <v>448</v>
      </c>
      <c r="T141" s="14" t="s">
        <v>520</v>
      </c>
      <c r="U141">
        <v>55</v>
      </c>
      <c r="V141" t="s">
        <v>735</v>
      </c>
      <c r="X141" t="s">
        <v>874</v>
      </c>
      <c r="Y141" s="43" t="str" cm="1">
        <f t="array" ref="Y141">IF(COUNTIFS($X$2:$X141,$X141)=1,"1",VALUE(SUBSTITUTE(INDEX(Y:Y,_xlfn.XMATCH($X141,$X$1:$X140,0,-1)),"A",""))+INDEX(Z:Z,_xlfn.XMATCH($X141,$X$1:$X140,0,-1))+1)</f>
        <v>1</v>
      </c>
      <c r="Z141" s="43" cm="1">
        <f t="array" ref="Z141">SUM(IF(ISNUMBER(FIND("TmAi",$BE$1:$AAL$1)),IF(IFERROR(ISODD(SUBSTITUTE($BE141:$AAL141,"A","")),FALSE),IF(ISODD(SUBSTITUTE($BE141:$AAL141,"A","")),1,0),0)))</f>
        <v>0</v>
      </c>
      <c r="AA141" t="str">
        <f t="shared" si="196"/>
        <v>1B</v>
      </c>
      <c r="AB141" t="str">
        <f t="shared" si="197"/>
        <v>2B</v>
      </c>
      <c r="AP141" t="s">
        <v>137</v>
      </c>
      <c r="AS141" t="s">
        <v>366</v>
      </c>
      <c r="JZ141" s="27" t="str">
        <f t="shared" si="205"/>
        <v>XT55</v>
      </c>
      <c r="KC141" t="str">
        <f t="shared" si="206"/>
        <v>F0-AI17-1B</v>
      </c>
      <c r="KD141" t="str">
        <f t="shared" si="207"/>
        <v>F0-AI17-2B</v>
      </c>
      <c r="KI141" cm="1">
        <f t="array" ref="KI141">IF(COUNTIFS($U$2:$U141,$U141)=1,1,INDEX(KI:KI,_xlfn.XMATCH(U141,U$1:U140,0,-1))+COUNT(KI140:KM140))</f>
        <v>264</v>
      </c>
      <c r="KJ141">
        <f t="shared" si="203"/>
        <v>265</v>
      </c>
      <c r="KK141">
        <f t="shared" si="204"/>
        <v>266</v>
      </c>
      <c r="KN141">
        <v>1</v>
      </c>
      <c r="KO141" s="16">
        <v>2</v>
      </c>
      <c r="KS141" s="16"/>
    </row>
    <row r="142" spans="1:305" x14ac:dyDescent="0.25">
      <c r="A142" t="s">
        <v>732</v>
      </c>
      <c r="B142" s="33" t="s">
        <v>731</v>
      </c>
      <c r="C142" t="s">
        <v>458</v>
      </c>
      <c r="P142" t="s">
        <v>448</v>
      </c>
      <c r="T142" s="14" t="s">
        <v>520</v>
      </c>
      <c r="U142">
        <v>55</v>
      </c>
      <c r="V142" t="s">
        <v>736</v>
      </c>
      <c r="X142" t="str">
        <f>IF(COUNTIF(X$1:X141,X141)&gt;7,REPLACE(X141,LEN(X141),1,VALUE(RIGHT(X141,1))+1),X141)</f>
        <v>A3.17</v>
      </c>
      <c r="Y142" s="43" cm="1">
        <f t="array" ref="Y142">IF(COUNTIFS($X$2:$X142,$X142)=1,"1",VALUE(SUBSTITUTE(INDEX(Y:Y,_xlfn.XMATCH($X142,$X$1:$X141,0,-1)),"A",""))+INDEX(Z:Z,_xlfn.XMATCH($X142,$X$1:$X141,0,-1))+1)</f>
        <v>2</v>
      </c>
      <c r="Z142" s="43" cm="1">
        <f t="array" ref="Z142">SUM(IF(ISNUMBER(FIND("TmAi",$BE$1:$AAL$1)),IF(IFERROR(ISODD(SUBSTITUTE($BE142:$AAL142,"A","")),FALSE),IF(ISODD(SUBSTITUTE($BE142:$AAL142,"A","")),1,0),0)))</f>
        <v>0</v>
      </c>
      <c r="AA142" t="str">
        <f t="shared" si="196"/>
        <v>3B</v>
      </c>
      <c r="AB142" t="str">
        <f t="shared" si="197"/>
        <v>4B</v>
      </c>
      <c r="AP142" t="s">
        <v>137</v>
      </c>
      <c r="AS142" t="s">
        <v>366</v>
      </c>
      <c r="JZ142" s="27" t="str">
        <f t="shared" si="205"/>
        <v>XT55</v>
      </c>
      <c r="KC142" t="str">
        <f t="shared" si="206"/>
        <v>F0-AI17-3B</v>
      </c>
      <c r="KD142" t="str">
        <f t="shared" si="207"/>
        <v>F0-AI17-4B</v>
      </c>
      <c r="KI142" cm="1">
        <f t="array" ref="KI142">IF(COUNTIFS($U$2:$U142,$U142)=1,1,INDEX(KI:KI,_xlfn.XMATCH(U142,U$1:U141,0,-1))+COUNT(KI141:KM141))</f>
        <v>267</v>
      </c>
      <c r="KJ142">
        <f t="shared" si="203"/>
        <v>268</v>
      </c>
      <c r="KK142">
        <f t="shared" si="204"/>
        <v>269</v>
      </c>
      <c r="KN142">
        <v>1</v>
      </c>
      <c r="KO142" s="16">
        <v>2</v>
      </c>
      <c r="KS142" s="16"/>
    </row>
    <row r="143" spans="1:305" x14ac:dyDescent="0.25">
      <c r="A143" t="s">
        <v>734</v>
      </c>
      <c r="B143" t="s">
        <v>737</v>
      </c>
      <c r="C143" t="s">
        <v>464</v>
      </c>
      <c r="P143" t="s">
        <v>448</v>
      </c>
      <c r="T143" s="14" t="s">
        <v>520</v>
      </c>
      <c r="U143">
        <v>55</v>
      </c>
      <c r="V143" t="s">
        <v>733</v>
      </c>
      <c r="X143" t="s">
        <v>1012</v>
      </c>
      <c r="Y143" s="43" t="str" cm="1">
        <f t="array" ref="Y143">IF(COUNTIFS($X$2:$X143,$X143)=1,"1",VALUE(SUBSTITUTE(INDEX(Y:Y,_xlfn.XMATCH($X143,$X$1:$X142,0,-1)),"A",""))+INDEX(Z:Z,_xlfn.XMATCH($X143,$X$1:$X142,0,-1))+1)</f>
        <v>1</v>
      </c>
      <c r="Z143" s="43" cm="1">
        <f t="array" ref="Z143">SUM(IF(ISNUMBER(FIND("TmAi",$BE$1:$AAL$1)),IF(IFERROR(ISODD(SUBSTITUTE($BE143:$AAL143,"A","")),FALSE),IF(ISODD(SUBSTITUTE($BE143:$AAL143,"A","")),1,0),0)))</f>
        <v>0</v>
      </c>
      <c r="AA143" t="str">
        <f t="shared" si="196"/>
        <v>1B</v>
      </c>
      <c r="AB143" t="str">
        <f t="shared" si="197"/>
        <v>2B</v>
      </c>
      <c r="AP143" t="s">
        <v>137</v>
      </c>
      <c r="AS143" t="s">
        <v>366</v>
      </c>
      <c r="JZ143" s="27" t="str">
        <f t="shared" si="205"/>
        <v>XT55</v>
      </c>
      <c r="KC143" t="str">
        <f t="shared" si="206"/>
        <v>F0-AI18-1B</v>
      </c>
      <c r="KD143" t="str">
        <f t="shared" si="207"/>
        <v>F0-AI18-2B</v>
      </c>
      <c r="KI143" cm="1">
        <f t="array" ref="KI143">IF(COUNTIFS($U$2:$U143,$U143)=1,1,INDEX(KI:KI,_xlfn.XMATCH(U143,U$1:U142,0,-1))+COUNT(KI142:KM142))</f>
        <v>270</v>
      </c>
      <c r="KJ143">
        <f t="shared" si="203"/>
        <v>271</v>
      </c>
      <c r="KK143">
        <f t="shared" si="204"/>
        <v>272</v>
      </c>
      <c r="KN143">
        <v>1</v>
      </c>
      <c r="KO143" s="16">
        <v>2</v>
      </c>
      <c r="KS143" s="16"/>
    </row>
    <row r="144" spans="1:305" x14ac:dyDescent="0.25">
      <c r="A144" t="s">
        <v>740</v>
      </c>
      <c r="B144" s="33" t="s">
        <v>738</v>
      </c>
      <c r="C144" t="s">
        <v>458</v>
      </c>
      <c r="P144" t="s">
        <v>448</v>
      </c>
      <c r="T144" s="14" t="s">
        <v>520</v>
      </c>
      <c r="U144">
        <v>55</v>
      </c>
      <c r="V144" t="s">
        <v>739</v>
      </c>
      <c r="X144" t="str">
        <f>IF(COUNTIF(X$1:X143,X143)&gt;7,REPLACE(X143,LEN(X143),1,VALUE(RIGHT(X143,1))+1),X143)</f>
        <v>A3.18</v>
      </c>
      <c r="Y144" s="43" cm="1">
        <f t="array" ref="Y144">IF(COUNTIFS($X$2:$X144,$X144)=1,"1",VALUE(SUBSTITUTE(INDEX(Y:Y,_xlfn.XMATCH($X144,$X$1:$X143,0,-1)),"A",""))+INDEX(Z:Z,_xlfn.XMATCH($X144,$X$1:$X143,0,-1))+1)</f>
        <v>2</v>
      </c>
      <c r="Z144" s="43" cm="1">
        <f t="array" ref="Z144">SUM(IF(ISNUMBER(FIND("TmAi",$BE$1:$AAL$1)),IF(IFERROR(ISODD(SUBSTITUTE($BE144:$AAL144,"A","")),FALSE),IF(ISODD(SUBSTITUTE($BE144:$AAL144,"A","")),1,0),0)))</f>
        <v>0</v>
      </c>
      <c r="AA144" t="str">
        <f t="shared" si="196"/>
        <v>3B</v>
      </c>
      <c r="AB144" t="str">
        <f t="shared" si="197"/>
        <v>4B</v>
      </c>
      <c r="AP144" t="s">
        <v>137</v>
      </c>
      <c r="AS144" t="s">
        <v>366</v>
      </c>
      <c r="JZ144" s="27" t="str">
        <f t="shared" si="205"/>
        <v>XT55</v>
      </c>
      <c r="KC144" t="str">
        <f t="shared" si="206"/>
        <v>F0-AI18-3B</v>
      </c>
      <c r="KD144" t="str">
        <f t="shared" si="207"/>
        <v>F0-AI18-4B</v>
      </c>
      <c r="KI144" cm="1">
        <f t="array" ref="KI144">IF(COUNTIFS($U$2:$U144,$U144)=1,1,INDEX(KI:KI,_xlfn.XMATCH(U144,U$1:U143,0,-1))+COUNT(KI143:KM143))</f>
        <v>273</v>
      </c>
      <c r="KJ144">
        <f t="shared" si="203"/>
        <v>274</v>
      </c>
      <c r="KK144">
        <f t="shared" si="204"/>
        <v>275</v>
      </c>
      <c r="KN144">
        <v>1</v>
      </c>
      <c r="KO144" s="16">
        <v>2</v>
      </c>
      <c r="KS144" s="16"/>
    </row>
    <row r="145" spans="1:305" x14ac:dyDescent="0.25">
      <c r="A145" t="s">
        <v>741</v>
      </c>
      <c r="B145" t="s">
        <v>755</v>
      </c>
      <c r="C145" t="s">
        <v>464</v>
      </c>
      <c r="P145" t="s">
        <v>448</v>
      </c>
      <c r="T145" s="14" t="s">
        <v>520</v>
      </c>
      <c r="U145">
        <v>55</v>
      </c>
      <c r="V145" t="s">
        <v>769</v>
      </c>
      <c r="X145" s="33" t="str">
        <f>IF(COUNTIF(X$1:X144,X144)&gt;7,REPLACE(X144,LEN(X144),1,VALUE(RIGHT(X144,1))+1),X144)</f>
        <v>A3.18</v>
      </c>
      <c r="Y145" s="45" cm="1">
        <f t="array" ref="Y145">IF(COUNTIFS($X$2:$X145,$X145)=1,"1",VALUE(SUBSTITUTE(INDEX(Y:Y,_xlfn.XMATCH($X145,$X$1:$X144,0,-1)),"A",""))+INDEX(Z:Z,_xlfn.XMATCH($X145,$X$1:$X144,0,-1))+1)</f>
        <v>3</v>
      </c>
      <c r="Z145" s="43" cm="1">
        <f t="array" ref="Z145">SUM(IF(ISNUMBER(FIND("TmAi",$BE$1:$AAL$1)),IF(IFERROR(ISODD(SUBSTITUTE($BE145:$AAL145,"A","")),FALSE),IF(ISODD(SUBSTITUTE($BE145:$AAL145,"A","")),1,0),0)))</f>
        <v>0</v>
      </c>
      <c r="AA145" t="str">
        <f t="shared" si="196"/>
        <v>5B</v>
      </c>
      <c r="AB145" t="str">
        <f t="shared" si="197"/>
        <v>6B</v>
      </c>
      <c r="AP145" t="s">
        <v>137</v>
      </c>
      <c r="AS145" t="s">
        <v>366</v>
      </c>
      <c r="JZ145" s="27" t="str">
        <f t="shared" si="205"/>
        <v>XT55</v>
      </c>
      <c r="KC145" t="str">
        <f t="shared" si="206"/>
        <v>F0-AI18-5B</v>
      </c>
      <c r="KD145" t="str">
        <f t="shared" si="207"/>
        <v>F0-AI18-6B</v>
      </c>
      <c r="KI145" cm="1">
        <f t="array" ref="KI145">IF(COUNTIFS($U$2:$U145,$U145)=1,1,INDEX(KI:KI,_xlfn.XMATCH(U145,U$1:U144,0,-1))+COUNT(KI144:KM144))</f>
        <v>276</v>
      </c>
      <c r="KJ145">
        <f t="shared" si="203"/>
        <v>277</v>
      </c>
      <c r="KK145">
        <f t="shared" si="204"/>
        <v>278</v>
      </c>
      <c r="KN145">
        <v>1</v>
      </c>
      <c r="KO145" s="16">
        <v>2</v>
      </c>
      <c r="KS145" s="16"/>
    </row>
    <row r="146" spans="1:305" x14ac:dyDescent="0.25">
      <c r="A146" t="s">
        <v>742</v>
      </c>
      <c r="B146" s="33" t="s">
        <v>756</v>
      </c>
      <c r="C146" t="s">
        <v>458</v>
      </c>
      <c r="P146" t="s">
        <v>448</v>
      </c>
      <c r="T146" s="14" t="s">
        <v>520</v>
      </c>
      <c r="U146">
        <v>55</v>
      </c>
      <c r="V146" t="s">
        <v>770</v>
      </c>
      <c r="X146" t="str">
        <f>IF(COUNTIF(X$1:X145,X145)&gt;7,REPLACE(X145,LEN(X145),1,VALUE(RIGHT(X145,1))+1),X145)</f>
        <v>A3.18</v>
      </c>
      <c r="Y146" s="43" cm="1">
        <f t="array" ref="Y146">IF(COUNTIFS($X$2:$X146,$X146)=1,"1",VALUE(SUBSTITUTE(INDEX(Y:Y,_xlfn.XMATCH($X146,$X$1:$X145,0,-1)),"A",""))+INDEX(Z:Z,_xlfn.XMATCH($X146,$X$1:$X145,0,-1))+1)</f>
        <v>4</v>
      </c>
      <c r="Z146" s="43" cm="1">
        <f t="array" ref="Z146">SUM(IF(ISNUMBER(FIND("TmAi",$BE$1:$AAL$1)),IF(IFERROR(ISODD(SUBSTITUTE($BE146:$AAL146,"A","")),FALSE),IF(ISODD(SUBSTITUTE($BE146:$AAL146,"A","")),1,0),0)))</f>
        <v>0</v>
      </c>
      <c r="AA146" t="str">
        <f t="shared" si="196"/>
        <v>7B</v>
      </c>
      <c r="AB146" t="str">
        <f t="shared" si="197"/>
        <v>8B</v>
      </c>
      <c r="AP146" t="s">
        <v>137</v>
      </c>
      <c r="AS146" t="s">
        <v>366</v>
      </c>
      <c r="JZ146" s="27" t="str">
        <f t="shared" si="205"/>
        <v>XT55</v>
      </c>
      <c r="KC146" t="str">
        <f t="shared" si="206"/>
        <v>F0-AI18-7B</v>
      </c>
      <c r="KD146" t="str">
        <f t="shared" si="207"/>
        <v>F0-AI18-8B</v>
      </c>
      <c r="KI146" cm="1">
        <f t="array" ref="KI146">IF(COUNTIFS($U$2:$U146,$U146)=1,1,INDEX(KI:KI,_xlfn.XMATCH(U146,U$1:U145,0,-1))+COUNT(KI145:KM145))</f>
        <v>279</v>
      </c>
      <c r="KJ146">
        <f t="shared" si="203"/>
        <v>280</v>
      </c>
      <c r="KK146">
        <f t="shared" si="204"/>
        <v>281</v>
      </c>
      <c r="KN146">
        <v>1</v>
      </c>
      <c r="KO146" s="16">
        <v>2</v>
      </c>
      <c r="KS146" s="16"/>
    </row>
    <row r="147" spans="1:305" x14ac:dyDescent="0.25">
      <c r="A147" t="s">
        <v>743</v>
      </c>
      <c r="B147" t="s">
        <v>757</v>
      </c>
      <c r="C147" t="s">
        <v>464</v>
      </c>
      <c r="P147" t="s">
        <v>448</v>
      </c>
      <c r="T147" s="14" t="s">
        <v>520</v>
      </c>
      <c r="U147">
        <v>55</v>
      </c>
      <c r="V147" t="s">
        <v>771</v>
      </c>
      <c r="X147" t="str">
        <f>IF(COUNTIF(X$1:X146,X146)&gt;7,REPLACE(X146,LEN(X146),1,VALUE(RIGHT(X146,1))+1),X146)</f>
        <v>A3.18</v>
      </c>
      <c r="Y147" s="43" cm="1">
        <f t="array" ref="Y147">IF(COUNTIFS($X$2:$X147,$X147)=1,"1",VALUE(SUBSTITUTE(INDEX(Y:Y,_xlfn.XMATCH($X147,$X$1:$X146,0,-1)),"A",""))+INDEX(Z:Z,_xlfn.XMATCH($X147,$X$1:$X146,0,-1))+1)</f>
        <v>5</v>
      </c>
      <c r="Z147" s="43" cm="1">
        <f t="array" ref="Z147">SUM(IF(ISNUMBER(FIND("TmAi",$BE$1:$AAL$1)),IF(IFERROR(ISODD(SUBSTITUTE($BE147:$AAL147,"A","")),FALSE),IF(ISODD(SUBSTITUTE($BE147:$AAL147,"A","")),1,0),0)))</f>
        <v>0</v>
      </c>
      <c r="AA147" t="str">
        <f t="shared" si="196"/>
        <v>9B</v>
      </c>
      <c r="AB147" t="str">
        <f t="shared" si="197"/>
        <v>10B</v>
      </c>
      <c r="AP147" t="s">
        <v>137</v>
      </c>
      <c r="AS147" t="s">
        <v>366</v>
      </c>
      <c r="JZ147" s="27" t="str">
        <f t="shared" si="205"/>
        <v>XT55</v>
      </c>
      <c r="KC147" t="str">
        <f t="shared" si="206"/>
        <v>F0-AI18-9B</v>
      </c>
      <c r="KD147" t="str">
        <f t="shared" si="207"/>
        <v>F0-AI18-10B</v>
      </c>
      <c r="KI147" cm="1">
        <f t="array" ref="KI147">IF(COUNTIFS($U$2:$U147,$U147)=1,1,INDEX(KI:KI,_xlfn.XMATCH(U147,U$1:U146,0,-1))+COUNT(KI146:KM146))</f>
        <v>282</v>
      </c>
      <c r="KJ147">
        <f t="shared" si="203"/>
        <v>283</v>
      </c>
      <c r="KK147">
        <f t="shared" si="204"/>
        <v>284</v>
      </c>
      <c r="KN147">
        <v>1</v>
      </c>
      <c r="KO147" s="16">
        <v>2</v>
      </c>
      <c r="KS147" s="16"/>
    </row>
    <row r="148" spans="1:305" x14ac:dyDescent="0.25">
      <c r="A148" t="s">
        <v>744</v>
      </c>
      <c r="B148" s="33" t="s">
        <v>758</v>
      </c>
      <c r="C148" t="s">
        <v>458</v>
      </c>
      <c r="P148" t="s">
        <v>448</v>
      </c>
      <c r="T148" s="14" t="s">
        <v>520</v>
      </c>
      <c r="U148">
        <v>55</v>
      </c>
      <c r="V148" t="s">
        <v>772</v>
      </c>
      <c r="X148" t="str">
        <f>IF(COUNTIF(X$1:X147,X147)&gt;7,REPLACE(X147,LEN(X147),1,VALUE(RIGHT(X147,1))+1),X147)</f>
        <v>A3.18</v>
      </c>
      <c r="Y148" s="43" cm="1">
        <f t="array" ref="Y148">IF(COUNTIFS($X$2:$X148,$X148)=1,"1",VALUE(SUBSTITUTE(INDEX(Y:Y,_xlfn.XMATCH($X148,$X$1:$X147,0,-1)),"A",""))+INDEX(Z:Z,_xlfn.XMATCH($X148,$X$1:$X147,0,-1))+1)</f>
        <v>6</v>
      </c>
      <c r="Z148" s="43" cm="1">
        <f t="array" ref="Z148">SUM(IF(ISNUMBER(FIND("TmAi",$BE$1:$AAL$1)),IF(IFERROR(ISODD(SUBSTITUTE($BE148:$AAL148,"A","")),FALSE),IF(ISODD(SUBSTITUTE($BE148:$AAL148,"A","")),1,0),0)))</f>
        <v>0</v>
      </c>
      <c r="AA148" t="str">
        <f t="shared" si="196"/>
        <v>11B</v>
      </c>
      <c r="AB148" t="str">
        <f t="shared" si="197"/>
        <v>12B</v>
      </c>
      <c r="AP148" t="s">
        <v>137</v>
      </c>
      <c r="AS148" t="s">
        <v>366</v>
      </c>
      <c r="JZ148" s="27" t="str">
        <f t="shared" si="205"/>
        <v>XT55</v>
      </c>
      <c r="KC148" t="str">
        <f t="shared" si="206"/>
        <v>F0-AI18-11B</v>
      </c>
      <c r="KD148" t="str">
        <f t="shared" si="207"/>
        <v>F0-AI18-12B</v>
      </c>
      <c r="KI148" cm="1">
        <f t="array" ref="KI148">IF(COUNTIFS($U$2:$U148,$U148)=1,1,INDEX(KI:KI,_xlfn.XMATCH(U148,U$1:U147,0,-1))+COUNT(KI147:KM147))</f>
        <v>285</v>
      </c>
      <c r="KJ148">
        <f t="shared" si="203"/>
        <v>286</v>
      </c>
      <c r="KK148">
        <f t="shared" si="204"/>
        <v>287</v>
      </c>
      <c r="KN148">
        <v>1</v>
      </c>
      <c r="KO148" s="16">
        <v>2</v>
      </c>
      <c r="KS148" s="16"/>
    </row>
    <row r="149" spans="1:305" x14ac:dyDescent="0.25">
      <c r="A149" t="s">
        <v>745</v>
      </c>
      <c r="B149" t="s">
        <v>759</v>
      </c>
      <c r="C149" t="s">
        <v>464</v>
      </c>
      <c r="P149" t="s">
        <v>448</v>
      </c>
      <c r="T149" s="14" t="s">
        <v>520</v>
      </c>
      <c r="U149">
        <v>55</v>
      </c>
      <c r="V149" t="s">
        <v>773</v>
      </c>
      <c r="X149" t="str">
        <f>IF(COUNTIF(X$1:X148,X148)&gt;7,REPLACE(X148,LEN(X148),1,VALUE(RIGHT(X148,1))+1),X148)</f>
        <v>A3.18</v>
      </c>
      <c r="Y149" s="43" cm="1">
        <f t="array" ref="Y149">IF(COUNTIFS($X$2:$X149,$X149)=1,"1",VALUE(SUBSTITUTE(INDEX(Y:Y,_xlfn.XMATCH($X149,$X$1:$X148,0,-1)),"A",""))+INDEX(Z:Z,_xlfn.XMATCH($X149,$X$1:$X148,0,-1))+1)</f>
        <v>7</v>
      </c>
      <c r="Z149" s="43" cm="1">
        <f t="array" ref="Z149">SUM(IF(ISNUMBER(FIND("TmAi",$BE$1:$AAL$1)),IF(IFERROR(ISODD(SUBSTITUTE($BE149:$AAL149,"A","")),FALSE),IF(ISODD(SUBSTITUTE($BE149:$AAL149,"A","")),1,0),0)))</f>
        <v>0</v>
      </c>
      <c r="AA149" t="str">
        <f t="shared" si="196"/>
        <v>13B</v>
      </c>
      <c r="AB149" t="str">
        <f t="shared" si="197"/>
        <v>14B</v>
      </c>
      <c r="AP149" t="s">
        <v>137</v>
      </c>
      <c r="AS149" t="s">
        <v>366</v>
      </c>
      <c r="JZ149" s="27" t="str">
        <f t="shared" si="205"/>
        <v>XT55</v>
      </c>
      <c r="KC149" t="str">
        <f t="shared" si="206"/>
        <v>F0-AI18-13B</v>
      </c>
      <c r="KD149" t="str">
        <f t="shared" si="207"/>
        <v>F0-AI18-14B</v>
      </c>
      <c r="KI149" cm="1">
        <f t="array" ref="KI149">IF(COUNTIFS($U$2:$U149,$U149)=1,1,INDEX(KI:KI,_xlfn.XMATCH(U149,U$1:U148,0,-1))+COUNT(KI148:KM148))</f>
        <v>288</v>
      </c>
      <c r="KJ149">
        <f t="shared" si="203"/>
        <v>289</v>
      </c>
      <c r="KK149">
        <f t="shared" si="204"/>
        <v>290</v>
      </c>
      <c r="KN149">
        <v>1</v>
      </c>
      <c r="KO149" s="16">
        <v>2</v>
      </c>
      <c r="KS149" s="16"/>
    </row>
    <row r="150" spans="1:305" x14ac:dyDescent="0.25">
      <c r="A150" t="s">
        <v>746</v>
      </c>
      <c r="B150" s="33" t="s">
        <v>760</v>
      </c>
      <c r="C150" t="s">
        <v>458</v>
      </c>
      <c r="P150" t="s">
        <v>448</v>
      </c>
      <c r="T150" s="14" t="s">
        <v>520</v>
      </c>
      <c r="U150">
        <v>55</v>
      </c>
      <c r="V150" t="s">
        <v>774</v>
      </c>
      <c r="X150" t="str">
        <f>IF(COUNTIF(X$1:X149,X149)&gt;7,REPLACE(X149,LEN(X149),1,VALUE(RIGHT(X149,1))+1),X149)</f>
        <v>A3.18</v>
      </c>
      <c r="Y150" s="43" cm="1">
        <f t="array" ref="Y150">IF(COUNTIFS($X$2:$X150,$X150)=1,"1",VALUE(SUBSTITUTE(INDEX(Y:Y,_xlfn.XMATCH($X150,$X$1:$X149,0,-1)),"A",""))+INDEX(Z:Z,_xlfn.XMATCH($X150,$X$1:$X149,0,-1))+1)</f>
        <v>8</v>
      </c>
      <c r="Z150" s="43" cm="1">
        <f t="array" ref="Z150">SUM(IF(ISNUMBER(FIND("TmAi",$BE$1:$AAL$1)),IF(IFERROR(ISODD(SUBSTITUTE($BE150:$AAL150,"A","")),FALSE),IF(ISODD(SUBSTITUTE($BE150:$AAL150,"A","")),1,0),0)))</f>
        <v>0</v>
      </c>
      <c r="AA150" t="str">
        <f t="shared" si="196"/>
        <v>15B</v>
      </c>
      <c r="AB150" t="str">
        <f t="shared" si="197"/>
        <v>16B</v>
      </c>
      <c r="AP150" t="s">
        <v>137</v>
      </c>
      <c r="AS150" t="s">
        <v>366</v>
      </c>
      <c r="JZ150" s="27" t="str">
        <f t="shared" si="205"/>
        <v>XT55</v>
      </c>
      <c r="KC150" t="str">
        <f t="shared" si="206"/>
        <v>F0-AI18-15B</v>
      </c>
      <c r="KD150" t="str">
        <f t="shared" si="207"/>
        <v>F0-AI18-16B</v>
      </c>
      <c r="KI150" cm="1">
        <f t="array" ref="KI150">IF(COUNTIFS($U$2:$U150,$U150)=1,1,INDEX(KI:KI,_xlfn.XMATCH(U150,U$1:U149,0,-1))+COUNT(KI149:KM149))</f>
        <v>291</v>
      </c>
      <c r="KJ150">
        <f t="shared" si="203"/>
        <v>292</v>
      </c>
      <c r="KK150">
        <f t="shared" si="204"/>
        <v>293</v>
      </c>
      <c r="KN150">
        <v>1</v>
      </c>
      <c r="KO150" s="16">
        <v>2</v>
      </c>
      <c r="KS150" s="16"/>
    </row>
    <row r="151" spans="1:305" x14ac:dyDescent="0.25">
      <c r="A151" t="s">
        <v>747</v>
      </c>
      <c r="B151" t="s">
        <v>761</v>
      </c>
      <c r="C151" t="s">
        <v>464</v>
      </c>
      <c r="P151" t="s">
        <v>448</v>
      </c>
      <c r="T151" s="14" t="s">
        <v>520</v>
      </c>
      <c r="U151">
        <v>55</v>
      </c>
      <c r="V151" t="s">
        <v>775</v>
      </c>
      <c r="X151" t="str">
        <f>IF(COUNTIF(X$1:X150,X150)&gt;7,REPLACE(X150,LEN(X150),1,VALUE(RIGHT(X150,1))+1),X150)</f>
        <v>A3.19</v>
      </c>
      <c r="Y151" s="43" t="str" cm="1">
        <f t="array" ref="Y151">IF(COUNTIFS($X$2:$X151,$X151)=1,"1",VALUE(SUBSTITUTE(INDEX(Y:Y,_xlfn.XMATCH($X151,$X$1:$X150,0,-1)),"A",""))+INDEX(Z:Z,_xlfn.XMATCH($X151,$X$1:$X150,0,-1))+1)</f>
        <v>1</v>
      </c>
      <c r="Z151" s="43" cm="1">
        <f t="array" ref="Z151">SUM(IF(ISNUMBER(FIND("TmAi",$BE$1:$AAL$1)),IF(IFERROR(ISODD(SUBSTITUTE($BE151:$AAL151,"A","")),FALSE),IF(ISODD(SUBSTITUTE($BE151:$AAL151,"A","")),1,0),0)))</f>
        <v>0</v>
      </c>
      <c r="AA151" t="str">
        <f t="shared" si="196"/>
        <v>1B</v>
      </c>
      <c r="AB151" t="str">
        <f t="shared" si="197"/>
        <v>2B</v>
      </c>
      <c r="AP151" t="s">
        <v>137</v>
      </c>
      <c r="AS151" t="s">
        <v>366</v>
      </c>
      <c r="JZ151" s="27" t="str">
        <f t="shared" si="205"/>
        <v>XT55</v>
      </c>
      <c r="KC151" t="str">
        <f t="shared" si="206"/>
        <v>F0-AI19-1B</v>
      </c>
      <c r="KD151" t="str">
        <f t="shared" si="207"/>
        <v>F0-AI19-2B</v>
      </c>
      <c r="KI151" cm="1">
        <f t="array" ref="KI151">IF(COUNTIFS($U$2:$U151,$U151)=1,1,INDEX(KI:KI,_xlfn.XMATCH(U151,U$1:U150,0,-1))+COUNT(KI150:KM150))</f>
        <v>294</v>
      </c>
      <c r="KJ151">
        <f t="shared" si="203"/>
        <v>295</v>
      </c>
      <c r="KK151">
        <f t="shared" si="204"/>
        <v>296</v>
      </c>
      <c r="KN151">
        <v>1</v>
      </c>
      <c r="KO151" s="16">
        <v>2</v>
      </c>
      <c r="KS151" s="16"/>
    </row>
    <row r="152" spans="1:305" x14ac:dyDescent="0.25">
      <c r="A152" t="s">
        <v>748</v>
      </c>
      <c r="B152" s="33" t="s">
        <v>762</v>
      </c>
      <c r="C152" t="s">
        <v>458</v>
      </c>
      <c r="P152" t="s">
        <v>448</v>
      </c>
      <c r="T152" s="14" t="s">
        <v>520</v>
      </c>
      <c r="U152">
        <v>55</v>
      </c>
      <c r="V152" t="s">
        <v>776</v>
      </c>
      <c r="X152" t="str">
        <f>IF(COUNTIF(X$1:X151,X151)&gt;7,REPLACE(X151,LEN(X151),1,VALUE(RIGHT(X151,1))+1),X151)</f>
        <v>A3.19</v>
      </c>
      <c r="Y152" s="43" cm="1">
        <f t="array" ref="Y152">IF(COUNTIFS($X$2:$X152,$X152)=1,"1",VALUE(SUBSTITUTE(INDEX(Y:Y,_xlfn.XMATCH($X152,$X$1:$X151,0,-1)),"A",""))+INDEX(Z:Z,_xlfn.XMATCH($X152,$X$1:$X151,0,-1))+1)</f>
        <v>2</v>
      </c>
      <c r="Z152" s="43" cm="1">
        <f t="array" ref="Z152">SUM(IF(ISNUMBER(FIND("TmAi",$BE$1:$AAL$1)),IF(IFERROR(ISODD(SUBSTITUTE($BE152:$AAL152,"A","")),FALSE),IF(ISODD(SUBSTITUTE($BE152:$AAL152,"A","")),1,0),0)))</f>
        <v>0</v>
      </c>
      <c r="AA152" t="str">
        <f t="shared" si="196"/>
        <v>3B</v>
      </c>
      <c r="AB152" t="str">
        <f t="shared" si="197"/>
        <v>4B</v>
      </c>
      <c r="AP152" t="s">
        <v>137</v>
      </c>
      <c r="AS152" t="s">
        <v>366</v>
      </c>
      <c r="JZ152" s="27" t="str">
        <f t="shared" ref="JZ152:JZ168" si="208">CONCATENATE("XT",U152)</f>
        <v>XT55</v>
      </c>
      <c r="KC152" t="str">
        <f t="shared" ref="KC152:KC168" si="209">CONCATENATE(T152,"-AI",REPLACE($X152,1,3,""),"-",AA152)</f>
        <v>F0-AI19-3B</v>
      </c>
      <c r="KD152" t="str">
        <f t="shared" ref="KD152:KD168" si="210">CONCATENATE(T152,"-AI",REPLACE($X152,1,3,""),"-",AB152)</f>
        <v>F0-AI19-4B</v>
      </c>
      <c r="KI152" cm="1">
        <f t="array" ref="KI152">IF(COUNTIFS($U$2:$U152,$U152)=1,1,INDEX(KI:KI,_xlfn.XMATCH(U152,U$1:U151,0,-1))+COUNT(KI151:KM151))</f>
        <v>297</v>
      </c>
      <c r="KJ152">
        <f t="shared" si="203"/>
        <v>298</v>
      </c>
      <c r="KK152">
        <f t="shared" si="204"/>
        <v>299</v>
      </c>
      <c r="KN152">
        <v>1</v>
      </c>
      <c r="KO152" s="16">
        <v>2</v>
      </c>
      <c r="KS152" s="16"/>
    </row>
    <row r="153" spans="1:305" x14ac:dyDescent="0.25">
      <c r="A153" t="s">
        <v>749</v>
      </c>
      <c r="B153" t="s">
        <v>763</v>
      </c>
      <c r="C153" t="s">
        <v>464</v>
      </c>
      <c r="P153" t="s">
        <v>448</v>
      </c>
      <c r="T153" s="14" t="s">
        <v>520</v>
      </c>
      <c r="U153">
        <v>55</v>
      </c>
      <c r="V153" t="s">
        <v>777</v>
      </c>
      <c r="X153" s="33" t="str">
        <f>IF(COUNTIF(X$1:X152,X152)&gt;7,REPLACE(X152,LEN(X152),1,VALUE(RIGHT(X152,1))+1),X152)</f>
        <v>A3.19</v>
      </c>
      <c r="Y153" s="45" cm="1">
        <f t="array" ref="Y153">IF(COUNTIFS($X$2:$X153,$X153)=1,"1",VALUE(SUBSTITUTE(INDEX(Y:Y,_xlfn.XMATCH($X153,$X$1:$X152,0,-1)),"A",""))+INDEX(Z:Z,_xlfn.XMATCH($X153,$X$1:$X152,0,-1))+1)</f>
        <v>3</v>
      </c>
      <c r="Z153" s="43" cm="1">
        <f t="array" ref="Z153">SUM(IF(ISNUMBER(FIND("TmAi",$BE$1:$AAL$1)),IF(IFERROR(ISODD(SUBSTITUTE($BE153:$AAL153,"A","")),FALSE),IF(ISODD(SUBSTITUTE($BE153:$AAL153,"A","")),1,0),0)))</f>
        <v>0</v>
      </c>
      <c r="AA153" t="str">
        <f t="shared" si="196"/>
        <v>5B</v>
      </c>
      <c r="AB153" t="str">
        <f t="shared" si="197"/>
        <v>6B</v>
      </c>
      <c r="AP153" t="s">
        <v>137</v>
      </c>
      <c r="AS153" t="s">
        <v>366</v>
      </c>
      <c r="JZ153" s="27" t="str">
        <f t="shared" si="208"/>
        <v>XT55</v>
      </c>
      <c r="KC153" t="str">
        <f t="shared" si="209"/>
        <v>F0-AI19-5B</v>
      </c>
      <c r="KD153" t="str">
        <f t="shared" si="210"/>
        <v>F0-AI19-6B</v>
      </c>
      <c r="KI153" cm="1">
        <f t="array" ref="KI153">IF(COUNTIFS($U$2:$U153,$U153)=1,1,INDEX(KI:KI,_xlfn.XMATCH(U153,U$1:U152,0,-1))+COUNT(KI152:KM152))</f>
        <v>300</v>
      </c>
      <c r="KJ153">
        <f t="shared" ref="KJ153:KJ168" si="211">KI153+1</f>
        <v>301</v>
      </c>
      <c r="KK153">
        <f t="shared" ref="KK153:KK168" si="212">KJ153+1</f>
        <v>302</v>
      </c>
      <c r="KN153">
        <v>1</v>
      </c>
      <c r="KO153" s="16">
        <v>2</v>
      </c>
      <c r="KS153" s="16"/>
    </row>
    <row r="154" spans="1:305" x14ac:dyDescent="0.25">
      <c r="A154" t="s">
        <v>750</v>
      </c>
      <c r="B154" s="33" t="s">
        <v>764</v>
      </c>
      <c r="C154" t="s">
        <v>458</v>
      </c>
      <c r="P154" t="s">
        <v>448</v>
      </c>
      <c r="T154" s="14" t="s">
        <v>520</v>
      </c>
      <c r="U154">
        <v>55</v>
      </c>
      <c r="V154" t="s">
        <v>778</v>
      </c>
      <c r="X154" t="str">
        <f>IF(COUNTIF(X$1:X153,X153)&gt;7,REPLACE(X153,LEN(X153),1,VALUE(RIGHT(X153,1))+1),X153)</f>
        <v>A3.19</v>
      </c>
      <c r="Y154" s="43" cm="1">
        <f t="array" ref="Y154">IF(COUNTIFS($X$2:$X154,$X154)=1,"1",VALUE(SUBSTITUTE(INDEX(Y:Y,_xlfn.XMATCH($X154,$X$1:$X153,0,-1)),"A",""))+INDEX(Z:Z,_xlfn.XMATCH($X154,$X$1:$X153,0,-1))+1)</f>
        <v>4</v>
      </c>
      <c r="Z154" s="43" cm="1">
        <f t="array" ref="Z154">SUM(IF(ISNUMBER(FIND("TmAi",$BE$1:$AAL$1)),IF(IFERROR(ISODD(SUBSTITUTE($BE154:$AAL154,"A","")),FALSE),IF(ISODD(SUBSTITUTE($BE154:$AAL154,"A","")),1,0),0)))</f>
        <v>0</v>
      </c>
      <c r="AA154" t="str">
        <f t="shared" ref="AA154:AA165" si="213">CONCATENATE($Y154*2-1,"B")</f>
        <v>7B</v>
      </c>
      <c r="AB154" t="str">
        <f t="shared" ref="AB154:AB165" si="214">CONCATENATE($Y154*2,"B")</f>
        <v>8B</v>
      </c>
      <c r="AP154" t="s">
        <v>137</v>
      </c>
      <c r="AS154" t="s">
        <v>366</v>
      </c>
      <c r="JZ154" s="27" t="str">
        <f t="shared" si="208"/>
        <v>XT55</v>
      </c>
      <c r="KC154" t="str">
        <f t="shared" si="209"/>
        <v>F0-AI19-7B</v>
      </c>
      <c r="KD154" t="str">
        <f t="shared" si="210"/>
        <v>F0-AI19-8B</v>
      </c>
      <c r="KI154" cm="1">
        <f t="array" ref="KI154">IF(COUNTIFS($U$2:$U154,$U154)=1,1,INDEX(KI:KI,_xlfn.XMATCH(U154,U$1:U153,0,-1))+COUNT(KI153:KM153))</f>
        <v>303</v>
      </c>
      <c r="KJ154">
        <f t="shared" si="211"/>
        <v>304</v>
      </c>
      <c r="KK154">
        <f t="shared" si="212"/>
        <v>305</v>
      </c>
      <c r="KN154">
        <v>1</v>
      </c>
      <c r="KO154" s="16">
        <v>2</v>
      </c>
      <c r="KS154" s="16"/>
    </row>
    <row r="155" spans="1:305" x14ac:dyDescent="0.25">
      <c r="A155" t="s">
        <v>751</v>
      </c>
      <c r="B155" t="s">
        <v>765</v>
      </c>
      <c r="C155" t="s">
        <v>464</v>
      </c>
      <c r="P155" t="s">
        <v>448</v>
      </c>
      <c r="T155" s="14" t="s">
        <v>520</v>
      </c>
      <c r="U155">
        <v>55</v>
      </c>
      <c r="V155" t="s">
        <v>779</v>
      </c>
      <c r="X155" t="str">
        <f>IF(COUNTIF(X$1:X154,X154)&gt;7,REPLACE(X154,LEN(X154),1,VALUE(RIGHT(X154,1))+1),X154)</f>
        <v>A3.19</v>
      </c>
      <c r="Y155" s="43" cm="1">
        <f t="array" ref="Y155">IF(COUNTIFS($X$2:$X155,$X155)=1,"1",VALUE(SUBSTITUTE(INDEX(Y:Y,_xlfn.XMATCH($X155,$X$1:$X154,0,-1)),"A",""))+INDEX(Z:Z,_xlfn.XMATCH($X155,$X$1:$X154,0,-1))+1)</f>
        <v>5</v>
      </c>
      <c r="Z155" s="43" cm="1">
        <f t="array" ref="Z155">SUM(IF(ISNUMBER(FIND("TmAi",$BE$1:$AAL$1)),IF(IFERROR(ISODD(SUBSTITUTE($BE155:$AAL155,"A","")),FALSE),IF(ISODD(SUBSTITUTE($BE155:$AAL155,"A","")),1,0),0)))</f>
        <v>0</v>
      </c>
      <c r="AA155" t="str">
        <f t="shared" si="213"/>
        <v>9B</v>
      </c>
      <c r="AB155" t="str">
        <f t="shared" si="214"/>
        <v>10B</v>
      </c>
      <c r="AP155" t="s">
        <v>137</v>
      </c>
      <c r="AS155" t="s">
        <v>366</v>
      </c>
      <c r="JZ155" s="27" t="str">
        <f t="shared" si="208"/>
        <v>XT55</v>
      </c>
      <c r="KC155" t="str">
        <f t="shared" si="209"/>
        <v>F0-AI19-9B</v>
      </c>
      <c r="KD155" t="str">
        <f t="shared" si="210"/>
        <v>F0-AI19-10B</v>
      </c>
      <c r="KI155" cm="1">
        <f t="array" ref="KI155">IF(COUNTIFS($U$2:$U155,$U155)=1,1,INDEX(KI:KI,_xlfn.XMATCH(U155,U$1:U154,0,-1))+COUNT(KI154:KM154))</f>
        <v>306</v>
      </c>
      <c r="KJ155">
        <f t="shared" si="211"/>
        <v>307</v>
      </c>
      <c r="KK155">
        <f t="shared" si="212"/>
        <v>308</v>
      </c>
      <c r="KN155">
        <v>1</v>
      </c>
      <c r="KO155" s="16">
        <v>2</v>
      </c>
      <c r="KS155" s="16"/>
    </row>
    <row r="156" spans="1:305" x14ac:dyDescent="0.25">
      <c r="A156" t="s">
        <v>752</v>
      </c>
      <c r="B156" s="33" t="s">
        <v>766</v>
      </c>
      <c r="C156" t="s">
        <v>458</v>
      </c>
      <c r="P156" t="s">
        <v>448</v>
      </c>
      <c r="T156" s="14" t="s">
        <v>520</v>
      </c>
      <c r="U156">
        <v>55</v>
      </c>
      <c r="V156" t="s">
        <v>780</v>
      </c>
      <c r="X156" t="str">
        <f>IF(COUNTIF(X$1:X155,X155)&gt;7,REPLACE(X155,LEN(X155),1,VALUE(RIGHT(X155,1))+1),X155)</f>
        <v>A3.19</v>
      </c>
      <c r="Y156" s="43" cm="1">
        <f t="array" ref="Y156">IF(COUNTIFS($X$2:$X156,$X156)=1,"1",VALUE(SUBSTITUTE(INDEX(Y:Y,_xlfn.XMATCH($X156,$X$1:$X155,0,-1)),"A",""))+INDEX(Z:Z,_xlfn.XMATCH($X156,$X$1:$X155,0,-1))+1)</f>
        <v>6</v>
      </c>
      <c r="Z156" s="43" cm="1">
        <f t="array" ref="Z156">SUM(IF(ISNUMBER(FIND("TmAi",$BE$1:$AAL$1)),IF(IFERROR(ISODD(SUBSTITUTE($BE156:$AAL156,"A","")),FALSE),IF(ISODD(SUBSTITUTE($BE156:$AAL156,"A","")),1,0),0)))</f>
        <v>0</v>
      </c>
      <c r="AA156" t="str">
        <f t="shared" si="213"/>
        <v>11B</v>
      </c>
      <c r="AB156" t="str">
        <f t="shared" si="214"/>
        <v>12B</v>
      </c>
      <c r="AP156" t="s">
        <v>137</v>
      </c>
      <c r="AS156" t="s">
        <v>366</v>
      </c>
      <c r="JZ156" s="27" t="str">
        <f t="shared" si="208"/>
        <v>XT55</v>
      </c>
      <c r="KC156" t="str">
        <f t="shared" si="209"/>
        <v>F0-AI19-11B</v>
      </c>
      <c r="KD156" t="str">
        <f t="shared" si="210"/>
        <v>F0-AI19-12B</v>
      </c>
      <c r="KI156" cm="1">
        <f t="array" ref="KI156">IF(COUNTIFS($U$2:$U156,$U156)=1,1,INDEX(KI:KI,_xlfn.XMATCH(U156,U$1:U155,0,-1))+COUNT(KI155:KM155))</f>
        <v>309</v>
      </c>
      <c r="KJ156">
        <f t="shared" si="211"/>
        <v>310</v>
      </c>
      <c r="KK156">
        <f t="shared" si="212"/>
        <v>311</v>
      </c>
      <c r="KN156">
        <v>1</v>
      </c>
      <c r="KO156" s="16">
        <v>2</v>
      </c>
      <c r="KS156" s="16"/>
    </row>
    <row r="157" spans="1:305" x14ac:dyDescent="0.25">
      <c r="A157" t="s">
        <v>753</v>
      </c>
      <c r="B157" t="s">
        <v>767</v>
      </c>
      <c r="C157" t="s">
        <v>464</v>
      </c>
      <c r="P157" t="s">
        <v>448</v>
      </c>
      <c r="T157" s="14" t="s">
        <v>520</v>
      </c>
      <c r="U157">
        <v>55</v>
      </c>
      <c r="V157" t="s">
        <v>781</v>
      </c>
      <c r="X157" t="str">
        <f>IF(COUNTIF(X$1:X156,X156)&gt;7,REPLACE(X156,LEN(X156),1,VALUE(RIGHT(X156,1))+1),X156)</f>
        <v>A3.19</v>
      </c>
      <c r="Y157" s="43" cm="1">
        <f t="array" ref="Y157">IF(COUNTIFS($X$2:$X157,$X157)=1,"1",VALUE(SUBSTITUTE(INDEX(Y:Y,_xlfn.XMATCH($X157,$X$1:$X156,0,-1)),"A",""))+INDEX(Z:Z,_xlfn.XMATCH($X157,$X$1:$X156,0,-1))+1)</f>
        <v>7</v>
      </c>
      <c r="Z157" s="43" cm="1">
        <f t="array" ref="Z157">SUM(IF(ISNUMBER(FIND("TmAi",$BE$1:$AAL$1)),IF(IFERROR(ISODD(SUBSTITUTE($BE157:$AAL157,"A","")),FALSE),IF(ISODD(SUBSTITUTE($BE157:$AAL157,"A","")),1,0),0)))</f>
        <v>0</v>
      </c>
      <c r="AA157" t="str">
        <f t="shared" si="213"/>
        <v>13B</v>
      </c>
      <c r="AB157" t="str">
        <f t="shared" si="214"/>
        <v>14B</v>
      </c>
      <c r="AP157" t="s">
        <v>137</v>
      </c>
      <c r="AS157" t="s">
        <v>366</v>
      </c>
      <c r="JZ157" s="27" t="str">
        <f t="shared" si="208"/>
        <v>XT55</v>
      </c>
      <c r="KC157" t="str">
        <f t="shared" si="209"/>
        <v>F0-AI19-13B</v>
      </c>
      <c r="KD157" t="str">
        <f t="shared" si="210"/>
        <v>F0-AI19-14B</v>
      </c>
      <c r="KI157" cm="1">
        <f t="array" ref="KI157">IF(COUNTIFS($U$2:$U157,$U157)=1,1,INDEX(KI:KI,_xlfn.XMATCH(U157,U$1:U156,0,-1))+COUNT(KI156:KM156))</f>
        <v>312</v>
      </c>
      <c r="KJ157">
        <f t="shared" si="211"/>
        <v>313</v>
      </c>
      <c r="KK157">
        <f t="shared" si="212"/>
        <v>314</v>
      </c>
      <c r="KN157">
        <v>1</v>
      </c>
      <c r="KO157" s="16">
        <v>2</v>
      </c>
      <c r="KS157" s="16"/>
    </row>
    <row r="158" spans="1:305" x14ac:dyDescent="0.25">
      <c r="A158" t="s">
        <v>754</v>
      </c>
      <c r="B158" s="33" t="s">
        <v>768</v>
      </c>
      <c r="C158" t="s">
        <v>458</v>
      </c>
      <c r="P158" t="s">
        <v>448</v>
      </c>
      <c r="T158" s="14" t="s">
        <v>520</v>
      </c>
      <c r="U158">
        <v>55</v>
      </c>
      <c r="V158" t="s">
        <v>782</v>
      </c>
      <c r="X158" t="str">
        <f>IF(COUNTIF(X$1:X157,X157)&gt;7,REPLACE(X157,LEN(X157),1,VALUE(RIGHT(X157,1))+1),X157)</f>
        <v>A3.19</v>
      </c>
      <c r="Y158" s="43" cm="1">
        <f t="array" ref="Y158">IF(COUNTIFS($X$2:$X158,$X158)=1,"1",VALUE(SUBSTITUTE(INDEX(Y:Y,_xlfn.XMATCH($X158,$X$1:$X157,0,-1)),"A",""))+INDEX(Z:Z,_xlfn.XMATCH($X158,$X$1:$X157,0,-1))+1)</f>
        <v>8</v>
      </c>
      <c r="Z158" s="43" cm="1">
        <f t="array" ref="Z158">SUM(IF(ISNUMBER(FIND("TmAi",$BE$1:$AAL$1)),IF(IFERROR(ISODD(SUBSTITUTE($BE158:$AAL158,"A","")),FALSE),IF(ISODD(SUBSTITUTE($BE158:$AAL158,"A","")),1,0),0)))</f>
        <v>0</v>
      </c>
      <c r="AA158" t="str">
        <f t="shared" si="213"/>
        <v>15B</v>
      </c>
      <c r="AB158" t="str">
        <f t="shared" si="214"/>
        <v>16B</v>
      </c>
      <c r="AP158" t="s">
        <v>137</v>
      </c>
      <c r="AS158" t="s">
        <v>366</v>
      </c>
      <c r="JZ158" s="27" t="str">
        <f t="shared" si="208"/>
        <v>XT55</v>
      </c>
      <c r="KC158" t="str">
        <f t="shared" si="209"/>
        <v>F0-AI19-15B</v>
      </c>
      <c r="KD158" t="str">
        <f t="shared" si="210"/>
        <v>F0-AI19-16B</v>
      </c>
      <c r="KI158" cm="1">
        <f t="array" ref="KI158">IF(COUNTIFS($U$2:$U158,$U158)=1,1,INDEX(KI:KI,_xlfn.XMATCH(U158,U$1:U157,0,-1))+COUNT(KI157:KM157))</f>
        <v>315</v>
      </c>
      <c r="KJ158">
        <f t="shared" si="211"/>
        <v>316</v>
      </c>
      <c r="KK158">
        <f t="shared" si="212"/>
        <v>317</v>
      </c>
      <c r="KN158">
        <v>1</v>
      </c>
      <c r="KO158" s="16">
        <v>2</v>
      </c>
      <c r="KS158" s="16"/>
    </row>
    <row r="159" spans="1:305" x14ac:dyDescent="0.25">
      <c r="A159" t="s">
        <v>784</v>
      </c>
      <c r="B159" s="36" t="s">
        <v>783</v>
      </c>
      <c r="C159" t="s">
        <v>458</v>
      </c>
      <c r="P159" t="s">
        <v>448</v>
      </c>
      <c r="T159" s="14" t="s">
        <v>520</v>
      </c>
      <c r="U159">
        <v>55</v>
      </c>
      <c r="V159" t="s">
        <v>804</v>
      </c>
      <c r="X159" t="s">
        <v>874</v>
      </c>
      <c r="Y159" s="43" cm="1">
        <f t="array" ref="Y159">IF(COUNTIFS($X$2:$X159,$X159)=1,"1",VALUE(SUBSTITUTE(INDEX(Y:Y,_xlfn.XMATCH($X159,$X$1:$X158,0,-1)),"A",""))+INDEX(Z:Z,_xlfn.XMATCH($X159,$X$1:$X158,0,-1))+1)</f>
        <v>3</v>
      </c>
      <c r="Z159" s="43" cm="1">
        <f t="array" ref="Z159">SUM(IF(ISNUMBER(FIND("TmAi",$BE$1:$AAL$1)),IF(IFERROR(ISODD(SUBSTITUTE($BE159:$AAL159,"A","")),FALSE),IF(ISODD(SUBSTITUTE($BE159:$AAL159,"A","")),1,0),0)))</f>
        <v>0</v>
      </c>
      <c r="AA159" t="str">
        <f t="shared" si="213"/>
        <v>5B</v>
      </c>
      <c r="AB159" t="str">
        <f t="shared" si="214"/>
        <v>6B</v>
      </c>
      <c r="AP159" t="s">
        <v>137</v>
      </c>
      <c r="AS159" t="s">
        <v>366</v>
      </c>
      <c r="JZ159" s="27" t="str">
        <f t="shared" si="208"/>
        <v>XT55</v>
      </c>
      <c r="KC159" t="str">
        <f t="shared" si="209"/>
        <v>F0-AI17-5B</v>
      </c>
      <c r="KD159" t="str">
        <f t="shared" si="210"/>
        <v>F0-AI17-6B</v>
      </c>
      <c r="KI159" cm="1">
        <f t="array" ref="KI159">IF(COUNTIFS($U$2:$U159,$U159)=1,1,INDEX(KI:KI,_xlfn.XMATCH(U159,U$1:U158,0,-1))+COUNT(KI158:KM158))</f>
        <v>318</v>
      </c>
      <c r="KJ159">
        <f t="shared" si="211"/>
        <v>319</v>
      </c>
      <c r="KK159">
        <f t="shared" si="212"/>
        <v>320</v>
      </c>
      <c r="KN159">
        <v>1</v>
      </c>
      <c r="KO159" s="16">
        <v>2</v>
      </c>
      <c r="KS159" s="16"/>
    </row>
    <row r="160" spans="1:305" x14ac:dyDescent="0.25">
      <c r="A160" t="s">
        <v>786</v>
      </c>
      <c r="B160" s="36" t="s">
        <v>785</v>
      </c>
      <c r="C160" t="s">
        <v>458</v>
      </c>
      <c r="P160" t="s">
        <v>448</v>
      </c>
      <c r="T160" s="14" t="s">
        <v>520</v>
      </c>
      <c r="U160">
        <v>55</v>
      </c>
      <c r="V160" t="s">
        <v>805</v>
      </c>
      <c r="X160" t="str">
        <f>IF(COUNTIF(X$1:X159,X159)&gt;7,REPLACE(X159,LEN(X159),1,VALUE(RIGHT(X159,1))+1),X159)</f>
        <v>A3.17</v>
      </c>
      <c r="Y160" s="43" cm="1">
        <f t="array" ref="Y160">IF(COUNTIFS($X$2:$X160,$X160)=1,"1",VALUE(SUBSTITUTE(INDEX(Y:Y,_xlfn.XMATCH($X160,$X$1:$X159,0,-1)),"A",""))+INDEX(Z:Z,_xlfn.XMATCH($X160,$X$1:$X159,0,-1))+1)</f>
        <v>4</v>
      </c>
      <c r="Z160" s="43" cm="1">
        <f t="array" ref="Z160">SUM(IF(ISNUMBER(FIND("TmAi",$BE$1:$AAL$1)),IF(IFERROR(ISODD(SUBSTITUTE($BE160:$AAL160,"A","")),FALSE),IF(ISODD(SUBSTITUTE($BE160:$AAL160,"A","")),1,0),0)))</f>
        <v>0</v>
      </c>
      <c r="AA160" t="str">
        <f t="shared" si="213"/>
        <v>7B</v>
      </c>
      <c r="AB160" t="str">
        <f t="shared" si="214"/>
        <v>8B</v>
      </c>
      <c r="AP160" t="s">
        <v>137</v>
      </c>
      <c r="AS160" t="s">
        <v>366</v>
      </c>
      <c r="JZ160" s="27" t="str">
        <f t="shared" si="208"/>
        <v>XT55</v>
      </c>
      <c r="KC160" t="str">
        <f t="shared" si="209"/>
        <v>F0-AI17-7B</v>
      </c>
      <c r="KD160" t="str">
        <f t="shared" si="210"/>
        <v>F0-AI17-8B</v>
      </c>
      <c r="KI160" cm="1">
        <f t="array" ref="KI160">IF(COUNTIFS($U$2:$U160,$U160)=1,1,INDEX(KI:KI,_xlfn.XMATCH(U160,U$1:U159,0,-1))+COUNT(KI159:KM159))</f>
        <v>321</v>
      </c>
      <c r="KJ160">
        <f t="shared" si="211"/>
        <v>322</v>
      </c>
      <c r="KK160">
        <f t="shared" si="212"/>
        <v>323</v>
      </c>
      <c r="KN160">
        <v>1</v>
      </c>
      <c r="KO160" s="16">
        <v>2</v>
      </c>
      <c r="KS160" s="16"/>
    </row>
    <row r="161" spans="1:334" x14ac:dyDescent="0.25">
      <c r="A161" t="s">
        <v>788</v>
      </c>
      <c r="B161" t="s">
        <v>787</v>
      </c>
      <c r="C161" t="s">
        <v>464</v>
      </c>
      <c r="P161" t="s">
        <v>448</v>
      </c>
      <c r="T161" s="14" t="s">
        <v>520</v>
      </c>
      <c r="U161">
        <v>55</v>
      </c>
      <c r="V161" t="s">
        <v>806</v>
      </c>
      <c r="X161" s="33" t="str">
        <f>IF(COUNTIF(X$1:X160,X160)&gt;7,REPLACE(X160,LEN(X160),1,VALUE(RIGHT(X160,1))+1),X160)</f>
        <v>A3.17</v>
      </c>
      <c r="Y161" s="45" cm="1">
        <f t="array" ref="Y161">IF(COUNTIFS($X$2:$X161,$X161)=1,"1",VALUE(SUBSTITUTE(INDEX(Y:Y,_xlfn.XMATCH($X161,$X$1:$X160,0,-1)),"A",""))+INDEX(Z:Z,_xlfn.XMATCH($X161,$X$1:$X160,0,-1))+1)</f>
        <v>5</v>
      </c>
      <c r="Z161" s="43" cm="1">
        <f t="array" ref="Z161">SUM(IF(ISNUMBER(FIND("TmAi",$BE$1:$AAL$1)),IF(IFERROR(ISODD(SUBSTITUTE($BE161:$AAL161,"A","")),FALSE),IF(ISODD(SUBSTITUTE($BE161:$AAL161,"A","")),1,0),0)))</f>
        <v>0</v>
      </c>
      <c r="AA161" t="str">
        <f t="shared" si="213"/>
        <v>9B</v>
      </c>
      <c r="AB161" t="str">
        <f t="shared" si="214"/>
        <v>10B</v>
      </c>
      <c r="AP161" t="s">
        <v>137</v>
      </c>
      <c r="AS161" t="s">
        <v>366</v>
      </c>
      <c r="JZ161" s="27" t="str">
        <f t="shared" si="208"/>
        <v>XT55</v>
      </c>
      <c r="KC161" t="str">
        <f t="shared" si="209"/>
        <v>F0-AI17-9B</v>
      </c>
      <c r="KD161" t="str">
        <f t="shared" si="210"/>
        <v>F0-AI17-10B</v>
      </c>
      <c r="KI161" cm="1">
        <f t="array" ref="KI161">IF(COUNTIFS($U$2:$U161,$U161)=1,1,INDEX(KI:KI,_xlfn.XMATCH(U161,U$1:U160,0,-1))+COUNT(KI160:KM160))</f>
        <v>324</v>
      </c>
      <c r="KJ161">
        <f t="shared" si="211"/>
        <v>325</v>
      </c>
      <c r="KK161">
        <f t="shared" si="212"/>
        <v>326</v>
      </c>
      <c r="KN161">
        <v>1</v>
      </c>
      <c r="KO161" s="16">
        <v>2</v>
      </c>
      <c r="KS161" s="16"/>
    </row>
    <row r="162" spans="1:334" x14ac:dyDescent="0.25">
      <c r="A162" t="s">
        <v>790</v>
      </c>
      <c r="B162" t="s">
        <v>789</v>
      </c>
      <c r="C162" t="s">
        <v>464</v>
      </c>
      <c r="P162" t="s">
        <v>448</v>
      </c>
      <c r="T162" s="14" t="s">
        <v>520</v>
      </c>
      <c r="U162">
        <v>55</v>
      </c>
      <c r="V162" t="s">
        <v>807</v>
      </c>
      <c r="X162" t="str">
        <f>IF(COUNTIF(X$1:X161,X161)&gt;7,REPLACE(X161,LEN(X161),1,VALUE(RIGHT(X161,1))+1),X161)</f>
        <v>A3.17</v>
      </c>
      <c r="Y162" s="43" cm="1">
        <f t="array" ref="Y162">IF(COUNTIFS($X$2:$X162,$X162)=1,"1",VALUE(SUBSTITUTE(INDEX(Y:Y,_xlfn.XMATCH($X162,$X$1:$X161,0,-1)),"A",""))+INDEX(Z:Z,_xlfn.XMATCH($X162,$X$1:$X161,0,-1))+1)</f>
        <v>6</v>
      </c>
      <c r="Z162" s="46" cm="1">
        <f t="array" ref="Z162">SUM(IF(ISNUMBER(FIND("TmAi",$BE$1:$AAL$1)),IF(IFERROR(ISODD(SUBSTITUTE($BE162:$AAL162,"A","")),FALSE),IF(ISODD(SUBSTITUTE($BE162:$AAL162,"A","")),1,0),0)))</f>
        <v>0</v>
      </c>
      <c r="AA162" t="str">
        <f t="shared" si="213"/>
        <v>11B</v>
      </c>
      <c r="AB162" t="str">
        <f t="shared" si="214"/>
        <v>12B</v>
      </c>
      <c r="AP162" t="s">
        <v>137</v>
      </c>
      <c r="AS162" t="s">
        <v>366</v>
      </c>
      <c r="JZ162" s="27" t="str">
        <f t="shared" si="208"/>
        <v>XT55</v>
      </c>
      <c r="KC162" t="str">
        <f t="shared" si="209"/>
        <v>F0-AI17-11B</v>
      </c>
      <c r="KD162" t="str">
        <f t="shared" si="210"/>
        <v>F0-AI17-12B</v>
      </c>
      <c r="KI162" cm="1">
        <f t="array" ref="KI162">IF(COUNTIFS($U$2:$U162,$U162)=1,1,INDEX(KI:KI,_xlfn.XMATCH(U162,U$1:U161,0,-1))+COUNT(KI161:KM161))</f>
        <v>327</v>
      </c>
      <c r="KJ162">
        <f t="shared" si="211"/>
        <v>328</v>
      </c>
      <c r="KK162">
        <f t="shared" si="212"/>
        <v>329</v>
      </c>
      <c r="KN162">
        <v>1</v>
      </c>
      <c r="KO162" s="16">
        <v>2</v>
      </c>
      <c r="KS162" s="16"/>
    </row>
    <row r="163" spans="1:334" x14ac:dyDescent="0.25">
      <c r="A163" t="s">
        <v>792</v>
      </c>
      <c r="B163" t="s">
        <v>791</v>
      </c>
      <c r="C163" t="s">
        <v>464</v>
      </c>
      <c r="P163" t="s">
        <v>448</v>
      </c>
      <c r="T163" s="14" t="s">
        <v>520</v>
      </c>
      <c r="U163">
        <v>55</v>
      </c>
      <c r="V163" t="s">
        <v>808</v>
      </c>
      <c r="X163" t="str">
        <f>IF(COUNTIF(X$1:X162,X162)&gt;7,REPLACE(X162,LEN(X162),1,VALUE(RIGHT(X162,1))+1),X162)</f>
        <v>A3.17</v>
      </c>
      <c r="Y163" s="43" cm="1">
        <f t="array" ref="Y163">IF(COUNTIFS($X$2:$X163,$X163)=1,"1",VALUE(SUBSTITUTE(INDEX(Y:Y,_xlfn.XMATCH($X163,$X$1:$X162,0,-1)),"A",""))+INDEX(Z:Z,_xlfn.XMATCH($X163,$X$1:$X162,0,-1))+1)</f>
        <v>7</v>
      </c>
      <c r="Z163" s="46" cm="1">
        <f t="array" ref="Z163">SUM(IF(ISNUMBER(FIND("TmAi",$BE$1:$AAL$1)),IF(IFERROR(ISODD(SUBSTITUTE($BE163:$AAL163,"A","")),FALSE),IF(ISODD(SUBSTITUTE($BE163:$AAL163,"A","")),1,0),0)))</f>
        <v>0</v>
      </c>
      <c r="AA163" t="str">
        <f t="shared" si="213"/>
        <v>13B</v>
      </c>
      <c r="AB163" t="str">
        <f t="shared" si="214"/>
        <v>14B</v>
      </c>
      <c r="AP163" t="s">
        <v>137</v>
      </c>
      <c r="AS163" t="s">
        <v>366</v>
      </c>
      <c r="JZ163" s="27" t="str">
        <f t="shared" si="208"/>
        <v>XT55</v>
      </c>
      <c r="KC163" t="str">
        <f t="shared" si="209"/>
        <v>F0-AI17-13B</v>
      </c>
      <c r="KD163" t="str">
        <f t="shared" si="210"/>
        <v>F0-AI17-14B</v>
      </c>
      <c r="KI163" cm="1">
        <f t="array" ref="KI163">IF(COUNTIFS($U$2:$U163,$U163)=1,1,INDEX(KI:KI,_xlfn.XMATCH(U163,U$1:U162,0,-1))+COUNT(KI162:KM162))</f>
        <v>330</v>
      </c>
      <c r="KJ163">
        <f t="shared" si="211"/>
        <v>331</v>
      </c>
      <c r="KK163">
        <f t="shared" si="212"/>
        <v>332</v>
      </c>
      <c r="KN163">
        <v>1</v>
      </c>
      <c r="KO163" s="16">
        <v>2</v>
      </c>
      <c r="KS163" s="16"/>
    </row>
    <row r="164" spans="1:334" x14ac:dyDescent="0.25">
      <c r="A164" t="s">
        <v>794</v>
      </c>
      <c r="B164" s="33" t="s">
        <v>793</v>
      </c>
      <c r="C164" t="s">
        <v>464</v>
      </c>
      <c r="P164" t="s">
        <v>448</v>
      </c>
      <c r="T164" s="14" t="s">
        <v>520</v>
      </c>
      <c r="U164">
        <v>55</v>
      </c>
      <c r="V164" t="s">
        <v>809</v>
      </c>
      <c r="X164" t="str">
        <f>IF(COUNTIF(X$1:X163,X163)&gt;7,REPLACE(X163,LEN(X163),1,VALUE(RIGHT(X163,1))+1),X163)</f>
        <v>A3.17</v>
      </c>
      <c r="Y164" s="43" cm="1">
        <f t="array" ref="Y164">IF(COUNTIFS($X$2:$X164,$X164)=1,"1",VALUE(SUBSTITUTE(INDEX(Y:Y,_xlfn.XMATCH($X164,$X$1:$X163,0,-1)),"A",""))+INDEX(Z:Z,_xlfn.XMATCH($X164,$X$1:$X163,0,-1))+1)</f>
        <v>8</v>
      </c>
      <c r="Z164" s="46" cm="1">
        <f t="array" ref="Z164">SUM(IF(ISNUMBER(FIND("TmAi",$BE$1:$AAL$1)),IF(IFERROR(ISODD(SUBSTITUTE($BE164:$AAL164,"A","")),FALSE),IF(ISODD(SUBSTITUTE($BE164:$AAL164,"A","")),1,0),0)))</f>
        <v>0</v>
      </c>
      <c r="AA164" t="str">
        <f t="shared" si="213"/>
        <v>15B</v>
      </c>
      <c r="AB164" t="str">
        <f t="shared" si="214"/>
        <v>16B</v>
      </c>
      <c r="AP164" t="s">
        <v>137</v>
      </c>
      <c r="AS164" t="s">
        <v>366</v>
      </c>
      <c r="JZ164" s="27" t="str">
        <f t="shared" si="208"/>
        <v>XT55</v>
      </c>
      <c r="KC164" t="str">
        <f t="shared" si="209"/>
        <v>F0-AI17-15B</v>
      </c>
      <c r="KD164" t="str">
        <f t="shared" si="210"/>
        <v>F0-AI17-16B</v>
      </c>
      <c r="KI164" cm="1">
        <f t="array" ref="KI164">IF(COUNTIFS($U$2:$U164,$U164)=1,1,INDEX(KI:KI,_xlfn.XMATCH(U164,U$1:U163,0,-1))+COUNT(KI163:KM163))</f>
        <v>333</v>
      </c>
      <c r="KJ164">
        <f t="shared" si="211"/>
        <v>334</v>
      </c>
      <c r="KK164">
        <f t="shared" si="212"/>
        <v>335</v>
      </c>
      <c r="KN164">
        <v>1</v>
      </c>
      <c r="KO164" s="16">
        <v>2</v>
      </c>
      <c r="KS164" s="16"/>
    </row>
    <row r="165" spans="1:334" x14ac:dyDescent="0.25">
      <c r="A165" t="s">
        <v>796</v>
      </c>
      <c r="B165" t="s">
        <v>795</v>
      </c>
      <c r="C165" t="s">
        <v>464</v>
      </c>
      <c r="P165" t="s">
        <v>448</v>
      </c>
      <c r="T165" s="14" t="s">
        <v>520</v>
      </c>
      <c r="U165">
        <v>55</v>
      </c>
      <c r="V165" t="s">
        <v>810</v>
      </c>
      <c r="X165" s="33" t="s">
        <v>1104</v>
      </c>
      <c r="Y165" s="45" t="str" cm="1">
        <f t="array" ref="Y165">IF(COUNTIFS($X$2:$X165,$X165)=1,"1",VALUE(SUBSTITUTE(INDEX(Y:Y,_xlfn.XMATCH($X165,$X$1:$X164,0,-1)),"A",""))+INDEX(Z:Z,_xlfn.XMATCH($X165,$X$1:$X164,0,-1))+1)</f>
        <v>1</v>
      </c>
      <c r="Z165" s="46" cm="1">
        <f t="array" ref="Z165">SUM(IF(ISNUMBER(FIND("TmAi",$BE$1:$AAL$1)),IF(IFERROR(ISODD(SUBSTITUTE($BE165:$AAL165,"A","")),FALSE),IF(ISODD(SUBSTITUTE($BE165:$AAL165,"A","")),1,0),0)))</f>
        <v>0</v>
      </c>
      <c r="AA165" t="str">
        <f t="shared" si="213"/>
        <v>1B</v>
      </c>
      <c r="AB165" t="str">
        <f t="shared" si="214"/>
        <v>2B</v>
      </c>
      <c r="AP165" t="s">
        <v>137</v>
      </c>
      <c r="AS165" t="s">
        <v>366</v>
      </c>
      <c r="JZ165" s="27" t="str">
        <f t="shared" si="208"/>
        <v>XT55</v>
      </c>
      <c r="KC165" t="str">
        <f t="shared" si="209"/>
        <v>F0-AI20-1B</v>
      </c>
      <c r="KD165" t="str">
        <f t="shared" si="210"/>
        <v>F0-AI20-2B</v>
      </c>
      <c r="KI165" cm="1">
        <f t="array" ref="KI165">IF(COUNTIFS($U$2:$U165,$U165)=1,1,INDEX(KI:KI,_xlfn.XMATCH(U165,U$1:U164,0,-1))+COUNT(KI164:KM164))</f>
        <v>336</v>
      </c>
      <c r="KJ165">
        <f t="shared" si="211"/>
        <v>337</v>
      </c>
      <c r="KK165">
        <f t="shared" si="212"/>
        <v>338</v>
      </c>
      <c r="KN165">
        <v>1</v>
      </c>
      <c r="KO165" s="16">
        <v>2</v>
      </c>
      <c r="KS165" s="16"/>
    </row>
    <row r="166" spans="1:334" x14ac:dyDescent="0.25">
      <c r="A166" t="s">
        <v>798</v>
      </c>
      <c r="B166" t="s">
        <v>797</v>
      </c>
      <c r="C166" t="s">
        <v>503</v>
      </c>
      <c r="P166" t="s">
        <v>508</v>
      </c>
      <c r="T166" s="14" t="s">
        <v>520</v>
      </c>
      <c r="U166">
        <v>55</v>
      </c>
      <c r="V166" t="s">
        <v>811</v>
      </c>
      <c r="X166" t="s">
        <v>1307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SUM(IF(ISNUMBER(FIND("TmAi",$BE$1:$AAL$1)),IF(IFERROR(ISODD(SUBSTITUTE($BE166:$AAL166,"A","")),FALSE),IF(ISODD(SUBSTITUTE($BE166:$AAL166,"A","")),1,0),0)))</f>
        <v>0</v>
      </c>
      <c r="AA166" t="str">
        <f t="shared" ref="AA166:AA180" si="215">CONCATENATE($Y166*2-1,"A")</f>
        <v>5A</v>
      </c>
      <c r="AB166" t="str">
        <f t="shared" ref="AB166:AB180" si="216">CONCATENATE($Y166*2-1,"B")</f>
        <v>5B</v>
      </c>
      <c r="AP166" t="s">
        <v>137</v>
      </c>
      <c r="AS166" t="s">
        <v>366</v>
      </c>
      <c r="JZ166" s="27" t="str">
        <f t="shared" si="20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209"/>
        <v>F0-AI38-5A</v>
      </c>
      <c r="KD166" t="str">
        <f t="shared" si="210"/>
        <v>F0-AI38-5B</v>
      </c>
      <c r="KE166" t="str">
        <f>CONCATENATE($T166,"-AI",REPLACE($X166,1,3,""),"-",KA166)</f>
        <v>F0-AI38-6A</v>
      </c>
      <c r="KF166" t="str">
        <f>CONCATENATE($T166,"-AI",REPLACE($X166,1,3,""),"-",KB166)</f>
        <v>F0-AI38-6B</v>
      </c>
      <c r="KI166" cm="1">
        <f t="array" ref="KI166">IF(COUNTIFS($U$2:$U166,$U166)=1,1,INDEX(KI:KI,_xlfn.XMATCH(U166,U$1:U165,0,-1))+COUNT(KI165:KM165))</f>
        <v>339</v>
      </c>
      <c r="KJ166">
        <f t="shared" si="211"/>
        <v>340</v>
      </c>
      <c r="KK166">
        <f t="shared" si="21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801</v>
      </c>
      <c r="B167" t="s">
        <v>800</v>
      </c>
      <c r="C167" t="s">
        <v>503</v>
      </c>
      <c r="P167" t="s">
        <v>508</v>
      </c>
      <c r="T167" s="14" t="s">
        <v>520</v>
      </c>
      <c r="U167">
        <v>55</v>
      </c>
      <c r="V167" t="s">
        <v>812</v>
      </c>
      <c r="X167" t="str">
        <f>IF(COUNTIF(X$1:X166,X166)&gt;7,REPLACE(X166,LEN(X166),1,VALUE(RIGHT(X166,1))+1),X166)</f>
        <v>A3.38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SUM(IF(ISNUMBER(FIND("TmAi",$BE$1:$AAL$1)),IF(IFERROR(ISODD(SUBSTITUTE($BE167:$AAL167,"A","")),FALSE),IF(ISODD(SUBSTITUTE($BE167:$AAL167,"A","")),1,0),0)))</f>
        <v>0</v>
      </c>
      <c r="AA167" t="str">
        <f t="shared" si="215"/>
        <v>7A</v>
      </c>
      <c r="AB167" t="str">
        <f t="shared" si="216"/>
        <v>7B</v>
      </c>
      <c r="AP167" t="s">
        <v>137</v>
      </c>
      <c r="AS167" t="s">
        <v>366</v>
      </c>
      <c r="JZ167" s="27" t="str">
        <f t="shared" si="20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209"/>
        <v>F0-AI38-7A</v>
      </c>
      <c r="KD167" t="str">
        <f t="shared" si="210"/>
        <v>F0-AI38-7B</v>
      </c>
      <c r="KE167" t="str">
        <f t="shared" ref="KE167:KE168" si="217">CONCATENATE($T167,"-AI",REPLACE($X167,1,3,""),"-",KA167)</f>
        <v>F0-AI38-8A</v>
      </c>
      <c r="KF167" t="str">
        <f t="shared" ref="KF167:KF168" si="218">CONCATENATE($T167,"-AI",REPLACE($X167,1,3,""),"-",KB167)</f>
        <v>F0-AI38-8B</v>
      </c>
      <c r="KI167" cm="1">
        <f t="array" ref="KI167">IF(COUNTIFS($U$2:$U167,$U167)=1,1,INDEX(KI:KI,_xlfn.XMATCH(U167,U$1:U166,0,-1))+COUNT(KI166:KM166))</f>
        <v>343</v>
      </c>
      <c r="KJ167">
        <f t="shared" si="211"/>
        <v>344</v>
      </c>
      <c r="KK167">
        <f t="shared" si="212"/>
        <v>345</v>
      </c>
      <c r="KL167">
        <f t="shared" ref="KL167:KL168" si="219"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803</v>
      </c>
      <c r="B168" s="33" t="s">
        <v>802</v>
      </c>
      <c r="C168" t="s">
        <v>503</v>
      </c>
      <c r="P168" t="s">
        <v>508</v>
      </c>
      <c r="T168" s="14" t="s">
        <v>520</v>
      </c>
      <c r="U168">
        <v>55</v>
      </c>
      <c r="V168" t="s">
        <v>813</v>
      </c>
      <c r="X168" s="33" t="str">
        <f>IF(COUNTIF(X$1:X167,X167)&gt;7,REPLACE(X167,LEN(X167),1,VALUE(RIGHT(X167,1))+1),X167)</f>
        <v>A3.38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SUM(IF(ISNUMBER(FIND("TmAi",$BE$1:$AAL$1)),IF(IFERROR(ISODD(SUBSTITUTE($BE168:$AAL168,"A","")),FALSE),IF(ISODD(SUBSTITUTE($BE168:$AAL168,"A","")),1,0),0)))</f>
        <v>0</v>
      </c>
      <c r="AA168" t="str">
        <f t="shared" si="215"/>
        <v>9A</v>
      </c>
      <c r="AB168" t="str">
        <f t="shared" si="216"/>
        <v>9B</v>
      </c>
      <c r="AP168" t="s">
        <v>137</v>
      </c>
      <c r="AS168" t="s">
        <v>366</v>
      </c>
      <c r="JZ168" s="28" t="str">
        <f t="shared" si="20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209"/>
        <v>F0-AI38-9A</v>
      </c>
      <c r="KD168" s="19" t="str">
        <f t="shared" si="210"/>
        <v>F0-AI38-9B</v>
      </c>
      <c r="KE168" s="19" t="str">
        <f t="shared" si="217"/>
        <v>F0-AI38-10A</v>
      </c>
      <c r="KF168" s="19" t="str">
        <f t="shared" si="218"/>
        <v>F0-AI38-10B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211"/>
        <v>348</v>
      </c>
      <c r="KK168" s="19">
        <f t="shared" si="212"/>
        <v>349</v>
      </c>
      <c r="KL168" s="19">
        <f t="shared" si="219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818</v>
      </c>
      <c r="B169" t="s">
        <v>817</v>
      </c>
      <c r="C169" t="s">
        <v>816</v>
      </c>
      <c r="P169" t="s">
        <v>815</v>
      </c>
      <c r="T169" s="14" t="s">
        <v>520</v>
      </c>
      <c r="U169">
        <v>56</v>
      </c>
      <c r="V169" t="s">
        <v>814</v>
      </c>
      <c r="Y169" s="43"/>
      <c r="Z169" s="46"/>
      <c r="AC169" t="s">
        <v>819</v>
      </c>
      <c r="AF169" t="s">
        <v>133</v>
      </c>
      <c r="AG169" t="s">
        <v>134</v>
      </c>
      <c r="AP169" t="s">
        <v>137</v>
      </c>
      <c r="AT169" t="s">
        <v>820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831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454</v>
      </c>
      <c r="LC169" s="12" t="s">
        <v>453</v>
      </c>
      <c r="LD169" s="12" t="s">
        <v>384</v>
      </c>
      <c r="LE169" s="12" t="s">
        <v>383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513</v>
      </c>
      <c r="LJ169" s="12" t="s">
        <v>514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833</v>
      </c>
      <c r="B170" t="s">
        <v>832</v>
      </c>
      <c r="P170" t="s">
        <v>834</v>
      </c>
      <c r="T170" s="14" t="s">
        <v>520</v>
      </c>
      <c r="U170">
        <v>57</v>
      </c>
      <c r="V170" t="s">
        <v>1672</v>
      </c>
      <c r="X170" t="s">
        <v>1104</v>
      </c>
      <c r="Y170" s="43" cm="1">
        <f t="array" ref="Y170">IF(COUNTIFS($X$2:$X170,$X170)=1,"1",VALUE(SUBSTITUTE(INDEX(Y:Y,_xlfn.XMATCH($X170,$X$1:$X169,0,-1)),"A",""))+INDEX(Z:Z,_xlfn.XMATCH($X170,$X$1:$X169,0,-1))+1)</f>
        <v>2</v>
      </c>
      <c r="Z170" s="46" cm="1">
        <f t="array" ref="Z170">SUM(IF(ISNUMBER(FIND("TmAi",$BE$1:$AAL$1)),IF(IFERROR(ISODD(SUBSTITUTE($BE170:$AAL170,"A","")),FALSE),IF(ISODD(SUBSTITUTE($BE170:$AAL170,"A","")),1,0),0)))</f>
        <v>0</v>
      </c>
      <c r="AA170" t="str">
        <f t="shared" si="215"/>
        <v>3A</v>
      </c>
      <c r="AB170" t="str">
        <f t="shared" si="216"/>
        <v>3B</v>
      </c>
      <c r="AP170" t="s">
        <v>137</v>
      </c>
      <c r="AQ170" t="s">
        <v>838</v>
      </c>
      <c r="AS170" t="s">
        <v>366</v>
      </c>
      <c r="KS170" s="16"/>
      <c r="LN170" s="25" t="str">
        <f t="shared" ref="LN170:LN176" si="220">CONCATENATE("XT",U170)</f>
        <v>XT57</v>
      </c>
      <c r="LO170" s="12" t="str">
        <f t="shared" ref="LO170:LO176" si="221">CONCATENATE(T170,"-AI",REPLACE($X170,1,3,""),"-",AA170)</f>
        <v>F0-AI20-3A</v>
      </c>
      <c r="LP170" s="12" t="str">
        <f t="shared" ref="LP170:LP176" si="222">CONCATENATE(T170,"-AI",REPLACE($X170,1,3,""),"-",AB170)</f>
        <v>F0-AI20-3B</v>
      </c>
      <c r="LQ170" s="12">
        <v>1</v>
      </c>
      <c r="LR170" s="12">
        <f t="shared" ref="LR170" si="223">LQ170+1</f>
        <v>2</v>
      </c>
      <c r="LS170" s="12">
        <f t="shared" ref="LS170" si="224">LR170+1</f>
        <v>3</v>
      </c>
      <c r="LT170" s="12" t="s">
        <v>835</v>
      </c>
      <c r="LU170" s="12" t="s">
        <v>836</v>
      </c>
      <c r="LV170" s="13" t="s">
        <v>837</v>
      </c>
    </row>
    <row r="171" spans="1:334" x14ac:dyDescent="0.25">
      <c r="A171" t="s">
        <v>840</v>
      </c>
      <c r="B171" t="s">
        <v>839</v>
      </c>
      <c r="P171" t="s">
        <v>834</v>
      </c>
      <c r="T171" s="14" t="s">
        <v>520</v>
      </c>
      <c r="U171">
        <v>57</v>
      </c>
      <c r="V171" t="s">
        <v>1673</v>
      </c>
      <c r="X171" t="str">
        <f>IF(COUNTIF(X$1:X170,X170)&gt;7,REPLACE(X170,LEN(X170),1,VALUE(RIGHT(X170,1))+1),X170)</f>
        <v>A3.20</v>
      </c>
      <c r="Y171" s="43" cm="1">
        <f t="array" ref="Y171">IF(COUNTIFS($X$2:$X171,$X171)=1,"1",VALUE(SUBSTITUTE(INDEX(Y:Y,_xlfn.XMATCH($X171,$X$1:$X170,0,-1)),"A",""))+INDEX(Z:Z,_xlfn.XMATCH($X171,$X$1:$X170,0,-1))+1)</f>
        <v>3</v>
      </c>
      <c r="Z171" s="46" cm="1">
        <f t="array" ref="Z171">SUM(IF(ISNUMBER(FIND("TmAi",$BE$1:$AAL$1)),IF(IFERROR(ISODD(SUBSTITUTE($BE171:$AAL171,"A","")),FALSE),IF(ISODD(SUBSTITUTE($BE171:$AAL171,"A","")),1,0),0)))</f>
        <v>0</v>
      </c>
      <c r="AA171" t="str">
        <f t="shared" si="215"/>
        <v>5A</v>
      </c>
      <c r="AB171" t="str">
        <f t="shared" si="216"/>
        <v>5B</v>
      </c>
      <c r="AP171" t="s">
        <v>137</v>
      </c>
      <c r="AQ171" t="s">
        <v>838</v>
      </c>
      <c r="AS171" t="s">
        <v>366</v>
      </c>
      <c r="LN171" s="27" t="str">
        <f t="shared" si="220"/>
        <v>XT57</v>
      </c>
      <c r="LO171" t="str">
        <f t="shared" si="221"/>
        <v>F0-AI20-5A</v>
      </c>
      <c r="LP171" t="str">
        <f t="shared" si="222"/>
        <v>F0-AI20-5B</v>
      </c>
      <c r="LQ171">
        <f>LQ170+3</f>
        <v>4</v>
      </c>
      <c r="LR171">
        <f t="shared" ref="LR171:LR176" si="225">LQ171+1</f>
        <v>5</v>
      </c>
      <c r="LS171">
        <f t="shared" ref="LS171:LS176" si="226">LR171+1</f>
        <v>6</v>
      </c>
      <c r="LT171" t="s">
        <v>851</v>
      </c>
      <c r="LU171" t="s">
        <v>836</v>
      </c>
      <c r="LV171" s="16" t="s">
        <v>837</v>
      </c>
    </row>
    <row r="172" spans="1:334" x14ac:dyDescent="0.25">
      <c r="A172" t="s">
        <v>842</v>
      </c>
      <c r="B172" t="s">
        <v>841</v>
      </c>
      <c r="P172" t="s">
        <v>834</v>
      </c>
      <c r="T172" s="14" t="s">
        <v>520</v>
      </c>
      <c r="U172">
        <v>57</v>
      </c>
      <c r="V172" t="s">
        <v>1674</v>
      </c>
      <c r="X172" t="str">
        <f>IF(COUNTIF(X$1:X171,X171)&gt;7,REPLACE(X171,LEN(X171),1,VALUE(RIGHT(X171,1))+1),X171)</f>
        <v>A3.20</v>
      </c>
      <c r="Y172" s="43" cm="1">
        <f t="array" ref="Y172">IF(COUNTIFS($X$2:$X172,$X172)=1,"1",VALUE(SUBSTITUTE(INDEX(Y:Y,_xlfn.XMATCH($X172,$X$1:$X171,0,-1)),"A",""))+INDEX(Z:Z,_xlfn.XMATCH($X172,$X$1:$X171,0,-1))+1)</f>
        <v>4</v>
      </c>
      <c r="Z172" s="46" cm="1">
        <f t="array" ref="Z172">SUM(IF(ISNUMBER(FIND("TmAi",$BE$1:$AAL$1)),IF(IFERROR(ISODD(SUBSTITUTE($BE172:$AAL172,"A","")),FALSE),IF(ISODD(SUBSTITUTE($BE172:$AAL172,"A","")),1,0),0)))</f>
        <v>0</v>
      </c>
      <c r="AA172" t="str">
        <f t="shared" si="215"/>
        <v>7A</v>
      </c>
      <c r="AB172" t="str">
        <f t="shared" si="216"/>
        <v>7B</v>
      </c>
      <c r="AP172" t="s">
        <v>137</v>
      </c>
      <c r="AQ172" t="s">
        <v>838</v>
      </c>
      <c r="AS172" t="s">
        <v>366</v>
      </c>
      <c r="LN172" s="27" t="str">
        <f t="shared" si="220"/>
        <v>XT57</v>
      </c>
      <c r="LO172" t="str">
        <f t="shared" si="221"/>
        <v>F0-AI20-7A</v>
      </c>
      <c r="LP172" t="str">
        <f t="shared" si="222"/>
        <v>F0-AI20-7B</v>
      </c>
      <c r="LQ172">
        <f t="shared" ref="LQ172:LQ176" si="227">LQ171+3</f>
        <v>7</v>
      </c>
      <c r="LR172">
        <f t="shared" si="225"/>
        <v>8</v>
      </c>
      <c r="LS172">
        <f t="shared" si="226"/>
        <v>9</v>
      </c>
      <c r="LT172" t="s">
        <v>852</v>
      </c>
      <c r="LU172" t="s">
        <v>836</v>
      </c>
      <c r="LV172" s="16" t="s">
        <v>837</v>
      </c>
    </row>
    <row r="173" spans="1:334" x14ac:dyDescent="0.25">
      <c r="A173" t="s">
        <v>844</v>
      </c>
      <c r="B173" t="s">
        <v>843</v>
      </c>
      <c r="P173" t="s">
        <v>834</v>
      </c>
      <c r="T173" s="14" t="s">
        <v>520</v>
      </c>
      <c r="U173">
        <v>57</v>
      </c>
      <c r="V173" t="s">
        <v>1675</v>
      </c>
      <c r="X173" s="33" t="str">
        <f>IF(COUNTIF(X$1:X172,X172)&gt;7,REPLACE(X172,LEN(X172),1,VALUE(RIGHT(X172,1))+1),X172)</f>
        <v>A3.20</v>
      </c>
      <c r="Y173" s="45" cm="1">
        <f t="array" ref="Y173">IF(COUNTIFS($X$2:$X173,$X173)=1,"1",VALUE(SUBSTITUTE(INDEX(Y:Y,_xlfn.XMATCH($X173,$X$1:$X172,0,-1)),"A",""))+INDEX(Z:Z,_xlfn.XMATCH($X173,$X$1:$X172,0,-1))+1)</f>
        <v>5</v>
      </c>
      <c r="Z173" s="46" cm="1">
        <f t="array" ref="Z173">SUM(IF(ISNUMBER(FIND("TmAi",$BE$1:$AAL$1)),IF(IFERROR(ISODD(SUBSTITUTE($BE173:$AAL173,"A","")),FALSE),IF(ISODD(SUBSTITUTE($BE173:$AAL173,"A","")),1,0),0)))</f>
        <v>0</v>
      </c>
      <c r="AA173" t="str">
        <f t="shared" si="215"/>
        <v>9A</v>
      </c>
      <c r="AB173" t="str">
        <f t="shared" si="216"/>
        <v>9B</v>
      </c>
      <c r="AP173" t="s">
        <v>137</v>
      </c>
      <c r="AQ173" t="s">
        <v>838</v>
      </c>
      <c r="AS173" t="s">
        <v>366</v>
      </c>
      <c r="LN173" s="27" t="str">
        <f t="shared" si="220"/>
        <v>XT57</v>
      </c>
      <c r="LO173" t="str">
        <f t="shared" si="221"/>
        <v>F0-AI20-9A</v>
      </c>
      <c r="LP173" t="str">
        <f t="shared" si="222"/>
        <v>F0-AI20-9B</v>
      </c>
      <c r="LQ173">
        <f t="shared" si="227"/>
        <v>10</v>
      </c>
      <c r="LR173">
        <f t="shared" si="225"/>
        <v>11</v>
      </c>
      <c r="LS173">
        <f t="shared" si="226"/>
        <v>12</v>
      </c>
      <c r="LT173" t="s">
        <v>853</v>
      </c>
      <c r="LU173" t="s">
        <v>836</v>
      </c>
      <c r="LV173" s="16" t="s">
        <v>837</v>
      </c>
    </row>
    <row r="174" spans="1:334" x14ac:dyDescent="0.25">
      <c r="A174" t="s">
        <v>846</v>
      </c>
      <c r="B174" t="s">
        <v>845</v>
      </c>
      <c r="P174" t="s">
        <v>834</v>
      </c>
      <c r="T174" s="14" t="s">
        <v>520</v>
      </c>
      <c r="U174">
        <v>57</v>
      </c>
      <c r="V174" t="s">
        <v>1676</v>
      </c>
      <c r="X174" t="str">
        <f>IF(COUNTIF(X$1:X173,X173)&gt;7,REPLACE(X173,LEN(X173),1,VALUE(RIGHT(X173,1))+1),X173)</f>
        <v>A3.20</v>
      </c>
      <c r="Y174" s="43" cm="1">
        <f t="array" ref="Y174">IF(COUNTIFS($X$2:$X174,$X174)=1,"1",VALUE(SUBSTITUTE(INDEX(Y:Y,_xlfn.XMATCH($X174,$X$1:$X173,0,-1)),"A",""))+INDEX(Z:Z,_xlfn.XMATCH($X174,$X$1:$X173,0,-1))+1)</f>
        <v>6</v>
      </c>
      <c r="Z174" s="46" cm="1">
        <f t="array" ref="Z174">SUM(IF(ISNUMBER(FIND("TmAi",$BE$1:$AAL$1)),IF(IFERROR(ISODD(SUBSTITUTE($BE174:$AAL174,"A","")),FALSE),IF(ISODD(SUBSTITUTE($BE174:$AAL174,"A","")),1,0),0)))</f>
        <v>0</v>
      </c>
      <c r="AA174" t="str">
        <f t="shared" si="215"/>
        <v>11A</v>
      </c>
      <c r="AB174" t="str">
        <f t="shared" si="216"/>
        <v>11B</v>
      </c>
      <c r="AP174" t="s">
        <v>137</v>
      </c>
      <c r="AQ174" t="s">
        <v>838</v>
      </c>
      <c r="AS174" t="s">
        <v>366</v>
      </c>
      <c r="LN174" s="27" t="str">
        <f t="shared" si="220"/>
        <v>XT57</v>
      </c>
      <c r="LO174" t="str">
        <f t="shared" si="221"/>
        <v>F0-AI20-11A</v>
      </c>
      <c r="LP174" t="str">
        <f t="shared" si="222"/>
        <v>F0-AI20-11B</v>
      </c>
      <c r="LQ174">
        <f t="shared" si="227"/>
        <v>13</v>
      </c>
      <c r="LR174">
        <f t="shared" si="225"/>
        <v>14</v>
      </c>
      <c r="LS174">
        <f t="shared" si="226"/>
        <v>15</v>
      </c>
      <c r="LT174" t="s">
        <v>854</v>
      </c>
      <c r="LU174" t="s">
        <v>836</v>
      </c>
      <c r="LV174" s="16" t="s">
        <v>837</v>
      </c>
    </row>
    <row r="175" spans="1:334" x14ac:dyDescent="0.25">
      <c r="A175" t="s">
        <v>848</v>
      </c>
      <c r="B175" t="s">
        <v>847</v>
      </c>
      <c r="P175" t="s">
        <v>834</v>
      </c>
      <c r="T175" s="14" t="s">
        <v>520</v>
      </c>
      <c r="U175">
        <v>57</v>
      </c>
      <c r="V175" t="s">
        <v>1677</v>
      </c>
      <c r="X175" t="str">
        <f>IF(COUNTIF(X$1:X174,X174)&gt;7,REPLACE(X174,LEN(X174),1,VALUE(RIGHT(X174,1))+1),X174)</f>
        <v>A3.20</v>
      </c>
      <c r="Y175" s="43" cm="1">
        <f t="array" ref="Y175">IF(COUNTIFS($X$2:$X175,$X175)=1,"1",VALUE(SUBSTITUTE(INDEX(Y:Y,_xlfn.XMATCH($X175,$X$1:$X174,0,-1)),"A",""))+INDEX(Z:Z,_xlfn.XMATCH($X175,$X$1:$X174,0,-1))+1)</f>
        <v>7</v>
      </c>
      <c r="Z175" s="46" cm="1">
        <f t="array" ref="Z175">SUM(IF(ISNUMBER(FIND("TmAi",$BE$1:$AAL$1)),IF(IFERROR(ISODD(SUBSTITUTE($BE175:$AAL175,"A","")),FALSE),IF(ISODD(SUBSTITUTE($BE175:$AAL175,"A","")),1,0),0)))</f>
        <v>0</v>
      </c>
      <c r="AA175" t="str">
        <f t="shared" si="215"/>
        <v>13A</v>
      </c>
      <c r="AB175" t="str">
        <f t="shared" si="216"/>
        <v>13B</v>
      </c>
      <c r="AP175" t="s">
        <v>137</v>
      </c>
      <c r="AQ175" t="s">
        <v>838</v>
      </c>
      <c r="AS175" t="s">
        <v>366</v>
      </c>
      <c r="LN175" s="27" t="str">
        <f t="shared" si="220"/>
        <v>XT57</v>
      </c>
      <c r="LO175" t="str">
        <f t="shared" si="221"/>
        <v>F0-AI20-13A</v>
      </c>
      <c r="LP175" t="str">
        <f t="shared" si="222"/>
        <v>F0-AI20-13B</v>
      </c>
      <c r="LQ175">
        <f t="shared" si="227"/>
        <v>16</v>
      </c>
      <c r="LR175">
        <f t="shared" si="225"/>
        <v>17</v>
      </c>
      <c r="LS175">
        <f t="shared" si="226"/>
        <v>18</v>
      </c>
      <c r="LT175" t="s">
        <v>855</v>
      </c>
      <c r="LU175" t="s">
        <v>836</v>
      </c>
      <c r="LV175" s="16" t="s">
        <v>837</v>
      </c>
    </row>
    <row r="176" spans="1:334" ht="15.75" thickBot="1" x14ac:dyDescent="0.3">
      <c r="A176" t="s">
        <v>850</v>
      </c>
      <c r="B176" s="33" t="s">
        <v>849</v>
      </c>
      <c r="P176" t="s">
        <v>834</v>
      </c>
      <c r="T176" s="14" t="s">
        <v>520</v>
      </c>
      <c r="U176">
        <v>57</v>
      </c>
      <c r="V176" t="s">
        <v>1678</v>
      </c>
      <c r="X176" t="str">
        <f>IF(COUNTIF(X$1:X175,X175)&gt;7,REPLACE(X175,LEN(X175),1,VALUE(RIGHT(X175,1))+1),X175)</f>
        <v>A3.20</v>
      </c>
      <c r="Y176" s="43" cm="1">
        <f t="array" ref="Y176">IF(COUNTIFS($X$2:$X176,$X176)=1,"1",VALUE(SUBSTITUTE(INDEX(Y:Y,_xlfn.XMATCH($X176,$X$1:$X175,0,-1)),"A",""))+INDEX(Z:Z,_xlfn.XMATCH($X176,$X$1:$X175,0,-1))+1)</f>
        <v>8</v>
      </c>
      <c r="Z176" s="46" cm="1">
        <f t="array" ref="Z176">SUM(IF(ISNUMBER(FIND("TmAi",$BE$1:$AAL$1)),IF(IFERROR(ISODD(SUBSTITUTE($BE176:$AAL176,"A","")),FALSE),IF(ISODD(SUBSTITUTE($BE176:$AAL176,"A","")),1,0),0)))</f>
        <v>0</v>
      </c>
      <c r="AA176" t="str">
        <f t="shared" si="215"/>
        <v>15A</v>
      </c>
      <c r="AB176" t="str">
        <f t="shared" si="216"/>
        <v>15B</v>
      </c>
      <c r="AP176" t="s">
        <v>137</v>
      </c>
      <c r="AQ176" t="s">
        <v>838</v>
      </c>
      <c r="AS176" t="s">
        <v>366</v>
      </c>
      <c r="LN176" s="27" t="str">
        <f t="shared" si="220"/>
        <v>XT57</v>
      </c>
      <c r="LO176" t="str">
        <f t="shared" si="221"/>
        <v>F0-AI20-15A</v>
      </c>
      <c r="LP176" t="str">
        <f t="shared" si="222"/>
        <v>F0-AI20-15B</v>
      </c>
      <c r="LQ176">
        <f t="shared" si="227"/>
        <v>19</v>
      </c>
      <c r="LR176">
        <f t="shared" si="225"/>
        <v>20</v>
      </c>
      <c r="LS176">
        <f t="shared" si="226"/>
        <v>21</v>
      </c>
      <c r="LT176" t="s">
        <v>856</v>
      </c>
      <c r="LU176" t="s">
        <v>836</v>
      </c>
      <c r="LV176" s="16" t="s">
        <v>837</v>
      </c>
    </row>
    <row r="177" spans="1:538" x14ac:dyDescent="0.25">
      <c r="A177" t="s">
        <v>860</v>
      </c>
      <c r="B177" t="s">
        <v>859</v>
      </c>
      <c r="C177" t="s">
        <v>858</v>
      </c>
      <c r="P177" t="s">
        <v>857</v>
      </c>
      <c r="T177" s="14" t="s">
        <v>520</v>
      </c>
      <c r="U177">
        <v>56</v>
      </c>
      <c r="V177" t="s">
        <v>1679</v>
      </c>
      <c r="Y177" s="43"/>
      <c r="Z177" s="46"/>
      <c r="AC177" t="s">
        <v>819</v>
      </c>
      <c r="AF177" t="s">
        <v>863</v>
      </c>
      <c r="AG177" t="s">
        <v>864</v>
      </c>
      <c r="AP177" t="s">
        <v>137</v>
      </c>
      <c r="AS177" t="s">
        <v>366</v>
      </c>
      <c r="AT177" t="s">
        <v>820</v>
      </c>
      <c r="LX177" s="25" t="str">
        <f>CONCATENATE("XT",U177)</f>
        <v>XT56</v>
      </c>
      <c r="LY177" s="12" t="str">
        <f>CONCATENATE("DI",REPLACE($AC177,1,3,""),"-",$AF177)</f>
        <v>DI12-C2</v>
      </c>
      <c r="LZ177" s="12"/>
      <c r="MA177" s="12" t="s">
        <v>867</v>
      </c>
      <c r="MB177" s="12" t="str">
        <f>CONCATENATE("K",$U177,"-02")</f>
        <v>K56-02</v>
      </c>
      <c r="MC177" s="12">
        <v>11</v>
      </c>
      <c r="MD177" s="12">
        <v>14</v>
      </c>
      <c r="ME177" s="12" t="s">
        <v>142</v>
      </c>
      <c r="MF177" s="12" t="s">
        <v>143</v>
      </c>
      <c r="MG177" s="12" t="s">
        <v>454</v>
      </c>
      <c r="MH177" s="12" t="s">
        <v>453</v>
      </c>
      <c r="MI177" s="12" t="s">
        <v>384</v>
      </c>
      <c r="MJ177" s="12" t="s">
        <v>383</v>
      </c>
      <c r="MK177" s="12">
        <v>4</v>
      </c>
      <c r="ML177" s="12">
        <f t="shared" ref="ML177:MN178" si="228">MK177+1</f>
        <v>5</v>
      </c>
      <c r="MM177" s="12">
        <f t="shared" si="228"/>
        <v>6</v>
      </c>
      <c r="MN177" s="12">
        <f t="shared" si="228"/>
        <v>7</v>
      </c>
      <c r="MO177" s="12">
        <v>1</v>
      </c>
      <c r="MP177" s="12">
        <v>2</v>
      </c>
      <c r="MQ177" s="12">
        <v>3</v>
      </c>
      <c r="MR177" s="12">
        <v>4</v>
      </c>
      <c r="MS177" s="13">
        <v>5</v>
      </c>
    </row>
    <row r="178" spans="1:538" ht="15.75" thickBot="1" x14ac:dyDescent="0.3">
      <c r="A178" t="s">
        <v>862</v>
      </c>
      <c r="B178" s="33" t="s">
        <v>861</v>
      </c>
      <c r="C178" t="s">
        <v>858</v>
      </c>
      <c r="P178" t="s">
        <v>857</v>
      </c>
      <c r="T178" s="14" t="s">
        <v>520</v>
      </c>
      <c r="U178">
        <v>56</v>
      </c>
      <c r="V178" t="s">
        <v>1680</v>
      </c>
      <c r="Y178" s="43"/>
      <c r="Z178" s="46"/>
      <c r="AC178" t="s">
        <v>819</v>
      </c>
      <c r="AF178" t="s">
        <v>865</v>
      </c>
      <c r="AG178" t="s">
        <v>866</v>
      </c>
      <c r="AP178" t="s">
        <v>137</v>
      </c>
      <c r="AS178" t="s">
        <v>366</v>
      </c>
      <c r="AT178" t="s">
        <v>820</v>
      </c>
      <c r="LX178" s="27" t="str">
        <f>CONCATENATE("XT",$U178)</f>
        <v>XT56</v>
      </c>
      <c r="LY178" t="str">
        <f>CONCATENATE("DI",REPLACE($AC178,1,3,""),"-",$AF178)</f>
        <v>DI12-C3</v>
      </c>
      <c r="MA178" t="s">
        <v>868</v>
      </c>
      <c r="MB178" t="str">
        <f>CONCATENATE("K",$U178,"-03")</f>
        <v>K56-03</v>
      </c>
      <c r="MC178">
        <v>11</v>
      </c>
      <c r="MD178">
        <v>14</v>
      </c>
      <c r="ME178" t="s">
        <v>142</v>
      </c>
      <c r="MF178" t="s">
        <v>143</v>
      </c>
      <c r="MG178" t="s">
        <v>454</v>
      </c>
      <c r="MH178" t="s">
        <v>453</v>
      </c>
      <c r="MI178" t="s">
        <v>384</v>
      </c>
      <c r="MJ178" t="s">
        <v>383</v>
      </c>
      <c r="MK178">
        <f>MK177+4</f>
        <v>8</v>
      </c>
      <c r="ML178">
        <f t="shared" si="228"/>
        <v>9</v>
      </c>
      <c r="MM178">
        <f t="shared" si="228"/>
        <v>10</v>
      </c>
      <c r="MN178">
        <f t="shared" si="228"/>
        <v>11</v>
      </c>
      <c r="MO178">
        <v>1</v>
      </c>
      <c r="MP178">
        <v>2</v>
      </c>
      <c r="MQ178">
        <v>3</v>
      </c>
      <c r="MR178">
        <v>4</v>
      </c>
      <c r="MS178" s="16">
        <v>5</v>
      </c>
    </row>
    <row r="179" spans="1:538" ht="15.75" thickBot="1" x14ac:dyDescent="0.3">
      <c r="A179" t="s">
        <v>871</v>
      </c>
      <c r="B179" t="s">
        <v>870</v>
      </c>
      <c r="C179" t="s">
        <v>872</v>
      </c>
      <c r="P179" t="s">
        <v>873</v>
      </c>
      <c r="T179" s="14" t="s">
        <v>520</v>
      </c>
      <c r="U179">
        <v>58</v>
      </c>
      <c r="X179" t="s">
        <v>1589</v>
      </c>
      <c r="Y179" s="43" t="str" cm="1">
        <f t="array" ref="Y179">IF(COUNTIFS($X$2:$X179,$X179)=1,"1",VALUE(SUBSTITUTE(INDEX(Y:Y,_xlfn.XMATCH($X179,$X$1:$X178,0,-1)),"A",""))+INDEX(Z:Z,_xlfn.XMATCH($X179,$X$1:$X178,0,-1))+1)</f>
        <v>1</v>
      </c>
      <c r="Z179" s="46" cm="1">
        <f t="array" ref="Z179">SUM(IF(ISNUMBER(FIND("TmAi",$BE$1:$AAL$1)),IF(IFERROR(ISODD(SUBSTITUTE($BE179:$AAL179,"A","")),FALSE),IF(ISODD(SUBSTITUTE($BE179:$AAL179,"A","")),1,0),0)))</f>
        <v>1</v>
      </c>
      <c r="AA179" t="str">
        <f t="shared" si="215"/>
        <v>1A</v>
      </c>
      <c r="AB179" t="str">
        <f t="shared" si="216"/>
        <v>1B</v>
      </c>
      <c r="AC179" t="s">
        <v>819</v>
      </c>
      <c r="AF179" t="s">
        <v>349</v>
      </c>
      <c r="AG179" t="s">
        <v>350</v>
      </c>
      <c r="AP179" t="s">
        <v>137</v>
      </c>
      <c r="AQ179" t="s">
        <v>838</v>
      </c>
      <c r="AS179" t="s">
        <v>366</v>
      </c>
      <c r="AT179" t="s">
        <v>139</v>
      </c>
      <c r="MT179" s="25" t="s">
        <v>883</v>
      </c>
      <c r="MU179" s="12" t="s">
        <v>884</v>
      </c>
      <c r="MV179" s="12" t="s">
        <v>888</v>
      </c>
      <c r="MW179" s="12" t="s">
        <v>889</v>
      </c>
      <c r="MX179" s="12" t="s">
        <v>869</v>
      </c>
      <c r="MY179" s="12" t="str">
        <f>CONCATENATE("XT",$U179)</f>
        <v>XT58</v>
      </c>
      <c r="MZ179" s="12" t="str">
        <f>CONCATENATE("B",REPLACE(AF179,1,1,"")+1)</f>
        <v>B5</v>
      </c>
      <c r="NA179" s="12" t="str">
        <f>CONCATENATE("C",REPLACE(AG179,1,1,"")+1)</f>
        <v>C5</v>
      </c>
      <c r="NB179" s="12" t="str">
        <f>CONCATENATE("B",REPLACE(MZ179,1,1,"")+1)</f>
        <v>B6</v>
      </c>
      <c r="NC179" s="12" t="str">
        <f>CONCATENATE("C",REPLACE(NA179,1,1,"")+1)</f>
        <v>C6</v>
      </c>
      <c r="ND179" s="12" t="str">
        <f>CONCATENATE("B",REPLACE(NB179,1,1,"")+1)</f>
        <v>B7</v>
      </c>
      <c r="NE179" s="12" t="str">
        <f>CONCATENATE("C",REPLACE(NC179,1,1,"")+1)</f>
        <v>C7</v>
      </c>
      <c r="NF179" s="12" t="str">
        <f>REPLACE($AA179,1,1,LEFT($AA179,1)+2)</f>
        <v>3A</v>
      </c>
      <c r="NG179" s="12" t="str">
        <f>REPLACE($AB179,1,1,LEFT($AB179,1)+2)</f>
        <v>3B</v>
      </c>
      <c r="NH179" s="12" t="str">
        <f>CONCATENATE("DI",REPLACE($AC179,1,3,""),"-",$AF179)</f>
        <v>DI12-C4</v>
      </c>
      <c r="NI179" s="12" t="str">
        <f>CONCATENATE("DI",REPLACE($AC179,1,3,""),"-",$NA179)</f>
        <v>DI12-C5</v>
      </c>
      <c r="NJ179" s="12" t="str">
        <f>CONCATENATE("DI",REPLACE($AC179,1,3,""),"-",$NC179)</f>
        <v>DI12-C6</v>
      </c>
      <c r="NK179" s="12" t="str">
        <f>CONCATENATE("DI",REPLACE($AC179,1,3,""),"-",$NE179)</f>
        <v>DI12-C7</v>
      </c>
      <c r="NL179" s="12" t="s">
        <v>890</v>
      </c>
      <c r="NM179" s="12" t="s">
        <v>891</v>
      </c>
      <c r="NN179" s="12" t="s">
        <v>904</v>
      </c>
      <c r="NO179" s="12" t="s">
        <v>892</v>
      </c>
      <c r="NP179" s="12" t="s">
        <v>893</v>
      </c>
      <c r="NQ179" s="12" t="s">
        <v>894</v>
      </c>
      <c r="NR179" s="12" t="s">
        <v>895</v>
      </c>
      <c r="NS179" s="12" t="s">
        <v>896</v>
      </c>
      <c r="NT179" s="12" t="s">
        <v>897</v>
      </c>
      <c r="NU179" s="12" t="s">
        <v>898</v>
      </c>
      <c r="NV179" s="12" t="s">
        <v>899</v>
      </c>
      <c r="NW179" s="12">
        <v>11</v>
      </c>
      <c r="NX179" s="12">
        <v>14</v>
      </c>
      <c r="NY179" s="12" t="s">
        <v>142</v>
      </c>
      <c r="NZ179" s="12" t="s">
        <v>143</v>
      </c>
      <c r="OA179" s="12" t="s">
        <v>454</v>
      </c>
      <c r="OB179" s="12" t="s">
        <v>453</v>
      </c>
      <c r="OC179" s="12" t="s">
        <v>384</v>
      </c>
      <c r="OD179" s="13" t="s">
        <v>383</v>
      </c>
    </row>
    <row r="180" spans="1:538" x14ac:dyDescent="0.25">
      <c r="A180" t="s">
        <v>906</v>
      </c>
      <c r="B180" t="s">
        <v>905</v>
      </c>
      <c r="C180" t="s">
        <v>902</v>
      </c>
      <c r="P180" t="s">
        <v>903</v>
      </c>
      <c r="T180" s="14" t="s">
        <v>520</v>
      </c>
      <c r="U180">
        <v>58</v>
      </c>
      <c r="V180" t="s">
        <v>915</v>
      </c>
      <c r="X180" t="str">
        <f>IF(COUNTIF(X$1:X179,X179)&gt;7,REPLACE(X179,LEN(X179),1,VALUE(RIGHT(X179,1))+1),X179)</f>
        <v>A3.21</v>
      </c>
      <c r="Y180" s="43" cm="1">
        <f t="array" ref="Y180">IF(COUNTIFS($X$2:$X180,$X180)=1,"1",VALUE(SUBSTITUTE(INDEX(Y:Y,_xlfn.XMATCH($X180,$X$1:$X179,0,-1)),"A",""))+INDEX(Z:Z,_xlfn.XMATCH($X180,$X$1:$X179,0,-1))+1)</f>
        <v>3</v>
      </c>
      <c r="Z180" s="46" cm="1">
        <f t="array" ref="Z180">SUM(IF(ISNUMBER(FIND("TmAi",$BE$1:$AAL$1)),IF(IFERROR(ISODD(SUBSTITUTE($BE180:$AAL180,"A","")),FALSE),IF(ISODD(SUBSTITUTE($BE180:$AAL180,"A","")),1,0),0)))</f>
        <v>0</v>
      </c>
      <c r="AA180" t="str">
        <f t="shared" si="215"/>
        <v>5A</v>
      </c>
      <c r="AB180" t="str">
        <f t="shared" si="216"/>
        <v>5B</v>
      </c>
      <c r="AC180" t="s">
        <v>819</v>
      </c>
      <c r="AF180" t="s">
        <v>900</v>
      </c>
      <c r="AG180" t="s">
        <v>901</v>
      </c>
      <c r="AP180" t="s">
        <v>137</v>
      </c>
      <c r="AQ180" t="s">
        <v>838</v>
      </c>
      <c r="AS180" t="s">
        <v>366</v>
      </c>
      <c r="AT180" t="s">
        <v>139</v>
      </c>
      <c r="MT180" s="25"/>
      <c r="MU180" s="12"/>
      <c r="MV180" s="12" t="s">
        <v>917</v>
      </c>
      <c r="MW180" s="12"/>
      <c r="MX180" s="12" t="s">
        <v>916</v>
      </c>
      <c r="MY180" s="12" t="str">
        <f>CONCATENATE("XT",$U180)</f>
        <v>XT58</v>
      </c>
      <c r="MZ180" s="12" t="str">
        <f>CONCATENATE("B",REPLACE(AF180,1,1,"")+1)</f>
        <v>B9</v>
      </c>
      <c r="NA180" s="12" t="str">
        <f>CONCATENATE("C",REPLACE(AG180,1,1,"")+1)</f>
        <v>C9</v>
      </c>
      <c r="NB180" s="12" t="str">
        <f>CONCATENATE("B",REPLACE(MZ180,1,1,"")+1)</f>
        <v>B10</v>
      </c>
      <c r="NC180" s="12" t="str">
        <f>CONCATENATE("C",REPLACE(NA180,1,1,"")+1)</f>
        <v>C10</v>
      </c>
      <c r="ND180" s="12" t="str">
        <f>CONCATENATE("B",REPLACE(NB180,1,1,"")+1)</f>
        <v>B11</v>
      </c>
      <c r="NE180" s="12" t="str">
        <f>CONCATENATE("C",REPLACE(NC180,1,1,"")+1)</f>
        <v>C11</v>
      </c>
      <c r="NF180" s="12"/>
      <c r="NG180" s="12"/>
      <c r="NH180" s="12" t="str">
        <f>CONCATENATE("DI",REPLACE($AC180,1,3,""),"-",$AF180)</f>
        <v>DI12-C8</v>
      </c>
      <c r="NI180" s="12" t="str">
        <f>CONCATENATE("DI",REPLACE($AC180,1,3,""),"-",$NA180)</f>
        <v>DI12-C9</v>
      </c>
      <c r="NJ180" s="12" t="str">
        <f>CONCATENATE("DI",REPLACE($AC180,1,3,""),"-",$NC180)</f>
        <v>DI12-C10</v>
      </c>
      <c r="NK180" s="12" t="str">
        <f>CONCATENATE("DI",REPLACE($AC180,1,3,""),"-",$NE180)</f>
        <v>DI12-C11</v>
      </c>
      <c r="NL180" s="12" t="s">
        <v>909</v>
      </c>
      <c r="NM180" s="12"/>
      <c r="NN180" s="12" t="s">
        <v>914</v>
      </c>
      <c r="NO180" s="12" t="s">
        <v>913</v>
      </c>
      <c r="NP180" s="12" t="s">
        <v>912</v>
      </c>
      <c r="NQ180" s="12"/>
      <c r="NR180" s="12"/>
      <c r="NS180" s="12" t="s">
        <v>907</v>
      </c>
      <c r="NT180" s="12" t="s">
        <v>908</v>
      </c>
      <c r="NU180" s="12"/>
      <c r="NV180" s="12"/>
      <c r="NW180" s="12">
        <v>11</v>
      </c>
      <c r="NX180" s="12">
        <v>14</v>
      </c>
      <c r="NY180" s="12" t="s">
        <v>142</v>
      </c>
      <c r="NZ180" s="12" t="s">
        <v>143</v>
      </c>
      <c r="OA180" s="12" t="s">
        <v>454</v>
      </c>
      <c r="OB180" s="12" t="s">
        <v>453</v>
      </c>
      <c r="OC180" s="12" t="s">
        <v>384</v>
      </c>
      <c r="OD180" s="12" t="s">
        <v>383</v>
      </c>
      <c r="OE180" s="12" t="s">
        <v>144</v>
      </c>
      <c r="OF180" s="13" t="s">
        <v>918</v>
      </c>
    </row>
    <row r="181" spans="1:538" x14ac:dyDescent="0.25">
      <c r="A181" t="s">
        <v>920</v>
      </c>
      <c r="B181" t="s">
        <v>919</v>
      </c>
      <c r="C181" t="s">
        <v>497</v>
      </c>
      <c r="P181" t="s">
        <v>469</v>
      </c>
      <c r="T181" s="14" t="s">
        <v>520</v>
      </c>
      <c r="U181">
        <v>55</v>
      </c>
      <c r="V181" t="s">
        <v>922</v>
      </c>
      <c r="X181" t="str">
        <f>IF(COUNTIF(X$1:X180,X180)&gt;7,REPLACE(X180,LEN(X180),1,VALUE(RIGHT(X180,1))+1),X180)</f>
        <v>A3.21</v>
      </c>
      <c r="Y181" s="43" cm="1">
        <f t="array" ref="Y181">IF(COUNTIFS($X$2:$X181,$X181)=1,"1",VALUE(SUBSTITUTE(INDEX(Y:Y,_xlfn.XMATCH($X181,$X$1:$X180,0,-1)),"A",""))+INDEX(Z:Z,_xlfn.XMATCH($X181,$X$1:$X180,0,-1))+1)</f>
        <v>4</v>
      </c>
      <c r="Z181" s="46" cm="1">
        <f t="array" ref="Z181">SUM(IF(ISNUMBER(FIND("TmAi",$BE$1:$AAL$1)),IF(IFERROR(ISODD(SUBSTITUTE($BE181:$AAL181,"A","")),FALSE),IF(ISODD(SUBSTITUTE($BE181:$AAL181,"A","")),1,0),0)))</f>
        <v>0</v>
      </c>
      <c r="AA181" t="str">
        <f t="shared" ref="AA181:AA215" si="229">CONCATENATE($Y181*2-1,"A")</f>
        <v>7A</v>
      </c>
      <c r="AB181" t="str">
        <f t="shared" ref="AB181:AB215" si="230">CONCATENATE($Y181*2-1,"B")</f>
        <v>7B</v>
      </c>
      <c r="AP181" t="s">
        <v>137</v>
      </c>
      <c r="AQ181" t="s">
        <v>838</v>
      </c>
      <c r="AS181" t="s">
        <v>366</v>
      </c>
      <c r="JZ181" s="27" t="str">
        <f>CONCATENATE("XT",U181)</f>
        <v>XT55</v>
      </c>
      <c r="KC181" t="str">
        <f>CONCATENATE(T181,"-AI",REPLACE($X181,1,3,""),"-",AA181)</f>
        <v>F0-AI21-7A</v>
      </c>
      <c r="KD181" t="str">
        <f>CONCATENATE(T181,"-AI",REPLACE($X181,1,3,""),"-",AB181)</f>
        <v>F0-AI21-7B</v>
      </c>
      <c r="KG181" t="s">
        <v>454</v>
      </c>
      <c r="KH181" t="s">
        <v>453</v>
      </c>
      <c r="KI181" cm="1">
        <f t="array" ref="KI181">IF(COUNTIFS($U$2:$U181,$U181)=1,1,INDEX(KI:KI,_xlfn.XMATCH(U181,U$1:U180,0,-1))+COUNT(KI168:KM168))</f>
        <v>351</v>
      </c>
      <c r="KJ181">
        <f t="shared" ref="KJ181" si="231">KI181+1</f>
        <v>352</v>
      </c>
      <c r="KK181">
        <f t="shared" ref="KK181" si="232">KJ181+1</f>
        <v>353</v>
      </c>
      <c r="KL181">
        <f t="shared" ref="KL181" si="233">KK181+1</f>
        <v>354</v>
      </c>
      <c r="KM181">
        <f t="shared" ref="KM181" si="234">KL181+1</f>
        <v>355</v>
      </c>
      <c r="KN181" t="s">
        <v>513</v>
      </c>
      <c r="KO181" s="16" t="s">
        <v>514</v>
      </c>
      <c r="KP181" t="s">
        <v>513</v>
      </c>
      <c r="KQ181" t="s">
        <v>514</v>
      </c>
      <c r="KR181" t="s">
        <v>517</v>
      </c>
      <c r="KS181" s="16" t="s">
        <v>518</v>
      </c>
    </row>
    <row r="182" spans="1:538" ht="15.75" thickBot="1" x14ac:dyDescent="0.3">
      <c r="A182" t="s">
        <v>921</v>
      </c>
      <c r="B182" t="s">
        <v>919</v>
      </c>
      <c r="C182" t="s">
        <v>497</v>
      </c>
      <c r="P182" t="s">
        <v>469</v>
      </c>
      <c r="T182" s="14" t="s">
        <v>520</v>
      </c>
      <c r="U182">
        <v>55</v>
      </c>
      <c r="V182" t="s">
        <v>923</v>
      </c>
      <c r="X182" s="33" t="str">
        <f>IF(COUNTIF(X$1:X181,X181)&gt;7,REPLACE(X181,LEN(X181),1,VALUE(RIGHT(X181,1))+1),X181)</f>
        <v>A3.21</v>
      </c>
      <c r="Y182" s="45" cm="1">
        <f t="array" ref="Y182">IF(COUNTIFS($X$2:$X182,$X182)=1,"1",VALUE(SUBSTITUTE(INDEX(Y:Y,_xlfn.XMATCH($X182,$X$1:$X181,0,-1)),"A",""))+INDEX(Z:Z,_xlfn.XMATCH($X182,$X$1:$X181,0,-1))+1)</f>
        <v>5</v>
      </c>
      <c r="Z182" s="46" cm="1">
        <f t="array" ref="Z182">SUM(IF(ISNUMBER(FIND("TmAi",$BE$1:$AAL$1)),IF(IFERROR(ISODD(SUBSTITUTE($BE182:$AAL182,"A","")),FALSE),IF(ISODD(SUBSTITUTE($BE182:$AAL182,"A","")),1,0),0)))</f>
        <v>0</v>
      </c>
      <c r="AA182" t="str">
        <f t="shared" si="229"/>
        <v>9A</v>
      </c>
      <c r="AB182" t="str">
        <f t="shared" si="230"/>
        <v>9B</v>
      </c>
      <c r="AP182" t="s">
        <v>137</v>
      </c>
      <c r="AQ182" t="s">
        <v>838</v>
      </c>
      <c r="AS182" t="s">
        <v>366</v>
      </c>
      <c r="JZ182" s="27" t="str">
        <f>CONCATENATE("XT",U182)</f>
        <v>XT55</v>
      </c>
      <c r="KC182" t="str">
        <f>CONCATENATE(T182,"-AI",REPLACE($X182,1,3,""),"-",AA182)</f>
        <v>F0-AI21-9A</v>
      </c>
      <c r="KD182" t="str">
        <f>CONCATENATE(T182,"-AI",REPLACE($X182,1,3,""),"-",AB182)</f>
        <v>F0-AI21-9B</v>
      </c>
      <c r="KG182" t="s">
        <v>454</v>
      </c>
      <c r="KH182" t="s">
        <v>453</v>
      </c>
      <c r="KI182" cm="1">
        <f t="array" ref="KI182">IF(COUNTIFS($U$2:$U182,$U182)=1,1,INDEX(KI:KI,_xlfn.XMATCH(U182,U$1:U181,0,-1))+COUNT(KI181:KM181))</f>
        <v>356</v>
      </c>
      <c r="KJ182">
        <f t="shared" ref="KJ182" si="235">KI182+1</f>
        <v>357</v>
      </c>
      <c r="KK182">
        <f t="shared" ref="KK182" si="236">KJ182+1</f>
        <v>358</v>
      </c>
      <c r="KL182">
        <f t="shared" ref="KL182" si="237">KK182+1</f>
        <v>359</v>
      </c>
      <c r="KM182">
        <f t="shared" ref="KM182" si="238">KL182+1</f>
        <v>360</v>
      </c>
      <c r="KN182" t="s">
        <v>513</v>
      </c>
      <c r="KO182" s="16" t="s">
        <v>514</v>
      </c>
      <c r="KP182" t="s">
        <v>513</v>
      </c>
      <c r="KQ182" t="s">
        <v>514</v>
      </c>
      <c r="KR182" t="s">
        <v>517</v>
      </c>
      <c r="KS182" s="16" t="s">
        <v>518</v>
      </c>
    </row>
    <row r="183" spans="1:538" x14ac:dyDescent="0.25">
      <c r="A183" t="s">
        <v>984</v>
      </c>
      <c r="B183" s="34" t="s">
        <v>970</v>
      </c>
      <c r="C183" t="s">
        <v>969</v>
      </c>
      <c r="P183" t="s">
        <v>968</v>
      </c>
      <c r="T183" s="14" t="s">
        <v>520</v>
      </c>
      <c r="U183">
        <v>59</v>
      </c>
      <c r="W183" t="s">
        <v>964</v>
      </c>
      <c r="X183" t="s">
        <v>1569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SUM(IF(ISNUMBER(FIND("TmAi",$BE$1:$AAL$1)),IF(IFERROR(ISODD(SUBSTITUTE($BE183:$AAL183,"A","")),FALSE),IF(ISODD(SUBSTITUTE($BE183:$AAL183,"A","")),1,0),0)))</f>
        <v>1</v>
      </c>
      <c r="AA183" t="str">
        <f t="shared" si="229"/>
        <v>1A</v>
      </c>
      <c r="AB183" t="str">
        <f t="shared" si="230"/>
        <v>1B</v>
      </c>
      <c r="AP183" t="s">
        <v>137</v>
      </c>
      <c r="AR183" t="s">
        <v>980</v>
      </c>
      <c r="AS183" t="s">
        <v>366</v>
      </c>
      <c r="OG183" s="25" t="str">
        <f>CONCATENATE("XT",$U183)</f>
        <v>XT59</v>
      </c>
      <c r="OH183" s="12" t="s">
        <v>985</v>
      </c>
      <c r="OI183" s="12" t="s">
        <v>981</v>
      </c>
      <c r="OJ183" s="12"/>
      <c r="OK183" s="12"/>
      <c r="OL183" s="12" t="str">
        <f>CONCATENATE(REPLACE($AA183,LEN($AA183),1,"")+1,RIGHT($AA183))</f>
        <v>2A</v>
      </c>
      <c r="OM183" s="12" t="str">
        <f>CONCATENATE(REPLACE($AB183,LEN($AB183),1,"")+1,RIGHT($AB183))</f>
        <v>2B</v>
      </c>
      <c r="ON183" s="12" t="str">
        <f>CONCATENATE(REPLACE(OL183,LEN(OL183),1,"")+1,RIGHT(OL183))</f>
        <v>3A</v>
      </c>
      <c r="OO183" s="12" t="str">
        <f t="shared" ref="OO183:OQ183" si="239">CONCATENATE(REPLACE(OM183,LEN(OM183),1,"")+1,RIGHT(OM183))</f>
        <v>3B</v>
      </c>
      <c r="OP183" s="12" t="str">
        <f t="shared" si="239"/>
        <v>4A</v>
      </c>
      <c r="OQ183" s="12" t="str">
        <f t="shared" si="239"/>
        <v>4B</v>
      </c>
      <c r="OR183" s="12"/>
      <c r="OS183" s="12"/>
      <c r="OT183" s="12"/>
      <c r="OU183" s="12"/>
      <c r="OV183" s="12" t="str">
        <f>CONCATENATE($T183,"-AI",REPLACE($X183,1,3,""),"-",$AA183)</f>
        <v>F0-AI39-1A</v>
      </c>
      <c r="OW183" s="12" t="str">
        <f>CONCATENATE($T183,"-AI",REPLACE($X183,1,3,""),"-",$AB183)</f>
        <v>F0-AI39-1B</v>
      </c>
      <c r="OX183" s="12" t="str">
        <f t="shared" ref="OX183:PC183" si="240">CONCATENATE($T183,"-AI",REPLACE($X183,1,3,""),"-",OL183)</f>
        <v>F0-AI39-2A</v>
      </c>
      <c r="OY183" s="12" t="str">
        <f t="shared" si="240"/>
        <v>F0-AI39-2B</v>
      </c>
      <c r="OZ183" s="12" t="str">
        <f t="shared" si="240"/>
        <v>F0-AI39-3A</v>
      </c>
      <c r="PA183" s="12" t="str">
        <f t="shared" si="240"/>
        <v>F0-AI39-3B</v>
      </c>
      <c r="PB183" s="12" t="str">
        <f t="shared" si="240"/>
        <v>F0-AI39-4A</v>
      </c>
      <c r="PC183" s="12" t="str">
        <f t="shared" si="240"/>
        <v>F0-AI39-4B</v>
      </c>
      <c r="PD183" s="12"/>
      <c r="PE183" s="12"/>
      <c r="PF183" s="12"/>
      <c r="PG183" s="12"/>
      <c r="PH183" s="12" cm="1">
        <f t="array" ref="PH183">IF(COUNTIFS($U$2:$U183,$U183)=1,1,INDEX(PH:PH,_xlfn.XMATCH($U183,$U$1:EF182,0,-1))+COUNT(PH182:PM182))</f>
        <v>1</v>
      </c>
      <c r="PI183" s="12">
        <f t="shared" ref="PI183" si="241">PH183+1</f>
        <v>2</v>
      </c>
      <c r="PJ183" s="12">
        <f t="shared" ref="PJ183" si="242">PI183+1</f>
        <v>3</v>
      </c>
      <c r="PK183" s="12">
        <f>PJ183+1</f>
        <v>4</v>
      </c>
      <c r="PL183" s="12">
        <f t="shared" ref="PL183:PM183" si="243">PK183+1</f>
        <v>5</v>
      </c>
      <c r="PM183" s="12">
        <f t="shared" si="243"/>
        <v>6</v>
      </c>
      <c r="PN183" s="12"/>
      <c r="PO183" s="12"/>
      <c r="PP183" s="12"/>
      <c r="PQ183" s="12">
        <v>1</v>
      </c>
      <c r="PR183" s="12">
        <v>2</v>
      </c>
      <c r="PS183" s="12">
        <v>3</v>
      </c>
      <c r="PT183" s="12">
        <v>4</v>
      </c>
      <c r="PU183" s="12">
        <v>5</v>
      </c>
      <c r="PV183" s="13">
        <v>6</v>
      </c>
    </row>
    <row r="184" spans="1:538" ht="15.75" thickBot="1" x14ac:dyDescent="0.3">
      <c r="A184" t="s">
        <v>986</v>
      </c>
      <c r="B184" t="s">
        <v>982</v>
      </c>
      <c r="C184" t="s">
        <v>969</v>
      </c>
      <c r="P184" t="s">
        <v>968</v>
      </c>
      <c r="T184" s="14" t="s">
        <v>520</v>
      </c>
      <c r="U184">
        <v>59</v>
      </c>
      <c r="W184" t="s">
        <v>965</v>
      </c>
      <c r="X184" t="str">
        <f>IF(COUNTIF(X$1:X183,X183)&gt;7,REPLACE(X183,LEN(X183),1,VALUE(RIGHT(X183,1))+1),X183)</f>
        <v>A3.39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SUM(IF(ISNUMBER(FIND("TmAi",$BE$1:$AAL$1)),IF(IFERROR(ISODD(SUBSTITUTE($BE184:$AAL184,"A","")),FALSE),IF(ISODD(SUBSTITUTE($BE184:$AAL184,"A","")),1,0),0)))</f>
        <v>1</v>
      </c>
      <c r="AA184" t="str">
        <f t="shared" si="229"/>
        <v>5A</v>
      </c>
      <c r="AB184" t="str">
        <f t="shared" si="230"/>
        <v>5B</v>
      </c>
      <c r="AP184" t="s">
        <v>137</v>
      </c>
      <c r="AR184" t="s">
        <v>980</v>
      </c>
      <c r="AS184" t="s">
        <v>366</v>
      </c>
      <c r="OG184" s="27" t="str">
        <f t="shared" ref="OG184:OG185" si="244">CONCATENATE("XT",$U184)</f>
        <v>XT59</v>
      </c>
      <c r="OH184" t="s">
        <v>987</v>
      </c>
      <c r="OI184" t="s">
        <v>983</v>
      </c>
      <c r="OL184" t="str">
        <f t="shared" ref="OL184:OL185" si="245">CONCATENATE(REPLACE($AA184,LEN($AA184),1,"")+1,RIGHT($AA184))</f>
        <v>6A</v>
      </c>
      <c r="OM184" t="str">
        <f t="shared" ref="OM184:OM185" si="246">CONCATENATE(REPLACE($AB184,LEN($AB184),1,"")+1,RIGHT($AB184))</f>
        <v>6B</v>
      </c>
      <c r="ON184" t="str">
        <f t="shared" ref="ON184:ON185" si="247">CONCATENATE(REPLACE(OL184,LEN(OL184),1,"")+1,RIGHT(OL184))</f>
        <v>7A</v>
      </c>
      <c r="OO184" t="str">
        <f t="shared" ref="OO184:OO185" si="248">CONCATENATE(REPLACE(OM184,LEN(OM184),1,"")+1,RIGHT(OM184))</f>
        <v>7B</v>
      </c>
      <c r="OP184" t="str">
        <f t="shared" ref="OP184:OP185" si="249">CONCATENATE(REPLACE(ON184,LEN(ON184),1,"")+1,RIGHT(ON184))</f>
        <v>8A</v>
      </c>
      <c r="OQ184" t="str">
        <f t="shared" ref="OQ184:OQ185" si="250">CONCATENATE(REPLACE(OO184,LEN(OO184),1,"")+1,RIGHT(OO184))</f>
        <v>8B</v>
      </c>
      <c r="OV184" t="str">
        <f>CONCATENATE($T184,"-AI",REPLACE($X184,1,3,""),"-",$AA184)</f>
        <v>F0-AI39-5A</v>
      </c>
      <c r="OW184" t="str">
        <f>CONCATENATE($T184,"-AI",REPLACE($X184,1,3,""),"-",$AB184)</f>
        <v>F0-AI39-5B</v>
      </c>
      <c r="OX184" t="str">
        <f t="shared" ref="OX184:OX185" si="251">CONCATENATE($T184,"-AI",REPLACE($X184,1,3,""),"-",OL184)</f>
        <v>F0-AI39-6A</v>
      </c>
      <c r="OY184" t="str">
        <f t="shared" ref="OY184:OY185" si="252">CONCATENATE($T184,"-AI",REPLACE($X184,1,3,""),"-",OM184)</f>
        <v>F0-AI39-6B</v>
      </c>
      <c r="OZ184" t="str">
        <f t="shared" ref="OZ184:OZ185" si="253">CONCATENATE($T184,"-AI",REPLACE($X184,1,3,""),"-",ON184)</f>
        <v>F0-AI39-7A</v>
      </c>
      <c r="PA184" t="str">
        <f t="shared" ref="PA184:PA185" si="254">CONCATENATE($T184,"-AI",REPLACE($X184,1,3,""),"-",OO184)</f>
        <v>F0-AI39-7B</v>
      </c>
      <c r="PB184" t="str">
        <f t="shared" ref="PB184:PB185" si="255">CONCATENATE($T184,"-AI",REPLACE($X184,1,3,""),"-",OP184)</f>
        <v>F0-AI39-8A</v>
      </c>
      <c r="PC184" t="str">
        <f t="shared" ref="PC184:PC185" si="256">CONCATENATE($T184,"-AI",REPLACE($X184,1,3,""),"-",OQ184)</f>
        <v>F0-AI39-8B</v>
      </c>
      <c r="PH184" cm="1">
        <f t="array" ref="PH184">IF(COUNTIFS($U$2:$U184,$U184)=1,1,INDEX(PH:PH,_xlfn.XMATCH($U184,$U$1:$U183,0,-1))+COUNT(PH183:PM183))</f>
        <v>7</v>
      </c>
      <c r="PI184">
        <f t="shared" ref="PI184:PI185" si="257">PH184+1</f>
        <v>8</v>
      </c>
      <c r="PJ184">
        <f t="shared" ref="PJ184:PJ185" si="258">PI184+1</f>
        <v>9</v>
      </c>
      <c r="PK184">
        <f t="shared" ref="PK184:PM184" si="259">PJ184+1</f>
        <v>10</v>
      </c>
      <c r="PL184">
        <f t="shared" si="259"/>
        <v>11</v>
      </c>
      <c r="PM184">
        <f t="shared" si="259"/>
        <v>12</v>
      </c>
      <c r="PQ184">
        <v>7</v>
      </c>
      <c r="PR184">
        <v>8</v>
      </c>
      <c r="PS184">
        <v>9</v>
      </c>
      <c r="PT184">
        <v>10</v>
      </c>
      <c r="PU184">
        <v>11</v>
      </c>
      <c r="PV184" s="16">
        <v>12</v>
      </c>
    </row>
    <row r="185" spans="1:538" ht="15.75" thickBot="1" x14ac:dyDescent="0.3">
      <c r="A185" t="s">
        <v>988</v>
      </c>
      <c r="B185" t="s">
        <v>1008</v>
      </c>
      <c r="C185" t="s">
        <v>969</v>
      </c>
      <c r="P185" t="s">
        <v>1004</v>
      </c>
      <c r="T185" s="14" t="s">
        <v>520</v>
      </c>
      <c r="U185">
        <v>59</v>
      </c>
      <c r="W185" t="s">
        <v>966</v>
      </c>
      <c r="X185" s="33" t="str">
        <f>IF(COUNTIF(X$1:X184,X184)&gt;7,REPLACE(X184,LEN(X184),1,VALUE(RIGHT(X184,1))+1),X184)</f>
        <v>A3.39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SUM(IF(ISNUMBER(FIND("TmAi",$BE$1:$AAL$1)),IF(IFERROR(ISODD(SUBSTITUTE($BE185:$AAL185,"A","")),FALSE),IF(ISODD(SUBSTITUTE($BE185:$AAL185,"A","")),1,0),0)))</f>
        <v>2</v>
      </c>
      <c r="AA185" t="str">
        <f t="shared" si="229"/>
        <v>9A</v>
      </c>
      <c r="AB185" t="str">
        <f t="shared" si="230"/>
        <v>9B</v>
      </c>
      <c r="AP185" t="s">
        <v>137</v>
      </c>
      <c r="AR185" t="s">
        <v>1005</v>
      </c>
      <c r="AS185" t="s">
        <v>366</v>
      </c>
      <c r="OG185" s="27" t="str">
        <f t="shared" si="244"/>
        <v>XT59</v>
      </c>
      <c r="OH185" t="s">
        <v>991</v>
      </c>
      <c r="OI185" t="s">
        <v>1007</v>
      </c>
      <c r="OJ185" t="s">
        <v>992</v>
      </c>
      <c r="OK185" t="s">
        <v>1006</v>
      </c>
      <c r="OL185" t="str">
        <f t="shared" si="245"/>
        <v>10A</v>
      </c>
      <c r="OM185" t="str">
        <f t="shared" si="246"/>
        <v>10B</v>
      </c>
      <c r="ON185" t="str">
        <f t="shared" si="247"/>
        <v>11A</v>
      </c>
      <c r="OO185" t="str">
        <f t="shared" si="248"/>
        <v>11B</v>
      </c>
      <c r="OP185" t="str">
        <f t="shared" si="249"/>
        <v>12A</v>
      </c>
      <c r="OQ185" t="str">
        <f t="shared" si="250"/>
        <v>12B</v>
      </c>
      <c r="OR185" t="str">
        <f t="shared" ref="OR185" si="260">CONCATENATE(REPLACE(OP185,LEN(OP185),1,"")+1,RIGHT(OP185))</f>
        <v>13A</v>
      </c>
      <c r="OS185" t="str">
        <f t="shared" ref="OS185" si="261">CONCATENATE(REPLACE(OQ185,LEN(OQ185),1,"")+1,RIGHT(OQ185))</f>
        <v>13B</v>
      </c>
      <c r="OT185" t="str">
        <f t="shared" ref="OT185" si="262">CONCATENATE(REPLACE(OR185,LEN(OR185),1,"")+1,RIGHT(OR185))</f>
        <v>14A</v>
      </c>
      <c r="OU185" t="str">
        <f t="shared" ref="OU185" si="263">CONCATENATE(REPLACE(OS185,LEN(OS185),1,"")+1,RIGHT(OS185))</f>
        <v>14B</v>
      </c>
      <c r="OV185" t="str">
        <f>CONCATENATE($T185,"-AI",REPLACE($X185,1,3,""),"-",$AA185)</f>
        <v>F0-AI39-9A</v>
      </c>
      <c r="OW185" t="str">
        <f>CONCATENATE($T185,"-AI",REPLACE($X185,1,3,""),"-",$AB185)</f>
        <v>F0-AI39-9B</v>
      </c>
      <c r="OX185" t="str">
        <f t="shared" si="251"/>
        <v>F0-AI39-10A</v>
      </c>
      <c r="OY185" t="str">
        <f t="shared" si="252"/>
        <v>F0-AI39-10B</v>
      </c>
      <c r="OZ185" t="str">
        <f t="shared" si="253"/>
        <v>F0-AI39-11A</v>
      </c>
      <c r="PA185" t="str">
        <f t="shared" si="254"/>
        <v>F0-AI39-11B</v>
      </c>
      <c r="PB185" t="str">
        <f t="shared" si="255"/>
        <v>F0-AI39-12A</v>
      </c>
      <c r="PC185" t="str">
        <f t="shared" si="256"/>
        <v>F0-AI39-12B</v>
      </c>
      <c r="PD185" t="str">
        <f t="shared" ref="PD185" si="264">CONCATENATE($T185,"-AI",REPLACE($X185,1,3,""),"-",OR185)</f>
        <v>F0-AI39-13A</v>
      </c>
      <c r="PE185" t="str">
        <f t="shared" ref="PE185" si="265">CONCATENATE($T185,"-AI",REPLACE($X185,1,3,""),"-",OS185)</f>
        <v>F0-AI39-13B</v>
      </c>
      <c r="PF185" t="str">
        <f t="shared" ref="PF185" si="266">CONCATENATE($T185,"-AI",REPLACE($X185,1,3,""),"-",OT185)</f>
        <v>F0-AI39-14A</v>
      </c>
      <c r="PG185" t="str">
        <f t="shared" ref="PG185" si="267">CONCATENATE($T185,"-AI",REPLACE($X185,1,3,""),"-",OU185)</f>
        <v>F0-AI39-14B</v>
      </c>
      <c r="PH185" cm="1">
        <f t="array" ref="PH185">IF(COUNTIFS($U$2:$U185,$U185)=1,1,INDEX(PH:PH,_xlfn.XMATCH($U185,$U$1:$U184,0,-1))+COUNT(PH184:PM184))</f>
        <v>13</v>
      </c>
      <c r="PI185">
        <f t="shared" si="257"/>
        <v>14</v>
      </c>
      <c r="PJ185">
        <f t="shared" si="258"/>
        <v>15</v>
      </c>
      <c r="PK185">
        <f t="shared" ref="PK185:PP185" si="268">PJ185+1</f>
        <v>16</v>
      </c>
      <c r="PL185">
        <f t="shared" si="268"/>
        <v>17</v>
      </c>
      <c r="PM185">
        <f t="shared" si="268"/>
        <v>18</v>
      </c>
      <c r="PN185">
        <f t="shared" si="268"/>
        <v>19</v>
      </c>
      <c r="PO185">
        <f t="shared" si="268"/>
        <v>20</v>
      </c>
      <c r="PP185">
        <f t="shared" si="268"/>
        <v>21</v>
      </c>
      <c r="PQ185">
        <v>1</v>
      </c>
      <c r="PR185">
        <v>2</v>
      </c>
      <c r="PS185">
        <v>3</v>
      </c>
      <c r="PT185">
        <v>4</v>
      </c>
      <c r="PU185">
        <v>5</v>
      </c>
      <c r="PV185">
        <v>6</v>
      </c>
      <c r="PW185" s="23">
        <v>7</v>
      </c>
      <c r="PX185" s="23">
        <v>8</v>
      </c>
      <c r="PY185" s="24">
        <v>9</v>
      </c>
    </row>
    <row r="186" spans="1:538" ht="15.75" thickBot="1" x14ac:dyDescent="0.3">
      <c r="A186" t="s">
        <v>1011</v>
      </c>
      <c r="B186" t="s">
        <v>1010</v>
      </c>
      <c r="P186" t="s">
        <v>448</v>
      </c>
      <c r="T186" s="14" t="s">
        <v>520</v>
      </c>
      <c r="U186">
        <v>59</v>
      </c>
      <c r="W186" t="s">
        <v>967</v>
      </c>
      <c r="X186" t="s">
        <v>1168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SUM(IF(ISNUMBER(FIND("TmAi",$BE$1:$AAL$1)),IF(IFERROR(ISODD(SUBSTITUTE($BE186:$AAL186,"A","")),FALSE),IF(ISODD(SUBSTITUTE($BE186:$AAL186,"A","")),1,0),0)))</f>
        <v>0</v>
      </c>
      <c r="AA186" t="str">
        <f t="shared" ref="AA186" si="269">CONCATENATE($Y186*2-1,"B")</f>
        <v>1B</v>
      </c>
      <c r="AB186" t="str">
        <f t="shared" ref="AB186" si="270">CONCATENATE($Y186*2,"B")</f>
        <v>2B</v>
      </c>
      <c r="AP186" t="s">
        <v>137</v>
      </c>
      <c r="AQ186" t="s">
        <v>1098</v>
      </c>
      <c r="AS186" t="s">
        <v>366</v>
      </c>
      <c r="JZ186" s="27" t="str">
        <f>CONCATENATE("XT",U186)</f>
        <v>XT59</v>
      </c>
      <c r="KC186" t="str">
        <f>CONCATENATE(T186,"-AI",REPLACE($X186,1,3,""),"-",AA186)</f>
        <v>F0-AI22-1B</v>
      </c>
      <c r="KD186" t="str">
        <f>CONCATENATE(T186,"-AI",REPLACE($X186,1,3,""),"-",AB186)</f>
        <v>F0-AI22-2B</v>
      </c>
      <c r="KI186">
        <v>22</v>
      </c>
      <c r="KJ186">
        <f t="shared" ref="KJ186" si="271">KI186+1</f>
        <v>23</v>
      </c>
      <c r="KK186">
        <f t="shared" ref="KK186" si="272">KJ186+1</f>
        <v>24</v>
      </c>
      <c r="KN186" t="s">
        <v>514</v>
      </c>
      <c r="KO186" s="16" t="s">
        <v>514</v>
      </c>
      <c r="KS186" s="16"/>
      <c r="OG186" s="27"/>
      <c r="PV186" s="16"/>
    </row>
    <row r="187" spans="1:538" ht="15.75" thickBot="1" x14ac:dyDescent="0.3">
      <c r="A187" t="s">
        <v>1585</v>
      </c>
      <c r="B187" s="33" t="s">
        <v>1084</v>
      </c>
      <c r="P187" t="s">
        <v>1018</v>
      </c>
      <c r="T187" s="14" t="s">
        <v>520</v>
      </c>
      <c r="U187">
        <v>59</v>
      </c>
      <c r="W187" t="s">
        <v>1009</v>
      </c>
      <c r="X187" s="33" t="str">
        <f>IF(COUNTIF(X$1:X186,X186)&gt;3,REPLACE(X186,LEN(X186),1,VALUE(RIGHT(X186,1))+1),X186)</f>
        <v>A3.22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SUM(IF(ISNUMBER(FIND("TmAi",$BE$1:$AAL$1)),IF(IFERROR(ISODD(SUBSTITUTE($BE187:$AAL187,"A","")),FALSE),IF(ISODD(SUBSTITUTE($BE187:$AAL187,"A","")),1,0),0)))</f>
        <v>11</v>
      </c>
      <c r="AA187" t="str">
        <f t="shared" si="229"/>
        <v>3A</v>
      </c>
      <c r="AB187" t="str">
        <f t="shared" si="230"/>
        <v>3B</v>
      </c>
      <c r="AP187" t="s">
        <v>137</v>
      </c>
      <c r="AR187" t="s">
        <v>1015</v>
      </c>
      <c r="AS187" t="s">
        <v>366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Z187" s="25" t="str">
        <f>REPLACE(X187,FIND(".",X187)+1,3,MID(X187,FIND(".",X187)+1,3)+1)</f>
        <v>A3.23</v>
      </c>
      <c r="QA187" s="12" t="str">
        <f>CONCATENATE(VALUE(SUBSTITUTE($AB187,"B",""))+2,"B")</f>
        <v>5B</v>
      </c>
      <c r="QB187" s="12" t="str">
        <f>CONCATENATE(VALUE(SUBSTITUTE($AA187,"A",""))+2,"A")</f>
        <v>5A</v>
      </c>
      <c r="QC187" s="12" t="str">
        <f>CONCATENATE(VALUE(SUBSTITUTE(QA187,"B",""))+2,"B")</f>
        <v>7B</v>
      </c>
      <c r="QD187" s="12" t="str">
        <f>CONCATENATE(VALUE(SUBSTITUTE(QB187,"A",""))+2,"A")</f>
        <v>7A</v>
      </c>
      <c r="QE187" s="12" t="str">
        <f t="shared" ref="QE187" si="273">CONCATENATE(VALUE(SUBSTITUTE(QC187,"B",""))+2,"B")</f>
        <v>9B</v>
      </c>
      <c r="QF187" s="12" t="str">
        <f t="shared" ref="QF187" si="274">CONCATENATE(VALUE(SUBSTITUTE(QD187,"A",""))+2,"A")</f>
        <v>9A</v>
      </c>
      <c r="QG187" s="12" t="str">
        <f t="shared" ref="QG187" si="275">CONCATENATE(VALUE(SUBSTITUTE(QE187,"B",""))+2,"B")</f>
        <v>11B</v>
      </c>
      <c r="QH187" s="12" t="str">
        <f t="shared" ref="QH187" si="276">CONCATENATE(VALUE(SUBSTITUTE(QF187,"A",""))+2,"A")</f>
        <v>11A</v>
      </c>
      <c r="QI187" s="12" t="str">
        <f t="shared" ref="QI187" si="277">CONCATENATE(VALUE(SUBSTITUTE(QG187,"B",""))+2,"B")</f>
        <v>13B</v>
      </c>
      <c r="QJ187" s="12" t="str">
        <f t="shared" ref="QJ187" si="278">CONCATENATE(VALUE(SUBSTITUTE(QH187,"A",""))+2,"A")</f>
        <v>13A</v>
      </c>
      <c r="QK187" s="12" t="s">
        <v>135</v>
      </c>
      <c r="QL187" s="12" t="s">
        <v>136</v>
      </c>
      <c r="QM187" s="12" t="str">
        <f t="shared" ref="QM187" si="279">CONCATENATE(VALUE(SUBSTITUTE(QK187,"B",""))+2,"B")</f>
        <v>3B</v>
      </c>
      <c r="QN187" s="12" t="str">
        <f t="shared" ref="QN187" si="280">CONCATENATE(VALUE(SUBSTITUTE(QL187,"A",""))+2,"A")</f>
        <v>3A</v>
      </c>
      <c r="QO187" s="12" t="str">
        <f t="shared" ref="QO187" si="281">CONCATENATE(VALUE(SUBSTITUTE(QM187,"B",""))+2,"B")</f>
        <v>5B</v>
      </c>
      <c r="QP187" s="12" t="str">
        <f t="shared" ref="QP187" si="282">CONCATENATE(VALUE(SUBSTITUTE(QN187,"A",""))+2,"A")</f>
        <v>5A</v>
      </c>
      <c r="QQ187" s="12" t="str">
        <f t="shared" ref="QQ187" si="283">CONCATENATE(VALUE(SUBSTITUTE(QO187,"B",""))+2,"B")</f>
        <v>7B</v>
      </c>
      <c r="QR187" s="12" t="str">
        <f t="shared" ref="QR187" si="284">CONCATENATE(VALUE(SUBSTITUTE(QP187,"A",""))+2,"A")</f>
        <v>7A</v>
      </c>
      <c r="QS187" s="12" t="str">
        <f t="shared" ref="QS187" si="285">CONCATENATE(VALUE(SUBSTITUTE(QQ187,"B",""))+2,"B")</f>
        <v>9B</v>
      </c>
      <c r="QT187" s="12" t="str">
        <f t="shared" ref="QT187" si="286">CONCATENATE(VALUE(SUBSTITUTE(QR187,"A",""))+2,"A")</f>
        <v>9A</v>
      </c>
      <c r="QU187" s="12" t="str">
        <f t="shared" ref="QU187" si="287">CONCATENATE(VALUE(SUBSTITUTE(QS187,"B",""))+2,"B")</f>
        <v>11B</v>
      </c>
      <c r="QV187" s="12" t="str">
        <f t="shared" ref="QV187" si="288">CONCATENATE(VALUE(SUBSTITUTE(QT187,"A",""))+2,"A")</f>
        <v>11A</v>
      </c>
      <c r="QW187" s="12" t="str">
        <f>CONCATENATE($T187,"-AI",REPLACE($X187,1,3,""),"-",AB187)</f>
        <v>F0-AI22-3B</v>
      </c>
      <c r="QX187" s="12" t="str">
        <f>CONCATENATE($T187,"-AI",REPLACE($X187,1,3,""),"-",AA187)</f>
        <v>F0-AI22-3A</v>
      </c>
      <c r="QY187" s="12" t="str">
        <f>CONCATENATE($T187,"-AI",REPLACE($X187,1,3,""),"-",QA187)</f>
        <v>F0-AI22-5B</v>
      </c>
      <c r="QZ187" s="12" t="str">
        <f>CONCATENATE($T187,"-AI",REPLACE($X187,1,3,""),"-",QB187)</f>
        <v>F0-AI22-5A</v>
      </c>
      <c r="RA187" s="12" t="str">
        <f t="shared" ref="RA187:RH187" si="289">CONCATENATE($T187,"-AI",REPLACE($X187,1,3,""),"-",QC187)</f>
        <v>F0-AI22-7B</v>
      </c>
      <c r="RB187" s="12" t="str">
        <f t="shared" si="289"/>
        <v>F0-AI22-7A</v>
      </c>
      <c r="RC187" s="12" t="str">
        <f t="shared" si="289"/>
        <v>F0-AI22-9B</v>
      </c>
      <c r="RD187" s="12" t="str">
        <f t="shared" si="289"/>
        <v>F0-AI22-9A</v>
      </c>
      <c r="RE187" s="12" t="str">
        <f t="shared" si="289"/>
        <v>F0-AI22-11B</v>
      </c>
      <c r="RF187" s="12" t="str">
        <f t="shared" si="289"/>
        <v>F0-AI22-11A</v>
      </c>
      <c r="RG187" s="12" t="str">
        <f t="shared" si="289"/>
        <v>F0-AI22-13B</v>
      </c>
      <c r="RH187" s="12" t="str">
        <f t="shared" si="289"/>
        <v>F0-AI22-13A</v>
      </c>
      <c r="RI187" s="12" t="str">
        <f t="shared" ref="RI187:RT187" si="290">CONCATENATE($T187,"-AI",REPLACE($PZ187,1,3,""),"-",QK187)</f>
        <v>F0-AI23-1B</v>
      </c>
      <c r="RJ187" s="12" t="str">
        <f t="shared" si="290"/>
        <v>F0-AI23-1A</v>
      </c>
      <c r="RK187" s="12" t="str">
        <f t="shared" si="290"/>
        <v>F0-AI23-3B</v>
      </c>
      <c r="RL187" s="12" t="str">
        <f t="shared" si="290"/>
        <v>F0-AI23-3A</v>
      </c>
      <c r="RM187" s="12" t="str">
        <f t="shared" si="290"/>
        <v>F0-AI23-5B</v>
      </c>
      <c r="RN187" s="12" t="str">
        <f t="shared" si="290"/>
        <v>F0-AI23-5A</v>
      </c>
      <c r="RO187" s="12" t="str">
        <f t="shared" si="290"/>
        <v>F0-AI23-7B</v>
      </c>
      <c r="RP187" s="12" t="str">
        <f t="shared" si="290"/>
        <v>F0-AI23-7A</v>
      </c>
      <c r="RQ187" s="12" t="str">
        <f t="shared" si="290"/>
        <v>F0-AI23-9B</v>
      </c>
      <c r="RR187" s="12" t="str">
        <f t="shared" si="290"/>
        <v>F0-AI23-9A</v>
      </c>
      <c r="RS187" s="12" t="str">
        <f t="shared" si="290"/>
        <v>F0-AI23-11B</v>
      </c>
      <c r="RT187" s="12" t="str">
        <f t="shared" si="290"/>
        <v>F0-AI23-11A</v>
      </c>
      <c r="RU187" s="12" t="str">
        <f t="shared" ref="RU187" si="291">CONCATENATE("XT",$U187)</f>
        <v>XT59</v>
      </c>
      <c r="RV187" s="12">
        <v>25</v>
      </c>
      <c r="RW187" s="12">
        <f>RV187+1</f>
        <v>26</v>
      </c>
      <c r="RX187" s="12">
        <f t="shared" ref="RX187:ST187" si="292">RW187+1</f>
        <v>27</v>
      </c>
      <c r="RY187" s="12">
        <f t="shared" si="292"/>
        <v>28</v>
      </c>
      <c r="RZ187" s="12">
        <f t="shared" si="292"/>
        <v>29</v>
      </c>
      <c r="SA187" s="12">
        <f t="shared" si="292"/>
        <v>30</v>
      </c>
      <c r="SB187" s="12">
        <f t="shared" si="292"/>
        <v>31</v>
      </c>
      <c r="SC187" s="12">
        <f t="shared" si="292"/>
        <v>32</v>
      </c>
      <c r="SD187" s="12">
        <f t="shared" si="292"/>
        <v>33</v>
      </c>
      <c r="SE187" s="12">
        <f t="shared" si="292"/>
        <v>34</v>
      </c>
      <c r="SF187" s="12">
        <f t="shared" si="292"/>
        <v>35</v>
      </c>
      <c r="SG187" s="12">
        <f t="shared" si="292"/>
        <v>36</v>
      </c>
      <c r="SH187" s="12">
        <f t="shared" si="292"/>
        <v>37</v>
      </c>
      <c r="SI187" s="12">
        <f t="shared" si="292"/>
        <v>38</v>
      </c>
      <c r="SJ187" s="12">
        <f t="shared" si="292"/>
        <v>39</v>
      </c>
      <c r="SK187" s="12">
        <f t="shared" si="292"/>
        <v>40</v>
      </c>
      <c r="SL187" s="12">
        <f t="shared" si="292"/>
        <v>41</v>
      </c>
      <c r="SM187" s="12">
        <f t="shared" si="292"/>
        <v>42</v>
      </c>
      <c r="SN187" s="12">
        <f t="shared" si="292"/>
        <v>43</v>
      </c>
      <c r="SO187" s="12">
        <f t="shared" si="292"/>
        <v>44</v>
      </c>
      <c r="SP187" s="12">
        <f t="shared" si="292"/>
        <v>45</v>
      </c>
      <c r="SQ187" s="12">
        <f t="shared" si="292"/>
        <v>46</v>
      </c>
      <c r="SR187" s="12">
        <f t="shared" si="292"/>
        <v>47</v>
      </c>
      <c r="SS187" s="12">
        <f t="shared" si="292"/>
        <v>48</v>
      </c>
      <c r="ST187" s="12">
        <f t="shared" si="292"/>
        <v>49</v>
      </c>
      <c r="SU187" s="12" t="s">
        <v>1017</v>
      </c>
      <c r="SV187" s="12" t="s">
        <v>1073</v>
      </c>
      <c r="SW187" s="12" t="s">
        <v>1074</v>
      </c>
      <c r="SX187" s="12" t="s">
        <v>1075</v>
      </c>
      <c r="SY187" s="12" t="s">
        <v>1076</v>
      </c>
      <c r="SZ187" s="12" t="s">
        <v>1077</v>
      </c>
      <c r="TA187" s="12" t="s">
        <v>1078</v>
      </c>
      <c r="TB187" s="12" t="s">
        <v>1079</v>
      </c>
      <c r="TC187" s="12" t="s">
        <v>1080</v>
      </c>
      <c r="TD187" s="12" t="s">
        <v>1081</v>
      </c>
      <c r="TE187" s="12" t="s">
        <v>1082</v>
      </c>
      <c r="TF187" s="12" t="s">
        <v>1083</v>
      </c>
      <c r="TG187" s="12" t="s">
        <v>1016</v>
      </c>
      <c r="TH187" s="12" t="s">
        <v>1085</v>
      </c>
      <c r="TI187" s="12" t="s">
        <v>1086</v>
      </c>
      <c r="TJ187" s="12" t="s">
        <v>1087</v>
      </c>
      <c r="TK187" s="12" t="s">
        <v>1089</v>
      </c>
      <c r="TL187" s="12" t="s">
        <v>1088</v>
      </c>
      <c r="TM187" s="12" t="s">
        <v>1090</v>
      </c>
      <c r="TN187" s="12" t="s">
        <v>1091</v>
      </c>
      <c r="TO187" s="12" t="s">
        <v>1092</v>
      </c>
      <c r="TP187" s="12" t="s">
        <v>1093</v>
      </c>
      <c r="TQ187" s="12" t="s">
        <v>1094</v>
      </c>
      <c r="TR187" s="13" t="s">
        <v>1095</v>
      </c>
    </row>
    <row r="188" spans="1:538" x14ac:dyDescent="0.25">
      <c r="A188" t="s">
        <v>1125</v>
      </c>
      <c r="B188" s="34" t="s">
        <v>1122</v>
      </c>
      <c r="C188" t="s">
        <v>969</v>
      </c>
      <c r="P188" t="s">
        <v>968</v>
      </c>
      <c r="T188" s="14" t="s">
        <v>520</v>
      </c>
      <c r="U188">
        <v>60</v>
      </c>
      <c r="W188" t="s">
        <v>1100</v>
      </c>
      <c r="X188" t="s">
        <v>1570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SUM(IF(ISNUMBER(FIND("TmAi",$BE$1:$AAL$1)),IF(IFERROR(ISODD(SUBSTITUTE($BE188:$AAL188,"A","")),FALSE),IF(ISODD(SUBSTITUTE($BE188:$AAL188,"A","")),1,0),0)))</f>
        <v>1</v>
      </c>
      <c r="AA188" t="str">
        <f t="shared" si="229"/>
        <v>1A</v>
      </c>
      <c r="AB188" t="str">
        <f t="shared" si="230"/>
        <v>1B</v>
      </c>
      <c r="AP188" t="s">
        <v>137</v>
      </c>
      <c r="AR188" t="s">
        <v>1108</v>
      </c>
      <c r="AS188" t="s">
        <v>366</v>
      </c>
      <c r="OG188" s="25" t="str">
        <f>CONCATENATE("XT",$U188)</f>
        <v>XT60</v>
      </c>
      <c r="OH188" s="12" t="s">
        <v>1129</v>
      </c>
      <c r="OI188" s="12" t="s">
        <v>1134</v>
      </c>
      <c r="OJ188" s="12"/>
      <c r="OK188" s="12"/>
      <c r="OL188" s="12" t="str">
        <f>CONCATENATE(REPLACE($AA188,LEN($AA188),1,"")+1,RIGHT($AA188))</f>
        <v>2A</v>
      </c>
      <c r="OM188" s="12" t="str">
        <f>CONCATENATE(REPLACE($AB188,LEN($AB188),1,"")+1,RIGHT($AB188))</f>
        <v>2B</v>
      </c>
      <c r="ON188" s="12" t="str">
        <f>CONCATENATE(REPLACE(OL188,LEN(OL188),1,"")+1,RIGHT(OL188))</f>
        <v>3A</v>
      </c>
      <c r="OO188" s="12" t="str">
        <f t="shared" ref="OO188:OO190" si="293">CONCATENATE(REPLACE(OM188,LEN(OM188),1,"")+1,RIGHT(OM188))</f>
        <v>3B</v>
      </c>
      <c r="OP188" s="12" t="str">
        <f t="shared" ref="OP188:OP190" si="294">CONCATENATE(REPLACE(ON188,LEN(ON188),1,"")+1,RIGHT(ON188))</f>
        <v>4A</v>
      </c>
      <c r="OQ188" s="12" t="str">
        <f t="shared" ref="OQ188:OQ190" si="295">CONCATENATE(REPLACE(OO188,LEN(OO188),1,"")+1,RIGHT(OO188))</f>
        <v>4B</v>
      </c>
      <c r="OR188" s="12"/>
      <c r="OS188" s="12"/>
      <c r="OT188" s="12"/>
      <c r="OU188" s="12"/>
      <c r="OV188" s="12" t="str">
        <f>CONCATENATE($T188,"-AI",REPLACE($X188,1,3,""),"-",$AA188)</f>
        <v>F0-AI40-1A</v>
      </c>
      <c r="OW188" s="12" t="str">
        <f>CONCATENATE($T188,"-AI",REPLACE($X188,1,3,""),"-",$AB188)</f>
        <v>F0-AI40-1B</v>
      </c>
      <c r="OX188" s="12" t="str">
        <f t="shared" ref="OX188:OX190" si="296">CONCATENATE($T188,"-AI",REPLACE($X188,1,3,""),"-",OL188)</f>
        <v>F0-AI40-2A</v>
      </c>
      <c r="OY188" s="12" t="str">
        <f t="shared" ref="OY188:OY190" si="297">CONCATENATE($T188,"-AI",REPLACE($X188,1,3,""),"-",OM188)</f>
        <v>F0-AI40-2B</v>
      </c>
      <c r="OZ188" s="12" t="str">
        <f t="shared" ref="OZ188:OZ190" si="298">CONCATENATE($T188,"-AI",REPLACE($X188,1,3,""),"-",ON188)</f>
        <v>F0-AI40-3A</v>
      </c>
      <c r="PA188" s="12" t="str">
        <f t="shared" ref="PA188:PA190" si="299">CONCATENATE($T188,"-AI",REPLACE($X188,1,3,""),"-",OO188)</f>
        <v>F0-AI40-3B</v>
      </c>
      <c r="PB188" s="12" t="str">
        <f t="shared" ref="PB188:PB190" si="300">CONCATENATE($T188,"-AI",REPLACE($X188,1,3,""),"-",OP188)</f>
        <v>F0-AI40-4A</v>
      </c>
      <c r="PC188" s="12" t="str">
        <f t="shared" ref="PC188:PC190" si="301">CONCATENATE($T188,"-AI",REPLACE($X188,1,3,""),"-",OQ188)</f>
        <v>F0-AI40-4B</v>
      </c>
      <c r="PD188" s="12"/>
      <c r="PE188" s="12"/>
      <c r="PF188" s="12"/>
      <c r="PG188" s="12"/>
      <c r="PH188" s="12" cm="1">
        <f t="array" ref="PH188">IF(COUNTIFS($U$2:$U188,$U188)=1,1,INDEX(PH:PH,_xlfn.XMATCH($U188,$U$1:EF187,0,-1))+COUNT(PH187:PM187))</f>
        <v>1</v>
      </c>
      <c r="PI188" s="12">
        <f t="shared" ref="PI188:PI190" si="302">PH188+1</f>
        <v>2</v>
      </c>
      <c r="PJ188" s="12">
        <f t="shared" ref="PJ188:PJ190" si="303">PI188+1</f>
        <v>3</v>
      </c>
      <c r="PK188" s="12">
        <f>PJ188+1</f>
        <v>4</v>
      </c>
      <c r="PL188" s="12">
        <f t="shared" ref="PL188:PL190" si="304">PK188+1</f>
        <v>5</v>
      </c>
      <c r="PM188" s="12">
        <f t="shared" ref="PM188:PM190" si="305">PL188+1</f>
        <v>6</v>
      </c>
      <c r="PN188" s="12"/>
      <c r="PO188" s="12"/>
      <c r="PP188" s="12"/>
      <c r="PQ188" s="12">
        <v>1</v>
      </c>
      <c r="PR188" s="12">
        <v>2</v>
      </c>
      <c r="PS188" s="12">
        <v>3</v>
      </c>
      <c r="PT188" s="12">
        <v>4</v>
      </c>
      <c r="PU188" s="12">
        <v>5</v>
      </c>
      <c r="PV188" s="13">
        <v>6</v>
      </c>
    </row>
    <row r="189" spans="1:538" ht="15.75" thickBot="1" x14ac:dyDescent="0.3">
      <c r="A189" t="s">
        <v>1126</v>
      </c>
      <c r="B189" t="s">
        <v>1123</v>
      </c>
      <c r="C189" t="s">
        <v>969</v>
      </c>
      <c r="P189" t="s">
        <v>968</v>
      </c>
      <c r="T189" s="14" t="s">
        <v>520</v>
      </c>
      <c r="U189">
        <v>60</v>
      </c>
      <c r="W189" t="s">
        <v>1102</v>
      </c>
      <c r="X189" t="str">
        <f>IF(COUNTIF(X$1:X188,X188)&gt;7,REPLACE(X188,LEN(X188),1,VALUE(RIGHT(X188,1))+1),X188)</f>
        <v>A3.40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SUM(IF(ISNUMBER(FIND("TmAi",$BE$1:$AAL$1)),IF(IFERROR(ISODD(SUBSTITUTE($BE189:$AAL189,"A","")),FALSE),IF(ISODD(SUBSTITUTE($BE189:$AAL189,"A","")),1,0),0)))</f>
        <v>1</v>
      </c>
      <c r="AA189" t="str">
        <f t="shared" si="229"/>
        <v>5A</v>
      </c>
      <c r="AB189" t="str">
        <f t="shared" si="230"/>
        <v>5B</v>
      </c>
      <c r="AP189" t="s">
        <v>137</v>
      </c>
      <c r="AR189" t="s">
        <v>1108</v>
      </c>
      <c r="AS189" t="s">
        <v>366</v>
      </c>
      <c r="OG189" s="27" t="str">
        <f t="shared" ref="OG189:OG190" si="306">CONCATENATE("XT",$U189)</f>
        <v>XT60</v>
      </c>
      <c r="OH189" t="s">
        <v>1130</v>
      </c>
      <c r="OI189" t="s">
        <v>1136</v>
      </c>
      <c r="OL189" t="str">
        <f t="shared" ref="OL189:OL190" si="307">CONCATENATE(REPLACE($AA189,LEN($AA189),1,"")+1,RIGHT($AA189))</f>
        <v>6A</v>
      </c>
      <c r="OM189" t="str">
        <f t="shared" ref="OM189:OM190" si="308">CONCATENATE(REPLACE($AB189,LEN($AB189),1,"")+1,RIGHT($AB189))</f>
        <v>6B</v>
      </c>
      <c r="ON189" t="str">
        <f t="shared" ref="ON189:ON190" si="309">CONCATENATE(REPLACE(OL189,LEN(OL189),1,"")+1,RIGHT(OL189))</f>
        <v>7A</v>
      </c>
      <c r="OO189" t="str">
        <f t="shared" si="293"/>
        <v>7B</v>
      </c>
      <c r="OP189" t="str">
        <f t="shared" si="294"/>
        <v>8A</v>
      </c>
      <c r="OQ189" t="str">
        <f t="shared" si="295"/>
        <v>8B</v>
      </c>
      <c r="OV189" t="str">
        <f>CONCATENATE($T189,"-AI",REPLACE($X189,1,3,""),"-",$AA189)</f>
        <v>F0-AI40-5A</v>
      </c>
      <c r="OW189" t="str">
        <f>CONCATENATE($T189,"-AI",REPLACE($X189,1,3,""),"-",$AB189)</f>
        <v>F0-AI40-5B</v>
      </c>
      <c r="OX189" t="str">
        <f t="shared" si="296"/>
        <v>F0-AI40-6A</v>
      </c>
      <c r="OY189" t="str">
        <f t="shared" si="297"/>
        <v>F0-AI40-6B</v>
      </c>
      <c r="OZ189" t="str">
        <f t="shared" si="298"/>
        <v>F0-AI40-7A</v>
      </c>
      <c r="PA189" t="str">
        <f t="shared" si="299"/>
        <v>F0-AI40-7B</v>
      </c>
      <c r="PB189" t="str">
        <f t="shared" si="300"/>
        <v>F0-AI40-8A</v>
      </c>
      <c r="PC189" t="str">
        <f t="shared" si="301"/>
        <v>F0-AI40-8B</v>
      </c>
      <c r="PH189" cm="1">
        <f t="array" ref="PH189">IF(COUNTIFS($U$2:$U189,$U189)=1,1,INDEX(PH:PH,_xlfn.XMATCH($U189,$U$1:$U188,0,-1))+COUNT(PH188:PM188))</f>
        <v>7</v>
      </c>
      <c r="PI189">
        <f t="shared" si="302"/>
        <v>8</v>
      </c>
      <c r="PJ189">
        <f t="shared" si="303"/>
        <v>9</v>
      </c>
      <c r="PK189">
        <f t="shared" ref="PK189:PK190" si="310">PJ189+1</f>
        <v>10</v>
      </c>
      <c r="PL189">
        <f t="shared" si="304"/>
        <v>11</v>
      </c>
      <c r="PM189">
        <f t="shared" si="305"/>
        <v>12</v>
      </c>
      <c r="PQ189">
        <v>7</v>
      </c>
      <c r="PR189">
        <v>8</v>
      </c>
      <c r="PS189">
        <v>9</v>
      </c>
      <c r="PT189">
        <v>10</v>
      </c>
      <c r="PU189">
        <v>11</v>
      </c>
      <c r="PV189" s="16">
        <v>12</v>
      </c>
    </row>
    <row r="190" spans="1:538" ht="15.75" thickBot="1" x14ac:dyDescent="0.3">
      <c r="A190" t="s">
        <v>1127</v>
      </c>
      <c r="B190" t="s">
        <v>1124</v>
      </c>
      <c r="C190" t="s">
        <v>969</v>
      </c>
      <c r="P190" t="s">
        <v>1004</v>
      </c>
      <c r="T190" s="14" t="s">
        <v>520</v>
      </c>
      <c r="U190">
        <v>60</v>
      </c>
      <c r="W190" t="s">
        <v>1105</v>
      </c>
      <c r="X190" s="33" t="str">
        <f>IF(COUNTIF(X$1:X189,X189)&gt;7,REPLACE(X189,LEN(X189),1,VALUE(RIGHT(X189,1))+1),X189)</f>
        <v>A3.40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SUM(IF(ISNUMBER(FIND("TmAi",$BE$1:$AAL$1)),IF(IFERROR(ISODD(SUBSTITUTE($BE190:$AAL190,"A","")),FALSE),IF(ISODD(SUBSTITUTE($BE190:$AAL190,"A","")),1,0),0)))</f>
        <v>2</v>
      </c>
      <c r="AA190" t="str">
        <f t="shared" si="229"/>
        <v>9A</v>
      </c>
      <c r="AB190" t="str">
        <f t="shared" si="230"/>
        <v>9B</v>
      </c>
      <c r="AP190" t="s">
        <v>137</v>
      </c>
      <c r="AR190" t="s">
        <v>1109</v>
      </c>
      <c r="AS190" t="s">
        <v>366</v>
      </c>
      <c r="OG190" s="27" t="str">
        <f t="shared" si="306"/>
        <v>XT60</v>
      </c>
      <c r="OH190" t="s">
        <v>1131</v>
      </c>
      <c r="OI190" t="s">
        <v>1138</v>
      </c>
      <c r="OJ190" t="s">
        <v>1270</v>
      </c>
      <c r="OK190" t="s">
        <v>1269</v>
      </c>
      <c r="OL190" t="str">
        <f t="shared" si="307"/>
        <v>10A</v>
      </c>
      <c r="OM190" t="str">
        <f t="shared" si="308"/>
        <v>10B</v>
      </c>
      <c r="ON190" t="str">
        <f t="shared" si="309"/>
        <v>11A</v>
      </c>
      <c r="OO190" t="str">
        <f t="shared" si="293"/>
        <v>11B</v>
      </c>
      <c r="OP190" t="str">
        <f t="shared" si="294"/>
        <v>12A</v>
      </c>
      <c r="OQ190" t="str">
        <f t="shared" si="295"/>
        <v>12B</v>
      </c>
      <c r="OR190" t="str">
        <f t="shared" ref="OR190" si="311">CONCATENATE(REPLACE(OP190,LEN(OP190),1,"")+1,RIGHT(OP190))</f>
        <v>13A</v>
      </c>
      <c r="OS190" t="str">
        <f t="shared" ref="OS190" si="312">CONCATENATE(REPLACE(OQ190,LEN(OQ190),1,"")+1,RIGHT(OQ190))</f>
        <v>13B</v>
      </c>
      <c r="OT190" t="str">
        <f t="shared" ref="OT190" si="313">CONCATENATE(REPLACE(OR190,LEN(OR190),1,"")+1,RIGHT(OR190))</f>
        <v>14A</v>
      </c>
      <c r="OU190" t="str">
        <f t="shared" ref="OU190" si="314">CONCATENATE(REPLACE(OS190,LEN(OS190),1,"")+1,RIGHT(OS190))</f>
        <v>14B</v>
      </c>
      <c r="OV190" t="str">
        <f>CONCATENATE($T190,"-AI",REPLACE($X190,1,3,""),"-",$AA190)</f>
        <v>F0-AI40-9A</v>
      </c>
      <c r="OW190" t="str">
        <f>CONCATENATE($T190,"-AI",REPLACE($X190,1,3,""),"-",$AB190)</f>
        <v>F0-AI40-9B</v>
      </c>
      <c r="OX190" t="str">
        <f t="shared" si="296"/>
        <v>F0-AI40-10A</v>
      </c>
      <c r="OY190" t="str">
        <f t="shared" si="297"/>
        <v>F0-AI40-10B</v>
      </c>
      <c r="OZ190" t="str">
        <f t="shared" si="298"/>
        <v>F0-AI40-11A</v>
      </c>
      <c r="PA190" t="str">
        <f t="shared" si="299"/>
        <v>F0-AI40-11B</v>
      </c>
      <c r="PB190" t="str">
        <f t="shared" si="300"/>
        <v>F0-AI40-12A</v>
      </c>
      <c r="PC190" t="str">
        <f t="shared" si="301"/>
        <v>F0-AI40-12B</v>
      </c>
      <c r="PD190" t="str">
        <f t="shared" ref="PD190" si="315">CONCATENATE($T190,"-AI",REPLACE($X190,1,3,""),"-",OR190)</f>
        <v>F0-AI40-13A</v>
      </c>
      <c r="PE190" t="str">
        <f t="shared" ref="PE190" si="316">CONCATENATE($T190,"-AI",REPLACE($X190,1,3,""),"-",OS190)</f>
        <v>F0-AI40-13B</v>
      </c>
      <c r="PF190" t="str">
        <f t="shared" ref="PF190" si="317">CONCATENATE($T190,"-AI",REPLACE($X190,1,3,""),"-",OT190)</f>
        <v>F0-AI40-14A</v>
      </c>
      <c r="PG190" t="str">
        <f t="shared" ref="PG190" si="318">CONCATENATE($T190,"-AI",REPLACE($X190,1,3,""),"-",OU190)</f>
        <v>F0-AI40-14B</v>
      </c>
      <c r="PH190" cm="1">
        <f t="array" ref="PH190">IF(COUNTIFS($U$2:$U190,$U190)=1,1,INDEX(PH:PH,_xlfn.XMATCH($U190,$U$1:$U189,0,-1))+COUNT(PH189:PM189))</f>
        <v>13</v>
      </c>
      <c r="PI190">
        <f t="shared" si="302"/>
        <v>14</v>
      </c>
      <c r="PJ190">
        <f t="shared" si="303"/>
        <v>15</v>
      </c>
      <c r="PK190">
        <f t="shared" si="310"/>
        <v>16</v>
      </c>
      <c r="PL190">
        <f t="shared" si="304"/>
        <v>17</v>
      </c>
      <c r="PM190">
        <f t="shared" si="305"/>
        <v>18</v>
      </c>
      <c r="PN190">
        <f t="shared" ref="PN190" si="319">PM190+1</f>
        <v>19</v>
      </c>
      <c r="PO190">
        <f t="shared" ref="PO190" si="320">PN190+1</f>
        <v>20</v>
      </c>
      <c r="PP190">
        <f t="shared" ref="PP190" si="321">PO190+1</f>
        <v>21</v>
      </c>
      <c r="PQ190">
        <v>1</v>
      </c>
      <c r="PR190">
        <v>2</v>
      </c>
      <c r="PS190">
        <v>3</v>
      </c>
      <c r="PT190">
        <v>4</v>
      </c>
      <c r="PU190">
        <v>5</v>
      </c>
      <c r="PV190">
        <v>6</v>
      </c>
      <c r="PW190" s="23">
        <v>7</v>
      </c>
      <c r="PX190" s="23">
        <v>8</v>
      </c>
      <c r="PY190" s="24">
        <v>9</v>
      </c>
    </row>
    <row r="191" spans="1:538" ht="15.75" thickBot="1" x14ac:dyDescent="0.3">
      <c r="A191" t="s">
        <v>1128</v>
      </c>
      <c r="B191" t="s">
        <v>1099</v>
      </c>
      <c r="P191" t="s">
        <v>448</v>
      </c>
      <c r="T191" s="14" t="s">
        <v>520</v>
      </c>
      <c r="U191">
        <v>60</v>
      </c>
      <c r="W191" t="s">
        <v>1106</v>
      </c>
      <c r="X191" t="s">
        <v>1200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SUM(IF(ISNUMBER(FIND("TmAi",$BE$1:$AAL$1)),IF(IFERROR(ISODD(SUBSTITUTE($BE191:$AAL191,"A","")),FALSE),IF(ISODD(SUBSTITUTE($BE191:$AAL191,"A","")),1,0),0)))</f>
        <v>0</v>
      </c>
      <c r="AA191" t="str">
        <f t="shared" ref="AA191" si="322">CONCATENATE($Y191*2-1,"B")</f>
        <v>1B</v>
      </c>
      <c r="AB191" t="str">
        <f t="shared" ref="AB191" si="323">CONCATENATE($Y191*2,"B")</f>
        <v>2B</v>
      </c>
      <c r="AP191" t="s">
        <v>137</v>
      </c>
      <c r="AQ191" t="s">
        <v>1098</v>
      </c>
      <c r="AS191" t="s">
        <v>366</v>
      </c>
      <c r="JZ191" s="27" t="str">
        <f>CONCATENATE("XT",U191)</f>
        <v>XT60</v>
      </c>
      <c r="KC191" t="str">
        <f>CONCATENATE(T191,"-AI",REPLACE($X191,1,3,""),"-",AA191)</f>
        <v>F0-AI24-1B</v>
      </c>
      <c r="KD191" t="str">
        <f>CONCATENATE(T191,"-AI",REPLACE($X191,1,3,""),"-",AB191)</f>
        <v>F0-AI24-2B</v>
      </c>
      <c r="KI191">
        <v>22</v>
      </c>
      <c r="KJ191">
        <f t="shared" ref="KJ191" si="324">KI191+1</f>
        <v>23</v>
      </c>
      <c r="KK191">
        <f t="shared" ref="KK191" si="325">KJ191+1</f>
        <v>24</v>
      </c>
      <c r="KN191" t="s">
        <v>514</v>
      </c>
      <c r="KO191" s="16" t="s">
        <v>514</v>
      </c>
      <c r="KS191" s="16"/>
      <c r="OG191" s="27"/>
      <c r="PV191" s="16"/>
    </row>
    <row r="192" spans="1:538" ht="15.75" thickBot="1" x14ac:dyDescent="0.3">
      <c r="A192" t="s">
        <v>1586</v>
      </c>
      <c r="B192" s="33" t="s">
        <v>1101</v>
      </c>
      <c r="P192" t="s">
        <v>1018</v>
      </c>
      <c r="T192" s="14" t="s">
        <v>520</v>
      </c>
      <c r="U192">
        <v>60</v>
      </c>
      <c r="W192" t="s">
        <v>1107</v>
      </c>
      <c r="X192" s="33" t="str">
        <f>IF(COUNTIF(X$1:X191,X191)&gt;3,REPLACE(X191,LEN(X191),1,VALUE(RIGHT(X191,1))+1),X191)</f>
        <v>A3.24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SUM(IF(ISNUMBER(FIND("TmAi",$BE$1:$AAL$1)),IF(IFERROR(ISODD(SUBSTITUTE($BE192:$AAL192,"A","")),FALSE),IF(ISODD(SUBSTITUTE($BE192:$AAL192,"A","")),1,0),0)))</f>
        <v>11</v>
      </c>
      <c r="AA192" t="str">
        <f t="shared" si="229"/>
        <v>3A</v>
      </c>
      <c r="AB192" t="str">
        <f t="shared" si="230"/>
        <v>3B</v>
      </c>
      <c r="AP192" t="s">
        <v>137</v>
      </c>
      <c r="AR192" t="s">
        <v>1103</v>
      </c>
      <c r="AS192" t="s">
        <v>366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Z192" s="25" t="str">
        <f>REPLACE(X192,FIND(".",X192)+1,3,MID(X192,FIND(".",X192)+1,3)+1)</f>
        <v>A3.25</v>
      </c>
      <c r="QA192" s="12" t="str">
        <f>CONCATENATE(VALUE(SUBSTITUTE($AB192,"B",""))+2,"B")</f>
        <v>5B</v>
      </c>
      <c r="QB192" s="12" t="str">
        <f>CONCATENATE(VALUE(SUBSTITUTE($AA192,"A",""))+2,"A")</f>
        <v>5A</v>
      </c>
      <c r="QC192" s="12" t="str">
        <f>CONCATENATE(VALUE(SUBSTITUTE(QA192,"B",""))+2,"B")</f>
        <v>7B</v>
      </c>
      <c r="QD192" s="12" t="str">
        <f>CONCATENATE(VALUE(SUBSTITUTE(QB192,"A",""))+2,"A")</f>
        <v>7A</v>
      </c>
      <c r="QE192" s="12" t="str">
        <f t="shared" ref="QE192" si="326">CONCATENATE(VALUE(SUBSTITUTE(QC192,"B",""))+2,"B")</f>
        <v>9B</v>
      </c>
      <c r="QF192" s="12" t="str">
        <f t="shared" ref="QF192" si="327">CONCATENATE(VALUE(SUBSTITUTE(QD192,"A",""))+2,"A")</f>
        <v>9A</v>
      </c>
      <c r="QG192" s="12" t="str">
        <f t="shared" ref="QG192" si="328">CONCATENATE(VALUE(SUBSTITUTE(QE192,"B",""))+2,"B")</f>
        <v>11B</v>
      </c>
      <c r="QH192" s="12" t="str">
        <f t="shared" ref="QH192" si="329">CONCATENATE(VALUE(SUBSTITUTE(QF192,"A",""))+2,"A")</f>
        <v>11A</v>
      </c>
      <c r="QI192" s="12" t="str">
        <f t="shared" ref="QI192" si="330">CONCATENATE(VALUE(SUBSTITUTE(QG192,"B",""))+2,"B")</f>
        <v>13B</v>
      </c>
      <c r="QJ192" s="12" t="str">
        <f t="shared" ref="QJ192" si="331">CONCATENATE(VALUE(SUBSTITUTE(QH192,"A",""))+2,"A")</f>
        <v>13A</v>
      </c>
      <c r="QK192" s="12" t="s">
        <v>135</v>
      </c>
      <c r="QL192" s="12" t="s">
        <v>136</v>
      </c>
      <c r="QM192" s="12" t="str">
        <f t="shared" ref="QM192" si="332">CONCATENATE(VALUE(SUBSTITUTE(QK192,"B",""))+2,"B")</f>
        <v>3B</v>
      </c>
      <c r="QN192" s="12" t="str">
        <f t="shared" ref="QN192" si="333">CONCATENATE(VALUE(SUBSTITUTE(QL192,"A",""))+2,"A")</f>
        <v>3A</v>
      </c>
      <c r="QO192" s="12" t="str">
        <f t="shared" ref="QO192" si="334">CONCATENATE(VALUE(SUBSTITUTE(QM192,"B",""))+2,"B")</f>
        <v>5B</v>
      </c>
      <c r="QP192" s="12" t="str">
        <f t="shared" ref="QP192" si="335">CONCATENATE(VALUE(SUBSTITUTE(QN192,"A",""))+2,"A")</f>
        <v>5A</v>
      </c>
      <c r="QQ192" s="12" t="str">
        <f t="shared" ref="QQ192" si="336">CONCATENATE(VALUE(SUBSTITUTE(QO192,"B",""))+2,"B")</f>
        <v>7B</v>
      </c>
      <c r="QR192" s="12" t="str">
        <f t="shared" ref="QR192" si="337">CONCATENATE(VALUE(SUBSTITUTE(QP192,"A",""))+2,"A")</f>
        <v>7A</v>
      </c>
      <c r="QS192" s="12" t="str">
        <f t="shared" ref="QS192" si="338">CONCATENATE(VALUE(SUBSTITUTE(QQ192,"B",""))+2,"B")</f>
        <v>9B</v>
      </c>
      <c r="QT192" s="12" t="str">
        <f t="shared" ref="QT192" si="339">CONCATENATE(VALUE(SUBSTITUTE(QR192,"A",""))+2,"A")</f>
        <v>9A</v>
      </c>
      <c r="QU192" s="12" t="str">
        <f t="shared" ref="QU192" si="340">CONCATENATE(VALUE(SUBSTITUTE(QS192,"B",""))+2,"B")</f>
        <v>11B</v>
      </c>
      <c r="QV192" s="12" t="str">
        <f t="shared" ref="QV192" si="341">CONCATENATE(VALUE(SUBSTITUTE(QT192,"A",""))+2,"A")</f>
        <v>11A</v>
      </c>
      <c r="QW192" s="12" t="str">
        <f>CONCATENATE($T192,"-AI",REPLACE($X192,1,3,""),"-",AB192)</f>
        <v>F0-AI24-3B</v>
      </c>
      <c r="QX192" s="12" t="str">
        <f>CONCATENATE($T192,"-AI",REPLACE($X192,1,3,""),"-",AA192)</f>
        <v>F0-AI24-3A</v>
      </c>
      <c r="QY192" s="12" t="str">
        <f>CONCATENATE($T192,"-AI",REPLACE($X192,1,3,""),"-",QA192)</f>
        <v>F0-AI24-5B</v>
      </c>
      <c r="QZ192" s="12" t="str">
        <f>CONCATENATE($T192,"-AI",REPLACE($X192,1,3,""),"-",QB192)</f>
        <v>F0-AI24-5A</v>
      </c>
      <c r="RA192" s="12" t="str">
        <f t="shared" ref="RA192" si="342">CONCATENATE($T192,"-AI",REPLACE($X192,1,3,""),"-",QC192)</f>
        <v>F0-AI24-7B</v>
      </c>
      <c r="RB192" s="12" t="str">
        <f t="shared" ref="RB192" si="343">CONCATENATE($T192,"-AI",REPLACE($X192,1,3,""),"-",QD192)</f>
        <v>F0-AI24-7A</v>
      </c>
      <c r="RC192" s="12" t="str">
        <f t="shared" ref="RC192" si="344">CONCATENATE($T192,"-AI",REPLACE($X192,1,3,""),"-",QE192)</f>
        <v>F0-AI24-9B</v>
      </c>
      <c r="RD192" s="12" t="str">
        <f t="shared" ref="RD192" si="345">CONCATENATE($T192,"-AI",REPLACE($X192,1,3,""),"-",QF192)</f>
        <v>F0-AI24-9A</v>
      </c>
      <c r="RE192" s="12" t="str">
        <f t="shared" ref="RE192" si="346">CONCATENATE($T192,"-AI",REPLACE($X192,1,3,""),"-",QG192)</f>
        <v>F0-AI24-11B</v>
      </c>
      <c r="RF192" s="12" t="str">
        <f t="shared" ref="RF192" si="347">CONCATENATE($T192,"-AI",REPLACE($X192,1,3,""),"-",QH192)</f>
        <v>F0-AI24-11A</v>
      </c>
      <c r="RG192" s="12" t="str">
        <f t="shared" ref="RG192" si="348">CONCATENATE($T192,"-AI",REPLACE($X192,1,3,""),"-",QI192)</f>
        <v>F0-AI24-13B</v>
      </c>
      <c r="RH192" s="12" t="str">
        <f t="shared" ref="RH192" si="349">CONCATENATE($T192,"-AI",REPLACE($X192,1,3,""),"-",QJ192)</f>
        <v>F0-AI24-13A</v>
      </c>
      <c r="RI192" s="12" t="str">
        <f t="shared" ref="RI192:RT192" si="350">CONCATENATE($T192,"-AI",REPLACE($PZ192,1,3,""),"-",QK192)</f>
        <v>F0-AI25-1B</v>
      </c>
      <c r="RJ192" s="12" t="str">
        <f t="shared" si="350"/>
        <v>F0-AI25-1A</v>
      </c>
      <c r="RK192" s="12" t="str">
        <f t="shared" si="350"/>
        <v>F0-AI25-3B</v>
      </c>
      <c r="RL192" s="12" t="str">
        <f t="shared" si="350"/>
        <v>F0-AI25-3A</v>
      </c>
      <c r="RM192" s="12" t="str">
        <f t="shared" si="350"/>
        <v>F0-AI25-5B</v>
      </c>
      <c r="RN192" s="12" t="str">
        <f t="shared" si="350"/>
        <v>F0-AI25-5A</v>
      </c>
      <c r="RO192" s="12" t="str">
        <f t="shared" si="350"/>
        <v>F0-AI25-7B</v>
      </c>
      <c r="RP192" s="12" t="str">
        <f t="shared" si="350"/>
        <v>F0-AI25-7A</v>
      </c>
      <c r="RQ192" s="12" t="str">
        <f t="shared" si="350"/>
        <v>F0-AI25-9B</v>
      </c>
      <c r="RR192" s="12" t="str">
        <f t="shared" si="350"/>
        <v>F0-AI25-9A</v>
      </c>
      <c r="RS192" s="12" t="str">
        <f t="shared" si="350"/>
        <v>F0-AI25-11B</v>
      </c>
      <c r="RT192" s="12" t="str">
        <f t="shared" si="350"/>
        <v>F0-AI25-11A</v>
      </c>
      <c r="RU192" s="12" t="str">
        <f t="shared" ref="RU192" si="351">CONCATENATE("XT",$U192)</f>
        <v>XT60</v>
      </c>
      <c r="RV192" s="12">
        <v>25</v>
      </c>
      <c r="RW192" s="12">
        <f>RV192+1</f>
        <v>26</v>
      </c>
      <c r="RX192" s="12">
        <f t="shared" ref="RX192:ST192" si="352">RW192+1</f>
        <v>27</v>
      </c>
      <c r="RY192" s="12">
        <f t="shared" si="352"/>
        <v>28</v>
      </c>
      <c r="RZ192" s="12">
        <f t="shared" si="352"/>
        <v>29</v>
      </c>
      <c r="SA192" s="12">
        <f t="shared" si="352"/>
        <v>30</v>
      </c>
      <c r="SB192" s="12">
        <f t="shared" si="352"/>
        <v>31</v>
      </c>
      <c r="SC192" s="12">
        <f t="shared" si="352"/>
        <v>32</v>
      </c>
      <c r="SD192" s="12">
        <f t="shared" si="352"/>
        <v>33</v>
      </c>
      <c r="SE192" s="12">
        <f t="shared" si="352"/>
        <v>34</v>
      </c>
      <c r="SF192" s="12">
        <f t="shared" si="352"/>
        <v>35</v>
      </c>
      <c r="SG192" s="12">
        <f t="shared" si="352"/>
        <v>36</v>
      </c>
      <c r="SH192" s="12">
        <f t="shared" si="352"/>
        <v>37</v>
      </c>
      <c r="SI192" s="12">
        <f t="shared" si="352"/>
        <v>38</v>
      </c>
      <c r="SJ192" s="12">
        <f t="shared" si="352"/>
        <v>39</v>
      </c>
      <c r="SK192" s="12">
        <f t="shared" si="352"/>
        <v>40</v>
      </c>
      <c r="SL192" s="12">
        <f t="shared" si="352"/>
        <v>41</v>
      </c>
      <c r="SM192" s="12">
        <f t="shared" si="352"/>
        <v>42</v>
      </c>
      <c r="SN192" s="12">
        <f t="shared" si="352"/>
        <v>43</v>
      </c>
      <c r="SO192" s="12">
        <f t="shared" si="352"/>
        <v>44</v>
      </c>
      <c r="SP192" s="12">
        <f t="shared" si="352"/>
        <v>45</v>
      </c>
      <c r="SQ192" s="12">
        <f t="shared" si="352"/>
        <v>46</v>
      </c>
      <c r="SR192" s="12">
        <f t="shared" si="352"/>
        <v>47</v>
      </c>
      <c r="SS192" s="12">
        <f t="shared" si="352"/>
        <v>48</v>
      </c>
      <c r="ST192" s="12">
        <f t="shared" si="352"/>
        <v>49</v>
      </c>
      <c r="SU192" s="12" t="s">
        <v>1110</v>
      </c>
      <c r="SV192" s="12" t="s">
        <v>1111</v>
      </c>
      <c r="SW192" s="12" t="s">
        <v>1112</v>
      </c>
      <c r="SX192" s="12" t="s">
        <v>1113</v>
      </c>
      <c r="SY192" s="12" t="s">
        <v>1114</v>
      </c>
      <c r="SZ192" s="12" t="s">
        <v>1115</v>
      </c>
      <c r="TA192" s="12" t="s">
        <v>1116</v>
      </c>
      <c r="TB192" s="12" t="s">
        <v>1117</v>
      </c>
      <c r="TC192" s="12" t="s">
        <v>1118</v>
      </c>
      <c r="TD192" s="12" t="s">
        <v>1119</v>
      </c>
      <c r="TE192" s="12" t="s">
        <v>1120</v>
      </c>
      <c r="TF192" s="12" t="s">
        <v>1121</v>
      </c>
      <c r="TG192" s="12" t="s">
        <v>1016</v>
      </c>
      <c r="TH192" s="12" t="s">
        <v>1085</v>
      </c>
      <c r="TI192" s="12" t="s">
        <v>1086</v>
      </c>
      <c r="TJ192" s="12" t="s">
        <v>1087</v>
      </c>
      <c r="TK192" s="12" t="s">
        <v>1089</v>
      </c>
      <c r="TL192" s="12" t="s">
        <v>1088</v>
      </c>
      <c r="TM192" s="12" t="s">
        <v>1090</v>
      </c>
      <c r="TN192" s="12" t="s">
        <v>1091</v>
      </c>
      <c r="TO192" s="12" t="s">
        <v>1092</v>
      </c>
      <c r="TP192" s="12" t="s">
        <v>1093</v>
      </c>
      <c r="TQ192" s="12" t="s">
        <v>1094</v>
      </c>
      <c r="TR192" s="13" t="s">
        <v>1095</v>
      </c>
    </row>
    <row r="193" spans="1:538" x14ac:dyDescent="0.25">
      <c r="A193" t="s">
        <v>1141</v>
      </c>
      <c r="B193" s="34" t="s">
        <v>1160</v>
      </c>
      <c r="C193" t="s">
        <v>969</v>
      </c>
      <c r="P193" t="s">
        <v>968</v>
      </c>
      <c r="T193" s="14" t="s">
        <v>520</v>
      </c>
      <c r="U193">
        <v>61</v>
      </c>
      <c r="W193" t="s">
        <v>1132</v>
      </c>
      <c r="X193" t="s">
        <v>1571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SUM(IF(ISNUMBER(FIND("TmAi",$BE$1:$AAL$1)),IF(IFERROR(ISODD(SUBSTITUTE($BE193:$AAL193,"A","")),FALSE),IF(ISODD(SUBSTITUTE($BE193:$AAL193,"A","")),1,0),0)))</f>
        <v>1</v>
      </c>
      <c r="AA193" t="str">
        <f t="shared" si="229"/>
        <v>1A</v>
      </c>
      <c r="AB193" t="str">
        <f t="shared" si="230"/>
        <v>1B</v>
      </c>
      <c r="AP193" t="s">
        <v>137</v>
      </c>
      <c r="AR193" t="s">
        <v>1161</v>
      </c>
      <c r="AS193" t="s">
        <v>366</v>
      </c>
      <c r="OG193" s="25" t="str">
        <f>CONCATENATE("XT",$U193)</f>
        <v>XT61</v>
      </c>
      <c r="OH193" s="12" t="s">
        <v>1142</v>
      </c>
      <c r="OI193" s="12" t="s">
        <v>1273</v>
      </c>
      <c r="OJ193" s="12"/>
      <c r="OK193" s="12"/>
      <c r="OL193" s="12" t="str">
        <f>CONCATENATE(REPLACE($AA193,LEN($AA193),1,"")+1,RIGHT($AA193))</f>
        <v>2A</v>
      </c>
      <c r="OM193" s="12" t="str">
        <f>CONCATENATE(REPLACE($AB193,LEN($AB193),1,"")+1,RIGHT($AB193))</f>
        <v>2B</v>
      </c>
      <c r="ON193" s="12" t="str">
        <f>CONCATENATE(REPLACE(OL193,LEN(OL193),1,"")+1,RIGHT(OL193))</f>
        <v>3A</v>
      </c>
      <c r="OO193" s="12" t="str">
        <f t="shared" ref="OO193:OO195" si="353">CONCATENATE(REPLACE(OM193,LEN(OM193),1,"")+1,RIGHT(OM193))</f>
        <v>3B</v>
      </c>
      <c r="OP193" s="12" t="str">
        <f t="shared" ref="OP193:OP195" si="354">CONCATENATE(REPLACE(ON193,LEN(ON193),1,"")+1,RIGHT(ON193))</f>
        <v>4A</v>
      </c>
      <c r="OQ193" s="12" t="str">
        <f t="shared" ref="OQ193:OQ195" si="355">CONCATENATE(REPLACE(OO193,LEN(OO193),1,"")+1,RIGHT(OO193))</f>
        <v>4B</v>
      </c>
      <c r="OR193" s="12"/>
      <c r="OS193" s="12"/>
      <c r="OT193" s="12"/>
      <c r="OU193" s="12"/>
      <c r="OV193" s="12" t="str">
        <f>CONCATENATE($T193,"-AI",REPLACE($X193,1,3,""),"-",$AA193)</f>
        <v>F0-AI41-1A</v>
      </c>
      <c r="OW193" s="12" t="str">
        <f>CONCATENATE($T193,"-AI",REPLACE($X193,1,3,""),"-",$AB193)</f>
        <v>F0-AI41-1B</v>
      </c>
      <c r="OX193" s="12" t="str">
        <f t="shared" ref="OX193:OX195" si="356">CONCATENATE($T193,"-AI",REPLACE($X193,1,3,""),"-",OL193)</f>
        <v>F0-AI41-2A</v>
      </c>
      <c r="OY193" s="12" t="str">
        <f t="shared" ref="OY193:OY195" si="357">CONCATENATE($T193,"-AI",REPLACE($X193,1,3,""),"-",OM193)</f>
        <v>F0-AI41-2B</v>
      </c>
      <c r="OZ193" s="12" t="str">
        <f t="shared" ref="OZ193:OZ195" si="358">CONCATENATE($T193,"-AI",REPLACE($X193,1,3,""),"-",ON193)</f>
        <v>F0-AI41-3A</v>
      </c>
      <c r="PA193" s="12" t="str">
        <f t="shared" ref="PA193:PA195" si="359">CONCATENATE($T193,"-AI",REPLACE($X193,1,3,""),"-",OO193)</f>
        <v>F0-AI41-3B</v>
      </c>
      <c r="PB193" s="12" t="str">
        <f t="shared" ref="PB193:PB195" si="360">CONCATENATE($T193,"-AI",REPLACE($X193,1,3,""),"-",OP193)</f>
        <v>F0-AI41-4A</v>
      </c>
      <c r="PC193" s="12" t="str">
        <f t="shared" ref="PC193:PC195" si="361">CONCATENATE($T193,"-AI",REPLACE($X193,1,3,""),"-",OQ193)</f>
        <v>F0-AI41-4B</v>
      </c>
      <c r="PD193" s="12"/>
      <c r="PE193" s="12"/>
      <c r="PF193" s="12"/>
      <c r="PG193" s="12"/>
      <c r="PH193" s="12" cm="1">
        <f t="array" ref="PH193">IF(COUNTIFS($U$2:$U193,$U193)=1,1,INDEX(PH:PH,_xlfn.XMATCH($U193,$U$1:EF192,0,-1))+COUNT(PH192:PM192))</f>
        <v>1</v>
      </c>
      <c r="PI193" s="12">
        <f t="shared" ref="PI193:PI195" si="362">PH193+1</f>
        <v>2</v>
      </c>
      <c r="PJ193" s="12">
        <f t="shared" ref="PJ193:PJ195" si="363">PI193+1</f>
        <v>3</v>
      </c>
      <c r="PK193" s="12">
        <f>PJ193+1</f>
        <v>4</v>
      </c>
      <c r="PL193" s="12">
        <f t="shared" ref="PL193:PL195" si="364">PK193+1</f>
        <v>5</v>
      </c>
      <c r="PM193" s="12">
        <f t="shared" ref="PM193:PM195" si="365">PL193+1</f>
        <v>6</v>
      </c>
      <c r="PN193" s="12"/>
      <c r="PO193" s="12"/>
      <c r="PP193" s="12"/>
      <c r="PQ193" s="12">
        <v>1</v>
      </c>
      <c r="PR193" s="12">
        <v>2</v>
      </c>
      <c r="PS193" s="12">
        <v>3</v>
      </c>
      <c r="PT193" s="12">
        <v>4</v>
      </c>
      <c r="PU193" s="12">
        <v>5</v>
      </c>
      <c r="PV193" s="13">
        <v>6</v>
      </c>
    </row>
    <row r="194" spans="1:538" ht="15.75" thickBot="1" x14ac:dyDescent="0.3">
      <c r="A194" t="s">
        <v>1143</v>
      </c>
      <c r="B194" t="s">
        <v>1162</v>
      </c>
      <c r="C194" t="s">
        <v>969</v>
      </c>
      <c r="P194" t="s">
        <v>968</v>
      </c>
      <c r="T194" s="14" t="s">
        <v>520</v>
      </c>
      <c r="U194">
        <v>61</v>
      </c>
      <c r="W194" t="s">
        <v>1135</v>
      </c>
      <c r="X194" t="str">
        <f>IF(COUNTIF(X$1:X193,X193)&gt;7,REPLACE(X193,LEN(X193),1,VALUE(RIGHT(X193,1))+1),X193)</f>
        <v>A3.41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SUM(IF(ISNUMBER(FIND("TmAi",$BE$1:$AAL$1)),IF(IFERROR(ISODD(SUBSTITUTE($BE194:$AAL194,"A","")),FALSE),IF(ISODD(SUBSTITUTE($BE194:$AAL194,"A","")),1,0),0)))</f>
        <v>1</v>
      </c>
      <c r="AA194" t="str">
        <f t="shared" si="229"/>
        <v>5A</v>
      </c>
      <c r="AB194" t="str">
        <f t="shared" si="230"/>
        <v>5B</v>
      </c>
      <c r="AP194" t="s">
        <v>137</v>
      </c>
      <c r="AR194" t="s">
        <v>1161</v>
      </c>
      <c r="AS194" t="s">
        <v>366</v>
      </c>
      <c r="OG194" s="27" t="str">
        <f t="shared" ref="OG194:OG195" si="366">CONCATENATE("XT",$U194)</f>
        <v>XT61</v>
      </c>
      <c r="OH194" t="s">
        <v>1144</v>
      </c>
      <c r="OI194" t="s">
        <v>1274</v>
      </c>
      <c r="OL194" t="str">
        <f t="shared" ref="OL194:OL195" si="367">CONCATENATE(REPLACE($AA194,LEN($AA194),1,"")+1,RIGHT($AA194))</f>
        <v>6A</v>
      </c>
      <c r="OM194" t="str">
        <f t="shared" ref="OM194:OM195" si="368">CONCATENATE(REPLACE($AB194,LEN($AB194),1,"")+1,RIGHT($AB194))</f>
        <v>6B</v>
      </c>
      <c r="ON194" t="str">
        <f t="shared" ref="ON194:ON195" si="369">CONCATENATE(REPLACE(OL194,LEN(OL194),1,"")+1,RIGHT(OL194))</f>
        <v>7A</v>
      </c>
      <c r="OO194" t="str">
        <f t="shared" si="353"/>
        <v>7B</v>
      </c>
      <c r="OP194" t="str">
        <f t="shared" si="354"/>
        <v>8A</v>
      </c>
      <c r="OQ194" t="str">
        <f t="shared" si="355"/>
        <v>8B</v>
      </c>
      <c r="OV194" t="str">
        <f>CONCATENATE($T194,"-AI",REPLACE($X194,1,3,""),"-",$AA194)</f>
        <v>F0-AI41-5A</v>
      </c>
      <c r="OW194" t="str">
        <f>CONCATENATE($T194,"-AI",REPLACE($X194,1,3,""),"-",$AB194)</f>
        <v>F0-AI41-5B</v>
      </c>
      <c r="OX194" t="str">
        <f t="shared" si="356"/>
        <v>F0-AI41-6A</v>
      </c>
      <c r="OY194" t="str">
        <f t="shared" si="357"/>
        <v>F0-AI41-6B</v>
      </c>
      <c r="OZ194" t="str">
        <f t="shared" si="358"/>
        <v>F0-AI41-7A</v>
      </c>
      <c r="PA194" t="str">
        <f t="shared" si="359"/>
        <v>F0-AI41-7B</v>
      </c>
      <c r="PB194" t="str">
        <f t="shared" si="360"/>
        <v>F0-AI41-8A</v>
      </c>
      <c r="PC194" t="str">
        <f t="shared" si="361"/>
        <v>F0-AI41-8B</v>
      </c>
      <c r="PH194" cm="1">
        <f t="array" ref="PH194">IF(COUNTIFS($U$2:$U194,$U194)=1,1,INDEX(PH:PH,_xlfn.XMATCH($U194,$U$1:$U193,0,-1))+COUNT(PH193:PM193))</f>
        <v>7</v>
      </c>
      <c r="PI194">
        <f t="shared" si="362"/>
        <v>8</v>
      </c>
      <c r="PJ194">
        <f t="shared" si="363"/>
        <v>9</v>
      </c>
      <c r="PK194">
        <f t="shared" ref="PK194:PK195" si="370">PJ194+1</f>
        <v>10</v>
      </c>
      <c r="PL194">
        <f t="shared" si="364"/>
        <v>11</v>
      </c>
      <c r="PM194">
        <f t="shared" si="365"/>
        <v>12</v>
      </c>
      <c r="PQ194">
        <v>7</v>
      </c>
      <c r="PR194">
        <v>8</v>
      </c>
      <c r="PS194">
        <v>9</v>
      </c>
      <c r="PT194">
        <v>10</v>
      </c>
      <c r="PU194">
        <v>11</v>
      </c>
      <c r="PV194" s="16">
        <v>12</v>
      </c>
    </row>
    <row r="195" spans="1:538" ht="15.75" thickBot="1" x14ac:dyDescent="0.3">
      <c r="A195" t="s">
        <v>1145</v>
      </c>
      <c r="B195" t="s">
        <v>1163</v>
      </c>
      <c r="C195" t="s">
        <v>969</v>
      </c>
      <c r="P195" t="s">
        <v>1004</v>
      </c>
      <c r="T195" s="14" t="s">
        <v>520</v>
      </c>
      <c r="U195">
        <v>61</v>
      </c>
      <c r="W195" t="s">
        <v>1137</v>
      </c>
      <c r="X195" s="33" t="str">
        <f>IF(COUNTIF(X$1:X194,X194)&gt;7,REPLACE(X194,LEN(X194),1,VALUE(RIGHT(X194,1))+1),X194)</f>
        <v>A3.41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SUM(IF(ISNUMBER(FIND("TmAi",$BE$1:$AAL$1)),IF(IFERROR(ISODD(SUBSTITUTE($BE195:$AAL195,"A","")),FALSE),IF(ISODD(SUBSTITUTE($BE195:$AAL195,"A","")),1,0),0)))</f>
        <v>2</v>
      </c>
      <c r="AA195" t="str">
        <f t="shared" si="229"/>
        <v>9A</v>
      </c>
      <c r="AB195" t="str">
        <f t="shared" si="230"/>
        <v>9B</v>
      </c>
      <c r="AP195" t="s">
        <v>137</v>
      </c>
      <c r="AR195" t="s">
        <v>1164</v>
      </c>
      <c r="AS195" t="s">
        <v>366</v>
      </c>
      <c r="OG195" s="27" t="str">
        <f t="shared" si="366"/>
        <v>XT61</v>
      </c>
      <c r="OH195" t="s">
        <v>1146</v>
      </c>
      <c r="OI195" t="s">
        <v>1275</v>
      </c>
      <c r="OJ195" t="s">
        <v>1271</v>
      </c>
      <c r="OK195" t="s">
        <v>1276</v>
      </c>
      <c r="OL195" t="str">
        <f t="shared" si="367"/>
        <v>10A</v>
      </c>
      <c r="OM195" t="str">
        <f t="shared" si="368"/>
        <v>10B</v>
      </c>
      <c r="ON195" t="str">
        <f t="shared" si="369"/>
        <v>11A</v>
      </c>
      <c r="OO195" t="str">
        <f t="shared" si="353"/>
        <v>11B</v>
      </c>
      <c r="OP195" t="str">
        <f t="shared" si="354"/>
        <v>12A</v>
      </c>
      <c r="OQ195" t="str">
        <f t="shared" si="355"/>
        <v>12B</v>
      </c>
      <c r="OR195" t="str">
        <f t="shared" ref="OR195" si="371">CONCATENATE(REPLACE(OP195,LEN(OP195),1,"")+1,RIGHT(OP195))</f>
        <v>13A</v>
      </c>
      <c r="OS195" t="str">
        <f t="shared" ref="OS195" si="372">CONCATENATE(REPLACE(OQ195,LEN(OQ195),1,"")+1,RIGHT(OQ195))</f>
        <v>13B</v>
      </c>
      <c r="OT195" t="str">
        <f t="shared" ref="OT195" si="373">CONCATENATE(REPLACE(OR195,LEN(OR195),1,"")+1,RIGHT(OR195))</f>
        <v>14A</v>
      </c>
      <c r="OU195" t="str">
        <f t="shared" ref="OU195" si="374">CONCATENATE(REPLACE(OS195,LEN(OS195),1,"")+1,RIGHT(OS195))</f>
        <v>14B</v>
      </c>
      <c r="OV195" t="str">
        <f>CONCATENATE($T195,"-AI",REPLACE($X195,1,3,""),"-",$AA195)</f>
        <v>F0-AI41-9A</v>
      </c>
      <c r="OW195" t="str">
        <f>CONCATENATE($T195,"-AI",REPLACE($X195,1,3,""),"-",$AB195)</f>
        <v>F0-AI41-9B</v>
      </c>
      <c r="OX195" t="str">
        <f t="shared" si="356"/>
        <v>F0-AI41-10A</v>
      </c>
      <c r="OY195" t="str">
        <f t="shared" si="357"/>
        <v>F0-AI41-10B</v>
      </c>
      <c r="OZ195" t="str">
        <f t="shared" si="358"/>
        <v>F0-AI41-11A</v>
      </c>
      <c r="PA195" t="str">
        <f t="shared" si="359"/>
        <v>F0-AI41-11B</v>
      </c>
      <c r="PB195" t="str">
        <f t="shared" si="360"/>
        <v>F0-AI41-12A</v>
      </c>
      <c r="PC195" t="str">
        <f t="shared" si="361"/>
        <v>F0-AI41-12B</v>
      </c>
      <c r="PD195" t="str">
        <f t="shared" ref="PD195" si="375">CONCATENATE($T195,"-AI",REPLACE($X195,1,3,""),"-",OR195)</f>
        <v>F0-AI41-13A</v>
      </c>
      <c r="PE195" t="str">
        <f t="shared" ref="PE195" si="376">CONCATENATE($T195,"-AI",REPLACE($X195,1,3,""),"-",OS195)</f>
        <v>F0-AI41-13B</v>
      </c>
      <c r="PF195" t="str">
        <f t="shared" ref="PF195" si="377">CONCATENATE($T195,"-AI",REPLACE($X195,1,3,""),"-",OT195)</f>
        <v>F0-AI41-14A</v>
      </c>
      <c r="PG195" t="str">
        <f t="shared" ref="PG195" si="378">CONCATENATE($T195,"-AI",REPLACE($X195,1,3,""),"-",OU195)</f>
        <v>F0-AI41-14B</v>
      </c>
      <c r="PH195" cm="1">
        <f t="array" ref="PH195">IF(COUNTIFS($U$2:$U195,$U195)=1,1,INDEX(PH:PH,_xlfn.XMATCH($U195,$U$1:$U194,0,-1))+COUNT(PH194:PM194))</f>
        <v>13</v>
      </c>
      <c r="PI195">
        <f t="shared" si="362"/>
        <v>14</v>
      </c>
      <c r="PJ195">
        <f t="shared" si="363"/>
        <v>15</v>
      </c>
      <c r="PK195">
        <f t="shared" si="370"/>
        <v>16</v>
      </c>
      <c r="PL195">
        <f t="shared" si="364"/>
        <v>17</v>
      </c>
      <c r="PM195">
        <f t="shared" si="365"/>
        <v>18</v>
      </c>
      <c r="PN195">
        <f t="shared" ref="PN195" si="379">PM195+1</f>
        <v>19</v>
      </c>
      <c r="PO195">
        <f t="shared" ref="PO195" si="380">PN195+1</f>
        <v>20</v>
      </c>
      <c r="PP195">
        <f t="shared" ref="PP195" si="381">PO195+1</f>
        <v>21</v>
      </c>
      <c r="PQ195">
        <v>1</v>
      </c>
      <c r="PR195">
        <v>2</v>
      </c>
      <c r="PS195">
        <v>3</v>
      </c>
      <c r="PT195">
        <v>4</v>
      </c>
      <c r="PU195">
        <v>5</v>
      </c>
      <c r="PV195">
        <v>6</v>
      </c>
      <c r="PW195" s="23">
        <v>7</v>
      </c>
      <c r="PX195" s="23">
        <v>8</v>
      </c>
      <c r="PY195" s="24">
        <v>9</v>
      </c>
    </row>
    <row r="196" spans="1:538" ht="15.75" thickBot="1" x14ac:dyDescent="0.3">
      <c r="A196" t="s">
        <v>1147</v>
      </c>
      <c r="B196" t="s">
        <v>1165</v>
      </c>
      <c r="P196" t="s">
        <v>448</v>
      </c>
      <c r="T196" s="14" t="s">
        <v>520</v>
      </c>
      <c r="U196">
        <v>61</v>
      </c>
      <c r="W196" t="s">
        <v>1139</v>
      </c>
      <c r="X196" t="s">
        <v>1670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SUM(IF(ISNUMBER(FIND("TmAi",$BE$1:$AAL$1)),IF(IFERROR(ISODD(SUBSTITUTE($BE196:$AAL196,"A","")),FALSE),IF(ISODD(SUBSTITUTE($BE196:$AAL196,"A","")),1,0),0)))</f>
        <v>0</v>
      </c>
      <c r="AA196" t="str">
        <f t="shared" ref="AA196" si="382">CONCATENATE($Y196*2-1,"B")</f>
        <v>1B</v>
      </c>
      <c r="AB196" t="str">
        <f t="shared" ref="AB196" si="383">CONCATENATE($Y196*2,"B")</f>
        <v>2B</v>
      </c>
      <c r="AP196" t="s">
        <v>137</v>
      </c>
      <c r="AQ196" t="s">
        <v>1098</v>
      </c>
      <c r="AS196" t="s">
        <v>366</v>
      </c>
      <c r="JZ196" s="27" t="str">
        <f>CONCATENATE("XT",U196)</f>
        <v>XT61</v>
      </c>
      <c r="KC196" t="str">
        <f>CONCATENATE(T196,"-AI",REPLACE($X196,1,3,""),"-",AA196)</f>
        <v>F0-AI26-1B</v>
      </c>
      <c r="KD196" t="str">
        <f>CONCATENATE(T196,"-AI",REPLACE($X196,1,3,""),"-",AB196)</f>
        <v>F0-AI26-2B</v>
      </c>
      <c r="KI196">
        <v>22</v>
      </c>
      <c r="KJ196">
        <f t="shared" ref="KJ196" si="384">KI196+1</f>
        <v>23</v>
      </c>
      <c r="KK196">
        <f t="shared" ref="KK196" si="385">KJ196+1</f>
        <v>24</v>
      </c>
      <c r="KN196" t="s">
        <v>514</v>
      </c>
      <c r="KO196" s="16" t="s">
        <v>514</v>
      </c>
      <c r="KS196" s="16"/>
      <c r="OG196" s="27"/>
      <c r="PV196" s="16"/>
    </row>
    <row r="197" spans="1:538" ht="15.75" thickBot="1" x14ac:dyDescent="0.3">
      <c r="A197" t="s">
        <v>1587</v>
      </c>
      <c r="B197" s="33" t="s">
        <v>1166</v>
      </c>
      <c r="P197" t="s">
        <v>1018</v>
      </c>
      <c r="T197" s="14" t="s">
        <v>520</v>
      </c>
      <c r="U197">
        <v>61</v>
      </c>
      <c r="W197" t="s">
        <v>1140</v>
      </c>
      <c r="X197" s="33" t="str">
        <f>IF(COUNTIF(X$1:X196,X196)&gt;3,REPLACE(X196,LEN(X196),1,VALUE(RIGHT(X196,1))+1),X196)</f>
        <v>A3.26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SUM(IF(ISNUMBER(FIND("TmAi",$BE$1:$AAL$1)),IF(IFERROR(ISODD(SUBSTITUTE($BE197:$AAL197,"A","")),FALSE),IF(ISODD(SUBSTITUTE($BE197:$AAL197,"A","")),1,0),0)))</f>
        <v>11</v>
      </c>
      <c r="AA197" t="str">
        <f t="shared" si="229"/>
        <v>3A</v>
      </c>
      <c r="AB197" t="str">
        <f t="shared" si="230"/>
        <v>3B</v>
      </c>
      <c r="AP197" t="s">
        <v>137</v>
      </c>
      <c r="AR197" t="s">
        <v>1167</v>
      </c>
      <c r="AS197" t="s">
        <v>366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Z197" s="25" t="str">
        <f>REPLACE(X197,FIND(".",X197)+1,3,MID(X197,FIND(".",X197)+1,3)+1)</f>
        <v>A3.27</v>
      </c>
      <c r="QA197" s="12" t="str">
        <f>CONCATENATE(VALUE(SUBSTITUTE($AB197,"B",""))+2,"B")</f>
        <v>5B</v>
      </c>
      <c r="QB197" s="12" t="str">
        <f>CONCATENATE(VALUE(SUBSTITUTE($AA197,"A",""))+2,"A")</f>
        <v>5A</v>
      </c>
      <c r="QC197" s="12" t="str">
        <f>CONCATENATE(VALUE(SUBSTITUTE(QA197,"B",""))+2,"B")</f>
        <v>7B</v>
      </c>
      <c r="QD197" s="12" t="str">
        <f>CONCATENATE(VALUE(SUBSTITUTE(QB197,"A",""))+2,"A")</f>
        <v>7A</v>
      </c>
      <c r="QE197" s="12" t="str">
        <f t="shared" ref="QE197" si="386">CONCATENATE(VALUE(SUBSTITUTE(QC197,"B",""))+2,"B")</f>
        <v>9B</v>
      </c>
      <c r="QF197" s="12" t="str">
        <f t="shared" ref="QF197" si="387">CONCATENATE(VALUE(SUBSTITUTE(QD197,"A",""))+2,"A")</f>
        <v>9A</v>
      </c>
      <c r="QG197" s="12" t="str">
        <f t="shared" ref="QG197" si="388">CONCATENATE(VALUE(SUBSTITUTE(QE197,"B",""))+2,"B")</f>
        <v>11B</v>
      </c>
      <c r="QH197" s="12" t="str">
        <f t="shared" ref="QH197" si="389">CONCATENATE(VALUE(SUBSTITUTE(QF197,"A",""))+2,"A")</f>
        <v>11A</v>
      </c>
      <c r="QI197" s="12" t="str">
        <f t="shared" ref="QI197" si="390">CONCATENATE(VALUE(SUBSTITUTE(QG197,"B",""))+2,"B")</f>
        <v>13B</v>
      </c>
      <c r="QJ197" s="12" t="str">
        <f t="shared" ref="QJ197" si="391">CONCATENATE(VALUE(SUBSTITUTE(QH197,"A",""))+2,"A")</f>
        <v>13A</v>
      </c>
      <c r="QK197" s="12" t="s">
        <v>135</v>
      </c>
      <c r="QL197" s="12" t="s">
        <v>136</v>
      </c>
      <c r="QM197" s="12" t="str">
        <f t="shared" ref="QM197" si="392">CONCATENATE(VALUE(SUBSTITUTE(QK197,"B",""))+2,"B")</f>
        <v>3B</v>
      </c>
      <c r="QN197" s="12" t="str">
        <f t="shared" ref="QN197" si="393">CONCATENATE(VALUE(SUBSTITUTE(QL197,"A",""))+2,"A")</f>
        <v>3A</v>
      </c>
      <c r="QO197" s="12" t="str">
        <f t="shared" ref="QO197" si="394">CONCATENATE(VALUE(SUBSTITUTE(QM197,"B",""))+2,"B")</f>
        <v>5B</v>
      </c>
      <c r="QP197" s="12" t="str">
        <f t="shared" ref="QP197" si="395">CONCATENATE(VALUE(SUBSTITUTE(QN197,"A",""))+2,"A")</f>
        <v>5A</v>
      </c>
      <c r="QQ197" s="12" t="str">
        <f t="shared" ref="QQ197" si="396">CONCATENATE(VALUE(SUBSTITUTE(QO197,"B",""))+2,"B")</f>
        <v>7B</v>
      </c>
      <c r="QR197" s="12" t="str">
        <f t="shared" ref="QR197" si="397">CONCATENATE(VALUE(SUBSTITUTE(QP197,"A",""))+2,"A")</f>
        <v>7A</v>
      </c>
      <c r="QS197" s="12" t="str">
        <f t="shared" ref="QS197" si="398">CONCATENATE(VALUE(SUBSTITUTE(QQ197,"B",""))+2,"B")</f>
        <v>9B</v>
      </c>
      <c r="QT197" s="12" t="str">
        <f t="shared" ref="QT197" si="399">CONCATENATE(VALUE(SUBSTITUTE(QR197,"A",""))+2,"A")</f>
        <v>9A</v>
      </c>
      <c r="QU197" s="12" t="str">
        <f t="shared" ref="QU197" si="400">CONCATENATE(VALUE(SUBSTITUTE(QS197,"B",""))+2,"B")</f>
        <v>11B</v>
      </c>
      <c r="QV197" s="12" t="str">
        <f t="shared" ref="QV197" si="401">CONCATENATE(VALUE(SUBSTITUTE(QT197,"A",""))+2,"A")</f>
        <v>11A</v>
      </c>
      <c r="QW197" s="12" t="str">
        <f>CONCATENATE($T197,"-AI",REPLACE($X197,1,3,""),"-",AB197)</f>
        <v>F0-AI26-3B</v>
      </c>
      <c r="QX197" s="12" t="str">
        <f>CONCATENATE($T197,"-AI",REPLACE($X197,1,3,""),"-",AA197)</f>
        <v>F0-AI26-3A</v>
      </c>
      <c r="QY197" s="12" t="str">
        <f>CONCATENATE($T197,"-AI",REPLACE($X197,1,3,""),"-",QA197)</f>
        <v>F0-AI26-5B</v>
      </c>
      <c r="QZ197" s="12" t="str">
        <f>CONCATENATE($T197,"-AI",REPLACE($X197,1,3,""),"-",QB197)</f>
        <v>F0-AI26-5A</v>
      </c>
      <c r="RA197" s="12" t="str">
        <f t="shared" ref="RA197" si="402">CONCATENATE($T197,"-AI",REPLACE($X197,1,3,""),"-",QC197)</f>
        <v>F0-AI26-7B</v>
      </c>
      <c r="RB197" s="12" t="str">
        <f t="shared" ref="RB197" si="403">CONCATENATE($T197,"-AI",REPLACE($X197,1,3,""),"-",QD197)</f>
        <v>F0-AI26-7A</v>
      </c>
      <c r="RC197" s="12" t="str">
        <f t="shared" ref="RC197" si="404">CONCATENATE($T197,"-AI",REPLACE($X197,1,3,""),"-",QE197)</f>
        <v>F0-AI26-9B</v>
      </c>
      <c r="RD197" s="12" t="str">
        <f t="shared" ref="RD197" si="405">CONCATENATE($T197,"-AI",REPLACE($X197,1,3,""),"-",QF197)</f>
        <v>F0-AI26-9A</v>
      </c>
      <c r="RE197" s="12" t="str">
        <f t="shared" ref="RE197" si="406">CONCATENATE($T197,"-AI",REPLACE($X197,1,3,""),"-",QG197)</f>
        <v>F0-AI26-11B</v>
      </c>
      <c r="RF197" s="12" t="str">
        <f t="shared" ref="RF197" si="407">CONCATENATE($T197,"-AI",REPLACE($X197,1,3,""),"-",QH197)</f>
        <v>F0-AI26-11A</v>
      </c>
      <c r="RG197" s="12" t="str">
        <f t="shared" ref="RG197" si="408">CONCATENATE($T197,"-AI",REPLACE($X197,1,3,""),"-",QI197)</f>
        <v>F0-AI26-13B</v>
      </c>
      <c r="RH197" s="12" t="str">
        <f t="shared" ref="RH197" si="409">CONCATENATE($T197,"-AI",REPLACE($X197,1,3,""),"-",QJ197)</f>
        <v>F0-AI26-13A</v>
      </c>
      <c r="RI197" s="12" t="str">
        <f t="shared" ref="RI197:RT197" si="410">CONCATENATE($T197,"-AI",REPLACE($PZ197,1,3,""),"-",QK197)</f>
        <v>F0-AI27-1B</v>
      </c>
      <c r="RJ197" s="12" t="str">
        <f t="shared" si="410"/>
        <v>F0-AI27-1A</v>
      </c>
      <c r="RK197" s="12" t="str">
        <f t="shared" si="410"/>
        <v>F0-AI27-3B</v>
      </c>
      <c r="RL197" s="12" t="str">
        <f t="shared" si="410"/>
        <v>F0-AI27-3A</v>
      </c>
      <c r="RM197" s="12" t="str">
        <f t="shared" si="410"/>
        <v>F0-AI27-5B</v>
      </c>
      <c r="RN197" s="12" t="str">
        <f t="shared" si="410"/>
        <v>F0-AI27-5A</v>
      </c>
      <c r="RO197" s="12" t="str">
        <f t="shared" si="410"/>
        <v>F0-AI27-7B</v>
      </c>
      <c r="RP197" s="12" t="str">
        <f t="shared" si="410"/>
        <v>F0-AI27-7A</v>
      </c>
      <c r="RQ197" s="12" t="str">
        <f t="shared" si="410"/>
        <v>F0-AI27-9B</v>
      </c>
      <c r="RR197" s="12" t="str">
        <f t="shared" si="410"/>
        <v>F0-AI27-9A</v>
      </c>
      <c r="RS197" s="12" t="str">
        <f t="shared" si="410"/>
        <v>F0-AI27-11B</v>
      </c>
      <c r="RT197" s="12" t="str">
        <f t="shared" si="410"/>
        <v>F0-AI27-11A</v>
      </c>
      <c r="RU197" s="12" t="str">
        <f t="shared" ref="RU197" si="411">CONCATENATE("XT",$U197)</f>
        <v>XT61</v>
      </c>
      <c r="RV197" s="12">
        <v>25</v>
      </c>
      <c r="RW197" s="12">
        <f>RV197+1</f>
        <v>26</v>
      </c>
      <c r="RX197" s="12">
        <f t="shared" ref="RX197:ST197" si="412">RW197+1</f>
        <v>27</v>
      </c>
      <c r="RY197" s="12">
        <f t="shared" si="412"/>
        <v>28</v>
      </c>
      <c r="RZ197" s="12">
        <f t="shared" si="412"/>
        <v>29</v>
      </c>
      <c r="SA197" s="12">
        <f t="shared" si="412"/>
        <v>30</v>
      </c>
      <c r="SB197" s="12">
        <f t="shared" si="412"/>
        <v>31</v>
      </c>
      <c r="SC197" s="12">
        <f t="shared" si="412"/>
        <v>32</v>
      </c>
      <c r="SD197" s="12">
        <f t="shared" si="412"/>
        <v>33</v>
      </c>
      <c r="SE197" s="12">
        <f t="shared" si="412"/>
        <v>34</v>
      </c>
      <c r="SF197" s="12">
        <f t="shared" si="412"/>
        <v>35</v>
      </c>
      <c r="SG197" s="12">
        <f t="shared" si="412"/>
        <v>36</v>
      </c>
      <c r="SH197" s="12">
        <f t="shared" si="412"/>
        <v>37</v>
      </c>
      <c r="SI197" s="12">
        <f t="shared" si="412"/>
        <v>38</v>
      </c>
      <c r="SJ197" s="12">
        <f t="shared" si="412"/>
        <v>39</v>
      </c>
      <c r="SK197" s="12">
        <f t="shared" si="412"/>
        <v>40</v>
      </c>
      <c r="SL197" s="12">
        <f t="shared" si="412"/>
        <v>41</v>
      </c>
      <c r="SM197" s="12">
        <f t="shared" si="412"/>
        <v>42</v>
      </c>
      <c r="SN197" s="12">
        <f t="shared" si="412"/>
        <v>43</v>
      </c>
      <c r="SO197" s="12">
        <f t="shared" si="412"/>
        <v>44</v>
      </c>
      <c r="SP197" s="12">
        <f t="shared" si="412"/>
        <v>45</v>
      </c>
      <c r="SQ197" s="12">
        <f t="shared" si="412"/>
        <v>46</v>
      </c>
      <c r="SR197" s="12">
        <f t="shared" si="412"/>
        <v>47</v>
      </c>
      <c r="SS197" s="12">
        <f t="shared" si="412"/>
        <v>48</v>
      </c>
      <c r="ST197" s="12">
        <f t="shared" si="412"/>
        <v>49</v>
      </c>
      <c r="SU197" s="12" t="s">
        <v>1148</v>
      </c>
      <c r="SV197" s="12" t="s">
        <v>1149</v>
      </c>
      <c r="SW197" s="12" t="s">
        <v>1150</v>
      </c>
      <c r="SX197" s="12" t="s">
        <v>1151</v>
      </c>
      <c r="SY197" s="12" t="s">
        <v>1152</v>
      </c>
      <c r="SZ197" s="12" t="s">
        <v>1153</v>
      </c>
      <c r="TA197" s="12" t="s">
        <v>1154</v>
      </c>
      <c r="TB197" s="12" t="s">
        <v>1155</v>
      </c>
      <c r="TC197" s="12" t="s">
        <v>1156</v>
      </c>
      <c r="TD197" s="12" t="s">
        <v>1157</v>
      </c>
      <c r="TE197" s="12" t="s">
        <v>1158</v>
      </c>
      <c r="TF197" s="12" t="s">
        <v>1159</v>
      </c>
      <c r="TG197" s="12" t="s">
        <v>1016</v>
      </c>
      <c r="TH197" s="12" t="s">
        <v>1085</v>
      </c>
      <c r="TI197" s="12" t="s">
        <v>1086</v>
      </c>
      <c r="TJ197" s="12" t="s">
        <v>1087</v>
      </c>
      <c r="TK197" s="12" t="s">
        <v>1089</v>
      </c>
      <c r="TL197" s="12" t="s">
        <v>1088</v>
      </c>
      <c r="TM197" s="12" t="s">
        <v>1090</v>
      </c>
      <c r="TN197" s="12" t="s">
        <v>1091</v>
      </c>
      <c r="TO197" s="12" t="s">
        <v>1092</v>
      </c>
      <c r="TP197" s="12" t="s">
        <v>1093</v>
      </c>
      <c r="TQ197" s="12" t="s">
        <v>1094</v>
      </c>
      <c r="TR197" s="13" t="s">
        <v>1095</v>
      </c>
    </row>
    <row r="198" spans="1:538" x14ac:dyDescent="0.25">
      <c r="A198" t="s">
        <v>1177</v>
      </c>
      <c r="B198" s="34" t="s">
        <v>1169</v>
      </c>
      <c r="C198" t="s">
        <v>969</v>
      </c>
      <c r="P198" t="s">
        <v>968</v>
      </c>
      <c r="T198" s="14" t="s">
        <v>520</v>
      </c>
      <c r="U198">
        <v>62</v>
      </c>
      <c r="W198" t="s">
        <v>1196</v>
      </c>
      <c r="X198" t="s">
        <v>1572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SUM(IF(ISNUMBER(FIND("TmAi",$BE$1:$AAL$1)),IF(IFERROR(ISODD(SUBSTITUTE($BE198:$AAL198,"A","")),FALSE),IF(ISODD(SUBSTITUTE($BE198:$AAL198,"A","")),1,0),0)))</f>
        <v>1</v>
      </c>
      <c r="AA198" t="str">
        <f t="shared" si="229"/>
        <v>1A</v>
      </c>
      <c r="AB198" t="str">
        <f t="shared" si="230"/>
        <v>1B</v>
      </c>
      <c r="AP198" t="s">
        <v>137</v>
      </c>
      <c r="AR198" t="s">
        <v>1170</v>
      </c>
      <c r="AS198" t="s">
        <v>366</v>
      </c>
      <c r="OG198" s="25" t="str">
        <f>CONCATENATE("XT",$U198)</f>
        <v>XT62</v>
      </c>
      <c r="OH198" s="12" t="s">
        <v>1178</v>
      </c>
      <c r="OI198" s="12" t="s">
        <v>1277</v>
      </c>
      <c r="OJ198" s="12"/>
      <c r="OK198" s="12"/>
      <c r="OL198" s="12" t="str">
        <f>CONCATENATE(REPLACE($AA198,LEN($AA198),1,"")+1,RIGHT($AA198))</f>
        <v>2A</v>
      </c>
      <c r="OM198" s="12" t="str">
        <f>CONCATENATE(REPLACE($AB198,LEN($AB198),1,"")+1,RIGHT($AB198))</f>
        <v>2B</v>
      </c>
      <c r="ON198" s="12" t="str">
        <f>CONCATENATE(REPLACE(OL198,LEN(OL198),1,"")+1,RIGHT(OL198))</f>
        <v>3A</v>
      </c>
      <c r="OO198" s="12" t="str">
        <f t="shared" ref="OO198:OO200" si="413">CONCATENATE(REPLACE(OM198,LEN(OM198),1,"")+1,RIGHT(OM198))</f>
        <v>3B</v>
      </c>
      <c r="OP198" s="12" t="str">
        <f t="shared" ref="OP198:OP200" si="414">CONCATENATE(REPLACE(ON198,LEN(ON198),1,"")+1,RIGHT(ON198))</f>
        <v>4A</v>
      </c>
      <c r="OQ198" s="12" t="str">
        <f t="shared" ref="OQ198:OQ200" si="415">CONCATENATE(REPLACE(OO198,LEN(OO198),1,"")+1,RIGHT(OO198))</f>
        <v>4B</v>
      </c>
      <c r="OR198" s="12"/>
      <c r="OS198" s="12"/>
      <c r="OT198" s="12"/>
      <c r="OU198" s="12"/>
      <c r="OV198" s="12" t="str">
        <f>CONCATENATE($T198,"-AI",REPLACE($X198,1,3,""),"-",$AA198)</f>
        <v>F0-AI42-1A</v>
      </c>
      <c r="OW198" s="12" t="str">
        <f>CONCATENATE($T198,"-AI",REPLACE($X198,1,3,""),"-",$AB198)</f>
        <v>F0-AI42-1B</v>
      </c>
      <c r="OX198" s="12" t="str">
        <f t="shared" ref="OX198:OX200" si="416">CONCATENATE($T198,"-AI",REPLACE($X198,1,3,""),"-",OL198)</f>
        <v>F0-AI42-2A</v>
      </c>
      <c r="OY198" s="12" t="str">
        <f t="shared" ref="OY198:OY200" si="417">CONCATENATE($T198,"-AI",REPLACE($X198,1,3,""),"-",OM198)</f>
        <v>F0-AI42-2B</v>
      </c>
      <c r="OZ198" s="12" t="str">
        <f t="shared" ref="OZ198:OZ200" si="418">CONCATENATE($T198,"-AI",REPLACE($X198,1,3,""),"-",ON198)</f>
        <v>F0-AI42-3A</v>
      </c>
      <c r="PA198" s="12" t="str">
        <f t="shared" ref="PA198:PA200" si="419">CONCATENATE($T198,"-AI",REPLACE($X198,1,3,""),"-",OO198)</f>
        <v>F0-AI42-3B</v>
      </c>
      <c r="PB198" s="12" t="str">
        <f t="shared" ref="PB198:PB200" si="420">CONCATENATE($T198,"-AI",REPLACE($X198,1,3,""),"-",OP198)</f>
        <v>F0-AI42-4A</v>
      </c>
      <c r="PC198" s="12" t="str">
        <f t="shared" ref="PC198:PC200" si="421">CONCATENATE($T198,"-AI",REPLACE($X198,1,3,""),"-",OQ198)</f>
        <v>F0-AI42-4B</v>
      </c>
      <c r="PD198" s="12"/>
      <c r="PE198" s="12"/>
      <c r="PF198" s="12"/>
      <c r="PG198" s="12"/>
      <c r="PH198" s="12" cm="1">
        <f t="array" ref="PH198">IF(COUNTIFS($U$2:$U198,$U198)=1,1,INDEX(PH:PH,_xlfn.XMATCH($U198,$U$1:EF197,0,-1))+COUNT(PH197:PM197))</f>
        <v>1</v>
      </c>
      <c r="PI198" s="12">
        <f t="shared" ref="PI198:PI200" si="422">PH198+1</f>
        <v>2</v>
      </c>
      <c r="PJ198" s="12">
        <f t="shared" ref="PJ198:PJ200" si="423">PI198+1</f>
        <v>3</v>
      </c>
      <c r="PK198" s="12">
        <f>PJ198+1</f>
        <v>4</v>
      </c>
      <c r="PL198" s="12">
        <f t="shared" ref="PL198:PL200" si="424">PK198+1</f>
        <v>5</v>
      </c>
      <c r="PM198" s="12">
        <f t="shared" ref="PM198:PM200" si="425">PL198+1</f>
        <v>6</v>
      </c>
      <c r="PN198" s="12"/>
      <c r="PO198" s="12"/>
      <c r="PP198" s="12"/>
      <c r="PQ198" s="12">
        <v>1</v>
      </c>
      <c r="PR198" s="12">
        <v>2</v>
      </c>
      <c r="PS198" s="12">
        <v>3</v>
      </c>
      <c r="PT198" s="12">
        <v>4</v>
      </c>
      <c r="PU198" s="12">
        <v>5</v>
      </c>
      <c r="PV198" s="13">
        <v>6</v>
      </c>
    </row>
    <row r="199" spans="1:538" ht="15.75" thickBot="1" x14ac:dyDescent="0.3">
      <c r="A199" t="s">
        <v>1179</v>
      </c>
      <c r="B199" t="s">
        <v>1171</v>
      </c>
      <c r="C199" t="s">
        <v>969</v>
      </c>
      <c r="P199" t="s">
        <v>968</v>
      </c>
      <c r="T199" s="14" t="s">
        <v>520</v>
      </c>
      <c r="U199">
        <v>62</v>
      </c>
      <c r="W199" t="s">
        <v>1197</v>
      </c>
      <c r="X199" t="str">
        <f>IF(COUNTIF(X$1:X198,X198)&gt;7,REPLACE(X198,LEN(X198),1,VALUE(RIGHT(X198,1))+1),X198)</f>
        <v>A3.42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SUM(IF(ISNUMBER(FIND("TmAi",$BE$1:$AAL$1)),IF(IFERROR(ISODD(SUBSTITUTE($BE199:$AAL199,"A","")),FALSE),IF(ISODD(SUBSTITUTE($BE199:$AAL199,"A","")),1,0),0)))</f>
        <v>1</v>
      </c>
      <c r="AA199" t="str">
        <f t="shared" si="229"/>
        <v>5A</v>
      </c>
      <c r="AB199" t="str">
        <f t="shared" si="230"/>
        <v>5B</v>
      </c>
      <c r="AP199" t="s">
        <v>137</v>
      </c>
      <c r="AR199" t="s">
        <v>1170</v>
      </c>
      <c r="AS199" t="s">
        <v>366</v>
      </c>
      <c r="OG199" s="27" t="str">
        <f t="shared" ref="OG199:OG200" si="426">CONCATENATE("XT",$U199)</f>
        <v>XT62</v>
      </c>
      <c r="OH199" t="s">
        <v>1180</v>
      </c>
      <c r="OI199" t="s">
        <v>1278</v>
      </c>
      <c r="OL199" t="str">
        <f t="shared" ref="OL199:OL200" si="427">CONCATENATE(REPLACE($AA199,LEN($AA199),1,"")+1,RIGHT($AA199))</f>
        <v>6A</v>
      </c>
      <c r="OM199" t="str">
        <f t="shared" ref="OM199:OM200" si="428">CONCATENATE(REPLACE($AB199,LEN($AB199),1,"")+1,RIGHT($AB199))</f>
        <v>6B</v>
      </c>
      <c r="ON199" t="str">
        <f t="shared" ref="ON199:ON200" si="429">CONCATENATE(REPLACE(OL199,LEN(OL199),1,"")+1,RIGHT(OL199))</f>
        <v>7A</v>
      </c>
      <c r="OO199" t="str">
        <f t="shared" si="413"/>
        <v>7B</v>
      </c>
      <c r="OP199" t="str">
        <f t="shared" si="414"/>
        <v>8A</v>
      </c>
      <c r="OQ199" t="str">
        <f t="shared" si="415"/>
        <v>8B</v>
      </c>
      <c r="OV199" t="str">
        <f>CONCATENATE($T199,"-AI",REPLACE($X199,1,3,""),"-",$AA199)</f>
        <v>F0-AI42-5A</v>
      </c>
      <c r="OW199" t="str">
        <f>CONCATENATE($T199,"-AI",REPLACE($X199,1,3,""),"-",$AB199)</f>
        <v>F0-AI42-5B</v>
      </c>
      <c r="OX199" t="str">
        <f t="shared" si="416"/>
        <v>F0-AI42-6A</v>
      </c>
      <c r="OY199" t="str">
        <f t="shared" si="417"/>
        <v>F0-AI42-6B</v>
      </c>
      <c r="OZ199" t="str">
        <f t="shared" si="418"/>
        <v>F0-AI42-7A</v>
      </c>
      <c r="PA199" t="str">
        <f t="shared" si="419"/>
        <v>F0-AI42-7B</v>
      </c>
      <c r="PB199" t="str">
        <f t="shared" si="420"/>
        <v>F0-AI42-8A</v>
      </c>
      <c r="PC199" t="str">
        <f t="shared" si="421"/>
        <v>F0-AI42-8B</v>
      </c>
      <c r="PH199" cm="1">
        <f t="array" ref="PH199">IF(COUNTIFS($U$2:$U199,$U199)=1,1,INDEX(PH:PH,_xlfn.XMATCH($U199,$U$1:$U198,0,-1))+COUNT(PH198:PM198))</f>
        <v>7</v>
      </c>
      <c r="PI199">
        <f t="shared" si="422"/>
        <v>8</v>
      </c>
      <c r="PJ199">
        <f t="shared" si="423"/>
        <v>9</v>
      </c>
      <c r="PK199">
        <f t="shared" ref="PK199:PK200" si="430">PJ199+1</f>
        <v>10</v>
      </c>
      <c r="PL199">
        <f t="shared" si="424"/>
        <v>11</v>
      </c>
      <c r="PM199">
        <f t="shared" si="425"/>
        <v>12</v>
      </c>
      <c r="PQ199">
        <v>7</v>
      </c>
      <c r="PR199">
        <v>8</v>
      </c>
      <c r="PS199">
        <v>9</v>
      </c>
      <c r="PT199">
        <v>10</v>
      </c>
      <c r="PU199">
        <v>11</v>
      </c>
      <c r="PV199" s="16">
        <v>12</v>
      </c>
    </row>
    <row r="200" spans="1:538" ht="15.75" thickBot="1" x14ac:dyDescent="0.3">
      <c r="A200" t="s">
        <v>1181</v>
      </c>
      <c r="B200" t="s">
        <v>1172</v>
      </c>
      <c r="C200" t="s">
        <v>969</v>
      </c>
      <c r="P200" t="s">
        <v>1004</v>
      </c>
      <c r="T200" s="14" t="s">
        <v>520</v>
      </c>
      <c r="U200">
        <v>62</v>
      </c>
      <c r="W200" t="s">
        <v>1198</v>
      </c>
      <c r="X200" s="33" t="str">
        <f>IF(COUNTIF(X$1:X199,X199)&gt;7,REPLACE(X199,LEN(X199),1,VALUE(RIGHT(X199,1))+1),X199)</f>
        <v>A3.42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SUM(IF(ISNUMBER(FIND("TmAi",$BE$1:$AAL$1)),IF(IFERROR(ISODD(SUBSTITUTE($BE200:$AAL200,"A","")),FALSE),IF(ISODD(SUBSTITUTE($BE200:$AAL200,"A","")),1,0),0)))</f>
        <v>2</v>
      </c>
      <c r="AA200" t="str">
        <f t="shared" si="229"/>
        <v>9A</v>
      </c>
      <c r="AB200" t="str">
        <f t="shared" si="230"/>
        <v>9B</v>
      </c>
      <c r="AP200" t="s">
        <v>137</v>
      </c>
      <c r="AR200" t="s">
        <v>1173</v>
      </c>
      <c r="AS200" t="s">
        <v>366</v>
      </c>
      <c r="OG200" s="27" t="str">
        <f t="shared" si="426"/>
        <v>XT62</v>
      </c>
      <c r="OH200" t="s">
        <v>1182</v>
      </c>
      <c r="OI200" t="s">
        <v>1279</v>
      </c>
      <c r="OJ200" t="s">
        <v>1272</v>
      </c>
      <c r="OK200" t="s">
        <v>1280</v>
      </c>
      <c r="OL200" t="str">
        <f t="shared" si="427"/>
        <v>10A</v>
      </c>
      <c r="OM200" t="str">
        <f t="shared" si="428"/>
        <v>10B</v>
      </c>
      <c r="ON200" t="str">
        <f t="shared" si="429"/>
        <v>11A</v>
      </c>
      <c r="OO200" t="str">
        <f t="shared" si="413"/>
        <v>11B</v>
      </c>
      <c r="OP200" t="str">
        <f t="shared" si="414"/>
        <v>12A</v>
      </c>
      <c r="OQ200" t="str">
        <f t="shared" si="415"/>
        <v>12B</v>
      </c>
      <c r="OR200" t="str">
        <f t="shared" ref="OR200" si="431">CONCATENATE(REPLACE(OP200,LEN(OP200),1,"")+1,RIGHT(OP200))</f>
        <v>13A</v>
      </c>
      <c r="OS200" t="str">
        <f t="shared" ref="OS200" si="432">CONCATENATE(REPLACE(OQ200,LEN(OQ200),1,"")+1,RIGHT(OQ200))</f>
        <v>13B</v>
      </c>
      <c r="OT200" t="str">
        <f t="shared" ref="OT200" si="433">CONCATENATE(REPLACE(OR200,LEN(OR200),1,"")+1,RIGHT(OR200))</f>
        <v>14A</v>
      </c>
      <c r="OU200" t="str">
        <f t="shared" ref="OU200" si="434">CONCATENATE(REPLACE(OS200,LEN(OS200),1,"")+1,RIGHT(OS200))</f>
        <v>14B</v>
      </c>
      <c r="OV200" t="str">
        <f>CONCATENATE($T200,"-AI",REPLACE($X200,1,3,""),"-",$AA200)</f>
        <v>F0-AI42-9A</v>
      </c>
      <c r="OW200" t="str">
        <f>CONCATENATE($T200,"-AI",REPLACE($X200,1,3,""),"-",$AB200)</f>
        <v>F0-AI42-9B</v>
      </c>
      <c r="OX200" t="str">
        <f t="shared" si="416"/>
        <v>F0-AI42-10A</v>
      </c>
      <c r="OY200" t="str">
        <f t="shared" si="417"/>
        <v>F0-AI42-10B</v>
      </c>
      <c r="OZ200" t="str">
        <f t="shared" si="418"/>
        <v>F0-AI42-11A</v>
      </c>
      <c r="PA200" t="str">
        <f t="shared" si="419"/>
        <v>F0-AI42-11B</v>
      </c>
      <c r="PB200" t="str">
        <f t="shared" si="420"/>
        <v>F0-AI42-12A</v>
      </c>
      <c r="PC200" t="str">
        <f t="shared" si="421"/>
        <v>F0-AI42-12B</v>
      </c>
      <c r="PD200" t="str">
        <f t="shared" ref="PD200" si="435">CONCATENATE($T200,"-AI",REPLACE($X200,1,3,""),"-",OR200)</f>
        <v>F0-AI42-13A</v>
      </c>
      <c r="PE200" t="str">
        <f t="shared" ref="PE200" si="436">CONCATENATE($T200,"-AI",REPLACE($X200,1,3,""),"-",OS200)</f>
        <v>F0-AI42-13B</v>
      </c>
      <c r="PF200" t="str">
        <f t="shared" ref="PF200" si="437">CONCATENATE($T200,"-AI",REPLACE($X200,1,3,""),"-",OT200)</f>
        <v>F0-AI42-14A</v>
      </c>
      <c r="PG200" t="str">
        <f t="shared" ref="PG200" si="438">CONCATENATE($T200,"-AI",REPLACE($X200,1,3,""),"-",OU200)</f>
        <v>F0-AI42-14B</v>
      </c>
      <c r="PH200" cm="1">
        <f t="array" ref="PH200">IF(COUNTIFS($U$2:$U200,$U200)=1,1,INDEX(PH:PH,_xlfn.XMATCH($U200,$U$1:$U199,0,-1))+COUNT(PH199:PM199))</f>
        <v>13</v>
      </c>
      <c r="PI200">
        <f t="shared" si="422"/>
        <v>14</v>
      </c>
      <c r="PJ200">
        <f t="shared" si="423"/>
        <v>15</v>
      </c>
      <c r="PK200">
        <f t="shared" si="430"/>
        <v>16</v>
      </c>
      <c r="PL200">
        <f t="shared" si="424"/>
        <v>17</v>
      </c>
      <c r="PM200">
        <f t="shared" si="425"/>
        <v>18</v>
      </c>
      <c r="PN200">
        <f t="shared" ref="PN200" si="439">PM200+1</f>
        <v>19</v>
      </c>
      <c r="PO200">
        <f t="shared" ref="PO200" si="440">PN200+1</f>
        <v>20</v>
      </c>
      <c r="PP200">
        <f t="shared" ref="PP200" si="441">PO200+1</f>
        <v>21</v>
      </c>
      <c r="PQ200">
        <v>1</v>
      </c>
      <c r="PR200">
        <v>2</v>
      </c>
      <c r="PS200">
        <v>3</v>
      </c>
      <c r="PT200">
        <v>4</v>
      </c>
      <c r="PU200">
        <v>5</v>
      </c>
      <c r="PV200">
        <v>6</v>
      </c>
      <c r="PW200" s="23">
        <v>7</v>
      </c>
      <c r="PX200" s="23">
        <v>8</v>
      </c>
      <c r="PY200" s="24">
        <v>9</v>
      </c>
    </row>
    <row r="201" spans="1:538" ht="15.75" thickBot="1" x14ac:dyDescent="0.3">
      <c r="A201" t="s">
        <v>1183</v>
      </c>
      <c r="B201" t="s">
        <v>1174</v>
      </c>
      <c r="P201" t="s">
        <v>448</v>
      </c>
      <c r="T201" s="14" t="s">
        <v>520</v>
      </c>
      <c r="U201">
        <v>62</v>
      </c>
      <c r="W201" t="s">
        <v>1199</v>
      </c>
      <c r="X201" s="36" t="s">
        <v>1311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SUM(IF(ISNUMBER(FIND("TmAi",$BE$1:$AAL$1)),IF(IFERROR(ISODD(SUBSTITUTE($BE201:$AAL201,"A","")),FALSE),IF(ISODD(SUBSTITUTE($BE201:$AAL201,"A","")),1,0),0)))</f>
        <v>0</v>
      </c>
      <c r="AA201" t="str">
        <f t="shared" ref="AA201" si="442">CONCATENATE($Y201*2-1,"B")</f>
        <v>1B</v>
      </c>
      <c r="AB201" t="str">
        <f t="shared" ref="AB201" si="443">CONCATENATE($Y201*2,"B")</f>
        <v>2B</v>
      </c>
      <c r="AP201" t="s">
        <v>137</v>
      </c>
      <c r="AQ201" t="s">
        <v>1098</v>
      </c>
      <c r="AS201" t="s">
        <v>366</v>
      </c>
      <c r="JZ201" s="27" t="str">
        <f>CONCATENATE("XT",U201)</f>
        <v>XT62</v>
      </c>
      <c r="KC201" t="str">
        <f>CONCATENATE(T201,"-AI",REPLACE($X201,1,3,""),"-",AA201)</f>
        <v>F0-AI28-1B</v>
      </c>
      <c r="KD201" t="str">
        <f>CONCATENATE(T201,"-AI",REPLACE($X201,1,3,""),"-",AB201)</f>
        <v>F0-AI28-2B</v>
      </c>
      <c r="KI201">
        <v>22</v>
      </c>
      <c r="KJ201">
        <f t="shared" ref="KJ201" si="444">KI201+1</f>
        <v>23</v>
      </c>
      <c r="KK201">
        <f t="shared" ref="KK201" si="445">KJ201+1</f>
        <v>24</v>
      </c>
      <c r="KN201" t="s">
        <v>514</v>
      </c>
      <c r="KO201" s="16" t="s">
        <v>514</v>
      </c>
      <c r="KS201" s="16"/>
      <c r="OG201" s="27"/>
      <c r="PV201" s="16"/>
    </row>
    <row r="202" spans="1:538" ht="15.75" thickBot="1" x14ac:dyDescent="0.3">
      <c r="A202" t="s">
        <v>1588</v>
      </c>
      <c r="B202" s="33" t="s">
        <v>1175</v>
      </c>
      <c r="P202" t="s">
        <v>1018</v>
      </c>
      <c r="T202" s="14" t="s">
        <v>520</v>
      </c>
      <c r="U202">
        <v>62</v>
      </c>
      <c r="W202" t="s">
        <v>1202</v>
      </c>
      <c r="X202" s="33" t="str">
        <f>IF(COUNTIF(X$1:X201,X201)&gt;3,REPLACE(X201,LEN(X201),1,VALUE(RIGHT(X201,1))+1),X201)</f>
        <v>A3.28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SUM(IF(ISNUMBER(FIND("TmAi",$BE$1:$AAL$1)),IF(IFERROR(ISODD(SUBSTITUTE($BE202:$AAL202,"A","")),FALSE),IF(ISODD(SUBSTITUTE($BE202:$AAL202,"A","")),1,0),0)))</f>
        <v>11</v>
      </c>
      <c r="AA202" t="str">
        <f t="shared" si="229"/>
        <v>3A</v>
      </c>
      <c r="AB202" t="str">
        <f t="shared" si="230"/>
        <v>3B</v>
      </c>
      <c r="AP202" t="s">
        <v>137</v>
      </c>
      <c r="AR202" t="s">
        <v>1176</v>
      </c>
      <c r="AS202" t="s">
        <v>366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Z202" s="25" t="str">
        <f>REPLACE(X202,FIND(".",X202)+1,3,MID(X202,FIND(".",X202)+1,3)+1)</f>
        <v>A3.29</v>
      </c>
      <c r="QA202" s="12" t="str">
        <f>CONCATENATE(VALUE(SUBSTITUTE($AB202,"B",""))+2,"B")</f>
        <v>5B</v>
      </c>
      <c r="QB202" s="12" t="str">
        <f>CONCATENATE(VALUE(SUBSTITUTE($AA202,"A",""))+2,"A")</f>
        <v>5A</v>
      </c>
      <c r="QC202" s="12" t="str">
        <f>CONCATENATE(VALUE(SUBSTITUTE(QA202,"B",""))+2,"B")</f>
        <v>7B</v>
      </c>
      <c r="QD202" s="12" t="str">
        <f>CONCATENATE(VALUE(SUBSTITUTE(QB202,"A",""))+2,"A")</f>
        <v>7A</v>
      </c>
      <c r="QE202" s="12" t="str">
        <f t="shared" ref="QE202" si="446">CONCATENATE(VALUE(SUBSTITUTE(QC202,"B",""))+2,"B")</f>
        <v>9B</v>
      </c>
      <c r="QF202" s="12" t="str">
        <f t="shared" ref="QF202" si="447">CONCATENATE(VALUE(SUBSTITUTE(QD202,"A",""))+2,"A")</f>
        <v>9A</v>
      </c>
      <c r="QG202" s="12" t="str">
        <f t="shared" ref="QG202" si="448">CONCATENATE(VALUE(SUBSTITUTE(QE202,"B",""))+2,"B")</f>
        <v>11B</v>
      </c>
      <c r="QH202" s="12" t="str">
        <f t="shared" ref="QH202" si="449">CONCATENATE(VALUE(SUBSTITUTE(QF202,"A",""))+2,"A")</f>
        <v>11A</v>
      </c>
      <c r="QI202" s="12" t="str">
        <f t="shared" ref="QI202" si="450">CONCATENATE(VALUE(SUBSTITUTE(QG202,"B",""))+2,"B")</f>
        <v>13B</v>
      </c>
      <c r="QJ202" s="12" t="str">
        <f t="shared" ref="QJ202" si="451">CONCATENATE(VALUE(SUBSTITUTE(QH202,"A",""))+2,"A")</f>
        <v>13A</v>
      </c>
      <c r="QK202" s="12" t="s">
        <v>135</v>
      </c>
      <c r="QL202" s="12" t="s">
        <v>136</v>
      </c>
      <c r="QM202" s="12" t="str">
        <f t="shared" ref="QM202" si="452">CONCATENATE(VALUE(SUBSTITUTE(QK202,"B",""))+2,"B")</f>
        <v>3B</v>
      </c>
      <c r="QN202" s="12" t="str">
        <f t="shared" ref="QN202" si="453">CONCATENATE(VALUE(SUBSTITUTE(QL202,"A",""))+2,"A")</f>
        <v>3A</v>
      </c>
      <c r="QO202" s="12" t="str">
        <f t="shared" ref="QO202" si="454">CONCATENATE(VALUE(SUBSTITUTE(QM202,"B",""))+2,"B")</f>
        <v>5B</v>
      </c>
      <c r="QP202" s="12" t="str">
        <f t="shared" ref="QP202" si="455">CONCATENATE(VALUE(SUBSTITUTE(QN202,"A",""))+2,"A")</f>
        <v>5A</v>
      </c>
      <c r="QQ202" s="12" t="str">
        <f t="shared" ref="QQ202" si="456">CONCATENATE(VALUE(SUBSTITUTE(QO202,"B",""))+2,"B")</f>
        <v>7B</v>
      </c>
      <c r="QR202" s="12" t="str">
        <f t="shared" ref="QR202" si="457">CONCATENATE(VALUE(SUBSTITUTE(QP202,"A",""))+2,"A")</f>
        <v>7A</v>
      </c>
      <c r="QS202" s="12" t="str">
        <f t="shared" ref="QS202" si="458">CONCATENATE(VALUE(SUBSTITUTE(QQ202,"B",""))+2,"B")</f>
        <v>9B</v>
      </c>
      <c r="QT202" s="12" t="str">
        <f t="shared" ref="QT202" si="459">CONCATENATE(VALUE(SUBSTITUTE(QR202,"A",""))+2,"A")</f>
        <v>9A</v>
      </c>
      <c r="QU202" s="12" t="str">
        <f t="shared" ref="QU202" si="460">CONCATENATE(VALUE(SUBSTITUTE(QS202,"B",""))+2,"B")</f>
        <v>11B</v>
      </c>
      <c r="QV202" s="12" t="str">
        <f t="shared" ref="QV202" si="461">CONCATENATE(VALUE(SUBSTITUTE(QT202,"A",""))+2,"A")</f>
        <v>11A</v>
      </c>
      <c r="QW202" s="12" t="str">
        <f>CONCATENATE($T202,"-AI",REPLACE($X202,1,3,""),"-",AB202)</f>
        <v>F0-AI28-3B</v>
      </c>
      <c r="QX202" s="12" t="str">
        <f>CONCATENATE($T202,"-AI",REPLACE($X202,1,3,""),"-",AA202)</f>
        <v>F0-AI28-3A</v>
      </c>
      <c r="QY202" s="12" t="str">
        <f>CONCATENATE($T202,"-AI",REPLACE($X202,1,3,""),"-",QA202)</f>
        <v>F0-AI28-5B</v>
      </c>
      <c r="QZ202" s="12" t="str">
        <f>CONCATENATE($T202,"-AI",REPLACE($X202,1,3,""),"-",QB202)</f>
        <v>F0-AI28-5A</v>
      </c>
      <c r="RA202" s="12" t="str">
        <f t="shared" ref="RA202" si="462">CONCATENATE($T202,"-AI",REPLACE($X202,1,3,""),"-",QC202)</f>
        <v>F0-AI28-7B</v>
      </c>
      <c r="RB202" s="12" t="str">
        <f t="shared" ref="RB202" si="463">CONCATENATE($T202,"-AI",REPLACE($X202,1,3,""),"-",QD202)</f>
        <v>F0-AI28-7A</v>
      </c>
      <c r="RC202" s="12" t="str">
        <f t="shared" ref="RC202" si="464">CONCATENATE($T202,"-AI",REPLACE($X202,1,3,""),"-",QE202)</f>
        <v>F0-AI28-9B</v>
      </c>
      <c r="RD202" s="12" t="str">
        <f t="shared" ref="RD202" si="465">CONCATENATE($T202,"-AI",REPLACE($X202,1,3,""),"-",QF202)</f>
        <v>F0-AI28-9A</v>
      </c>
      <c r="RE202" s="12" t="str">
        <f t="shared" ref="RE202" si="466">CONCATENATE($T202,"-AI",REPLACE($X202,1,3,""),"-",QG202)</f>
        <v>F0-AI28-11B</v>
      </c>
      <c r="RF202" s="12" t="str">
        <f t="shared" ref="RF202" si="467">CONCATENATE($T202,"-AI",REPLACE($X202,1,3,""),"-",QH202)</f>
        <v>F0-AI28-11A</v>
      </c>
      <c r="RG202" s="12" t="str">
        <f t="shared" ref="RG202" si="468">CONCATENATE($T202,"-AI",REPLACE($X202,1,3,""),"-",QI202)</f>
        <v>F0-AI28-13B</v>
      </c>
      <c r="RH202" s="12" t="str">
        <f t="shared" ref="RH202" si="469">CONCATENATE($T202,"-AI",REPLACE($X202,1,3,""),"-",QJ202)</f>
        <v>F0-AI28-13A</v>
      </c>
      <c r="RI202" s="12" t="str">
        <f t="shared" ref="RI202:RT202" si="470">CONCATENATE($T202,"-AI",REPLACE($PZ202,1,3,""),"-",QK202)</f>
        <v>F0-AI29-1B</v>
      </c>
      <c r="RJ202" s="12" t="str">
        <f t="shared" si="470"/>
        <v>F0-AI29-1A</v>
      </c>
      <c r="RK202" s="12" t="str">
        <f t="shared" si="470"/>
        <v>F0-AI29-3B</v>
      </c>
      <c r="RL202" s="12" t="str">
        <f t="shared" si="470"/>
        <v>F0-AI29-3A</v>
      </c>
      <c r="RM202" s="12" t="str">
        <f t="shared" si="470"/>
        <v>F0-AI29-5B</v>
      </c>
      <c r="RN202" s="12" t="str">
        <f t="shared" si="470"/>
        <v>F0-AI29-5A</v>
      </c>
      <c r="RO202" s="12" t="str">
        <f t="shared" si="470"/>
        <v>F0-AI29-7B</v>
      </c>
      <c r="RP202" s="12" t="str">
        <f t="shared" si="470"/>
        <v>F0-AI29-7A</v>
      </c>
      <c r="RQ202" s="12" t="str">
        <f t="shared" si="470"/>
        <v>F0-AI29-9B</v>
      </c>
      <c r="RR202" s="12" t="str">
        <f t="shared" si="470"/>
        <v>F0-AI29-9A</v>
      </c>
      <c r="RS202" s="12" t="str">
        <f t="shared" si="470"/>
        <v>F0-AI29-11B</v>
      </c>
      <c r="RT202" s="12" t="str">
        <f t="shared" si="470"/>
        <v>F0-AI29-11A</v>
      </c>
      <c r="RU202" s="12" t="str">
        <f t="shared" ref="RU202" si="471">CONCATENATE("XT",$U202)</f>
        <v>XT62</v>
      </c>
      <c r="RV202" s="12">
        <v>25</v>
      </c>
      <c r="RW202" s="12">
        <f>RV202+1</f>
        <v>26</v>
      </c>
      <c r="RX202" s="12">
        <f t="shared" ref="RX202:ST202" si="472">RW202+1</f>
        <v>27</v>
      </c>
      <c r="RY202" s="12">
        <f t="shared" si="472"/>
        <v>28</v>
      </c>
      <c r="RZ202" s="12">
        <f t="shared" si="472"/>
        <v>29</v>
      </c>
      <c r="SA202" s="12">
        <f t="shared" si="472"/>
        <v>30</v>
      </c>
      <c r="SB202" s="12">
        <f t="shared" si="472"/>
        <v>31</v>
      </c>
      <c r="SC202" s="12">
        <f t="shared" si="472"/>
        <v>32</v>
      </c>
      <c r="SD202" s="12">
        <f t="shared" si="472"/>
        <v>33</v>
      </c>
      <c r="SE202" s="12">
        <f t="shared" si="472"/>
        <v>34</v>
      </c>
      <c r="SF202" s="12">
        <f t="shared" si="472"/>
        <v>35</v>
      </c>
      <c r="SG202" s="12">
        <f t="shared" si="472"/>
        <v>36</v>
      </c>
      <c r="SH202" s="12">
        <f t="shared" si="472"/>
        <v>37</v>
      </c>
      <c r="SI202" s="12">
        <f t="shared" si="472"/>
        <v>38</v>
      </c>
      <c r="SJ202" s="12">
        <f t="shared" si="472"/>
        <v>39</v>
      </c>
      <c r="SK202" s="12">
        <f t="shared" si="472"/>
        <v>40</v>
      </c>
      <c r="SL202" s="12">
        <f t="shared" si="472"/>
        <v>41</v>
      </c>
      <c r="SM202" s="12">
        <f t="shared" si="472"/>
        <v>42</v>
      </c>
      <c r="SN202" s="12">
        <f t="shared" si="472"/>
        <v>43</v>
      </c>
      <c r="SO202" s="12">
        <f t="shared" si="472"/>
        <v>44</v>
      </c>
      <c r="SP202" s="12">
        <f t="shared" si="472"/>
        <v>45</v>
      </c>
      <c r="SQ202" s="12">
        <f t="shared" si="472"/>
        <v>46</v>
      </c>
      <c r="SR202" s="12">
        <f t="shared" si="472"/>
        <v>47</v>
      </c>
      <c r="SS202" s="12">
        <f t="shared" si="472"/>
        <v>48</v>
      </c>
      <c r="ST202" s="12">
        <f t="shared" si="472"/>
        <v>49</v>
      </c>
      <c r="SU202" s="12" t="s">
        <v>1184</v>
      </c>
      <c r="SV202" s="12" t="s">
        <v>1185</v>
      </c>
      <c r="SW202" s="12" t="s">
        <v>1186</v>
      </c>
      <c r="SX202" s="12" t="s">
        <v>1187</v>
      </c>
      <c r="SY202" s="12" t="s">
        <v>1188</v>
      </c>
      <c r="SZ202" s="12" t="s">
        <v>1189</v>
      </c>
      <c r="TA202" s="12" t="s">
        <v>1190</v>
      </c>
      <c r="TB202" s="12" t="s">
        <v>1191</v>
      </c>
      <c r="TC202" s="12" t="s">
        <v>1192</v>
      </c>
      <c r="TD202" s="12" t="s">
        <v>1193</v>
      </c>
      <c r="TE202" s="12" t="s">
        <v>1194</v>
      </c>
      <c r="TF202" s="12" t="s">
        <v>1195</v>
      </c>
      <c r="TG202" s="12" t="s">
        <v>1016</v>
      </c>
      <c r="TH202" s="12" t="s">
        <v>1085</v>
      </c>
      <c r="TI202" s="12" t="s">
        <v>1086</v>
      </c>
      <c r="TJ202" s="12" t="s">
        <v>1087</v>
      </c>
      <c r="TK202" s="12" t="s">
        <v>1089</v>
      </c>
      <c r="TL202" s="12" t="s">
        <v>1088</v>
      </c>
      <c r="TM202" s="12" t="s">
        <v>1090</v>
      </c>
      <c r="TN202" s="12" t="s">
        <v>1091</v>
      </c>
      <c r="TO202" s="12" t="s">
        <v>1092</v>
      </c>
      <c r="TP202" s="12" t="s">
        <v>1093</v>
      </c>
      <c r="TQ202" s="12" t="s">
        <v>1094</v>
      </c>
      <c r="TR202" s="13" t="s">
        <v>1095</v>
      </c>
    </row>
    <row r="203" spans="1:538" x14ac:dyDescent="0.25">
      <c r="A203" t="s">
        <v>1204</v>
      </c>
      <c r="B203" s="34" t="s">
        <v>1260</v>
      </c>
      <c r="C203" t="s">
        <v>969</v>
      </c>
      <c r="P203" t="s">
        <v>968</v>
      </c>
      <c r="T203" s="14" t="s">
        <v>520</v>
      </c>
      <c r="U203">
        <v>63</v>
      </c>
      <c r="W203" t="s">
        <v>1203</v>
      </c>
      <c r="X203" s="36" t="s">
        <v>1667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SUM(IF(ISNUMBER(FIND("TmAi",$BE$1:$AAL$1)),IF(IFERROR(ISODD(SUBSTITUTE($BE203:$AAL203,"A","")),FALSE),IF(ISODD(SUBSTITUTE($BE203:$AAL203,"A","")),1,0),0)))</f>
        <v>1</v>
      </c>
      <c r="AA203" t="str">
        <f t="shared" si="229"/>
        <v>1A</v>
      </c>
      <c r="AB203" t="str">
        <f t="shared" si="230"/>
        <v>1B</v>
      </c>
      <c r="AP203" t="s">
        <v>137</v>
      </c>
      <c r="AR203" t="s">
        <v>1205</v>
      </c>
      <c r="AS203" t="s">
        <v>366</v>
      </c>
      <c r="OG203" s="25" t="str">
        <f>CONCATENATE("XT",$U203)</f>
        <v>XT63</v>
      </c>
      <c r="OH203" s="12" t="s">
        <v>1210</v>
      </c>
      <c r="OI203" s="12" t="s">
        <v>1262</v>
      </c>
      <c r="OJ203" s="12"/>
      <c r="OK203" s="12"/>
      <c r="OL203" s="12" t="str">
        <f>CONCATENATE(REPLACE($AA203,LEN($AA203),1,"")+1,RIGHT($AA203))</f>
        <v>2A</v>
      </c>
      <c r="OM203" s="12" t="str">
        <f>CONCATENATE(REPLACE($AB203,LEN($AB203),1,"")+1,RIGHT($AB203))</f>
        <v>2B</v>
      </c>
      <c r="ON203" s="12" t="str">
        <f>CONCATENATE(REPLACE(OL203,LEN(OL203),1,"")+1,RIGHT(OL203))</f>
        <v>3A</v>
      </c>
      <c r="OO203" s="12" t="str">
        <f t="shared" ref="OO203" si="473">CONCATENATE(REPLACE(OM203,LEN(OM203),1,"")+1,RIGHT(OM203))</f>
        <v>3B</v>
      </c>
      <c r="OP203" s="12" t="str">
        <f t="shared" ref="OP203" si="474">CONCATENATE(REPLACE(ON203,LEN(ON203),1,"")+1,RIGHT(ON203))</f>
        <v>4A</v>
      </c>
      <c r="OQ203" s="12" t="str">
        <f t="shared" ref="OQ203" si="475">CONCATENATE(REPLACE(OO203,LEN(OO203),1,"")+1,RIGHT(OO203))</f>
        <v>4B</v>
      </c>
      <c r="OR203" s="12"/>
      <c r="OS203" s="12"/>
      <c r="OT203" s="12"/>
      <c r="OU203" s="12"/>
      <c r="OV203" s="12" t="str">
        <f>CONCATENATE($T203,"-AI",REPLACE($X203,1,3,""),"-",$AA203)</f>
        <v>F0-AI43-1A</v>
      </c>
      <c r="OW203" s="12" t="str">
        <f>CONCATENATE($T203,"-AI",REPLACE($X203,1,3,""),"-",$AB203)</f>
        <v>F0-AI43-1B</v>
      </c>
      <c r="OX203" s="12" t="str">
        <f t="shared" ref="OX203" si="476">CONCATENATE($T203,"-AI",REPLACE($X203,1,3,""),"-",OL203)</f>
        <v>F0-AI43-2A</v>
      </c>
      <c r="OY203" s="12" t="str">
        <f t="shared" ref="OY203" si="477">CONCATENATE($T203,"-AI",REPLACE($X203,1,3,""),"-",OM203)</f>
        <v>F0-AI43-2B</v>
      </c>
      <c r="OZ203" s="12" t="str">
        <f t="shared" ref="OZ203" si="478">CONCATENATE($T203,"-AI",REPLACE($X203,1,3,""),"-",ON203)</f>
        <v>F0-AI43-3A</v>
      </c>
      <c r="PA203" s="12" t="str">
        <f t="shared" ref="PA203" si="479">CONCATENATE($T203,"-AI",REPLACE($X203,1,3,""),"-",OO203)</f>
        <v>F0-AI43-3B</v>
      </c>
      <c r="PB203" s="12" t="str">
        <f t="shared" ref="PB203" si="480">CONCATENATE($T203,"-AI",REPLACE($X203,1,3,""),"-",OP203)</f>
        <v>F0-AI43-4A</v>
      </c>
      <c r="PC203" s="12" t="str">
        <f t="shared" ref="PC203" si="481">CONCATENATE($T203,"-AI",REPLACE($X203,1,3,""),"-",OQ203)</f>
        <v>F0-AI43-4B</v>
      </c>
      <c r="PD203" s="12"/>
      <c r="PE203" s="12"/>
      <c r="PF203" s="12"/>
      <c r="PG203" s="12"/>
      <c r="PH203" s="12" cm="1">
        <f t="array" ref="PH203">IF(COUNTIFS($U$2:$U203,$U203)=1,1,INDEX(PH:PH,_xlfn.XMATCH($U203,$U$1:EF202,0,-1))+COUNT(PH202:PM202))</f>
        <v>1</v>
      </c>
      <c r="PI203" s="12">
        <f t="shared" ref="PI203" si="482">PH203+1</f>
        <v>2</v>
      </c>
      <c r="PJ203" s="12">
        <f t="shared" ref="PJ203" si="483">PI203+1</f>
        <v>3</v>
      </c>
      <c r="PK203" s="12">
        <f>PJ203+1</f>
        <v>4</v>
      </c>
      <c r="PL203" s="12">
        <f t="shared" ref="PL203" si="484">PK203+1</f>
        <v>5</v>
      </c>
      <c r="PM203" s="12">
        <f t="shared" ref="PM203" si="485">PL203+1</f>
        <v>6</v>
      </c>
      <c r="PN203" s="12"/>
      <c r="PO203" s="12"/>
      <c r="PP203" s="12"/>
      <c r="PQ203" s="12">
        <v>1</v>
      </c>
      <c r="PR203" s="12">
        <v>2</v>
      </c>
      <c r="PS203" s="12">
        <v>3</v>
      </c>
      <c r="PT203" s="12">
        <v>4</v>
      </c>
      <c r="PU203" s="12">
        <v>5</v>
      </c>
      <c r="PV203" s="13">
        <v>6</v>
      </c>
    </row>
    <row r="204" spans="1:538" ht="15.75" thickBot="1" x14ac:dyDescent="0.3">
      <c r="A204" t="s">
        <v>1207</v>
      </c>
      <c r="B204" s="33" t="s">
        <v>1291</v>
      </c>
      <c r="P204" t="s">
        <v>448</v>
      </c>
      <c r="T204" s="14" t="s">
        <v>520</v>
      </c>
      <c r="U204">
        <v>63</v>
      </c>
      <c r="W204" t="s">
        <v>1208</v>
      </c>
      <c r="X204" s="36" t="s">
        <v>1013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SUM(IF(ISNUMBER(FIND("TmAi",$BE$1:$AAL$1)),IF(IFERROR(ISODD(SUBSTITUTE($BE204:$AAL204,"A","")),FALSE),IF(ISODD(SUBSTITUTE($BE204:$AAL204,"A","")),1,0),0)))</f>
        <v>0</v>
      </c>
      <c r="AA204" t="str">
        <f t="shared" ref="AA204:AA220" si="486">CONCATENATE($Y204*2-1,"B")</f>
        <v>1B</v>
      </c>
      <c r="AB204" t="str">
        <f t="shared" ref="AB204:AB220" si="487">CONCATENATE($Y204*2,"B")</f>
        <v>2B</v>
      </c>
      <c r="AP204" t="s">
        <v>137</v>
      </c>
      <c r="AQ204" t="s">
        <v>1209</v>
      </c>
      <c r="AS204" t="s">
        <v>366</v>
      </c>
      <c r="JZ204" s="27" t="str">
        <f>CONCATENATE("XT",U204)</f>
        <v>XT63</v>
      </c>
      <c r="KC204" t="str">
        <f>CONCATENATE(T204,"-AI",REPLACE($X204,1,3,""),"-",AA204)</f>
        <v>F0-AI30-1B</v>
      </c>
      <c r="KD204" t="str">
        <f>CONCATENATE(T204,"-AI",REPLACE($X204,1,3,""),"-",AB204)</f>
        <v>F0-AI30-2B</v>
      </c>
      <c r="KI204">
        <v>7</v>
      </c>
      <c r="KJ204">
        <f t="shared" ref="KJ204" si="488">KI204+1</f>
        <v>8</v>
      </c>
      <c r="KK204">
        <f t="shared" ref="KK204" si="489">KJ204+1</f>
        <v>9</v>
      </c>
      <c r="KN204" t="s">
        <v>514</v>
      </c>
      <c r="KO204" s="16" t="s">
        <v>514</v>
      </c>
      <c r="KS204" s="16"/>
      <c r="OG204" s="27"/>
      <c r="PV204" s="16"/>
    </row>
    <row r="205" spans="1:538" x14ac:dyDescent="0.25">
      <c r="A205" t="s">
        <v>1214</v>
      </c>
      <c r="B205" s="34" t="s">
        <v>1261</v>
      </c>
      <c r="C205" t="s">
        <v>969</v>
      </c>
      <c r="P205" t="s">
        <v>968</v>
      </c>
      <c r="T205" s="14" t="s">
        <v>520</v>
      </c>
      <c r="U205">
        <v>64</v>
      </c>
      <c r="W205" t="s">
        <v>1211</v>
      </c>
      <c r="X205" s="36" t="s">
        <v>1667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SUM(IF(ISNUMBER(FIND("TmAi",$BE$1:$AAL$1)),IF(IFERROR(ISODD(SUBSTITUTE($BE205:$AAL205,"A","")),FALSE),IF(ISODD(SUBSTITUTE($BE205:$AAL205,"A","")),1,0),0)))</f>
        <v>1</v>
      </c>
      <c r="AA205" t="str">
        <f t="shared" si="229"/>
        <v>5A</v>
      </c>
      <c r="AB205" t="str">
        <f t="shared" si="230"/>
        <v>5B</v>
      </c>
      <c r="AP205" t="s">
        <v>137</v>
      </c>
      <c r="AR205" t="s">
        <v>1212</v>
      </c>
      <c r="AS205" t="s">
        <v>366</v>
      </c>
      <c r="OG205" s="25" t="str">
        <f>CONCATENATE("XT",$U205)</f>
        <v>XT64</v>
      </c>
      <c r="OH205" s="12" t="s">
        <v>1206</v>
      </c>
      <c r="OI205" s="12" t="s">
        <v>1263</v>
      </c>
      <c r="OJ205" s="12"/>
      <c r="OK205" s="12"/>
      <c r="OL205" s="12" t="str">
        <f>CONCATENATE(REPLACE($AA205,LEN($AA205),1,"")+1,RIGHT($AA205))</f>
        <v>6A</v>
      </c>
      <c r="OM205" s="12" t="str">
        <f>CONCATENATE(REPLACE($AB205,LEN($AB205),1,"")+1,RIGHT($AB205))</f>
        <v>6B</v>
      </c>
      <c r="ON205" s="12" t="str">
        <f>CONCATENATE(REPLACE(OL205,LEN(OL205),1,"")+1,RIGHT(OL205))</f>
        <v>7A</v>
      </c>
      <c r="OO205" s="12" t="str">
        <f t="shared" ref="OO205" si="490">CONCATENATE(REPLACE(OM205,LEN(OM205),1,"")+1,RIGHT(OM205))</f>
        <v>7B</v>
      </c>
      <c r="OP205" s="12" t="str">
        <f t="shared" ref="OP205" si="491">CONCATENATE(REPLACE(ON205,LEN(ON205),1,"")+1,RIGHT(ON205))</f>
        <v>8A</v>
      </c>
      <c r="OQ205" s="12" t="str">
        <f t="shared" ref="OQ205" si="492">CONCATENATE(REPLACE(OO205,LEN(OO205),1,"")+1,RIGHT(OO205))</f>
        <v>8B</v>
      </c>
      <c r="OR205" s="12"/>
      <c r="OS205" s="12"/>
      <c r="OT205" s="12"/>
      <c r="OU205" s="12"/>
      <c r="OV205" s="12" t="str">
        <f>CONCATENATE($T205,"-AI",REPLACE($X205,1,3,""),"-",$AA205)</f>
        <v>F0-AI43-5A</v>
      </c>
      <c r="OW205" s="12" t="str">
        <f>CONCATENATE($T205,"-AI",REPLACE($X205,1,3,""),"-",$AB205)</f>
        <v>F0-AI43-5B</v>
      </c>
      <c r="OX205" s="12" t="str">
        <f t="shared" ref="OX205" si="493">CONCATENATE($T205,"-AI",REPLACE($X205,1,3,""),"-",OL205)</f>
        <v>F0-AI43-6A</v>
      </c>
      <c r="OY205" s="12" t="str">
        <f t="shared" ref="OY205" si="494">CONCATENATE($T205,"-AI",REPLACE($X205,1,3,""),"-",OM205)</f>
        <v>F0-AI43-6B</v>
      </c>
      <c r="OZ205" s="12" t="str">
        <f t="shared" ref="OZ205" si="495">CONCATENATE($T205,"-AI",REPLACE($X205,1,3,""),"-",ON205)</f>
        <v>F0-AI43-7A</v>
      </c>
      <c r="PA205" s="12" t="str">
        <f t="shared" ref="PA205" si="496">CONCATENATE($T205,"-AI",REPLACE($X205,1,3,""),"-",OO205)</f>
        <v>F0-AI43-7B</v>
      </c>
      <c r="PB205" s="12" t="str">
        <f t="shared" ref="PB205" si="497">CONCATENATE($T205,"-AI",REPLACE($X205,1,3,""),"-",OP205)</f>
        <v>F0-AI43-8A</v>
      </c>
      <c r="PC205" s="12" t="str">
        <f t="shared" ref="PC205" si="498">CONCATENATE($T205,"-AI",REPLACE($X205,1,3,""),"-",OQ205)</f>
        <v>F0-AI43-8B</v>
      </c>
      <c r="PD205" s="12"/>
      <c r="PE205" s="12"/>
      <c r="PF205" s="12"/>
      <c r="PG205" s="12"/>
      <c r="PH205" s="12" cm="1">
        <f t="array" ref="PH205">IF(COUNTIFS($U$2:$U205,$U205)=1,1,INDEX(PH:PH,_xlfn.XMATCH($U205,$U$1:EF204,0,-1))+COUNT(PH204:PM204))</f>
        <v>1</v>
      </c>
      <c r="PI205" s="12">
        <f t="shared" ref="PI205" si="499">PH205+1</f>
        <v>2</v>
      </c>
      <c r="PJ205" s="12">
        <f t="shared" ref="PJ205" si="500">PI205+1</f>
        <v>3</v>
      </c>
      <c r="PK205" s="12">
        <f>PJ205+1</f>
        <v>4</v>
      </c>
      <c r="PL205" s="12">
        <f t="shared" ref="PL205" si="501">PK205+1</f>
        <v>5</v>
      </c>
      <c r="PM205" s="12">
        <f t="shared" ref="PM205" si="502">PL205+1</f>
        <v>6</v>
      </c>
      <c r="PN205" s="12"/>
      <c r="PO205" s="12"/>
      <c r="PP205" s="12"/>
      <c r="PQ205" s="12">
        <v>1</v>
      </c>
      <c r="PR205" s="12">
        <v>2</v>
      </c>
      <c r="PS205" s="12">
        <v>3</v>
      </c>
      <c r="PT205" s="12">
        <v>4</v>
      </c>
      <c r="PU205" s="12">
        <v>5</v>
      </c>
      <c r="PV205" s="13">
        <v>6</v>
      </c>
    </row>
    <row r="206" spans="1:538" ht="15.75" thickBot="1" x14ac:dyDescent="0.3">
      <c r="A206" t="s">
        <v>1215</v>
      </c>
      <c r="B206" s="33" t="s">
        <v>1292</v>
      </c>
      <c r="P206" t="s">
        <v>448</v>
      </c>
      <c r="T206" s="14" t="s">
        <v>520</v>
      </c>
      <c r="U206">
        <v>64</v>
      </c>
      <c r="W206" t="s">
        <v>1213</v>
      </c>
      <c r="X206" s="33" t="s">
        <v>1013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SUM(IF(ISNUMBER(FIND("TmAi",$BE$1:$AAL$1)),IF(IFERROR(ISODD(SUBSTITUTE($BE206:$AAL206,"A","")),FALSE),IF(ISODD(SUBSTITUTE($BE206:$AAL206,"A","")),1,0),0)))</f>
        <v>0</v>
      </c>
      <c r="AA206" t="str">
        <f t="shared" si="486"/>
        <v>3B</v>
      </c>
      <c r="AB206" t="str">
        <f t="shared" si="487"/>
        <v>4B</v>
      </c>
      <c r="AP206" t="s">
        <v>137</v>
      </c>
      <c r="AQ206" t="s">
        <v>1209</v>
      </c>
      <c r="AS206" t="s">
        <v>366</v>
      </c>
      <c r="JZ206" s="27" t="str">
        <f>CONCATENATE("XT",U206)</f>
        <v>XT64</v>
      </c>
      <c r="KC206" t="str">
        <f>CONCATENATE(T206,"-AI",REPLACE($X206,1,3,""),"-",AA206)</f>
        <v>F0-AI30-3B</v>
      </c>
      <c r="KD206" t="str">
        <f>CONCATENATE(T206,"-AI",REPLACE($X206,1,3,""),"-",AB206)</f>
        <v>F0-AI30-4B</v>
      </c>
      <c r="KI206">
        <v>7</v>
      </c>
      <c r="KJ206">
        <f t="shared" ref="KJ206" si="503">KI206+1</f>
        <v>8</v>
      </c>
      <c r="KK206">
        <f t="shared" ref="KK206" si="504">KJ206+1</f>
        <v>9</v>
      </c>
      <c r="KN206" t="s">
        <v>514</v>
      </c>
      <c r="KO206" s="16" t="s">
        <v>514</v>
      </c>
      <c r="KS206" s="16"/>
      <c r="OG206" s="27"/>
      <c r="PV206" s="16"/>
    </row>
    <row r="207" spans="1:538" x14ac:dyDescent="0.25">
      <c r="A207" t="s">
        <v>1227</v>
      </c>
      <c r="B207" s="34" t="s">
        <v>1281</v>
      </c>
      <c r="C207" t="s">
        <v>969</v>
      </c>
      <c r="P207" t="s">
        <v>968</v>
      </c>
      <c r="T207" s="14" t="s">
        <v>520</v>
      </c>
      <c r="U207">
        <v>65</v>
      </c>
      <c r="W207" t="s">
        <v>1216</v>
      </c>
      <c r="X207" s="36" t="s">
        <v>1667</v>
      </c>
      <c r="Y207" s="45" cm="1">
        <f t="array" ref="Y207">IF(COUNTIFS($X$2:$X207,$X207)=1,"1",VALUE(SUBSTITUTE(INDEX(Y:Y,_xlfn.XMATCH($X207,$X$1:$X206,0,-1)),"A",""))+INDEX(Z:Z,_xlfn.XMATCH($X207,$X$1:$X206,0,-1))+1)</f>
        <v>5</v>
      </c>
      <c r="Z207" s="46" cm="1">
        <f t="array" ref="Z207">SUM(IF(ISNUMBER(FIND("TmAi",$BE$1:$AAL$1)),IF(IFERROR(ISODD(SUBSTITUTE($BE207:$AAL207,"A","")),FALSE),IF(ISODD(SUBSTITUTE($BE207:$AAL207,"A","")),1,0),0)))</f>
        <v>1</v>
      </c>
      <c r="AA207" t="str">
        <f t="shared" si="229"/>
        <v>9A</v>
      </c>
      <c r="AB207" t="str">
        <f t="shared" si="230"/>
        <v>9B</v>
      </c>
      <c r="AP207" t="s">
        <v>137</v>
      </c>
      <c r="AR207" t="s">
        <v>1221</v>
      </c>
      <c r="AS207" t="s">
        <v>366</v>
      </c>
      <c r="OG207" s="25" t="str">
        <f>CONCATENATE("XT",$U207)</f>
        <v>XT65</v>
      </c>
      <c r="OH207" s="12" t="s">
        <v>1226</v>
      </c>
      <c r="OI207" s="12" t="s">
        <v>1266</v>
      </c>
      <c r="OJ207" s="12"/>
      <c r="OK207" s="12"/>
      <c r="OL207" s="12" t="str">
        <f>CONCATENATE(REPLACE($AA207,LEN($AA207),1,"")+1,RIGHT($AA207))</f>
        <v>10A</v>
      </c>
      <c r="OM207" s="12" t="str">
        <f>CONCATENATE(REPLACE($AB207,LEN($AB207),1,"")+1,RIGHT($AB207))</f>
        <v>10B</v>
      </c>
      <c r="ON207" s="12" t="str">
        <f>CONCATENATE(REPLACE(OL207,LEN(OL207),1,"")+1,RIGHT(OL207))</f>
        <v>11A</v>
      </c>
      <c r="OO207" s="12" t="str">
        <f t="shared" ref="OO207" si="505">CONCATENATE(REPLACE(OM207,LEN(OM207),1,"")+1,RIGHT(OM207))</f>
        <v>11B</v>
      </c>
      <c r="OP207" s="12" t="str">
        <f t="shared" ref="OP207" si="506">CONCATENATE(REPLACE(ON207,LEN(ON207),1,"")+1,RIGHT(ON207))</f>
        <v>12A</v>
      </c>
      <c r="OQ207" s="12" t="str">
        <f t="shared" ref="OQ207" si="507">CONCATENATE(REPLACE(OO207,LEN(OO207),1,"")+1,RIGHT(OO207))</f>
        <v>12B</v>
      </c>
      <c r="OR207" s="12"/>
      <c r="OS207" s="12"/>
      <c r="OT207" s="12"/>
      <c r="OU207" s="12"/>
      <c r="OV207" s="12" t="str">
        <f>CONCATENATE($T207,"-AI",REPLACE($X207,1,3,""),"-",$AA207)</f>
        <v>F0-AI43-9A</v>
      </c>
      <c r="OW207" s="12" t="str">
        <f>CONCATENATE($T207,"-AI",REPLACE($X207,1,3,""),"-",$AB207)</f>
        <v>F0-AI43-9B</v>
      </c>
      <c r="OX207" s="12" t="str">
        <f t="shared" ref="OX207" si="508">CONCATENATE($T207,"-AI",REPLACE($X207,1,3,""),"-",OL207)</f>
        <v>F0-AI43-10A</v>
      </c>
      <c r="OY207" s="12" t="str">
        <f t="shared" ref="OY207" si="509">CONCATENATE($T207,"-AI",REPLACE($X207,1,3,""),"-",OM207)</f>
        <v>F0-AI43-10B</v>
      </c>
      <c r="OZ207" s="12" t="str">
        <f t="shared" ref="OZ207" si="510">CONCATENATE($T207,"-AI",REPLACE($X207,1,3,""),"-",ON207)</f>
        <v>F0-AI43-11A</v>
      </c>
      <c r="PA207" s="12" t="str">
        <f t="shared" ref="PA207" si="511">CONCATENATE($T207,"-AI",REPLACE($X207,1,3,""),"-",OO207)</f>
        <v>F0-AI43-11B</v>
      </c>
      <c r="PB207" s="12" t="str">
        <f t="shared" ref="PB207" si="512">CONCATENATE($T207,"-AI",REPLACE($X207,1,3,""),"-",OP207)</f>
        <v>F0-AI43-12A</v>
      </c>
      <c r="PC207" s="12" t="str">
        <f t="shared" ref="PC207" si="513">CONCATENATE($T207,"-AI",REPLACE($X207,1,3,""),"-",OQ207)</f>
        <v>F0-AI43-12B</v>
      </c>
      <c r="PD207" s="12"/>
      <c r="PE207" s="12"/>
      <c r="PF207" s="12"/>
      <c r="PG207" s="12"/>
      <c r="PH207" s="12" cm="1">
        <f t="array" ref="PH207">IF(COUNTIFS($U$2:$U207,$U207)=1,1,INDEX(PH:PH,_xlfn.XMATCH($U207,$U$1:EF206,0,-1))+COUNT(PH206:PM206))</f>
        <v>1</v>
      </c>
      <c r="PI207" s="12">
        <f t="shared" ref="PI207" si="514">PH207+1</f>
        <v>2</v>
      </c>
      <c r="PJ207" s="12">
        <f t="shared" ref="PJ207" si="515">PI207+1</f>
        <v>3</v>
      </c>
      <c r="PK207" s="12">
        <f>PJ207+1</f>
        <v>4</v>
      </c>
      <c r="PL207" s="12">
        <f t="shared" ref="PL207" si="516">PK207+1</f>
        <v>5</v>
      </c>
      <c r="PM207" s="12">
        <f t="shared" ref="PM207" si="517">PL207+1</f>
        <v>6</v>
      </c>
      <c r="PN207" s="12"/>
      <c r="PO207" s="12"/>
      <c r="PP207" s="12"/>
      <c r="PQ207" s="12">
        <v>1</v>
      </c>
      <c r="PR207" s="12">
        <v>2</v>
      </c>
      <c r="PS207" s="12">
        <v>3</v>
      </c>
      <c r="PT207" s="12">
        <v>4</v>
      </c>
      <c r="PU207" s="12">
        <v>5</v>
      </c>
      <c r="PV207" s="13">
        <v>6</v>
      </c>
    </row>
    <row r="208" spans="1:538" ht="15.75" thickBot="1" x14ac:dyDescent="0.3">
      <c r="A208" t="s">
        <v>1223</v>
      </c>
      <c r="B208" s="33" t="s">
        <v>1289</v>
      </c>
      <c r="P208" t="s">
        <v>448</v>
      </c>
      <c r="T208" s="14" t="s">
        <v>520</v>
      </c>
      <c r="U208">
        <v>65</v>
      </c>
      <c r="W208" t="s">
        <v>1217</v>
      </c>
      <c r="X208" s="36" t="s">
        <v>1013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SUM(IF(ISNUMBER(FIND("TmAi",$BE$1:$AAL$1)),IF(IFERROR(ISODD(SUBSTITUTE($BE208:$AAL208,"A","")),FALSE),IF(ISODD(SUBSTITUTE($BE208:$AAL208,"A","")),1,0),0)))</f>
        <v>0</v>
      </c>
      <c r="AA208" t="str">
        <f t="shared" si="486"/>
        <v>5B</v>
      </c>
      <c r="AB208" t="str">
        <f t="shared" si="487"/>
        <v>6B</v>
      </c>
      <c r="AP208" t="s">
        <v>137</v>
      </c>
      <c r="AQ208" t="s">
        <v>1220</v>
      </c>
      <c r="AS208" t="s">
        <v>366</v>
      </c>
      <c r="JZ208" s="27" t="str">
        <f>CONCATENATE("XT",U208)</f>
        <v>XT65</v>
      </c>
      <c r="KC208" t="str">
        <f>CONCATENATE(T208,"-AI",REPLACE($X208,1,3,""),"-",AA208)</f>
        <v>F0-AI30-5B</v>
      </c>
      <c r="KD208" t="str">
        <f>CONCATENATE(T208,"-AI",REPLACE($X208,1,3,""),"-",AB208)</f>
        <v>F0-AI30-6B</v>
      </c>
      <c r="KI208">
        <v>7</v>
      </c>
      <c r="KJ208">
        <f t="shared" ref="KJ208" si="518">KI208+1</f>
        <v>8</v>
      </c>
      <c r="KK208">
        <f t="shared" ref="KK208" si="519">KJ208+1</f>
        <v>9</v>
      </c>
      <c r="KN208" t="s">
        <v>514</v>
      </c>
      <c r="KO208" s="16" t="s">
        <v>514</v>
      </c>
      <c r="KS208" s="16"/>
      <c r="OG208" s="27"/>
      <c r="PV208" s="16"/>
    </row>
    <row r="209" spans="1:438" x14ac:dyDescent="0.25">
      <c r="A209" t="s">
        <v>1228</v>
      </c>
      <c r="B209" s="34" t="s">
        <v>1282</v>
      </c>
      <c r="C209" t="s">
        <v>969</v>
      </c>
      <c r="P209" t="s">
        <v>968</v>
      </c>
      <c r="T209" s="14" t="s">
        <v>520</v>
      </c>
      <c r="U209">
        <v>66</v>
      </c>
      <c r="W209" t="s">
        <v>1218</v>
      </c>
      <c r="X209" s="36" t="s">
        <v>1668</v>
      </c>
      <c r="Y209" s="45" t="str" cm="1">
        <f t="array" ref="Y209">IF(COUNTIFS($X$2:$X209,$X209)=1,"1",VALUE(SUBSTITUTE(INDEX(Y:Y,_xlfn.XMATCH($X209,$X$1:$X208,0,-1)),"A",""))+INDEX(Z:Z,_xlfn.XMATCH($X209,$X$1:$X208,0,-1))+1)</f>
        <v>1</v>
      </c>
      <c r="Z209" s="46" cm="1">
        <f t="array" ref="Z209">SUM(IF(ISNUMBER(FIND("TmAi",$BE$1:$AAL$1)),IF(IFERROR(ISODD(SUBSTITUTE($BE209:$AAL209,"A","")),FALSE),IF(ISODD(SUBSTITUTE($BE209:$AAL209,"A","")),1,0),0)))</f>
        <v>1</v>
      </c>
      <c r="AA209" t="str">
        <f t="shared" si="229"/>
        <v>1A</v>
      </c>
      <c r="AB209" t="str">
        <f t="shared" si="230"/>
        <v>1B</v>
      </c>
      <c r="AP209" t="s">
        <v>137</v>
      </c>
      <c r="AR209" t="s">
        <v>1222</v>
      </c>
      <c r="AS209" t="s">
        <v>366</v>
      </c>
      <c r="OG209" s="25" t="str">
        <f>CONCATENATE("XT",$U209)</f>
        <v>XT66</v>
      </c>
      <c r="OH209" s="12" t="s">
        <v>1225</v>
      </c>
      <c r="OI209" s="12" t="s">
        <v>1267</v>
      </c>
      <c r="OJ209" s="12"/>
      <c r="OK209" s="12"/>
      <c r="OL209" s="12" t="str">
        <f>CONCATENATE(REPLACE($AA209,LEN($AA209),1,"")+1,RIGHT($AA209))</f>
        <v>2A</v>
      </c>
      <c r="OM209" s="12" t="str">
        <f>CONCATENATE(REPLACE($AB209,LEN($AB209),1,"")+1,RIGHT($AB209))</f>
        <v>2B</v>
      </c>
      <c r="ON209" s="12" t="str">
        <f>CONCATENATE(REPLACE(OL209,LEN(OL209),1,"")+1,RIGHT(OL209))</f>
        <v>3A</v>
      </c>
      <c r="OO209" s="12" t="str">
        <f t="shared" ref="OO209" si="520">CONCATENATE(REPLACE(OM209,LEN(OM209),1,"")+1,RIGHT(OM209))</f>
        <v>3B</v>
      </c>
      <c r="OP209" s="12" t="str">
        <f t="shared" ref="OP209" si="521">CONCATENATE(REPLACE(ON209,LEN(ON209),1,"")+1,RIGHT(ON209))</f>
        <v>4A</v>
      </c>
      <c r="OQ209" s="12" t="str">
        <f t="shared" ref="OQ209" si="522">CONCATENATE(REPLACE(OO209,LEN(OO209),1,"")+1,RIGHT(OO209))</f>
        <v>4B</v>
      </c>
      <c r="OR209" s="12"/>
      <c r="OS209" s="12"/>
      <c r="OT209" s="12"/>
      <c r="OU209" s="12"/>
      <c r="OV209" s="12" t="str">
        <f>CONCATENATE($T209,"-AI",REPLACE($X209,1,3,""),"-",$AA209)</f>
        <v>F0-AI44-1A</v>
      </c>
      <c r="OW209" s="12" t="str">
        <f>CONCATENATE($T209,"-AI",REPLACE($X209,1,3,""),"-",$AB209)</f>
        <v>F0-AI44-1B</v>
      </c>
      <c r="OX209" s="12" t="str">
        <f t="shared" ref="OX209" si="523">CONCATENATE($T209,"-AI",REPLACE($X209,1,3,""),"-",OL209)</f>
        <v>F0-AI44-2A</v>
      </c>
      <c r="OY209" s="12" t="str">
        <f t="shared" ref="OY209" si="524">CONCATENATE($T209,"-AI",REPLACE($X209,1,3,""),"-",OM209)</f>
        <v>F0-AI44-2B</v>
      </c>
      <c r="OZ209" s="12" t="str">
        <f t="shared" ref="OZ209" si="525">CONCATENATE($T209,"-AI",REPLACE($X209,1,3,""),"-",ON209)</f>
        <v>F0-AI44-3A</v>
      </c>
      <c r="PA209" s="12" t="str">
        <f t="shared" ref="PA209" si="526">CONCATENATE($T209,"-AI",REPLACE($X209,1,3,""),"-",OO209)</f>
        <v>F0-AI44-3B</v>
      </c>
      <c r="PB209" s="12" t="str">
        <f t="shared" ref="PB209" si="527">CONCATENATE($T209,"-AI",REPLACE($X209,1,3,""),"-",OP209)</f>
        <v>F0-AI44-4A</v>
      </c>
      <c r="PC209" s="12" t="str">
        <f t="shared" ref="PC209" si="528">CONCATENATE($T209,"-AI",REPLACE($X209,1,3,""),"-",OQ209)</f>
        <v>F0-AI44-4B</v>
      </c>
      <c r="PD209" s="12"/>
      <c r="PE209" s="12"/>
      <c r="PF209" s="12"/>
      <c r="PG209" s="12"/>
      <c r="PH209" s="12" cm="1">
        <f t="array" ref="PH209">IF(COUNTIFS($U$2:$U209,$U209)=1,1,INDEX(PH:PH,_xlfn.XMATCH($U209,$U$1:EF208,0,-1))+COUNT(PH208:PM208))</f>
        <v>1</v>
      </c>
      <c r="PI209" s="12">
        <f t="shared" ref="PI209" si="529">PH209+1</f>
        <v>2</v>
      </c>
      <c r="PJ209" s="12">
        <f t="shared" ref="PJ209" si="530">PI209+1</f>
        <v>3</v>
      </c>
      <c r="PK209" s="12">
        <f>PJ209+1</f>
        <v>4</v>
      </c>
      <c r="PL209" s="12">
        <f t="shared" ref="PL209" si="531">PK209+1</f>
        <v>5</v>
      </c>
      <c r="PM209" s="12">
        <f t="shared" ref="PM209" si="532">PL209+1</f>
        <v>6</v>
      </c>
      <c r="PN209" s="12"/>
      <c r="PO209" s="12"/>
      <c r="PP209" s="12"/>
      <c r="PQ209" s="12">
        <v>1</v>
      </c>
      <c r="PR209" s="12">
        <v>2</v>
      </c>
      <c r="PS209" s="12">
        <v>3</v>
      </c>
      <c r="PT209" s="12">
        <v>4</v>
      </c>
      <c r="PU209" s="12">
        <v>5</v>
      </c>
      <c r="PV209" s="13">
        <v>6</v>
      </c>
    </row>
    <row r="210" spans="1:438" ht="15.75" thickBot="1" x14ac:dyDescent="0.3">
      <c r="A210" t="s">
        <v>1224</v>
      </c>
      <c r="B210" s="33" t="s">
        <v>1290</v>
      </c>
      <c r="P210" t="s">
        <v>448</v>
      </c>
      <c r="T210" s="14" t="s">
        <v>520</v>
      </c>
      <c r="U210">
        <v>66</v>
      </c>
      <c r="W210" t="s">
        <v>1219</v>
      </c>
      <c r="X210" s="36" t="s">
        <v>1013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SUM(IF(ISNUMBER(FIND("TmAi",$BE$1:$AAL$1)),IF(IFERROR(ISODD(SUBSTITUTE($BE210:$AAL210,"A","")),FALSE),IF(ISODD(SUBSTITUTE($BE210:$AAL210,"A","")),1,0),0)))</f>
        <v>0</v>
      </c>
      <c r="AA210" t="str">
        <f t="shared" si="486"/>
        <v>7B</v>
      </c>
      <c r="AB210" t="str">
        <f t="shared" si="487"/>
        <v>8B</v>
      </c>
      <c r="AP210" t="s">
        <v>137</v>
      </c>
      <c r="AQ210" t="s">
        <v>1220</v>
      </c>
      <c r="AS210" t="s">
        <v>366</v>
      </c>
      <c r="JZ210" s="27" t="str">
        <f>CONCATENATE("XT",U210)</f>
        <v>XT66</v>
      </c>
      <c r="KC210" t="str">
        <f>CONCATENATE(T210,"-AI",REPLACE($X210,1,3,""),"-",AA210)</f>
        <v>F0-AI30-7B</v>
      </c>
      <c r="KD210" t="str">
        <f>CONCATENATE(T210,"-AI",REPLACE($X210,1,3,""),"-",AB210)</f>
        <v>F0-AI30-8B</v>
      </c>
      <c r="KI210">
        <v>7</v>
      </c>
      <c r="KJ210">
        <f t="shared" ref="KJ210" si="533">KI210+1</f>
        <v>8</v>
      </c>
      <c r="KK210">
        <f t="shared" ref="KK210" si="534">KJ210+1</f>
        <v>9</v>
      </c>
      <c r="KN210" t="s">
        <v>514</v>
      </c>
      <c r="KO210" s="16" t="s">
        <v>514</v>
      </c>
      <c r="KS210" s="16"/>
      <c r="OG210" s="27"/>
      <c r="PV210" s="16"/>
    </row>
    <row r="211" spans="1:438" x14ac:dyDescent="0.25">
      <c r="A211" t="s">
        <v>1232</v>
      </c>
      <c r="B211" s="34" t="s">
        <v>1283</v>
      </c>
      <c r="C211" t="s">
        <v>969</v>
      </c>
      <c r="P211" t="s">
        <v>968</v>
      </c>
      <c r="T211" s="14" t="s">
        <v>520</v>
      </c>
      <c r="U211">
        <v>67</v>
      </c>
      <c r="W211" t="s">
        <v>1230</v>
      </c>
      <c r="X211" s="36" t="s">
        <v>1668</v>
      </c>
      <c r="Y211" s="45" cm="1">
        <f t="array" ref="Y211">IF(COUNTIFS($X$2:$X211,$X211)=1,"1",VALUE(SUBSTITUTE(INDEX(Y:Y,_xlfn.XMATCH($X211,$X$1:$X210,0,-1)),"A",""))+INDEX(Z:Z,_xlfn.XMATCH($X211,$X$1:$X210,0,-1))+1)</f>
        <v>3</v>
      </c>
      <c r="Z211" s="46" cm="1">
        <f t="array" ref="Z211">SUM(IF(ISNUMBER(FIND("TmAi",$BE$1:$AAL$1)),IF(IFERROR(ISODD(SUBSTITUTE($BE211:$AAL211,"A","")),FALSE),IF(ISODD(SUBSTITUTE($BE211:$AAL211,"A","")),1,0),0)))</f>
        <v>1</v>
      </c>
      <c r="AA211" t="str">
        <f t="shared" si="229"/>
        <v>5A</v>
      </c>
      <c r="AB211" t="str">
        <f t="shared" si="230"/>
        <v>5B</v>
      </c>
      <c r="AP211" t="s">
        <v>137</v>
      </c>
      <c r="AR211" t="s">
        <v>1229</v>
      </c>
      <c r="AS211" t="s">
        <v>366</v>
      </c>
      <c r="OG211" s="25" t="str">
        <f>CONCATENATE("XT",$U211)</f>
        <v>XT67</v>
      </c>
      <c r="OH211" s="12" t="s">
        <v>1234</v>
      </c>
      <c r="OI211" s="12" t="s">
        <v>1268</v>
      </c>
      <c r="OJ211" s="12"/>
      <c r="OK211" s="12"/>
      <c r="OL211" s="12" t="str">
        <f>CONCATENATE(REPLACE($AA211,LEN($AA211),1,"")+1,RIGHT($AA211))</f>
        <v>6A</v>
      </c>
      <c r="OM211" s="12" t="str">
        <f>CONCATENATE(REPLACE($AB211,LEN($AB211),1,"")+1,RIGHT($AB211))</f>
        <v>6B</v>
      </c>
      <c r="ON211" s="12" t="str">
        <f>CONCATENATE(REPLACE(OL211,LEN(OL211),1,"")+1,RIGHT(OL211))</f>
        <v>7A</v>
      </c>
      <c r="OO211" s="12" t="str">
        <f t="shared" ref="OO211" si="535">CONCATENATE(REPLACE(OM211,LEN(OM211),1,"")+1,RIGHT(OM211))</f>
        <v>7B</v>
      </c>
      <c r="OP211" s="12" t="str">
        <f t="shared" ref="OP211" si="536">CONCATENATE(REPLACE(ON211,LEN(ON211),1,"")+1,RIGHT(ON211))</f>
        <v>8A</v>
      </c>
      <c r="OQ211" s="12" t="str">
        <f t="shared" ref="OQ211" si="537">CONCATENATE(REPLACE(OO211,LEN(OO211),1,"")+1,RIGHT(OO211))</f>
        <v>8B</v>
      </c>
      <c r="OR211" s="12"/>
      <c r="OS211" s="12"/>
      <c r="OT211" s="12"/>
      <c r="OU211" s="12"/>
      <c r="OV211" s="12" t="str">
        <f>CONCATENATE($T211,"-AI",REPLACE($X211,1,3,""),"-",$AA211)</f>
        <v>F0-AI44-5A</v>
      </c>
      <c r="OW211" s="12" t="str">
        <f>CONCATENATE($T211,"-AI",REPLACE($X211,1,3,""),"-",$AB211)</f>
        <v>F0-AI44-5B</v>
      </c>
      <c r="OX211" s="12" t="str">
        <f t="shared" ref="OX211" si="538">CONCATENATE($T211,"-AI",REPLACE($X211,1,3,""),"-",OL211)</f>
        <v>F0-AI44-6A</v>
      </c>
      <c r="OY211" s="12" t="str">
        <f t="shared" ref="OY211" si="539">CONCATENATE($T211,"-AI",REPLACE($X211,1,3,""),"-",OM211)</f>
        <v>F0-AI44-6B</v>
      </c>
      <c r="OZ211" s="12" t="str">
        <f t="shared" ref="OZ211" si="540">CONCATENATE($T211,"-AI",REPLACE($X211,1,3,""),"-",ON211)</f>
        <v>F0-AI44-7A</v>
      </c>
      <c r="PA211" s="12" t="str">
        <f t="shared" ref="PA211" si="541">CONCATENATE($T211,"-AI",REPLACE($X211,1,3,""),"-",OO211)</f>
        <v>F0-AI44-7B</v>
      </c>
      <c r="PB211" s="12" t="str">
        <f t="shared" ref="PB211" si="542">CONCATENATE($T211,"-AI",REPLACE($X211,1,3,""),"-",OP211)</f>
        <v>F0-AI44-8A</v>
      </c>
      <c r="PC211" s="12" t="str">
        <f t="shared" ref="PC211" si="543">CONCATENATE($T211,"-AI",REPLACE($X211,1,3,""),"-",OQ211)</f>
        <v>F0-AI44-8B</v>
      </c>
      <c r="PD211" s="12"/>
      <c r="PE211" s="12"/>
      <c r="PF211" s="12"/>
      <c r="PG211" s="12"/>
      <c r="PH211" s="12" cm="1">
        <f t="array" ref="PH211">IF(COUNTIFS($U$2:$U211,$U211)=1,1,INDEX(PH:PH,_xlfn.XMATCH($U211,$U$1:EF210,0,-1))+COUNT(PH210:PM210))</f>
        <v>1</v>
      </c>
      <c r="PI211" s="12">
        <f t="shared" ref="PI211" si="544">PH211+1</f>
        <v>2</v>
      </c>
      <c r="PJ211" s="12">
        <f t="shared" ref="PJ211" si="545">PI211+1</f>
        <v>3</v>
      </c>
      <c r="PK211" s="12">
        <f>PJ211+1</f>
        <v>4</v>
      </c>
      <c r="PL211" s="12">
        <f t="shared" ref="PL211" si="546">PK211+1</f>
        <v>5</v>
      </c>
      <c r="PM211" s="12">
        <f t="shared" ref="PM211" si="547">PL211+1</f>
        <v>6</v>
      </c>
      <c r="PN211" s="12"/>
      <c r="PO211" s="12"/>
      <c r="PP211" s="12"/>
      <c r="PQ211" s="12">
        <v>1</v>
      </c>
      <c r="PR211" s="12">
        <v>2</v>
      </c>
      <c r="PS211" s="12">
        <v>3</v>
      </c>
      <c r="PT211" s="12">
        <v>4</v>
      </c>
      <c r="PU211" s="12">
        <v>5</v>
      </c>
      <c r="PV211" s="13">
        <v>6</v>
      </c>
    </row>
    <row r="212" spans="1:438" ht="15.75" thickBot="1" x14ac:dyDescent="0.3">
      <c r="A212" t="s">
        <v>1233</v>
      </c>
      <c r="B212" s="33" t="s">
        <v>1288</v>
      </c>
      <c r="P212" t="s">
        <v>448</v>
      </c>
      <c r="T212" s="14" t="s">
        <v>520</v>
      </c>
      <c r="U212">
        <v>67</v>
      </c>
      <c r="W212" t="s">
        <v>1231</v>
      </c>
      <c r="X212" s="36" t="s">
        <v>1013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SUM(IF(ISNUMBER(FIND("TmAi",$BE$1:$AAL$1)),IF(IFERROR(ISODD(SUBSTITUTE($BE212:$AAL212,"A","")),FALSE),IF(ISODD(SUBSTITUTE($BE212:$AAL212,"A","")),1,0),0)))</f>
        <v>0</v>
      </c>
      <c r="AA212" t="str">
        <f t="shared" si="486"/>
        <v>9B</v>
      </c>
      <c r="AB212" t="str">
        <f t="shared" si="487"/>
        <v>10B</v>
      </c>
      <c r="AP212" t="s">
        <v>137</v>
      </c>
      <c r="AQ212" t="s">
        <v>1220</v>
      </c>
      <c r="AS212" t="s">
        <v>366</v>
      </c>
      <c r="JZ212" s="27" t="str">
        <f>CONCATENATE("XT",U212)</f>
        <v>XT67</v>
      </c>
      <c r="KC212" t="str">
        <f>CONCATENATE(T212,"-AI",REPLACE($X212,1,3,""),"-",AA212)</f>
        <v>F0-AI30-9B</v>
      </c>
      <c r="KD212" t="str">
        <f>CONCATENATE(T212,"-AI",REPLACE($X212,1,3,""),"-",AB212)</f>
        <v>F0-AI30-10B</v>
      </c>
      <c r="KI212">
        <v>7</v>
      </c>
      <c r="KJ212">
        <f t="shared" ref="KJ212" si="548">KI212+1</f>
        <v>8</v>
      </c>
      <c r="KK212">
        <f t="shared" ref="KK212" si="549">KJ212+1</f>
        <v>9</v>
      </c>
      <c r="KN212" t="s">
        <v>514</v>
      </c>
      <c r="KO212" s="16" t="s">
        <v>514</v>
      </c>
      <c r="KS212" s="16"/>
      <c r="OG212" s="27"/>
      <c r="PV212" s="16"/>
    </row>
    <row r="213" spans="1:438" x14ac:dyDescent="0.25">
      <c r="A213" t="s">
        <v>1243</v>
      </c>
      <c r="B213" s="34" t="s">
        <v>1284</v>
      </c>
      <c r="C213" t="s">
        <v>969</v>
      </c>
      <c r="P213" t="s">
        <v>968</v>
      </c>
      <c r="T213" s="14" t="s">
        <v>520</v>
      </c>
      <c r="U213">
        <v>68</v>
      </c>
      <c r="W213" t="s">
        <v>1235</v>
      </c>
      <c r="X213" s="36" t="s">
        <v>1668</v>
      </c>
      <c r="Y213" s="45" cm="1">
        <f t="array" ref="Y213">IF(COUNTIFS($X$2:$X213,$X213)=1,"1",VALUE(SUBSTITUTE(INDEX(Y:Y,_xlfn.XMATCH($X213,$X$1:$X212,0,-1)),"A",""))+INDEX(Z:Z,_xlfn.XMATCH($X213,$X$1:$X212,0,-1))+1)</f>
        <v>5</v>
      </c>
      <c r="Z213" s="46" cm="1">
        <f t="array" ref="Z213">SUM(IF(ISNUMBER(FIND("TmAi",$BE$1:$AAL$1)),IF(IFERROR(ISODD(SUBSTITUTE($BE213:$AAL213,"A","")),FALSE),IF(ISODD(SUBSTITUTE($BE213:$AAL213,"A","")),1,0),0)))</f>
        <v>1</v>
      </c>
      <c r="AA213" t="str">
        <f t="shared" si="229"/>
        <v>9A</v>
      </c>
      <c r="AB213" t="str">
        <f t="shared" si="230"/>
        <v>9B</v>
      </c>
      <c r="AP213" t="s">
        <v>137</v>
      </c>
      <c r="AR213" t="s">
        <v>1240</v>
      </c>
      <c r="AS213" t="s">
        <v>366</v>
      </c>
      <c r="OG213" s="25" t="str">
        <f>CONCATENATE("XT",$U213)</f>
        <v>XT68</v>
      </c>
      <c r="OH213" s="12" t="s">
        <v>1247</v>
      </c>
      <c r="OI213" s="12" t="s">
        <v>1264</v>
      </c>
      <c r="OJ213" s="12"/>
      <c r="OK213" s="12"/>
      <c r="OL213" s="12" t="str">
        <f>CONCATENATE(REPLACE($AA213,LEN($AA213),1,"")+1,RIGHT($AA213))</f>
        <v>10A</v>
      </c>
      <c r="OM213" s="12" t="str">
        <f>CONCATENATE(REPLACE($AB213,LEN($AB213),1,"")+1,RIGHT($AB213))</f>
        <v>10B</v>
      </c>
      <c r="ON213" s="12" t="str">
        <f>CONCATENATE(REPLACE(OL213,LEN(OL213),1,"")+1,RIGHT(OL213))</f>
        <v>11A</v>
      </c>
      <c r="OO213" s="12" t="str">
        <f t="shared" ref="OO213" si="550">CONCATENATE(REPLACE(OM213,LEN(OM213),1,"")+1,RIGHT(OM213))</f>
        <v>11B</v>
      </c>
      <c r="OP213" s="12" t="str">
        <f t="shared" ref="OP213" si="551">CONCATENATE(REPLACE(ON213,LEN(ON213),1,"")+1,RIGHT(ON213))</f>
        <v>12A</v>
      </c>
      <c r="OQ213" s="12" t="str">
        <f t="shared" ref="OQ213" si="552">CONCATENATE(REPLACE(OO213,LEN(OO213),1,"")+1,RIGHT(OO213))</f>
        <v>12B</v>
      </c>
      <c r="OR213" s="12"/>
      <c r="OS213" s="12"/>
      <c r="OT213" s="12"/>
      <c r="OU213" s="12"/>
      <c r="OV213" s="12" t="str">
        <f>CONCATENATE($T213,"-AI",REPLACE($X213,1,3,""),"-",$AA213)</f>
        <v>F0-AI44-9A</v>
      </c>
      <c r="OW213" s="12" t="str">
        <f>CONCATENATE($T213,"-AI",REPLACE($X213,1,3,""),"-",$AB213)</f>
        <v>F0-AI44-9B</v>
      </c>
      <c r="OX213" s="12" t="str">
        <f t="shared" ref="OX213" si="553">CONCATENATE($T213,"-AI",REPLACE($X213,1,3,""),"-",OL213)</f>
        <v>F0-AI44-10A</v>
      </c>
      <c r="OY213" s="12" t="str">
        <f t="shared" ref="OY213" si="554">CONCATENATE($T213,"-AI",REPLACE($X213,1,3,""),"-",OM213)</f>
        <v>F0-AI44-10B</v>
      </c>
      <c r="OZ213" s="12" t="str">
        <f t="shared" ref="OZ213" si="555">CONCATENATE($T213,"-AI",REPLACE($X213,1,3,""),"-",ON213)</f>
        <v>F0-AI44-11A</v>
      </c>
      <c r="PA213" s="12" t="str">
        <f t="shared" ref="PA213" si="556">CONCATENATE($T213,"-AI",REPLACE($X213,1,3,""),"-",OO213)</f>
        <v>F0-AI44-11B</v>
      </c>
      <c r="PB213" s="12" t="str">
        <f t="shared" ref="PB213" si="557">CONCATENATE($T213,"-AI",REPLACE($X213,1,3,""),"-",OP213)</f>
        <v>F0-AI44-12A</v>
      </c>
      <c r="PC213" s="12" t="str">
        <f t="shared" ref="PC213" si="558">CONCATENATE($T213,"-AI",REPLACE($X213,1,3,""),"-",OQ213)</f>
        <v>F0-AI44-12B</v>
      </c>
      <c r="PD213" s="12"/>
      <c r="PE213" s="12"/>
      <c r="PF213" s="12"/>
      <c r="PG213" s="12"/>
      <c r="PH213" s="12" cm="1">
        <f t="array" ref="PH213">IF(COUNTIFS($U$2:$U213,$U213)=1,1,INDEX(PH:PH,_xlfn.XMATCH($U213,$U$1:EF212,0,-1))+COUNT(PH212:PM212))</f>
        <v>1</v>
      </c>
      <c r="PI213" s="12">
        <f t="shared" ref="PI213" si="559">PH213+1</f>
        <v>2</v>
      </c>
      <c r="PJ213" s="12">
        <f t="shared" ref="PJ213" si="560">PI213+1</f>
        <v>3</v>
      </c>
      <c r="PK213" s="12">
        <f>PJ213+1</f>
        <v>4</v>
      </c>
      <c r="PL213" s="12">
        <f t="shared" ref="PL213" si="561">PK213+1</f>
        <v>5</v>
      </c>
      <c r="PM213" s="12">
        <f t="shared" ref="PM213" si="562">PL213+1</f>
        <v>6</v>
      </c>
      <c r="PN213" s="12"/>
      <c r="PO213" s="12"/>
      <c r="PP213" s="12"/>
      <c r="PQ213" s="12">
        <v>1</v>
      </c>
      <c r="PR213" s="12">
        <v>2</v>
      </c>
      <c r="PS213" s="12">
        <v>3</v>
      </c>
      <c r="PT213" s="12">
        <v>4</v>
      </c>
      <c r="PU213" s="12">
        <v>5</v>
      </c>
      <c r="PV213" s="13">
        <v>6</v>
      </c>
    </row>
    <row r="214" spans="1:438" ht="15.75" thickBot="1" x14ac:dyDescent="0.3">
      <c r="A214" t="s">
        <v>1244</v>
      </c>
      <c r="B214" s="33" t="s">
        <v>1286</v>
      </c>
      <c r="P214" t="s">
        <v>448</v>
      </c>
      <c r="T214" s="14" t="s">
        <v>520</v>
      </c>
      <c r="U214">
        <v>68</v>
      </c>
      <c r="W214" t="s">
        <v>1236</v>
      </c>
      <c r="X214" s="36" t="s">
        <v>1013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SUM(IF(ISNUMBER(FIND("TmAi",$BE$1:$AAL$1)),IF(IFERROR(ISODD(SUBSTITUTE($BE214:$AAL214,"A","")),FALSE),IF(ISODD(SUBSTITUTE($BE214:$AAL214,"A","")),1,0),0)))</f>
        <v>0</v>
      </c>
      <c r="AA214" t="str">
        <f t="shared" si="486"/>
        <v>11B</v>
      </c>
      <c r="AB214" t="str">
        <f t="shared" si="487"/>
        <v>12B</v>
      </c>
      <c r="AP214" t="s">
        <v>137</v>
      </c>
      <c r="AQ214" t="s">
        <v>1242</v>
      </c>
      <c r="AS214" t="s">
        <v>366</v>
      </c>
      <c r="JZ214" s="27" t="str">
        <f>CONCATENATE("XT",U214)</f>
        <v>XT68</v>
      </c>
      <c r="KC214" t="str">
        <f>CONCATENATE(T214,"-AI",REPLACE($X214,1,3,""),"-",AA214)</f>
        <v>F0-AI30-11B</v>
      </c>
      <c r="KD214" t="str">
        <f>CONCATENATE(T214,"-AI",REPLACE($X214,1,3,""),"-",AB214)</f>
        <v>F0-AI30-12B</v>
      </c>
      <c r="KI214">
        <v>7</v>
      </c>
      <c r="KJ214">
        <f t="shared" ref="KJ214" si="563">KI214+1</f>
        <v>8</v>
      </c>
      <c r="KK214">
        <f t="shared" ref="KK214" si="564">KJ214+1</f>
        <v>9</v>
      </c>
      <c r="KN214" t="s">
        <v>514</v>
      </c>
      <c r="KO214" s="16" t="s">
        <v>514</v>
      </c>
      <c r="KS214" s="16"/>
      <c r="OG214" s="27"/>
      <c r="PV214" s="16"/>
    </row>
    <row r="215" spans="1:438" x14ac:dyDescent="0.25">
      <c r="A215" t="s">
        <v>1245</v>
      </c>
      <c r="B215" s="34" t="s">
        <v>1285</v>
      </c>
      <c r="C215" t="s">
        <v>969</v>
      </c>
      <c r="P215" t="s">
        <v>968</v>
      </c>
      <c r="T215" s="14" t="s">
        <v>520</v>
      </c>
      <c r="U215">
        <v>69</v>
      </c>
      <c r="W215" t="s">
        <v>1237</v>
      </c>
      <c r="X215" s="36" t="s">
        <v>1669</v>
      </c>
      <c r="Y215" s="45" t="str" cm="1">
        <f t="array" ref="Y215">IF(COUNTIFS($X$2:$X215,$X215)=1,"1",VALUE(SUBSTITUTE(INDEX(Y:Y,_xlfn.XMATCH($X215,$X$1:$X214,0,-1)),"A",""))+INDEX(Z:Z,_xlfn.XMATCH($X215,$X$1:$X214,0,-1))+1)</f>
        <v>1</v>
      </c>
      <c r="Z215" s="46" cm="1">
        <f t="array" ref="Z215">SUM(IF(ISNUMBER(FIND("TmAi",$BE$1:$AAL$1)),IF(IFERROR(ISODD(SUBSTITUTE($BE215:$AAL215,"A","")),FALSE),IF(ISODD(SUBSTITUTE($BE215:$AAL215,"A","")),1,0),0)))</f>
        <v>1</v>
      </c>
      <c r="AA215" t="str">
        <f t="shared" si="229"/>
        <v>1A</v>
      </c>
      <c r="AB215" t="str">
        <f t="shared" si="230"/>
        <v>1B</v>
      </c>
      <c r="AP215" t="s">
        <v>137</v>
      </c>
      <c r="AR215" t="s">
        <v>1241</v>
      </c>
      <c r="AS215" t="s">
        <v>366</v>
      </c>
      <c r="OG215" s="25" t="str">
        <f>CONCATENATE("XT",$U215)</f>
        <v>XT69</v>
      </c>
      <c r="OH215" s="12" t="s">
        <v>1248</v>
      </c>
      <c r="OI215" s="12" t="s">
        <v>1265</v>
      </c>
      <c r="OJ215" s="12"/>
      <c r="OK215" s="12"/>
      <c r="OL215" s="12" t="str">
        <f>CONCATENATE(REPLACE($AA215,LEN($AA215),1,"")+1,RIGHT($AA215))</f>
        <v>2A</v>
      </c>
      <c r="OM215" s="12" t="str">
        <f>CONCATENATE(REPLACE($AB215,LEN($AB215),1,"")+1,RIGHT($AB215))</f>
        <v>2B</v>
      </c>
      <c r="ON215" s="12" t="str">
        <f>CONCATENATE(REPLACE(OL215,LEN(OL215),1,"")+1,RIGHT(OL215))</f>
        <v>3A</v>
      </c>
      <c r="OO215" s="12" t="str">
        <f t="shared" ref="OO215" si="565">CONCATENATE(REPLACE(OM215,LEN(OM215),1,"")+1,RIGHT(OM215))</f>
        <v>3B</v>
      </c>
      <c r="OP215" s="12" t="str">
        <f t="shared" ref="OP215" si="566">CONCATENATE(REPLACE(ON215,LEN(ON215),1,"")+1,RIGHT(ON215))</f>
        <v>4A</v>
      </c>
      <c r="OQ215" s="12" t="str">
        <f t="shared" ref="OQ215" si="567">CONCATENATE(REPLACE(OO215,LEN(OO215),1,"")+1,RIGHT(OO215))</f>
        <v>4B</v>
      </c>
      <c r="OR215" s="12"/>
      <c r="OS215" s="12"/>
      <c r="OT215" s="12"/>
      <c r="OU215" s="12"/>
      <c r="OV215" s="12" t="str">
        <f>CONCATENATE($T215,"-AI",REPLACE($X215,1,3,""),"-",$AA215)</f>
        <v>F0-AI45-1A</v>
      </c>
      <c r="OW215" s="12" t="str">
        <f>CONCATENATE($T215,"-AI",REPLACE($X215,1,3,""),"-",$AB215)</f>
        <v>F0-AI45-1B</v>
      </c>
      <c r="OX215" s="12" t="str">
        <f t="shared" ref="OX215" si="568">CONCATENATE($T215,"-AI",REPLACE($X215,1,3,""),"-",OL215)</f>
        <v>F0-AI45-2A</v>
      </c>
      <c r="OY215" s="12" t="str">
        <f t="shared" ref="OY215" si="569">CONCATENATE($T215,"-AI",REPLACE($X215,1,3,""),"-",OM215)</f>
        <v>F0-AI45-2B</v>
      </c>
      <c r="OZ215" s="12" t="str">
        <f t="shared" ref="OZ215" si="570">CONCATENATE($T215,"-AI",REPLACE($X215,1,3,""),"-",ON215)</f>
        <v>F0-AI45-3A</v>
      </c>
      <c r="PA215" s="12" t="str">
        <f t="shared" ref="PA215" si="571">CONCATENATE($T215,"-AI",REPLACE($X215,1,3,""),"-",OO215)</f>
        <v>F0-AI45-3B</v>
      </c>
      <c r="PB215" s="12" t="str">
        <f t="shared" ref="PB215" si="572">CONCATENATE($T215,"-AI",REPLACE($X215,1,3,""),"-",OP215)</f>
        <v>F0-AI45-4A</v>
      </c>
      <c r="PC215" s="12" t="str">
        <f t="shared" ref="PC215" si="573">CONCATENATE($T215,"-AI",REPLACE($X215,1,3,""),"-",OQ215)</f>
        <v>F0-AI45-4B</v>
      </c>
      <c r="PD215" s="12"/>
      <c r="PE215" s="12"/>
      <c r="PF215" s="12"/>
      <c r="PG215" s="12"/>
      <c r="PH215" s="12" cm="1">
        <f t="array" ref="PH215">IF(COUNTIFS($U$2:$U215,$U215)=1,1,INDEX(PH:PH,_xlfn.XMATCH($U215,$U$1:EF214,0,-1))+COUNT(PH214:PM214))</f>
        <v>1</v>
      </c>
      <c r="PI215" s="12">
        <f t="shared" ref="PI215" si="574">PH215+1</f>
        <v>2</v>
      </c>
      <c r="PJ215" s="12">
        <f t="shared" ref="PJ215" si="575">PI215+1</f>
        <v>3</v>
      </c>
      <c r="PK215" s="12">
        <f>PJ215+1</f>
        <v>4</v>
      </c>
      <c r="PL215" s="12">
        <f t="shared" ref="PL215" si="576">PK215+1</f>
        <v>5</v>
      </c>
      <c r="PM215" s="12">
        <f t="shared" ref="PM215" si="577">PL215+1</f>
        <v>6</v>
      </c>
      <c r="PN215" s="12"/>
      <c r="PO215" s="12"/>
      <c r="PP215" s="12"/>
      <c r="PQ215" s="12">
        <v>1</v>
      </c>
      <c r="PR215" s="12">
        <v>2</v>
      </c>
      <c r="PS215" s="12">
        <v>3</v>
      </c>
      <c r="PT215" s="12">
        <v>4</v>
      </c>
      <c r="PU215" s="12">
        <v>5</v>
      </c>
      <c r="PV215" s="13">
        <v>6</v>
      </c>
    </row>
    <row r="216" spans="1:438" x14ac:dyDescent="0.25">
      <c r="A216" t="s">
        <v>1246</v>
      </c>
      <c r="B216" s="33" t="s">
        <v>1287</v>
      </c>
      <c r="P216" t="s">
        <v>448</v>
      </c>
      <c r="T216" s="14" t="s">
        <v>520</v>
      </c>
      <c r="U216">
        <v>69</v>
      </c>
      <c r="W216" t="s">
        <v>1238</v>
      </c>
      <c r="X216" s="36" t="s">
        <v>1013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SUM(IF(ISNUMBER(FIND("TmAi",$BE$1:$AAL$1)),IF(IFERROR(ISODD(SUBSTITUTE($BE216:$AAL216,"A","")),FALSE),IF(ISODD(SUBSTITUTE($BE216:$AAL216,"A","")),1,0),0)))</f>
        <v>0</v>
      </c>
      <c r="AA216" t="str">
        <f t="shared" si="486"/>
        <v>13B</v>
      </c>
      <c r="AB216" t="str">
        <f t="shared" si="487"/>
        <v>14B</v>
      </c>
      <c r="AP216" t="s">
        <v>137</v>
      </c>
      <c r="AQ216" t="s">
        <v>1242</v>
      </c>
      <c r="AS216" t="s">
        <v>366</v>
      </c>
      <c r="JZ216" s="27" t="str">
        <f t="shared" ref="JZ216:JZ224" si="578">CONCATENATE("XT",U216)</f>
        <v>XT69</v>
      </c>
      <c r="KC216" t="str">
        <f t="shared" ref="KC216:KC224" si="579">CONCATENATE(T216,"-AI",REPLACE($X216,1,3,""),"-",AA216)</f>
        <v>F0-AI30-13B</v>
      </c>
      <c r="KD216" t="str">
        <f t="shared" ref="KD216:KD224" si="580">CONCATENATE(T216,"-AI",REPLACE($X216,1,3,""),"-",AB216)</f>
        <v>F0-AI30-14B</v>
      </c>
      <c r="KI216">
        <v>7</v>
      </c>
      <c r="KJ216">
        <f t="shared" ref="KJ216" si="581">KI216+1</f>
        <v>8</v>
      </c>
      <c r="KK216">
        <f t="shared" ref="KK216" si="582">KJ216+1</f>
        <v>9</v>
      </c>
      <c r="KN216" t="s">
        <v>514</v>
      </c>
      <c r="KO216" s="16" t="s">
        <v>514</v>
      </c>
      <c r="KS216" s="16"/>
      <c r="OG216" s="27"/>
      <c r="PV216" s="16"/>
    </row>
    <row r="217" spans="1:438" x14ac:dyDescent="0.25">
      <c r="A217" t="s">
        <v>1253</v>
      </c>
      <c r="B217" s="33" t="s">
        <v>1293</v>
      </c>
      <c r="P217" t="s">
        <v>448</v>
      </c>
      <c r="T217" s="14" t="s">
        <v>520</v>
      </c>
      <c r="U217">
        <v>70</v>
      </c>
      <c r="W217" t="s">
        <v>1249</v>
      </c>
      <c r="X217" t="str">
        <f>IF(COUNTIF(X$1:X216,X216)&gt;3,REPLACE(X216,LEN(X216),1,VALUE(RIGHT(X216,1))+1),X216)</f>
        <v>A3.31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SUM(IF(ISNUMBER(FIND("TmAi",$BE$1:$AAL$1)),IF(IFERROR(ISODD(SUBSTITUTE($BE217:$AAL217,"A","")),FALSE),IF(ISODD(SUBSTITUTE($BE217:$AAL217,"A","")),1,0),0)))</f>
        <v>0</v>
      </c>
      <c r="AA217" t="str">
        <f t="shared" si="486"/>
        <v>1B</v>
      </c>
      <c r="AB217" t="str">
        <f t="shared" si="487"/>
        <v>2B</v>
      </c>
      <c r="AP217" t="s">
        <v>137</v>
      </c>
      <c r="AQ217" t="s">
        <v>1257</v>
      </c>
      <c r="AS217" t="s">
        <v>366</v>
      </c>
      <c r="JZ217" s="27" t="str">
        <f t="shared" si="578"/>
        <v>XT70</v>
      </c>
      <c r="KC217" t="str">
        <f t="shared" si="579"/>
        <v>F0-AI31-1B</v>
      </c>
      <c r="KD217" t="str">
        <f t="shared" si="580"/>
        <v>F0-AI31-2B</v>
      </c>
      <c r="KI217">
        <v>1</v>
      </c>
      <c r="KJ217">
        <f t="shared" ref="KJ217:KJ222" si="583">KI217+1</f>
        <v>2</v>
      </c>
      <c r="KK217">
        <f t="shared" ref="KK217:KK222" si="584">KJ217+1</f>
        <v>3</v>
      </c>
      <c r="KN217" t="s">
        <v>514</v>
      </c>
      <c r="KO217" s="16" t="s">
        <v>514</v>
      </c>
      <c r="KS217" s="16"/>
      <c r="OG217" s="27"/>
      <c r="PV217" s="16"/>
    </row>
    <row r="218" spans="1:438" x14ac:dyDescent="0.25">
      <c r="A218" t="s">
        <v>1254</v>
      </c>
      <c r="B218" s="33" t="s">
        <v>1294</v>
      </c>
      <c r="P218" t="s">
        <v>448</v>
      </c>
      <c r="T218" s="14" t="s">
        <v>520</v>
      </c>
      <c r="U218">
        <v>70</v>
      </c>
      <c r="W218" t="s">
        <v>1255</v>
      </c>
      <c r="X218" t="str">
        <f>IF(COUNTIF(X$1:X217,X217)&gt;3,REPLACE(X217,LEN(X217),1,VALUE(RIGHT(X217,1))+1),X217)</f>
        <v>A3.31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SUM(IF(ISNUMBER(FIND("TmAi",$BE$1:$AAL$1)),IF(IFERROR(ISODD(SUBSTITUTE($BE218:$AAL218,"A","")),FALSE),IF(ISODD(SUBSTITUTE($BE218:$AAL218,"A","")),1,0),0)))</f>
        <v>0</v>
      </c>
      <c r="AA218" t="str">
        <f t="shared" si="486"/>
        <v>3B</v>
      </c>
      <c r="AB218" t="str">
        <f t="shared" si="487"/>
        <v>4B</v>
      </c>
      <c r="AP218" t="s">
        <v>137</v>
      </c>
      <c r="AQ218" t="s">
        <v>1257</v>
      </c>
      <c r="AS218" t="s">
        <v>366</v>
      </c>
      <c r="JZ218" s="27" t="str">
        <f t="shared" si="578"/>
        <v>XT70</v>
      </c>
      <c r="KC218" t="str">
        <f t="shared" si="579"/>
        <v>F0-AI31-3B</v>
      </c>
      <c r="KD218" t="str">
        <f t="shared" si="580"/>
        <v>F0-AI31-4B</v>
      </c>
      <c r="KI218" cm="1">
        <f t="array" ref="KI218">IF(COUNTIFS($U$2:$U218,$U218)=1,1,INDEX(KI:KI,_xlfn.XMATCH(U218,U$1:U217,0,-1))+COUNT(KI217:KM217))</f>
        <v>4</v>
      </c>
      <c r="KJ218">
        <f t="shared" si="583"/>
        <v>5</v>
      </c>
      <c r="KK218">
        <f t="shared" si="584"/>
        <v>6</v>
      </c>
      <c r="KN218" t="s">
        <v>514</v>
      </c>
      <c r="KO218" s="16" t="s">
        <v>514</v>
      </c>
      <c r="KS218" s="16"/>
      <c r="OG218" s="27"/>
      <c r="PV218" s="16"/>
    </row>
    <row r="219" spans="1:438" x14ac:dyDescent="0.25">
      <c r="A219" t="s">
        <v>1258</v>
      </c>
      <c r="B219" s="36" t="s">
        <v>1295</v>
      </c>
      <c r="P219" t="s">
        <v>448</v>
      </c>
      <c r="T219" s="14" t="s">
        <v>520</v>
      </c>
      <c r="U219">
        <v>70</v>
      </c>
      <c r="W219" t="s">
        <v>1251</v>
      </c>
      <c r="X219" t="str">
        <f>IF(COUNTIF(X$1:X218,X218)&gt;3,REPLACE(X218,LEN(X218),1,VALUE(RIGHT(X218,1))+1),X218)</f>
        <v>A3.31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SUM(IF(ISNUMBER(FIND("TmAi",$BE$1:$AAL$1)),IF(IFERROR(ISODD(SUBSTITUTE($BE219:$AAL219,"A","")),FALSE),IF(ISODD(SUBSTITUTE($BE219:$AAL219,"A","")),1,0),0)))</f>
        <v>0</v>
      </c>
      <c r="AA219" t="str">
        <f t="shared" si="486"/>
        <v>5B</v>
      </c>
      <c r="AB219" t="str">
        <f t="shared" si="487"/>
        <v>6B</v>
      </c>
      <c r="AP219" t="s">
        <v>137</v>
      </c>
      <c r="AQ219" t="s">
        <v>1252</v>
      </c>
      <c r="AS219" t="s">
        <v>366</v>
      </c>
      <c r="JZ219" s="27" t="str">
        <f t="shared" si="578"/>
        <v>XT70</v>
      </c>
      <c r="KC219" t="str">
        <f t="shared" si="579"/>
        <v>F0-AI31-5B</v>
      </c>
      <c r="KD219" t="str">
        <f t="shared" si="580"/>
        <v>F0-AI31-6B</v>
      </c>
      <c r="KI219" cm="1">
        <f t="array" ref="KI219">IF(COUNTIFS($U$2:$U219,$U219)=1,1,INDEX(KI:KI,_xlfn.XMATCH(U219,U$1:U218,0,-1))+COUNT(KI218:KM218))</f>
        <v>7</v>
      </c>
      <c r="KJ219">
        <f t="shared" si="583"/>
        <v>8</v>
      </c>
      <c r="KK219">
        <f t="shared" si="584"/>
        <v>9</v>
      </c>
      <c r="KN219" t="s">
        <v>514</v>
      </c>
      <c r="KO219" s="16" t="s">
        <v>514</v>
      </c>
      <c r="KS219" s="16"/>
      <c r="OG219" s="27"/>
      <c r="PV219" s="16"/>
    </row>
    <row r="220" spans="1:438" x14ac:dyDescent="0.25">
      <c r="A220" t="s">
        <v>1259</v>
      </c>
      <c r="B220" s="36" t="s">
        <v>1296</v>
      </c>
      <c r="P220" t="s">
        <v>448</v>
      </c>
      <c r="T220" s="14" t="s">
        <v>520</v>
      </c>
      <c r="U220">
        <v>70</v>
      </c>
      <c r="W220" t="s">
        <v>1256</v>
      </c>
      <c r="X220" s="33" t="str">
        <f>IF(COUNTIF(X$1:X219,X219)&gt;3,REPLACE(X219,LEN(X219),1,VALUE(RIGHT(X219,1))+1),X219)</f>
        <v>A3.31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SUM(IF(ISNUMBER(FIND("TmAi",$BE$1:$AAL$1)),IF(IFERROR(ISODD(SUBSTITUTE($BE220:$AAL220,"A","")),FALSE),IF(ISODD(SUBSTITUTE($BE220:$AAL220,"A","")),1,0),0)))</f>
        <v>0</v>
      </c>
      <c r="AA220" t="str">
        <f t="shared" si="486"/>
        <v>7B</v>
      </c>
      <c r="AB220" t="str">
        <f t="shared" si="487"/>
        <v>8B</v>
      </c>
      <c r="AP220" t="s">
        <v>137</v>
      </c>
      <c r="AQ220" t="s">
        <v>1252</v>
      </c>
      <c r="AS220" t="s">
        <v>366</v>
      </c>
      <c r="JZ220" s="27" t="str">
        <f t="shared" si="578"/>
        <v>XT70</v>
      </c>
      <c r="KC220" t="str">
        <f t="shared" si="579"/>
        <v>F0-AI31-7B</v>
      </c>
      <c r="KD220" t="str">
        <f t="shared" si="580"/>
        <v>F0-AI31-8B</v>
      </c>
      <c r="KI220" cm="1">
        <f t="array" ref="KI220">IF(COUNTIFS($U$2:$U220,$U220)=1,1,INDEX(KI:KI,_xlfn.XMATCH(U220,U$1:U219,0,-1))+COUNT(KI219:KM219))</f>
        <v>10</v>
      </c>
      <c r="KJ220">
        <f t="shared" si="583"/>
        <v>11</v>
      </c>
      <c r="KK220">
        <f t="shared" si="584"/>
        <v>12</v>
      </c>
      <c r="KN220" t="s">
        <v>514</v>
      </c>
      <c r="KO220" s="16" t="s">
        <v>514</v>
      </c>
      <c r="KS220" s="16"/>
      <c r="OG220" s="27"/>
      <c r="PV220" s="16"/>
    </row>
    <row r="221" spans="1:438" x14ac:dyDescent="0.25">
      <c r="A221" t="s">
        <v>1301</v>
      </c>
      <c r="B221" t="s">
        <v>1297</v>
      </c>
      <c r="C221" t="s">
        <v>1305</v>
      </c>
      <c r="P221" t="s">
        <v>1306</v>
      </c>
      <c r="T221" s="14" t="s">
        <v>520</v>
      </c>
      <c r="U221">
        <v>71</v>
      </c>
      <c r="V221" t="s">
        <v>1688</v>
      </c>
      <c r="X221" t="s">
        <v>1669</v>
      </c>
      <c r="Y221" s="43" cm="1">
        <f t="array" ref="Y221">IF(COUNTIFS($X$2:$X221,$X221)=1,"1",VALUE(SUBSTITUTE(INDEX(Y:Y,_xlfn.XMATCH($X221,$X$1:$X220,0,-1)),"A",""))+INDEX(Z:Z,_xlfn.XMATCH($X221,$X$1:$X220,0,-1))+1)</f>
        <v>3</v>
      </c>
      <c r="Z221" s="46" cm="1">
        <f t="array" ref="Z221">SUM(IF(ISNUMBER(FIND("TmAi",$BE$1:$AAL$1)),IF(IFERROR(ISODD(SUBSTITUTE($BE221:$AAL221,"A","")),FALSE),IF(ISODD(SUBSTITUTE($BE221:$AAL221,"A","")),1,0),0)))</f>
        <v>0</v>
      </c>
      <c r="AA221" t="str">
        <f>CONCATENATE($Y221*2-1,"A")</f>
        <v>5A</v>
      </c>
      <c r="AB221" t="str">
        <f>CONCATENATE($Y221*2-1,"B")</f>
        <v>5B</v>
      </c>
      <c r="AP221" t="s">
        <v>137</v>
      </c>
      <c r="AS221" t="s">
        <v>366</v>
      </c>
      <c r="JZ221" s="27" t="str">
        <f t="shared" si="578"/>
        <v>XT71</v>
      </c>
      <c r="KA221" t="str">
        <f>REPLACE(AA221,1,1,LEFT(AA221,1)+1)</f>
        <v>6A</v>
      </c>
      <c r="KC221" t="str">
        <f t="shared" si="579"/>
        <v>F0-AI45-5A</v>
      </c>
      <c r="KD221" t="str">
        <f t="shared" si="580"/>
        <v>F0-AI45-5B</v>
      </c>
      <c r="KE221" t="str">
        <f t="shared" ref="KE221:KE222" si="585">CONCATENATE($T221,"-AI",REPLACE($X221,1,3,""),"-",KA221)</f>
        <v>F0-AI45-6A</v>
      </c>
      <c r="KF221" t="str">
        <f t="shared" ref="KF221:KF222" si="586">CONCATENATE($T221,"-AI",REPLACE($X221,1,3,""),"-",KB221)</f>
        <v>F0-AI45-</v>
      </c>
      <c r="KI221" cm="1">
        <f t="array" ref="KI221">IF(COUNTIFS($U$2:$U221,$U221)=1,1,INDEX(KI:KI,_xlfn.XMATCH(U221,U$1:U220,0,-1))+COUNT(KI220:KM220))</f>
        <v>1</v>
      </c>
      <c r="KJ221">
        <f t="shared" si="583"/>
        <v>2</v>
      </c>
      <c r="KK221">
        <f t="shared" si="584"/>
        <v>3</v>
      </c>
      <c r="KL221">
        <f t="shared" ref="KL221:KL222" si="587"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8" x14ac:dyDescent="0.25">
      <c r="A222" t="s">
        <v>1302</v>
      </c>
      <c r="B222" t="s">
        <v>1298</v>
      </c>
      <c r="C222" t="s">
        <v>1305</v>
      </c>
      <c r="P222" t="s">
        <v>1306</v>
      </c>
      <c r="T222" s="14" t="s">
        <v>520</v>
      </c>
      <c r="U222">
        <v>71</v>
      </c>
      <c r="V222" t="s">
        <v>1689</v>
      </c>
      <c r="X222" s="33" t="str">
        <f>IF(COUNTIF(X$1:X221,X221)&gt;7,REPLACE(X221,LEN(X221),1,VALUE(RIGHT(X221,1))+1),X221)</f>
        <v>A3.45</v>
      </c>
      <c r="Y222" s="45" cm="1">
        <f t="array" ref="Y222">IF(COUNTIFS($X$2:$X222,$X222)=1,"1",VALUE(SUBSTITUTE(INDEX(Y:Y,_xlfn.XMATCH($X222,$X$1:$X221,0,-1)),"A",""))+INDEX(Z:Z,_xlfn.XMATCH($X222,$X$1:$X221,0,-1))+1)</f>
        <v>4</v>
      </c>
      <c r="Z222" s="46" cm="1">
        <f t="array" ref="Z222">SUM(IF(ISNUMBER(FIND("TmAi",$BE$1:$AAL$1)),IF(IFERROR(ISODD(SUBSTITUTE($BE222:$AAL222,"A","")),FALSE),IF(ISODD(SUBSTITUTE($BE222:$AAL222,"A","")),1,0),0)))</f>
        <v>0</v>
      </c>
      <c r="AA222" t="str">
        <f>CONCATENATE($Y222*2-1,"A")</f>
        <v>7A</v>
      </c>
      <c r="AB222" t="str">
        <f>CONCATENATE($Y222*2-1,"B")</f>
        <v>7B</v>
      </c>
      <c r="AP222" t="s">
        <v>137</v>
      </c>
      <c r="AS222" t="s">
        <v>366</v>
      </c>
      <c r="JZ222" s="27" t="str">
        <f t="shared" si="578"/>
        <v>XT71</v>
      </c>
      <c r="KA222" t="str">
        <f>REPLACE(AA222,1,1,LEFT(AA222,1)+1)</f>
        <v>8A</v>
      </c>
      <c r="KC222" t="str">
        <f t="shared" si="579"/>
        <v>F0-AI45-7A</v>
      </c>
      <c r="KD222" t="str">
        <f t="shared" si="580"/>
        <v>F0-AI45-7B</v>
      </c>
      <c r="KE222" t="str">
        <f t="shared" si="585"/>
        <v>F0-AI45-8A</v>
      </c>
      <c r="KF222" t="str">
        <f t="shared" si="586"/>
        <v>F0-AI45-</v>
      </c>
      <c r="KI222" cm="1">
        <f t="array" ref="KI222">IF(COUNTIFS($U$2:$U222,$U222)=1,1,INDEX(KI:KI,_xlfn.XMATCH(U222,U$1:U221,0,-1))+COUNT(KI221:KM221))</f>
        <v>5</v>
      </c>
      <c r="KJ222">
        <f t="shared" si="583"/>
        <v>6</v>
      </c>
      <c r="KK222">
        <f t="shared" si="584"/>
        <v>7</v>
      </c>
      <c r="KL222">
        <f t="shared" si="587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8" x14ac:dyDescent="0.25">
      <c r="A223" t="s">
        <v>1303</v>
      </c>
      <c r="B223" t="s">
        <v>1299</v>
      </c>
      <c r="C223" t="s">
        <v>1308</v>
      </c>
      <c r="P223" t="s">
        <v>448</v>
      </c>
      <c r="T223" s="14" t="s">
        <v>520</v>
      </c>
      <c r="U223">
        <v>71</v>
      </c>
      <c r="W223" t="s">
        <v>1690</v>
      </c>
      <c r="X223" s="34" t="s">
        <v>1014</v>
      </c>
      <c r="Y223" s="48" cm="1">
        <f t="array" ref="Y223">IF(COUNTIFS($X$2:$X223,$X223)=1,"1",VALUE(SUBSTITUTE(INDEX(Y:Y,_xlfn.XMATCH($X223,$X$1:$X222,0,-1)),"A",""))+INDEX(Z:Z,_xlfn.XMATCH($X223,$X$1:$X222,0,-1))+1)</f>
        <v>5</v>
      </c>
      <c r="Z223" s="46" cm="1">
        <f t="array" ref="Z223">SUM(IF(ISNUMBER(FIND("TmAi",$BE$1:$AAL$1)),IF(IFERROR(ISODD(SUBSTITUTE($BE223:$AAL223,"A","")),FALSE),IF(ISODD(SUBSTITUTE($BE223:$AAL223,"A","")),1,0),0)))</f>
        <v>0</v>
      </c>
      <c r="AA223" t="str">
        <f t="shared" ref="AA223:AA224" si="588">CONCATENATE($Y223*2-1,"B")</f>
        <v>9B</v>
      </c>
      <c r="AB223" t="str">
        <f t="shared" ref="AB223:AB224" si="589">CONCATENATE($Y223*2,"B")</f>
        <v>10B</v>
      </c>
      <c r="AP223" t="s">
        <v>137</v>
      </c>
      <c r="AS223" t="s">
        <v>366</v>
      </c>
      <c r="JZ223" s="27" t="str">
        <f t="shared" si="578"/>
        <v>XT71</v>
      </c>
      <c r="KC223" t="str">
        <f t="shared" si="579"/>
        <v>F0-AI31-9B</v>
      </c>
      <c r="KD223" t="str">
        <f t="shared" si="580"/>
        <v>F0-AI31-10B</v>
      </c>
      <c r="KI223" cm="1">
        <f t="array" ref="KI223">IF(COUNTIFS($U$2:$U223,$U223)=1,1,INDEX(KI:KI,_xlfn.XMATCH(U223,U$1:U222,0,-1))+COUNT(KI222:KM222))</f>
        <v>9</v>
      </c>
      <c r="KJ223">
        <f t="shared" ref="KJ223:KJ224" si="590">KI223+1</f>
        <v>10</v>
      </c>
      <c r="KK223">
        <f t="shared" ref="KK223:KK224" si="591">KJ223+1</f>
        <v>11</v>
      </c>
      <c r="KN223">
        <v>1</v>
      </c>
      <c r="KO223" s="16">
        <v>2</v>
      </c>
      <c r="KS223" s="16"/>
    </row>
    <row r="224" spans="1:438" ht="15.75" thickBot="1" x14ac:dyDescent="0.3">
      <c r="A224" t="s">
        <v>1304</v>
      </c>
      <c r="B224" t="s">
        <v>1300</v>
      </c>
      <c r="C224" t="s">
        <v>1308</v>
      </c>
      <c r="P224" t="s">
        <v>448</v>
      </c>
      <c r="T224" s="14" t="s">
        <v>520</v>
      </c>
      <c r="U224">
        <v>71</v>
      </c>
      <c r="W224" t="s">
        <v>1691</v>
      </c>
      <c r="X224" s="33" t="str">
        <f>IF(COUNTIF(X$1:X223,X223)&gt;7,REPLACE(X223,LEN(X223),1,VALUE(RIGHT(X223,1))+1),X223)</f>
        <v>A3.31</v>
      </c>
      <c r="Y224" s="45" cm="1">
        <f t="array" ref="Y224">IF(COUNTIFS($X$2:$X224,$X224)=1,"1",VALUE(SUBSTITUTE(INDEX(Y:Y,_xlfn.XMATCH($X224,$X$1:$X223,0,-1)),"A",""))+INDEX(Z:Z,_xlfn.XMATCH($X224,$X$1:$X223,0,-1))+1)</f>
        <v>6</v>
      </c>
      <c r="Z224" s="46" cm="1">
        <f t="array" ref="Z224">SUM(IF(ISNUMBER(FIND("TmAi",$BE$1:$AAL$1)),IF(IFERROR(ISODD(SUBSTITUTE($BE224:$AAL224,"A","")),FALSE),IF(ISODD(SUBSTITUTE($BE224:$AAL224,"A","")),1,0),0)))</f>
        <v>0</v>
      </c>
      <c r="AA224" t="str">
        <f t="shared" si="588"/>
        <v>11B</v>
      </c>
      <c r="AB224" t="str">
        <f t="shared" si="589"/>
        <v>12B</v>
      </c>
      <c r="AP224" t="s">
        <v>137</v>
      </c>
      <c r="AS224" t="s">
        <v>366</v>
      </c>
      <c r="JZ224" s="27" t="str">
        <f t="shared" si="578"/>
        <v>XT71</v>
      </c>
      <c r="KC224" t="str">
        <f t="shared" si="579"/>
        <v>F0-AI31-11B</v>
      </c>
      <c r="KD224" t="str">
        <f t="shared" si="580"/>
        <v>F0-AI31-12B</v>
      </c>
      <c r="KI224" cm="1">
        <f t="array" ref="KI224">IF(COUNTIFS($U$2:$U224,$U224)=1,1,INDEX(KI:KI,_xlfn.XMATCH(U224,U$1:U223,0,-1))+COUNT(KI223:KM223))</f>
        <v>12</v>
      </c>
      <c r="KJ224">
        <f t="shared" si="590"/>
        <v>13</v>
      </c>
      <c r="KK224">
        <f t="shared" si="591"/>
        <v>14</v>
      </c>
      <c r="KN224">
        <v>1</v>
      </c>
      <c r="KO224" s="16">
        <v>2</v>
      </c>
      <c r="KS224" s="16"/>
    </row>
    <row r="225" spans="1:357" x14ac:dyDescent="0.25">
      <c r="A225" t="s">
        <v>1314</v>
      </c>
      <c r="B225" t="s">
        <v>1313</v>
      </c>
      <c r="P225" t="s">
        <v>1312</v>
      </c>
      <c r="T225" s="10" t="s">
        <v>520</v>
      </c>
      <c r="U225" s="49">
        <v>72</v>
      </c>
      <c r="V225" s="11" t="s">
        <v>1692</v>
      </c>
      <c r="W225" s="11" t="s">
        <v>1693</v>
      </c>
      <c r="X225" s="12"/>
      <c r="Y225" s="12"/>
      <c r="Z225" s="12"/>
      <c r="AA225" s="12"/>
      <c r="AB225" s="12"/>
      <c r="AC225" s="12" t="s">
        <v>1315</v>
      </c>
      <c r="AD225" s="12"/>
      <c r="AE225" s="12"/>
      <c r="AF225" s="12" t="s">
        <v>133</v>
      </c>
      <c r="AG225" s="12" t="s">
        <v>134</v>
      </c>
      <c r="AH225" s="12" t="s">
        <v>1316</v>
      </c>
      <c r="AI225" s="56" t="str" cm="1">
        <f t="array" ref="AI225">IF(COUNTIFS(AH$2:AH225,AH225)=1,"1",VALUE(SUBSTITUTE(INDEX(AI:AI,_xlfn.XMATCH(AH225,AH$1:AH224,0,-1)),"A",""))+INDEX(AJ:AJ,_xlfn.XMATCH(AH225,AH$1:AH224,0,-1))+1)</f>
        <v>1</v>
      </c>
      <c r="AJ225" s="56" cm="1">
        <f t="array" ref="AJ225">SUM(IF(ISNUMBER(FIND("TmDo",$BE$1:$AAL$1)),IF(IFERROR(ISNUMBER(VALUE(SUBSTITUTE($BE225:$AAL225,"B",""))),FALSE),IF(ISNUMBER(VALUE(SUBSTITUTE($BE225:$AAL225,"B",""))),1,0),0)))</f>
        <v>1</v>
      </c>
      <c r="AK225" s="12" t="str">
        <f t="shared" ref="AK225:AK229" si="592">CONCATENATE($AI225,"A")</f>
        <v>1A</v>
      </c>
      <c r="AL225" s="12" t="str">
        <f t="shared" ref="AL225:AL229" si="593">CONCATENATE($AI225,"B")</f>
        <v>1B</v>
      </c>
      <c r="AM225" s="12">
        <v>1</v>
      </c>
      <c r="AN225" s="12" t="str">
        <f>CONCATENATE(AM225,"XT")</f>
        <v>1XT</v>
      </c>
      <c r="AO225" s="12" t="str">
        <f t="shared" ref="AO225" si="59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CONCATENATE(REPLACE(AK225,LEN(AK225),1,"")+1,"A")</f>
        <v>2A</v>
      </c>
      <c r="EX225" s="12" t="str">
        <f>CONCATENATE(REPLACE(AL225,LEN(AL225),1,"")+1,"B")</f>
        <v>2B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" si="595">CONCATENATE("DI",REPLACE($AC225,1,3,""),"-",ES225)</f>
        <v>DI13-C2</v>
      </c>
      <c r="FB225" s="12" t="str">
        <f t="shared" ref="FB225" si="596">CONCATENATE("DI",REPLACE($AC225,1,3,""),"-",ET225)</f>
        <v>DI13-B2</v>
      </c>
      <c r="FC225" s="12" t="str">
        <f t="shared" ref="FC225" si="597">CONCATENATE("DI",REPLACE($AC225,1,3,""),"-",EU225)</f>
        <v>DI13-C3</v>
      </c>
      <c r="FD225" s="12" t="str">
        <f t="shared" ref="FD225" si="598">CONCATENATE("DI",REPLACE($AC225,1,3,""),"-",EV225)</f>
        <v>DI13-B3</v>
      </c>
      <c r="FE225" s="12" t="str">
        <f>CONCATENATE("DO",REPLACE($AH225,1,3,""),"-",AK225)</f>
        <v>DO7-1A</v>
      </c>
      <c r="FF225" s="12" t="str">
        <f>CONCATENATE("DO",REPLACE($AH225,1,3,""),"-",AL225)</f>
        <v>DO7-1B</v>
      </c>
      <c r="FG225" s="12" t="str">
        <f>CONCATENATE("DO",REPLACE($AH225,1,3,""),"-",EW225)</f>
        <v>DO7-2A</v>
      </c>
      <c r="FH225" s="12" t="str">
        <f>CONCATENATE("DO",REPLACE($AH225,1,3,""),"-",EX225)</f>
        <v>DO7-2B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599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600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7" x14ac:dyDescent="0.25">
      <c r="A226" t="s">
        <v>1317</v>
      </c>
      <c r="B226" t="s">
        <v>1320</v>
      </c>
      <c r="P226" t="s">
        <v>1312</v>
      </c>
      <c r="T226" s="27" t="s">
        <v>520</v>
      </c>
      <c r="U226">
        <v>73</v>
      </c>
      <c r="V226" t="s">
        <v>1694</v>
      </c>
      <c r="W226" t="s">
        <v>1695</v>
      </c>
      <c r="AC226" t="s">
        <v>1315</v>
      </c>
      <c r="AF226" t="s">
        <v>349</v>
      </c>
      <c r="AG226" t="s">
        <v>350</v>
      </c>
      <c r="AH226" t="s">
        <v>1316</v>
      </c>
      <c r="AI226" s="57" cm="1">
        <f t="array" ref="AI226">IF(COUNTIFS(AH$2:AH226,AH226)=1,"1",VALUE(SUBSTITUTE(INDEX(AI:AI,_xlfn.XMATCH(AH226,AH$1:AH225,0,-1)),"A",""))+INDEX(AJ:AJ,_xlfn.XMATCH(AH226,AH$1:AH225,0,-1))+1)</f>
        <v>3</v>
      </c>
      <c r="AJ226" s="57" cm="1">
        <f t="array" ref="AJ226">SUM(IF(ISNUMBER(FIND("TmDo",$BE$1:$AAL$1)),IF(IFERROR(ISNUMBER(VALUE(SUBSTITUTE($BE226:$AAL226,"B",""))),FALSE),IF(ISNUMBER(VALUE(SUBSTITUTE($BE226:$AAL226,"B",""))),1,0),0)))</f>
        <v>1</v>
      </c>
      <c r="AK226" t="str">
        <f t="shared" si="592"/>
        <v>3A</v>
      </c>
      <c r="AL226" t="str">
        <f t="shared" si="593"/>
        <v>3B</v>
      </c>
      <c r="AM226">
        <v>2</v>
      </c>
      <c r="AN226" t="str">
        <f t="shared" ref="AN226:AN229" si="601">CONCATENATE(AM226,"XT")</f>
        <v>2XT</v>
      </c>
      <c r="AO226" t="str">
        <f t="shared" ref="AO226:AO227" si="602"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603">CONCATENATE("B",REPLACE(AG226,1,1,"")+1)</f>
        <v>B5</v>
      </c>
      <c r="EU226" t="str">
        <f t="shared" ref="EU226:EU227" si="604">CONCATENATE("C",REPLACE(ES226,1,1,"")+1)</f>
        <v>C6</v>
      </c>
      <c r="EV226" t="str">
        <f t="shared" ref="EV226:EV227" si="605">CONCATENATE("B",REPLACE(ET226,1,1,"")+1)</f>
        <v>B6</v>
      </c>
      <c r="EW226" t="str">
        <f>CONCATENATE(REPLACE(AK226,LEN(AK226),1,"")+1,"A")</f>
        <v>4A</v>
      </c>
      <c r="EX226" t="str">
        <f>CONCATENATE(REPLACE(AL226,LEN(AL226),1,"")+1,"B")</f>
        <v>4B</v>
      </c>
      <c r="EY226" t="str">
        <f>CONCATENATE("DI",REPLACE($AC226,1,3,""),"-",AF226)</f>
        <v>DI13-C4</v>
      </c>
      <c r="EZ226" t="str">
        <f t="shared" ref="EZ226:EZ227" si="606">CONCATENATE("DI",REPLACE($AC226,1,3,""),"-",AG226)</f>
        <v>DI13-B4</v>
      </c>
      <c r="FA226" t="str">
        <f t="shared" ref="FA226:FA227" si="607">CONCATENATE("DI",REPLACE($AC226,1,3,""),"-",ES226)</f>
        <v>DI13-C5</v>
      </c>
      <c r="FB226" t="str">
        <f t="shared" ref="FB226:FB227" si="608">CONCATENATE("DI",REPLACE($AC226,1,3,""),"-",ET226)</f>
        <v>DI13-B5</v>
      </c>
      <c r="FC226" t="str">
        <f t="shared" ref="FC226:FC227" si="609">CONCATENATE("DI",REPLACE($AC226,1,3,""),"-",EU226)</f>
        <v>DI13-C6</v>
      </c>
      <c r="FD226" t="str">
        <f t="shared" ref="FD226:FD227" si="610">CONCATENATE("DI",REPLACE($AC226,1,3,""),"-",EV226)</f>
        <v>DI13-B6</v>
      </c>
      <c r="FE226" t="str">
        <f t="shared" ref="FE226:FE227" si="611">CONCATENATE("DO",REPLACE($AH226,1,3,""),"-",AK226)</f>
        <v>DO7-3A</v>
      </c>
      <c r="FF226" t="str">
        <f t="shared" ref="FF226:FF227" si="612">CONCATENATE("DO",REPLACE($AH226,1,3,""),"-",AL226)</f>
        <v>DO7-3B</v>
      </c>
      <c r="FG226" t="str">
        <f t="shared" ref="FG226:FG227" si="613">CONCATENATE("DO",REPLACE($AH226,1,3,""),"-",EW226)</f>
        <v>DO7-4A</v>
      </c>
      <c r="FH226" t="str">
        <f t="shared" ref="FH226:FH227" si="614">CONCATENATE("DO",REPLACE($AH226,1,3,""),"-",EX226)</f>
        <v>DO7-4B</v>
      </c>
      <c r="FI226" t="str">
        <f t="shared" ref="FI226:FI229" si="615">CONCATENATE("K",$U226,"-03")</f>
        <v>K73-03</v>
      </c>
      <c r="FJ226" t="str">
        <f t="shared" ref="FJ226:FJ227" si="616">CONCATENATE("K",$U226,"-04")</f>
        <v>K73-04</v>
      </c>
      <c r="FK226" t="str">
        <f t="shared" ref="FK226:FK227" si="617">CONCATENATE("K",$U226,"-01")</f>
        <v>K73-01</v>
      </c>
      <c r="FL226" t="str">
        <f t="shared" ref="FL226:FL227" si="618">CONCATENATE("K",$U226,"-02")</f>
        <v>K73-02</v>
      </c>
      <c r="FM226" t="str">
        <f t="shared" si="599"/>
        <v>K73-05</v>
      </c>
      <c r="FN226" t="str">
        <f t="shared" ref="FN226:FN229" si="619">CONCATENATE($T226,"-M",$U226,"-H1")</f>
        <v>F0-M73-H1</v>
      </c>
      <c r="FO226" t="str">
        <f t="shared" ref="FO226:FO229" si="620">CONCATENATE($T226,"-M",$U226,"-A1")</f>
        <v>F0-M73-A1</v>
      </c>
      <c r="FP226" t="str">
        <f t="shared" ref="FP226:FP229" si="621">CONCATENATE($T226,"-M",$U226,"-3")</f>
        <v>F0-M73-3</v>
      </c>
      <c r="FQ226" t="str">
        <f t="shared" ref="FQ226:FQ227" si="622">CONCATENATE($T226,"-M",$U226,"-2")</f>
        <v>F0-M73-2</v>
      </c>
      <c r="FR226" t="str">
        <f t="shared" ref="FR226:FR227" si="623">CONCATENATE($T226,"-M",$U226,"-16")</f>
        <v>F0-M73-16</v>
      </c>
      <c r="FS226" t="str">
        <f t="shared" ref="FS226:FS227" si="624">CONCATENATE($T226,"-M",$U226,"-15")</f>
        <v>F0-M73-15</v>
      </c>
      <c r="FT226" t="str">
        <f t="shared" ref="FT226:FT229" si="625">CONCATENATE($T226,"-A220-M",$U226,)</f>
        <v>F0-A220-M73</v>
      </c>
      <c r="FU226" t="str">
        <f t="shared" si="600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7" x14ac:dyDescent="0.25">
      <c r="A227" t="s">
        <v>1319</v>
      </c>
      <c r="B227" t="s">
        <v>1321</v>
      </c>
      <c r="P227" t="s">
        <v>1312</v>
      </c>
      <c r="T227" s="27" t="s">
        <v>520</v>
      </c>
      <c r="U227">
        <v>74</v>
      </c>
      <c r="V227" t="s">
        <v>1696</v>
      </c>
      <c r="W227" t="s">
        <v>1697</v>
      </c>
      <c r="AC227" t="s">
        <v>1315</v>
      </c>
      <c r="AF227" t="s">
        <v>148</v>
      </c>
      <c r="AG227" t="s">
        <v>149</v>
      </c>
      <c r="AH227" t="s">
        <v>1316</v>
      </c>
      <c r="AI227" s="57" cm="1">
        <f t="array" ref="AI227">IF(COUNTIFS(AH$2:AH227,AH227)=1,"1",VALUE(SUBSTITUTE(INDEX(AI:AI,_xlfn.XMATCH(AH227,AH$1:AH226,0,-1)),"A",""))+INDEX(AJ:AJ,_xlfn.XMATCH(AH227,AH$1:AH226,0,-1))+1)</f>
        <v>5</v>
      </c>
      <c r="AJ227" s="57" cm="1">
        <f t="array" ref="AJ227">SUM(IF(ISNUMBER(FIND("TmDo",$BE$1:$AAL$1)),IF(IFERROR(ISNUMBER(VALUE(SUBSTITUTE($BE227:$AAL227,"B",""))),FALSE),IF(ISNUMBER(VALUE(SUBSTITUTE($BE227:$AAL227,"B",""))),1,0),0)))</f>
        <v>1</v>
      </c>
      <c r="AK227" t="str">
        <f t="shared" si="592"/>
        <v>5A</v>
      </c>
      <c r="AL227" t="str">
        <f t="shared" si="593"/>
        <v>5B</v>
      </c>
      <c r="AM227">
        <v>3</v>
      </c>
      <c r="AN227" t="str">
        <f t="shared" si="601"/>
        <v>3XT</v>
      </c>
      <c r="AO227" t="str">
        <f t="shared" si="602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603"/>
        <v>B8</v>
      </c>
      <c r="EU227" t="str">
        <f t="shared" si="604"/>
        <v>C9</v>
      </c>
      <c r="EV227" t="str">
        <f t="shared" si="605"/>
        <v>B9</v>
      </c>
      <c r="EW227" t="str">
        <f>CONCATENATE(REPLACE(AK227,LEN(AK227),1,"")+1,"A")</f>
        <v>6A</v>
      </c>
      <c r="EX227" t="str">
        <f>CONCATENATE(REPLACE(AL227,LEN(AL227),1,"")+1,"B")</f>
        <v>6B</v>
      </c>
      <c r="EY227" t="str">
        <f>CONCATENATE("DI",REPLACE($AC227,1,3,""),"-",AF227)</f>
        <v>DI13-C7</v>
      </c>
      <c r="EZ227" t="str">
        <f t="shared" si="606"/>
        <v>DI13-B7</v>
      </c>
      <c r="FA227" t="str">
        <f t="shared" si="607"/>
        <v>DI13-C8</v>
      </c>
      <c r="FB227" t="str">
        <f t="shared" si="608"/>
        <v>DI13-B8</v>
      </c>
      <c r="FC227" t="str">
        <f t="shared" si="609"/>
        <v>DI13-C9</v>
      </c>
      <c r="FD227" t="str">
        <f t="shared" si="610"/>
        <v>DI13-B9</v>
      </c>
      <c r="FE227" t="str">
        <f t="shared" si="611"/>
        <v>DO7-5A</v>
      </c>
      <c r="FF227" t="str">
        <f t="shared" si="612"/>
        <v>DO7-5B</v>
      </c>
      <c r="FG227" t="str">
        <f t="shared" si="613"/>
        <v>DO7-6A</v>
      </c>
      <c r="FH227" t="str">
        <f t="shared" si="614"/>
        <v>DO7-6B</v>
      </c>
      <c r="FI227" t="str">
        <f t="shared" si="615"/>
        <v>K74-03</v>
      </c>
      <c r="FJ227" t="str">
        <f t="shared" si="616"/>
        <v>K74-04</v>
      </c>
      <c r="FK227" t="str">
        <f t="shared" si="617"/>
        <v>K74-01</v>
      </c>
      <c r="FL227" t="str">
        <f t="shared" si="618"/>
        <v>K74-02</v>
      </c>
      <c r="FM227" t="str">
        <f t="shared" si="599"/>
        <v>K74-05</v>
      </c>
      <c r="FN227" t="str">
        <f t="shared" si="619"/>
        <v>F0-M74-H1</v>
      </c>
      <c r="FO227" t="str">
        <f t="shared" si="620"/>
        <v>F0-M74-A1</v>
      </c>
      <c r="FP227" t="str">
        <f t="shared" si="621"/>
        <v>F0-M74-3</v>
      </c>
      <c r="FQ227" t="str">
        <f t="shared" si="622"/>
        <v>F0-M74-2</v>
      </c>
      <c r="FR227" t="str">
        <f t="shared" si="623"/>
        <v>F0-M74-16</v>
      </c>
      <c r="FS227" t="str">
        <f t="shared" si="624"/>
        <v>F0-M74-15</v>
      </c>
      <c r="FT227" t="str">
        <f t="shared" si="625"/>
        <v>F0-A220-M74</v>
      </c>
      <c r="FU227" t="str">
        <f t="shared" si="600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7" x14ac:dyDescent="0.25">
      <c r="A228" t="s">
        <v>1324</v>
      </c>
      <c r="B228" t="s">
        <v>1322</v>
      </c>
      <c r="P228" t="s">
        <v>1326</v>
      </c>
      <c r="T228" s="27" t="s">
        <v>520</v>
      </c>
      <c r="U228">
        <v>75</v>
      </c>
      <c r="V228" t="s">
        <v>1698</v>
      </c>
      <c r="W228" t="s">
        <v>1699</v>
      </c>
      <c r="AC228" t="s">
        <v>1315</v>
      </c>
      <c r="AF228" t="s">
        <v>351</v>
      </c>
      <c r="AG228" t="s">
        <v>352</v>
      </c>
      <c r="AH228" t="s">
        <v>1316</v>
      </c>
      <c r="AI228" s="57" cm="1">
        <f t="array" ref="AI228">IF(COUNTIFS(AH$2:AH228,AH228)=1,"1",VALUE(SUBSTITUTE(INDEX(AI:AI,_xlfn.XMATCH(AH228,AH$1:AH227,0,-1)),"A",""))+INDEX(AJ:AJ,_xlfn.XMATCH(AH228,AH$1:AH227,0,-1))+1)</f>
        <v>7</v>
      </c>
      <c r="AJ228" s="57" cm="1">
        <f t="array" ref="AJ228">SUM(IF(ISNUMBER(FIND("TmDo",$BE$1:$AAL$1)),IF(IFERROR(ISNUMBER(VALUE(SUBSTITUTE($BE228:$AAL228,"B",""))),FALSE),IF(ISNUMBER(VALUE(SUBSTITUTE($BE228:$AAL228,"B",""))),1,0),0)))</f>
        <v>0</v>
      </c>
      <c r="AK228" t="str">
        <f t="shared" si="592"/>
        <v>7A</v>
      </c>
      <c r="AL228" t="str">
        <f t="shared" si="593"/>
        <v>7B</v>
      </c>
      <c r="AM228">
        <v>4</v>
      </c>
      <c r="AN228" t="str">
        <f t="shared" si="601"/>
        <v>4XT</v>
      </c>
      <c r="AO228" t="str">
        <f t="shared" ref="AO228:AO229" si="626">CONCATENATE(AM228,"X")</f>
        <v>4X</v>
      </c>
      <c r="AP228" t="s">
        <v>137</v>
      </c>
      <c r="AQ228" t="s">
        <v>138</v>
      </c>
      <c r="AT228" t="s">
        <v>820</v>
      </c>
      <c r="AU228" t="s">
        <v>1329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ref="EZ228:EZ229" si="627">CONCATENATE("DI",REPLACE($AC228,1,3,""),"-",AG228)</f>
        <v>DI13-B10</v>
      </c>
      <c r="FE228" t="str">
        <f t="shared" ref="FE228:FE229" si="628">CONCATENATE("DO",REPLACE($AH228,1,3,""),"-",AK228)</f>
        <v>DO7-7A</v>
      </c>
      <c r="FF228" t="str">
        <f t="shared" ref="FF228:FF229" si="629">CONCATENATE("DO",REPLACE($AH228,1,3,""),"-",AL228)</f>
        <v>DO7-7B</v>
      </c>
      <c r="FI228" t="str">
        <f t="shared" si="615"/>
        <v>K75-03</v>
      </c>
      <c r="FM228" t="str">
        <f t="shared" si="599"/>
        <v>K75-05</v>
      </c>
      <c r="FN228" t="str">
        <f t="shared" si="619"/>
        <v>F0-M75-H1</v>
      </c>
      <c r="FO228" t="str">
        <f t="shared" si="620"/>
        <v>F0-M75-A1</v>
      </c>
      <c r="FP228" t="str">
        <f t="shared" si="621"/>
        <v>F0-M75-3</v>
      </c>
      <c r="FT228" t="str">
        <f t="shared" si="625"/>
        <v>F0-A220-M75</v>
      </c>
      <c r="FU228" t="str">
        <f t="shared" si="600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7" ht="15.75" customHeight="1" thickBot="1" x14ac:dyDescent="0.3">
      <c r="A229" t="s">
        <v>1325</v>
      </c>
      <c r="B229" t="s">
        <v>1323</v>
      </c>
      <c r="P229" t="s">
        <v>1326</v>
      </c>
      <c r="T229" s="27" t="s">
        <v>520</v>
      </c>
      <c r="U229">
        <v>76</v>
      </c>
      <c r="V229" t="s">
        <v>1700</v>
      </c>
      <c r="W229" t="s">
        <v>1701</v>
      </c>
      <c r="AC229" t="s">
        <v>1315</v>
      </c>
      <c r="AF229" t="s">
        <v>1327</v>
      </c>
      <c r="AG229" t="s">
        <v>1328</v>
      </c>
      <c r="AH229" t="s">
        <v>1316</v>
      </c>
      <c r="AI229" s="57" cm="1">
        <f t="array" ref="AI229">IF(COUNTIFS(AH$2:AH229,AH229)=1,"1",VALUE(SUBSTITUTE(INDEX(AI:AI,_xlfn.XMATCH(AH229,AH$1:AH228,0,-1)),"A",""))+INDEX(AJ:AJ,_xlfn.XMATCH(AH229,AH$1:AH228,0,-1))+1)</f>
        <v>8</v>
      </c>
      <c r="AJ229" s="57" cm="1">
        <f t="array" ref="AJ229">SUM(IF(ISNUMBER(FIND("TmDo",$BE$1:$AAL$1)),IF(IFERROR(ISNUMBER(VALUE(SUBSTITUTE($BE229:$AAL229,"B",""))),FALSE),IF(ISNUMBER(VALUE(SUBSTITUTE($BE229:$AAL229,"B",""))),1,0),0)))</f>
        <v>0</v>
      </c>
      <c r="AK229" t="str">
        <f t="shared" si="592"/>
        <v>8A</v>
      </c>
      <c r="AL229" t="str">
        <f t="shared" si="593"/>
        <v>8B</v>
      </c>
      <c r="AM229">
        <v>5</v>
      </c>
      <c r="AN229" t="str">
        <f t="shared" si="601"/>
        <v>5XT</v>
      </c>
      <c r="AO229" t="str">
        <f t="shared" si="626"/>
        <v>5X</v>
      </c>
      <c r="AP229" t="s">
        <v>137</v>
      </c>
      <c r="AQ229" t="s">
        <v>138</v>
      </c>
      <c r="AT229" t="s">
        <v>820</v>
      </c>
      <c r="AU229" t="s">
        <v>1329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627"/>
        <v>DI13-B11</v>
      </c>
      <c r="FE229" t="str">
        <f t="shared" si="628"/>
        <v>DO7-8A</v>
      </c>
      <c r="FF229" t="str">
        <f t="shared" si="629"/>
        <v>DO7-8B</v>
      </c>
      <c r="FI229" t="str">
        <f t="shared" si="615"/>
        <v>K76-03</v>
      </c>
      <c r="FM229" t="str">
        <f t="shared" si="599"/>
        <v>K76-05</v>
      </c>
      <c r="FN229" t="str">
        <f t="shared" si="619"/>
        <v>F0-M76-H1</v>
      </c>
      <c r="FO229" t="str">
        <f t="shared" si="620"/>
        <v>F0-M76-A1</v>
      </c>
      <c r="FP229" t="str">
        <f t="shared" si="621"/>
        <v>F0-M76-3</v>
      </c>
      <c r="FT229" t="str">
        <f t="shared" si="625"/>
        <v>F0-A220-M76</v>
      </c>
      <c r="FU229" t="str">
        <f t="shared" si="600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7" ht="15.75" thickBot="1" x14ac:dyDescent="0.3">
      <c r="A230" t="s">
        <v>1504</v>
      </c>
      <c r="B230" t="s">
        <v>1332</v>
      </c>
      <c r="P230" t="s">
        <v>1318</v>
      </c>
      <c r="T230" s="14" t="s">
        <v>520</v>
      </c>
      <c r="U230">
        <v>77</v>
      </c>
      <c r="V230" t="s">
        <v>1702</v>
      </c>
      <c r="Y230" s="43"/>
      <c r="Z230" s="46"/>
      <c r="AC230" t="s">
        <v>1315</v>
      </c>
      <c r="AF230" t="s">
        <v>153</v>
      </c>
      <c r="AG230" t="s">
        <v>154</v>
      </c>
      <c r="AP230" t="s">
        <v>137</v>
      </c>
      <c r="AQ230" t="s">
        <v>1333</v>
      </c>
      <c r="AT230" t="s">
        <v>820</v>
      </c>
      <c r="LT230" t="s">
        <v>1334</v>
      </c>
      <c r="LX230" s="25" t="str">
        <f>CONCATENATE("XT",U230)</f>
        <v>XT77</v>
      </c>
      <c r="LY230" s="12" t="str">
        <f>CONCATENATE("DI",REPLACE($AC230,1,3,""),"-",$AG230)</f>
        <v>DI13-B13</v>
      </c>
      <c r="LZ230" s="12" t="str">
        <f>CONCATENATE("DI",REPLACE($AC230,1,3,""),"-",$AF230)</f>
        <v>DI13-C13</v>
      </c>
      <c r="MA230" s="12" t="s">
        <v>867</v>
      </c>
      <c r="MB230" s="12" t="s">
        <v>1344</v>
      </c>
      <c r="MC230" s="12">
        <v>11</v>
      </c>
      <c r="MD230" s="12">
        <v>14</v>
      </c>
      <c r="ME230" s="12" t="s">
        <v>142</v>
      </c>
      <c r="MF230" s="12" t="s">
        <v>143</v>
      </c>
      <c r="MG230" s="12" t="s">
        <v>454</v>
      </c>
      <c r="MH230" s="12" t="s">
        <v>453</v>
      </c>
      <c r="MI230" s="12" t="s">
        <v>384</v>
      </c>
      <c r="MJ230" s="12" t="s">
        <v>383</v>
      </c>
      <c r="MK230" s="12">
        <v>1</v>
      </c>
      <c r="ML230" s="12">
        <f t="shared" ref="ML230" si="630">MK230+1</f>
        <v>2</v>
      </c>
      <c r="MM230" s="12"/>
      <c r="MN230" s="12"/>
      <c r="MO230" s="12"/>
      <c r="MP230" s="12"/>
      <c r="MQ230" s="12">
        <v>1</v>
      </c>
      <c r="MR230" s="12">
        <v>2</v>
      </c>
      <c r="MS230" s="13"/>
    </row>
    <row r="231" spans="1:357" ht="15.75" thickBot="1" x14ac:dyDescent="0.3">
      <c r="A231" t="s">
        <v>1505</v>
      </c>
      <c r="B231" t="s">
        <v>1340</v>
      </c>
      <c r="P231" t="s">
        <v>1318</v>
      </c>
      <c r="T231" s="14" t="s">
        <v>520</v>
      </c>
      <c r="U231">
        <v>77</v>
      </c>
      <c r="V231" t="s">
        <v>1703</v>
      </c>
      <c r="Y231" s="43"/>
      <c r="Z231" s="46"/>
      <c r="AC231" t="s">
        <v>1315</v>
      </c>
      <c r="AF231" t="s">
        <v>1335</v>
      </c>
      <c r="AG231" t="s">
        <v>1336</v>
      </c>
      <c r="AP231" t="s">
        <v>137</v>
      </c>
      <c r="AQ231" t="s">
        <v>1337</v>
      </c>
      <c r="AT231" t="s">
        <v>820</v>
      </c>
      <c r="LT231" t="s">
        <v>1334</v>
      </c>
      <c r="LX231" s="25" t="str">
        <f>CONCATENATE("XT",U231)</f>
        <v>XT77</v>
      </c>
      <c r="LY231" s="12" t="str">
        <f>CONCATENATE("DI",REPLACE($AC231,1,3,""),"-",$AG231)</f>
        <v>DI13-B14</v>
      </c>
      <c r="LZ231" s="12" t="str">
        <f>CONCATENATE("DI",REPLACE($AC231,1,3,""),"-",$AF231)</f>
        <v>DI13-C14</v>
      </c>
      <c r="MA231" s="12" t="s">
        <v>868</v>
      </c>
      <c r="MB231" s="12" t="s">
        <v>1345</v>
      </c>
      <c r="MC231" s="12">
        <v>11</v>
      </c>
      <c r="MD231" s="12">
        <v>14</v>
      </c>
      <c r="ME231" s="12" t="s">
        <v>142</v>
      </c>
      <c r="MF231" s="12" t="s">
        <v>143</v>
      </c>
      <c r="MG231" s="12" t="s">
        <v>454</v>
      </c>
      <c r="MH231" s="12" t="s">
        <v>453</v>
      </c>
      <c r="MI231" s="12" t="s">
        <v>384</v>
      </c>
      <c r="MJ231" s="12" t="s">
        <v>383</v>
      </c>
      <c r="MK231" s="12">
        <v>3</v>
      </c>
      <c r="ML231" s="12">
        <v>4</v>
      </c>
      <c r="MM231" s="12"/>
      <c r="MN231" s="12"/>
      <c r="MO231" s="12"/>
      <c r="MP231" s="12"/>
      <c r="MQ231" s="12">
        <v>1</v>
      </c>
      <c r="MR231" s="12">
        <v>2</v>
      </c>
      <c r="MS231" s="13"/>
    </row>
    <row r="232" spans="1:357" x14ac:dyDescent="0.25">
      <c r="A232" t="s">
        <v>1506</v>
      </c>
      <c r="B232" t="s">
        <v>1341</v>
      </c>
      <c r="P232" t="s">
        <v>1318</v>
      </c>
      <c r="T232" s="14" t="s">
        <v>520</v>
      </c>
      <c r="U232">
        <v>77</v>
      </c>
      <c r="V232" t="s">
        <v>1704</v>
      </c>
      <c r="Y232" s="43"/>
      <c r="Z232" s="46"/>
      <c r="AC232" t="s">
        <v>1315</v>
      </c>
      <c r="AF232" t="s">
        <v>1338</v>
      </c>
      <c r="AG232" t="s">
        <v>1339</v>
      </c>
      <c r="AP232" t="s">
        <v>137</v>
      </c>
      <c r="AQ232" t="s">
        <v>1342</v>
      </c>
      <c r="AT232" t="s">
        <v>820</v>
      </c>
      <c r="LT232" t="s">
        <v>1334</v>
      </c>
      <c r="LX232" s="25" t="str">
        <f>CONCATENATE("XT",U232)</f>
        <v>XT77</v>
      </c>
      <c r="LY232" s="12" t="str">
        <f>CONCATENATE("DI",REPLACE($AC232,1,3,""),"-",$AG232)</f>
        <v>DI13-B15</v>
      </c>
      <c r="LZ232" s="12" t="str">
        <f>CONCATENATE("DI",REPLACE($AC232,1,3,""),"-",$AF232)</f>
        <v>DI13-C15</v>
      </c>
      <c r="MA232" s="12" t="s">
        <v>1343</v>
      </c>
      <c r="MB232" s="12" t="s">
        <v>1346</v>
      </c>
      <c r="MC232" s="12">
        <v>11</v>
      </c>
      <c r="MD232" s="12">
        <v>14</v>
      </c>
      <c r="ME232" s="12" t="s">
        <v>142</v>
      </c>
      <c r="MF232" s="12" t="s">
        <v>143</v>
      </c>
      <c r="MG232" s="12" t="s">
        <v>454</v>
      </c>
      <c r="MH232" s="12" t="s">
        <v>453</v>
      </c>
      <c r="MI232" s="12" t="s">
        <v>384</v>
      </c>
      <c r="MJ232" s="12" t="s">
        <v>383</v>
      </c>
      <c r="MK232" s="12">
        <v>5</v>
      </c>
      <c r="ML232" s="12">
        <v>6</v>
      </c>
      <c r="MM232" s="12"/>
      <c r="MN232" s="12"/>
      <c r="MO232" s="12"/>
      <c r="MP232" s="12"/>
      <c r="MQ232" s="12">
        <v>1</v>
      </c>
      <c r="MR232" s="12">
        <v>2</v>
      </c>
      <c r="MS232" s="13"/>
    </row>
    <row r="233" spans="1:357" x14ac:dyDescent="0.25">
      <c r="A233" t="s">
        <v>1349</v>
      </c>
      <c r="B233" t="s">
        <v>1351</v>
      </c>
      <c r="C233" t="s">
        <v>464</v>
      </c>
      <c r="P233" t="s">
        <v>448</v>
      </c>
      <c r="T233" s="14" t="s">
        <v>520</v>
      </c>
      <c r="U233">
        <v>78</v>
      </c>
      <c r="V233" t="s">
        <v>1705</v>
      </c>
      <c r="X233" t="s">
        <v>1133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SUM(IF(ISNUMBER(FIND("TmAi",$BE$1:$AAL$1)),IF(IFERROR(ISODD(SUBSTITUTE($BE233:$AAL233,"A","")),FALSE),IF(ISODD(SUBSTITUTE($BE233:$AAL233,"A","")),1,0),0)))</f>
        <v>0</v>
      </c>
      <c r="AA233" t="str">
        <f t="shared" ref="AA233:AA266" si="631">CONCATENATE($Y233*2-1,"B")</f>
        <v>1B</v>
      </c>
      <c r="AB233" t="str">
        <f t="shared" ref="AB233:AB266" si="632">CONCATENATE($Y233*2,"B")</f>
        <v>2B</v>
      </c>
      <c r="AP233" t="s">
        <v>137</v>
      </c>
      <c r="AS233" t="s">
        <v>366</v>
      </c>
      <c r="JZ233" s="27" t="str">
        <f t="shared" ref="JZ233:JZ266" si="633">CONCATENATE("XT",U233)</f>
        <v>XT78</v>
      </c>
      <c r="KC233" t="str">
        <f t="shared" ref="KC233:KC266" si="634">CONCATENATE(T233,"-AI",REPLACE($X233,1,3,""),"-",AA233)</f>
        <v>F0-AI32-1B</v>
      </c>
      <c r="KD233" t="str">
        <f t="shared" ref="KD233:KD266" si="635">CONCATENATE(T233,"-AI",REPLACE($X233,1,3,""),"-",AB233)</f>
        <v>F0-AI32-2B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7" x14ac:dyDescent="0.25">
      <c r="A234" t="s">
        <v>1350</v>
      </c>
      <c r="B234" s="33" t="s">
        <v>1352</v>
      </c>
      <c r="C234" t="s">
        <v>458</v>
      </c>
      <c r="P234" t="s">
        <v>448</v>
      </c>
      <c r="T234" s="14" t="s">
        <v>520</v>
      </c>
      <c r="U234">
        <v>78</v>
      </c>
      <c r="V234" t="s">
        <v>1706</v>
      </c>
      <c r="X234" t="str">
        <f>IF(COUNTIF(X$1:X233,X233)&gt;7,REPLACE(X233,LEN(X233),1,VALUE(RIGHT(X233,1))+1),X233)</f>
        <v>A3.32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SUM(IF(ISNUMBER(FIND("TmAi",$BE$1:$AAL$1)),IF(IFERROR(ISODD(SUBSTITUTE($BE234:$AAL234,"A","")),FALSE),IF(ISODD(SUBSTITUTE($BE234:$AAL234,"A","")),1,0),0)))</f>
        <v>0</v>
      </c>
      <c r="AA234" t="str">
        <f t="shared" si="631"/>
        <v>3B</v>
      </c>
      <c r="AB234" t="str">
        <f t="shared" si="632"/>
        <v>4B</v>
      </c>
      <c r="AP234" t="s">
        <v>137</v>
      </c>
      <c r="AS234" t="s">
        <v>366</v>
      </c>
      <c r="JZ234" s="27" t="str">
        <f t="shared" si="633"/>
        <v>XT78</v>
      </c>
      <c r="KC234" t="str">
        <f t="shared" si="634"/>
        <v>F0-AI32-3B</v>
      </c>
      <c r="KD234" t="str">
        <f t="shared" si="635"/>
        <v>F0-AI32-4B</v>
      </c>
      <c r="KI234" cm="1">
        <f t="array" ref="KI234">IF(COUNTIFS($U$2:$U234,$U234)=1,1,INDEX(KI:KI,_xlfn.XMATCH(U234,U$1:U233,0,-1))+COUNT(KI233:KM233))</f>
        <v>4</v>
      </c>
      <c r="KJ234">
        <f t="shared" ref="KJ234:KJ235" si="636">KI234+1</f>
        <v>5</v>
      </c>
      <c r="KK234">
        <f t="shared" ref="KK234:KK235" si="637">KJ234+1</f>
        <v>6</v>
      </c>
      <c r="KN234">
        <v>1</v>
      </c>
      <c r="KO234" s="16">
        <v>2</v>
      </c>
      <c r="KS234" s="16"/>
    </row>
    <row r="235" spans="1:357" x14ac:dyDescent="0.25">
      <c r="A235" t="s">
        <v>1353</v>
      </c>
      <c r="B235" t="s">
        <v>1357</v>
      </c>
      <c r="C235" t="s">
        <v>464</v>
      </c>
      <c r="P235" t="s">
        <v>448</v>
      </c>
      <c r="T235" s="14" t="s">
        <v>520</v>
      </c>
      <c r="U235">
        <v>79</v>
      </c>
      <c r="V235" t="s">
        <v>1707</v>
      </c>
      <c r="X235" t="s">
        <v>1671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SUM(IF(ISNUMBER(FIND("TmAi",$BE$1:$AAL$1)),IF(IFERROR(ISODD(SUBSTITUTE($BE235:$AAL235,"A","")),FALSE),IF(ISODD(SUBSTITUTE($BE235:$AAL235,"A","")),1,0),0)))</f>
        <v>0</v>
      </c>
      <c r="AA235" t="str">
        <f t="shared" si="631"/>
        <v>1B</v>
      </c>
      <c r="AB235" t="str">
        <f t="shared" si="632"/>
        <v>2B</v>
      </c>
      <c r="AP235" t="s">
        <v>137</v>
      </c>
      <c r="AS235" t="s">
        <v>366</v>
      </c>
      <c r="JZ235" s="27" t="str">
        <f t="shared" si="633"/>
        <v>XT79</v>
      </c>
      <c r="KC235" t="str">
        <f t="shared" si="634"/>
        <v>F0-AI33-1B</v>
      </c>
      <c r="KD235" t="str">
        <f t="shared" si="635"/>
        <v>F0-AI33-2B</v>
      </c>
      <c r="KI235" cm="1">
        <f t="array" ref="KI235">IF(COUNTIFS($U$2:$U235,$U235)=1,1,INDEX(KI:KI,_xlfn.XMATCH(U235,U$1:U234,0,-1))+COUNT(KI234:KM234))</f>
        <v>1</v>
      </c>
      <c r="KJ235">
        <f t="shared" si="636"/>
        <v>2</v>
      </c>
      <c r="KK235">
        <f t="shared" si="637"/>
        <v>3</v>
      </c>
      <c r="KN235">
        <v>1</v>
      </c>
      <c r="KO235" s="16">
        <v>2</v>
      </c>
      <c r="KS235" s="16"/>
    </row>
    <row r="236" spans="1:357" x14ac:dyDescent="0.25">
      <c r="A236" t="s">
        <v>1354</v>
      </c>
      <c r="B236" t="s">
        <v>1358</v>
      </c>
      <c r="C236" t="s">
        <v>464</v>
      </c>
      <c r="P236" t="s">
        <v>448</v>
      </c>
      <c r="T236" s="14" t="s">
        <v>520</v>
      </c>
      <c r="U236">
        <v>79</v>
      </c>
      <c r="V236" t="s">
        <v>1708</v>
      </c>
      <c r="X236" t="str">
        <f>IF(COUNTIF(X$1:X235,X235)&gt;7,REPLACE(X235,LEN(X235),1,VALUE(RIGHT(X235,1))+1),X235)</f>
        <v>А3.33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SUM(IF(ISNUMBER(FIND("TmAi",$BE$1:$AAL$1)),IF(IFERROR(ISODD(SUBSTITUTE($BE236:$AAL236,"A","")),FALSE),IF(ISODD(SUBSTITUTE($BE236:$AAL236,"A","")),1,0),0)))</f>
        <v>0</v>
      </c>
      <c r="AA236" t="str">
        <f t="shared" si="631"/>
        <v>3B</v>
      </c>
      <c r="AB236" t="str">
        <f t="shared" si="632"/>
        <v>4B</v>
      </c>
      <c r="AP236" t="s">
        <v>137</v>
      </c>
      <c r="AS236" t="s">
        <v>366</v>
      </c>
      <c r="JZ236" s="27" t="str">
        <f t="shared" si="633"/>
        <v>XT79</v>
      </c>
      <c r="KC236" t="str">
        <f t="shared" si="634"/>
        <v>F0-AI33-3B</v>
      </c>
      <c r="KD236" t="str">
        <f t="shared" si="635"/>
        <v>F0-AI33-4B</v>
      </c>
      <c r="KI236" cm="1">
        <f t="array" ref="KI236">IF(COUNTIFS($U$2:$U236,$U236)=1,1,INDEX(KI:KI,_xlfn.XMATCH(U236,U$1:U235,0,-1))+COUNT(KI235:KM235))</f>
        <v>4</v>
      </c>
      <c r="KJ236">
        <f t="shared" ref="KJ236:KJ239" si="638">KI236+1</f>
        <v>5</v>
      </c>
      <c r="KK236">
        <f t="shared" ref="KK236:KK239" si="639">KJ236+1</f>
        <v>6</v>
      </c>
      <c r="KN236">
        <v>1</v>
      </c>
      <c r="KO236" s="16">
        <v>2</v>
      </c>
      <c r="KS236" s="16"/>
    </row>
    <row r="237" spans="1:357" x14ac:dyDescent="0.25">
      <c r="A237" t="s">
        <v>1355</v>
      </c>
      <c r="B237" t="s">
        <v>1359</v>
      </c>
      <c r="C237" t="s">
        <v>464</v>
      </c>
      <c r="P237" t="s">
        <v>448</v>
      </c>
      <c r="T237" s="14" t="s">
        <v>520</v>
      </c>
      <c r="U237">
        <v>79</v>
      </c>
      <c r="V237" t="s">
        <v>1709</v>
      </c>
      <c r="X237" t="str">
        <f>IF(COUNTIF(X$1:X236,X236)&gt;7,REPLACE(X236,LEN(X236),1,VALUE(RIGHT(X236,1))+1),X236)</f>
        <v>А3.33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SUM(IF(ISNUMBER(FIND("TmAi",$BE$1:$AAL$1)),IF(IFERROR(ISODD(SUBSTITUTE($BE237:$AAL237,"A","")),FALSE),IF(ISODD(SUBSTITUTE($BE237:$AAL237,"A","")),1,0),0)))</f>
        <v>0</v>
      </c>
      <c r="AA237" t="str">
        <f t="shared" si="631"/>
        <v>5B</v>
      </c>
      <c r="AB237" t="str">
        <f t="shared" si="632"/>
        <v>6B</v>
      </c>
      <c r="AP237" t="s">
        <v>137</v>
      </c>
      <c r="AS237" t="s">
        <v>366</v>
      </c>
      <c r="JZ237" s="27" t="str">
        <f t="shared" si="633"/>
        <v>XT79</v>
      </c>
      <c r="KC237" t="str">
        <f t="shared" si="634"/>
        <v>F0-AI33-5B</v>
      </c>
      <c r="KD237" t="str">
        <f t="shared" si="635"/>
        <v>F0-AI33-6B</v>
      </c>
      <c r="KI237" cm="1">
        <f t="array" ref="KI237">IF(COUNTIFS($U$2:$U237,$U237)=1,1,INDEX(KI:KI,_xlfn.XMATCH(U237,U$1:U236,0,-1))+COUNT(KI236:KM236))</f>
        <v>7</v>
      </c>
      <c r="KJ237">
        <f t="shared" si="638"/>
        <v>8</v>
      </c>
      <c r="KK237">
        <f t="shared" si="639"/>
        <v>9</v>
      </c>
      <c r="KN237">
        <v>1</v>
      </c>
      <c r="KO237" s="16">
        <v>2</v>
      </c>
      <c r="KS237" s="16"/>
    </row>
    <row r="238" spans="1:357" x14ac:dyDescent="0.25">
      <c r="A238" t="s">
        <v>1356</v>
      </c>
      <c r="B238" s="33" t="s">
        <v>1360</v>
      </c>
      <c r="C238" t="s">
        <v>464</v>
      </c>
      <c r="P238" t="s">
        <v>448</v>
      </c>
      <c r="T238" s="14" t="s">
        <v>520</v>
      </c>
      <c r="U238">
        <v>79</v>
      </c>
      <c r="V238" t="s">
        <v>1710</v>
      </c>
      <c r="X238" t="str">
        <f>IF(COUNTIF(X$1:X237,X237)&gt;7,REPLACE(X237,LEN(X237),1,VALUE(RIGHT(X237,1))+1),X237)</f>
        <v>А3.33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SUM(IF(ISNUMBER(FIND("TmAi",$BE$1:$AAL$1)),IF(IFERROR(ISODD(SUBSTITUTE($BE238:$AAL238,"A","")),FALSE),IF(ISODD(SUBSTITUTE($BE238:$AAL238,"A","")),1,0),0)))</f>
        <v>0</v>
      </c>
      <c r="AA238" t="str">
        <f t="shared" si="631"/>
        <v>7B</v>
      </c>
      <c r="AB238" t="str">
        <f t="shared" si="632"/>
        <v>8B</v>
      </c>
      <c r="AP238" t="s">
        <v>137</v>
      </c>
      <c r="AS238" t="s">
        <v>366</v>
      </c>
      <c r="JZ238" s="27" t="str">
        <f t="shared" si="633"/>
        <v>XT79</v>
      </c>
      <c r="KC238" t="str">
        <f t="shared" si="634"/>
        <v>F0-AI33-7B</v>
      </c>
      <c r="KD238" t="str">
        <f t="shared" si="635"/>
        <v>F0-AI33-8B</v>
      </c>
      <c r="KI238" cm="1">
        <f t="array" ref="KI238">IF(COUNTIFS($U$2:$U238,$U238)=1,1,INDEX(KI:KI,_xlfn.XMATCH(U238,U$1:U237,0,-1))+COUNT(KI237:KM237))</f>
        <v>10</v>
      </c>
      <c r="KJ238">
        <f t="shared" si="638"/>
        <v>11</v>
      </c>
      <c r="KK238">
        <f t="shared" si="639"/>
        <v>12</v>
      </c>
      <c r="KN238">
        <v>1</v>
      </c>
      <c r="KO238" s="16">
        <v>2</v>
      </c>
      <c r="KS238" s="16"/>
    </row>
    <row r="239" spans="1:357" x14ac:dyDescent="0.25">
      <c r="A239" t="s">
        <v>1365</v>
      </c>
      <c r="B239" t="s">
        <v>1361</v>
      </c>
      <c r="C239" t="s">
        <v>464</v>
      </c>
      <c r="P239" t="s">
        <v>448</v>
      </c>
      <c r="T239" s="14" t="s">
        <v>520</v>
      </c>
      <c r="U239">
        <v>80</v>
      </c>
      <c r="V239" t="s">
        <v>1347</v>
      </c>
      <c r="X239" t="str">
        <f>IF(COUNTIF(X$1:X238,X238)&gt;7,REPLACE(X238,LEN(X238),1,VALUE(RIGHT(X238,1))+1),X238)</f>
        <v>А3.33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SUM(IF(ISNUMBER(FIND("TmAi",$BE$1:$AAL$1)),IF(IFERROR(ISODD(SUBSTITUTE($BE239:$AAL239,"A","")),FALSE),IF(ISODD(SUBSTITUTE($BE239:$AAL239,"A","")),1,0),0)))</f>
        <v>0</v>
      </c>
      <c r="AA239" t="str">
        <f t="shared" si="631"/>
        <v>9B</v>
      </c>
      <c r="AB239" t="str">
        <f t="shared" si="632"/>
        <v>10B</v>
      </c>
      <c r="AP239" t="s">
        <v>137</v>
      </c>
      <c r="AS239" t="s">
        <v>366</v>
      </c>
      <c r="JZ239" s="27" t="str">
        <f t="shared" si="633"/>
        <v>XT80</v>
      </c>
      <c r="KC239" t="str">
        <f t="shared" si="634"/>
        <v>F0-AI33-9B</v>
      </c>
      <c r="KD239" t="str">
        <f t="shared" si="635"/>
        <v>F0-AI33-10B</v>
      </c>
      <c r="KI239" cm="1">
        <f t="array" ref="KI239">IF(COUNTIFS($U$2:$U239,$U239)=1,1,INDEX(KI:KI,_xlfn.XMATCH(U239,U$1:U238,0,-1))+COUNT(KI238:KM238))</f>
        <v>1</v>
      </c>
      <c r="KJ239">
        <f t="shared" si="638"/>
        <v>2</v>
      </c>
      <c r="KK239">
        <f t="shared" si="639"/>
        <v>3</v>
      </c>
      <c r="KN239">
        <v>1</v>
      </c>
      <c r="KO239" s="16">
        <v>2</v>
      </c>
      <c r="KS239" s="16"/>
    </row>
    <row r="240" spans="1:357" x14ac:dyDescent="0.25">
      <c r="A240" t="s">
        <v>1366</v>
      </c>
      <c r="B240" t="s">
        <v>1362</v>
      </c>
      <c r="C240" t="s">
        <v>464</v>
      </c>
      <c r="P240" t="s">
        <v>448</v>
      </c>
      <c r="T240" s="14" t="s">
        <v>520</v>
      </c>
      <c r="U240">
        <v>80</v>
      </c>
      <c r="V240" t="s">
        <v>1348</v>
      </c>
      <c r="X240" t="str">
        <f>IF(COUNTIF(X$1:X239,X239)&gt;7,REPLACE(X239,LEN(X239),1,VALUE(RIGHT(X239,1))+1),X239)</f>
        <v>А3.33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SUM(IF(ISNUMBER(FIND("TmAi",$BE$1:$AAL$1)),IF(IFERROR(ISODD(SUBSTITUTE($BE240:$AAL240,"A","")),FALSE),IF(ISODD(SUBSTITUTE($BE240:$AAL240,"A","")),1,0),0)))</f>
        <v>0</v>
      </c>
      <c r="AA240" t="str">
        <f t="shared" si="631"/>
        <v>11B</v>
      </c>
      <c r="AB240" t="str">
        <f t="shared" si="632"/>
        <v>12B</v>
      </c>
      <c r="AP240" t="s">
        <v>137</v>
      </c>
      <c r="AS240" t="s">
        <v>366</v>
      </c>
      <c r="JZ240" s="27" t="str">
        <f t="shared" si="633"/>
        <v>XT80</v>
      </c>
      <c r="KC240" t="str">
        <f t="shared" si="634"/>
        <v>F0-AI33-11B</v>
      </c>
      <c r="KD240" t="str">
        <f t="shared" si="635"/>
        <v>F0-AI33-12B</v>
      </c>
      <c r="KI240" cm="1">
        <f t="array" ref="KI240">IF(COUNTIFS($U$2:$U240,$U240)=1,1,INDEX(KI:KI,_xlfn.XMATCH(U240,U$1:U239,0,-1))+COUNT(KI239:KM239))</f>
        <v>4</v>
      </c>
      <c r="KJ240">
        <f t="shared" ref="KJ240:KJ243" si="640">KI240+1</f>
        <v>5</v>
      </c>
      <c r="KK240">
        <f t="shared" ref="KK240:KK243" si="641">KJ240+1</f>
        <v>6</v>
      </c>
      <c r="KN240">
        <v>1</v>
      </c>
      <c r="KO240" s="16">
        <v>2</v>
      </c>
      <c r="KS240" s="16"/>
    </row>
    <row r="241" spans="1:305" x14ac:dyDescent="0.25">
      <c r="A241" t="s">
        <v>1367</v>
      </c>
      <c r="B241" t="s">
        <v>1363</v>
      </c>
      <c r="C241" t="s">
        <v>464</v>
      </c>
      <c r="P241" t="s">
        <v>448</v>
      </c>
      <c r="T241" s="14" t="s">
        <v>520</v>
      </c>
      <c r="U241">
        <v>80</v>
      </c>
      <c r="V241" t="s">
        <v>1711</v>
      </c>
      <c r="X241" t="str">
        <f>IF(COUNTIF(X$1:X240,X240)&gt;7,REPLACE(X240,LEN(X240),1,VALUE(RIGHT(X240,1))+1),X240)</f>
        <v>А3.33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SUM(IF(ISNUMBER(FIND("TmAi",$BE$1:$AAL$1)),IF(IFERROR(ISODD(SUBSTITUTE($BE241:$AAL241,"A","")),FALSE),IF(ISODD(SUBSTITUTE($BE241:$AAL241,"A","")),1,0),0)))</f>
        <v>0</v>
      </c>
      <c r="AA241" t="str">
        <f t="shared" si="631"/>
        <v>13B</v>
      </c>
      <c r="AB241" t="str">
        <f t="shared" si="632"/>
        <v>14B</v>
      </c>
      <c r="AP241" t="s">
        <v>137</v>
      </c>
      <c r="AS241" t="s">
        <v>366</v>
      </c>
      <c r="JZ241" s="27" t="str">
        <f t="shared" si="633"/>
        <v>XT80</v>
      </c>
      <c r="KC241" t="str">
        <f t="shared" si="634"/>
        <v>F0-AI33-13B</v>
      </c>
      <c r="KD241" t="str">
        <f t="shared" si="635"/>
        <v>F0-AI33-14B</v>
      </c>
      <c r="KI241" cm="1">
        <f t="array" ref="KI241">IF(COUNTIFS($U$2:$U241,$U241)=1,1,INDEX(KI:KI,_xlfn.XMATCH(U241,U$1:U240,0,-1))+COUNT(KI240:KM240))</f>
        <v>7</v>
      </c>
      <c r="KJ241">
        <f t="shared" si="640"/>
        <v>8</v>
      </c>
      <c r="KK241">
        <f t="shared" si="641"/>
        <v>9</v>
      </c>
      <c r="KN241">
        <v>1</v>
      </c>
      <c r="KO241" s="16">
        <v>2</v>
      </c>
      <c r="KS241" s="16"/>
    </row>
    <row r="242" spans="1:305" x14ac:dyDescent="0.25">
      <c r="A242" t="s">
        <v>1368</v>
      </c>
      <c r="B242" s="33" t="s">
        <v>1364</v>
      </c>
      <c r="C242" t="s">
        <v>464</v>
      </c>
      <c r="P242" t="s">
        <v>448</v>
      </c>
      <c r="T242" s="14" t="s">
        <v>520</v>
      </c>
      <c r="U242">
        <v>80</v>
      </c>
      <c r="V242" t="s">
        <v>1712</v>
      </c>
      <c r="X242" t="str">
        <f>IF(COUNTIF(X$1:X241,X241)&gt;7,REPLACE(X241,LEN(X241),1,VALUE(RIGHT(X241,1))+1),X241)</f>
        <v>А3.33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SUM(IF(ISNUMBER(FIND("TmAi",$BE$1:$AAL$1)),IF(IFERROR(ISODD(SUBSTITUTE($BE242:$AAL242,"A","")),FALSE),IF(ISODD(SUBSTITUTE($BE242:$AAL242,"A","")),1,0),0)))</f>
        <v>0</v>
      </c>
      <c r="AA242" t="str">
        <f t="shared" si="631"/>
        <v>15B</v>
      </c>
      <c r="AB242" t="str">
        <f t="shared" si="632"/>
        <v>16B</v>
      </c>
      <c r="AP242" t="s">
        <v>137</v>
      </c>
      <c r="AS242" t="s">
        <v>366</v>
      </c>
      <c r="JZ242" s="27" t="str">
        <f t="shared" si="633"/>
        <v>XT80</v>
      </c>
      <c r="KC242" t="str">
        <f t="shared" si="634"/>
        <v>F0-AI33-15B</v>
      </c>
      <c r="KD242" t="str">
        <f t="shared" si="635"/>
        <v>F0-AI33-16B</v>
      </c>
      <c r="KI242" cm="1">
        <f t="array" ref="KI242">IF(COUNTIFS($U$2:$U242,$U242)=1,1,INDEX(KI:KI,_xlfn.XMATCH(U242,U$1:U241,0,-1))+COUNT(KI241:KM241))</f>
        <v>10</v>
      </c>
      <c r="KJ242">
        <f t="shared" si="640"/>
        <v>11</v>
      </c>
      <c r="KK242">
        <f t="shared" si="641"/>
        <v>12</v>
      </c>
      <c r="KN242">
        <v>1</v>
      </c>
      <c r="KO242" s="16">
        <v>2</v>
      </c>
      <c r="KS242" s="16"/>
    </row>
    <row r="243" spans="1:305" x14ac:dyDescent="0.25">
      <c r="A243" t="s">
        <v>1374</v>
      </c>
      <c r="B243" t="s">
        <v>1369</v>
      </c>
      <c r="C243" t="s">
        <v>464</v>
      </c>
      <c r="P243" t="s">
        <v>448</v>
      </c>
      <c r="T243" s="14" t="s">
        <v>520</v>
      </c>
      <c r="U243">
        <v>81</v>
      </c>
      <c r="V243" t="s">
        <v>1713</v>
      </c>
      <c r="X243" t="str">
        <f>IF(COUNTIF(X$1:X242,X242)&gt;7,REPLACE(X242,LEN(X242),1,VALUE(RIGHT(X242,1))+1),X242)</f>
        <v>А3.34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SUM(IF(ISNUMBER(FIND("TmAi",$BE$1:$AAL$1)),IF(IFERROR(ISODD(SUBSTITUTE($BE243:$AAL243,"A","")),FALSE),IF(ISODD(SUBSTITUTE($BE243:$AAL243,"A","")),1,0),0)))</f>
        <v>0</v>
      </c>
      <c r="AA243" t="str">
        <f t="shared" si="631"/>
        <v>1B</v>
      </c>
      <c r="AB243" t="str">
        <f t="shared" si="632"/>
        <v>2B</v>
      </c>
      <c r="AP243" t="s">
        <v>137</v>
      </c>
      <c r="AS243" t="s">
        <v>366</v>
      </c>
      <c r="JZ243" s="27" t="str">
        <f t="shared" si="633"/>
        <v>XT81</v>
      </c>
      <c r="KC243" t="str">
        <f t="shared" si="634"/>
        <v>F0-AI34-1B</v>
      </c>
      <c r="KD243" t="str">
        <f t="shared" si="635"/>
        <v>F0-AI34-2B</v>
      </c>
      <c r="KI243" cm="1">
        <f t="array" ref="KI243">IF(COUNTIFS($U$2:$U243,$U243)=1,1,INDEX(KI:KI,_xlfn.XMATCH(U243,U$1:U242,0,-1))+COUNT(KI242:KM242))</f>
        <v>1</v>
      </c>
      <c r="KJ243">
        <f t="shared" si="640"/>
        <v>2</v>
      </c>
      <c r="KK243">
        <f t="shared" si="641"/>
        <v>3</v>
      </c>
      <c r="KN243">
        <v>1</v>
      </c>
      <c r="KO243" s="16">
        <v>2</v>
      </c>
      <c r="KS243" s="16"/>
    </row>
    <row r="244" spans="1:305" x14ac:dyDescent="0.25">
      <c r="A244" t="s">
        <v>1375</v>
      </c>
      <c r="B244" t="s">
        <v>1370</v>
      </c>
      <c r="C244" t="s">
        <v>464</v>
      </c>
      <c r="P244" t="s">
        <v>448</v>
      </c>
      <c r="T244" s="14" t="s">
        <v>520</v>
      </c>
      <c r="U244">
        <v>81</v>
      </c>
      <c r="V244" t="s">
        <v>1714</v>
      </c>
      <c r="X244" t="str">
        <f>IF(COUNTIF(X$1:X243,X243)&gt;7,REPLACE(X243,LEN(X243),1,VALUE(RIGHT(X243,1))+1),X243)</f>
        <v>А3.34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SUM(IF(ISNUMBER(FIND("TmAi",$BE$1:$AAL$1)),IF(IFERROR(ISODD(SUBSTITUTE($BE244:$AAL244,"A","")),FALSE),IF(ISODD(SUBSTITUTE($BE244:$AAL244,"A","")),1,0),0)))</f>
        <v>0</v>
      </c>
      <c r="AA244" t="str">
        <f t="shared" si="631"/>
        <v>3B</v>
      </c>
      <c r="AB244" t="str">
        <f t="shared" si="632"/>
        <v>4B</v>
      </c>
      <c r="AP244" t="s">
        <v>137</v>
      </c>
      <c r="AS244" t="s">
        <v>366</v>
      </c>
      <c r="JZ244" s="27" t="str">
        <f t="shared" si="633"/>
        <v>XT81</v>
      </c>
      <c r="KC244" t="str">
        <f t="shared" si="634"/>
        <v>F0-AI34-3B</v>
      </c>
      <c r="KD244" t="str">
        <f t="shared" si="635"/>
        <v>F0-AI34-4B</v>
      </c>
      <c r="KI244" cm="1">
        <f t="array" ref="KI244">IF(COUNTIFS($U$2:$U244,$U244)=1,1,INDEX(KI:KI,_xlfn.XMATCH(U244,U$1:U243,0,-1))+COUNT(KI243:KM243))</f>
        <v>4</v>
      </c>
      <c r="KJ244">
        <f t="shared" ref="KJ244:KJ247" si="642">KI244+1</f>
        <v>5</v>
      </c>
      <c r="KK244">
        <f t="shared" ref="KK244:KK247" si="643">KJ244+1</f>
        <v>6</v>
      </c>
      <c r="KN244">
        <v>1</v>
      </c>
      <c r="KO244" s="16">
        <v>2</v>
      </c>
      <c r="KS244" s="16"/>
    </row>
    <row r="245" spans="1:305" x14ac:dyDescent="0.25">
      <c r="A245" t="s">
        <v>1376</v>
      </c>
      <c r="B245" t="s">
        <v>1371</v>
      </c>
      <c r="C245" t="s">
        <v>464</v>
      </c>
      <c r="P245" t="s">
        <v>448</v>
      </c>
      <c r="T245" s="14" t="s">
        <v>520</v>
      </c>
      <c r="U245">
        <v>81</v>
      </c>
      <c r="V245" t="s">
        <v>1715</v>
      </c>
      <c r="X245" t="str">
        <f>IF(COUNTIF(X$1:X244,X244)&gt;7,REPLACE(X244,LEN(X244),1,VALUE(RIGHT(X244,1))+1),X244)</f>
        <v>А3.34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SUM(IF(ISNUMBER(FIND("TmAi",$BE$1:$AAL$1)),IF(IFERROR(ISODD(SUBSTITUTE($BE245:$AAL245,"A","")),FALSE),IF(ISODD(SUBSTITUTE($BE245:$AAL245,"A","")),1,0),0)))</f>
        <v>0</v>
      </c>
      <c r="AA245" t="str">
        <f t="shared" si="631"/>
        <v>5B</v>
      </c>
      <c r="AB245" t="str">
        <f t="shared" si="632"/>
        <v>6B</v>
      </c>
      <c r="AP245" t="s">
        <v>137</v>
      </c>
      <c r="AS245" t="s">
        <v>366</v>
      </c>
      <c r="JZ245" s="27" t="str">
        <f t="shared" si="633"/>
        <v>XT81</v>
      </c>
      <c r="KC245" t="str">
        <f t="shared" si="634"/>
        <v>F0-AI34-5B</v>
      </c>
      <c r="KD245" t="str">
        <f t="shared" si="635"/>
        <v>F0-AI34-6B</v>
      </c>
      <c r="KI245" cm="1">
        <f t="array" ref="KI245">IF(COUNTIFS($U$2:$U245,$U245)=1,1,INDEX(KI:KI,_xlfn.XMATCH(U245,U$1:U244,0,-1))+COUNT(KI244:KM244))</f>
        <v>7</v>
      </c>
      <c r="KJ245">
        <f t="shared" si="642"/>
        <v>8</v>
      </c>
      <c r="KK245">
        <f t="shared" si="643"/>
        <v>9</v>
      </c>
      <c r="KN245">
        <v>1</v>
      </c>
      <c r="KO245" s="16">
        <v>2</v>
      </c>
      <c r="KS245" s="16"/>
    </row>
    <row r="246" spans="1:305" x14ac:dyDescent="0.25">
      <c r="A246" t="s">
        <v>1377</v>
      </c>
      <c r="B246" s="33" t="s">
        <v>1372</v>
      </c>
      <c r="C246" t="s">
        <v>464</v>
      </c>
      <c r="P246" t="s">
        <v>448</v>
      </c>
      <c r="T246" s="14" t="s">
        <v>520</v>
      </c>
      <c r="U246">
        <v>81</v>
      </c>
      <c r="V246" t="s">
        <v>1716</v>
      </c>
      <c r="X246" t="str">
        <f>IF(COUNTIF(X$1:X245,X245)&gt;7,REPLACE(X245,LEN(X245),1,VALUE(RIGHT(X245,1))+1),X245)</f>
        <v>А3.34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SUM(IF(ISNUMBER(FIND("TmAi",$BE$1:$AAL$1)),IF(IFERROR(ISODD(SUBSTITUTE($BE246:$AAL246,"A","")),FALSE),IF(ISODD(SUBSTITUTE($BE246:$AAL246,"A","")),1,0),0)))</f>
        <v>0</v>
      </c>
      <c r="AA246" t="str">
        <f t="shared" si="631"/>
        <v>7B</v>
      </c>
      <c r="AB246" t="str">
        <f t="shared" si="632"/>
        <v>8B</v>
      </c>
      <c r="AP246" t="s">
        <v>137</v>
      </c>
      <c r="AS246" t="s">
        <v>366</v>
      </c>
      <c r="JZ246" s="27" t="str">
        <f t="shared" si="633"/>
        <v>XT81</v>
      </c>
      <c r="KC246" t="str">
        <f t="shared" si="634"/>
        <v>F0-AI34-7B</v>
      </c>
      <c r="KD246" t="str">
        <f t="shared" si="635"/>
        <v>F0-AI34-8B</v>
      </c>
      <c r="KI246" cm="1">
        <f t="array" ref="KI246">IF(COUNTIFS($U$2:$U246,$U246)=1,1,INDEX(KI:KI,_xlfn.XMATCH(U246,U$1:U245,0,-1))+COUNT(KI245:KM245))</f>
        <v>10</v>
      </c>
      <c r="KJ246">
        <f t="shared" si="642"/>
        <v>11</v>
      </c>
      <c r="KK246">
        <f t="shared" si="643"/>
        <v>12</v>
      </c>
      <c r="KN246">
        <v>1</v>
      </c>
      <c r="KO246" s="16">
        <v>2</v>
      </c>
      <c r="KS246" s="16"/>
    </row>
    <row r="247" spans="1:305" x14ac:dyDescent="0.25">
      <c r="A247" t="s">
        <v>1397</v>
      </c>
      <c r="B247" t="s">
        <v>1373</v>
      </c>
      <c r="C247" t="s">
        <v>464</v>
      </c>
      <c r="P247" t="s">
        <v>448</v>
      </c>
      <c r="T247" s="14" t="s">
        <v>520</v>
      </c>
      <c r="U247">
        <v>82</v>
      </c>
      <c r="V247" t="s">
        <v>1717</v>
      </c>
      <c r="X247" t="str">
        <f>IF(COUNTIF(X$1:X246,X246)&gt;7,REPLACE(X246,LEN(X246),1,VALUE(RIGHT(X246,1))+1),X246)</f>
        <v>А3.34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SUM(IF(ISNUMBER(FIND("TmAi",$BE$1:$AAL$1)),IF(IFERROR(ISODD(SUBSTITUTE($BE247:$AAL247,"A","")),FALSE),IF(ISODD(SUBSTITUTE($BE247:$AAL247,"A","")),1,0),0)))</f>
        <v>0</v>
      </c>
      <c r="AA247" t="str">
        <f t="shared" si="631"/>
        <v>9B</v>
      </c>
      <c r="AB247" t="str">
        <f t="shared" si="632"/>
        <v>10B</v>
      </c>
      <c r="AP247" t="s">
        <v>137</v>
      </c>
      <c r="AS247" t="s">
        <v>366</v>
      </c>
      <c r="JZ247" s="27" t="str">
        <f t="shared" si="633"/>
        <v>XT82</v>
      </c>
      <c r="KC247" t="str">
        <f t="shared" si="634"/>
        <v>F0-AI34-9B</v>
      </c>
      <c r="KD247" t="str">
        <f t="shared" si="635"/>
        <v>F0-AI34-10B</v>
      </c>
      <c r="KI247" cm="1">
        <f t="array" ref="KI247">IF(COUNTIFS($U$2:$U247,$U247)=1,1,INDEX(KI:KI,_xlfn.XMATCH(U247,U$1:U246,0,-1))+COUNT(KI246:KM246))</f>
        <v>1</v>
      </c>
      <c r="KJ247">
        <f t="shared" si="642"/>
        <v>2</v>
      </c>
      <c r="KK247">
        <f t="shared" si="643"/>
        <v>3</v>
      </c>
      <c r="KN247">
        <v>1</v>
      </c>
      <c r="KO247" s="16">
        <v>2</v>
      </c>
      <c r="KS247" s="16"/>
    </row>
    <row r="248" spans="1:305" x14ac:dyDescent="0.25">
      <c r="A248" t="s">
        <v>1398</v>
      </c>
      <c r="B248" t="s">
        <v>1378</v>
      </c>
      <c r="C248" t="s">
        <v>464</v>
      </c>
      <c r="P248" t="s">
        <v>448</v>
      </c>
      <c r="T248" s="14" t="s">
        <v>520</v>
      </c>
      <c r="U248">
        <v>82</v>
      </c>
      <c r="V248" t="s">
        <v>1718</v>
      </c>
      <c r="X248" t="str">
        <f>IF(COUNTIF(X$1:X247,X247)&gt;7,REPLACE(X247,LEN(X247),1,VALUE(RIGHT(X247,1))+1),X247)</f>
        <v>А3.34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SUM(IF(ISNUMBER(FIND("TmAi",$BE$1:$AAL$1)),IF(IFERROR(ISODD(SUBSTITUTE($BE248:$AAL248,"A","")),FALSE),IF(ISODD(SUBSTITUTE($BE248:$AAL248,"A","")),1,0),0)))</f>
        <v>0</v>
      </c>
      <c r="AA248" t="str">
        <f t="shared" si="631"/>
        <v>11B</v>
      </c>
      <c r="AB248" t="str">
        <f t="shared" si="632"/>
        <v>12B</v>
      </c>
      <c r="AP248" t="s">
        <v>137</v>
      </c>
      <c r="AS248" t="s">
        <v>366</v>
      </c>
      <c r="JZ248" s="27" t="str">
        <f t="shared" si="633"/>
        <v>XT82</v>
      </c>
      <c r="KC248" t="str">
        <f t="shared" si="634"/>
        <v>F0-AI34-11B</v>
      </c>
      <c r="KD248" t="str">
        <f t="shared" si="635"/>
        <v>F0-AI34-12B</v>
      </c>
      <c r="KI248" cm="1">
        <f t="array" ref="KI248">IF(COUNTIFS($U$2:$U248,$U248)=1,1,INDEX(KI:KI,_xlfn.XMATCH(U248,U$1:U247,0,-1))+COUNT(KI247:KM247))</f>
        <v>4</v>
      </c>
      <c r="KJ248">
        <f t="shared" ref="KJ248:KJ266" si="644">KI248+1</f>
        <v>5</v>
      </c>
      <c r="KK248">
        <f t="shared" ref="KK248:KK266" si="645">KJ248+1</f>
        <v>6</v>
      </c>
      <c r="KN248">
        <v>1</v>
      </c>
      <c r="KO248" s="16">
        <v>2</v>
      </c>
      <c r="KS248" s="16"/>
    </row>
    <row r="249" spans="1:305" x14ac:dyDescent="0.25">
      <c r="A249" t="s">
        <v>1399</v>
      </c>
      <c r="B249" t="s">
        <v>1379</v>
      </c>
      <c r="C249" t="s">
        <v>464</v>
      </c>
      <c r="P249" t="s">
        <v>448</v>
      </c>
      <c r="T249" s="14" t="s">
        <v>520</v>
      </c>
      <c r="U249">
        <v>82</v>
      </c>
      <c r="V249" t="s">
        <v>1719</v>
      </c>
      <c r="X249" t="str">
        <f>IF(COUNTIF(X$1:X248,X248)&gt;7,REPLACE(X248,LEN(X248),1,VALUE(RIGHT(X248,1))+1),X248)</f>
        <v>А3.34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SUM(IF(ISNUMBER(FIND("TmAi",$BE$1:$AAL$1)),IF(IFERROR(ISODD(SUBSTITUTE($BE249:$AAL249,"A","")),FALSE),IF(ISODD(SUBSTITUTE($BE249:$AAL249,"A","")),1,0),0)))</f>
        <v>0</v>
      </c>
      <c r="AA249" t="str">
        <f t="shared" si="631"/>
        <v>13B</v>
      </c>
      <c r="AB249" t="str">
        <f t="shared" si="632"/>
        <v>14B</v>
      </c>
      <c r="AP249" t="s">
        <v>137</v>
      </c>
      <c r="AS249" t="s">
        <v>366</v>
      </c>
      <c r="JZ249" s="27" t="str">
        <f t="shared" si="633"/>
        <v>XT82</v>
      </c>
      <c r="KC249" t="str">
        <f t="shared" si="634"/>
        <v>F0-AI34-13B</v>
      </c>
      <c r="KD249" t="str">
        <f t="shared" si="635"/>
        <v>F0-AI34-14B</v>
      </c>
      <c r="KI249" cm="1">
        <f t="array" ref="KI249">IF(COUNTIFS($U$2:$U249,$U249)=1,1,INDEX(KI:KI,_xlfn.XMATCH(U249,U$1:U248,0,-1))+COUNT(KI248:KM248))</f>
        <v>7</v>
      </c>
      <c r="KJ249">
        <f t="shared" si="644"/>
        <v>8</v>
      </c>
      <c r="KK249">
        <f t="shared" si="645"/>
        <v>9</v>
      </c>
      <c r="KN249">
        <v>1</v>
      </c>
      <c r="KO249" s="16">
        <v>2</v>
      </c>
      <c r="KS249" s="16"/>
    </row>
    <row r="250" spans="1:305" x14ac:dyDescent="0.25">
      <c r="A250" t="s">
        <v>1400</v>
      </c>
      <c r="B250" s="33" t="s">
        <v>1380</v>
      </c>
      <c r="C250" t="s">
        <v>464</v>
      </c>
      <c r="P250" t="s">
        <v>448</v>
      </c>
      <c r="T250" s="14" t="s">
        <v>520</v>
      </c>
      <c r="U250">
        <v>82</v>
      </c>
      <c r="V250" t="s">
        <v>1720</v>
      </c>
      <c r="X250" t="str">
        <f>IF(COUNTIF(X$1:X249,X249)&gt;7,REPLACE(X249,LEN(X249),1,VALUE(RIGHT(X249,1))+1),X249)</f>
        <v>А3.34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SUM(IF(ISNUMBER(FIND("TmAi",$BE$1:$AAL$1)),IF(IFERROR(ISODD(SUBSTITUTE($BE250:$AAL250,"A","")),FALSE),IF(ISODD(SUBSTITUTE($BE250:$AAL250,"A","")),1,0),0)))</f>
        <v>0</v>
      </c>
      <c r="AA250" t="str">
        <f t="shared" si="631"/>
        <v>15B</v>
      </c>
      <c r="AB250" t="str">
        <f t="shared" si="632"/>
        <v>16B</v>
      </c>
      <c r="AP250" t="s">
        <v>137</v>
      </c>
      <c r="AS250" t="s">
        <v>366</v>
      </c>
      <c r="JZ250" s="27" t="str">
        <f t="shared" si="633"/>
        <v>XT82</v>
      </c>
      <c r="KC250" t="str">
        <f t="shared" si="634"/>
        <v>F0-AI34-15B</v>
      </c>
      <c r="KD250" t="str">
        <f t="shared" si="635"/>
        <v>F0-AI34-16B</v>
      </c>
      <c r="KI250" cm="1">
        <f t="array" ref="KI250">IF(COUNTIFS($U$2:$U250,$U250)=1,1,INDEX(KI:KI,_xlfn.XMATCH(U250,U$1:U249,0,-1))+COUNT(KI249:KM249))</f>
        <v>10</v>
      </c>
      <c r="KJ250">
        <f t="shared" si="644"/>
        <v>11</v>
      </c>
      <c r="KK250">
        <f t="shared" si="645"/>
        <v>12</v>
      </c>
      <c r="KN250">
        <v>1</v>
      </c>
      <c r="KO250" s="16">
        <v>2</v>
      </c>
      <c r="KS250" s="16"/>
    </row>
    <row r="251" spans="1:305" x14ac:dyDescent="0.25">
      <c r="A251" t="s">
        <v>1401</v>
      </c>
      <c r="B251" t="s">
        <v>1381</v>
      </c>
      <c r="C251" t="s">
        <v>464</v>
      </c>
      <c r="P251" t="s">
        <v>448</v>
      </c>
      <c r="T251" s="14" t="s">
        <v>520</v>
      </c>
      <c r="U251">
        <v>83</v>
      </c>
      <c r="V251" t="s">
        <v>1721</v>
      </c>
      <c r="X251" t="str">
        <f>IF(COUNTIF(X$1:X250,X250)&gt;7,REPLACE(X250,LEN(X250),1,VALUE(RIGHT(X250,1))+1),X250)</f>
        <v>А3.35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SUM(IF(ISNUMBER(FIND("TmAi",$BE$1:$AAL$1)),IF(IFERROR(ISODD(SUBSTITUTE($BE251:$AAL251,"A","")),FALSE),IF(ISODD(SUBSTITUTE($BE251:$AAL251,"A","")),1,0),0)))</f>
        <v>0</v>
      </c>
      <c r="AA251" t="str">
        <f t="shared" si="631"/>
        <v>1B</v>
      </c>
      <c r="AB251" t="str">
        <f t="shared" si="632"/>
        <v>2B</v>
      </c>
      <c r="AP251" t="s">
        <v>137</v>
      </c>
      <c r="AS251" t="s">
        <v>366</v>
      </c>
      <c r="JZ251" s="27" t="str">
        <f t="shared" si="633"/>
        <v>XT83</v>
      </c>
      <c r="KC251" t="str">
        <f t="shared" si="634"/>
        <v>F0-AI35-1B</v>
      </c>
      <c r="KD251" t="str">
        <f t="shared" si="635"/>
        <v>F0-AI35-2B</v>
      </c>
      <c r="KI251" cm="1">
        <f t="array" ref="KI251">IF(COUNTIFS($U$2:$U251,$U251)=1,1,INDEX(KI:KI,_xlfn.XMATCH(U251,U$1:U250,0,-1))+COUNT(KI250:KM250))</f>
        <v>1</v>
      </c>
      <c r="KJ251">
        <f t="shared" si="644"/>
        <v>2</v>
      </c>
      <c r="KK251">
        <f t="shared" si="645"/>
        <v>3</v>
      </c>
      <c r="KN251">
        <v>1</v>
      </c>
      <c r="KO251" s="16">
        <v>2</v>
      </c>
      <c r="KS251" s="16"/>
    </row>
    <row r="252" spans="1:305" x14ac:dyDescent="0.25">
      <c r="A252" t="s">
        <v>1402</v>
      </c>
      <c r="B252" t="s">
        <v>1382</v>
      </c>
      <c r="C252" t="s">
        <v>464</v>
      </c>
      <c r="P252" t="s">
        <v>448</v>
      </c>
      <c r="T252" s="14" t="s">
        <v>520</v>
      </c>
      <c r="U252">
        <v>83</v>
      </c>
      <c r="V252" t="s">
        <v>1722</v>
      </c>
      <c r="X252" t="str">
        <f>IF(COUNTIF(X$1:X251,X251)&gt;7,REPLACE(X251,LEN(X251),1,VALUE(RIGHT(X251,1))+1),X251)</f>
        <v>А3.35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SUM(IF(ISNUMBER(FIND("TmAi",$BE$1:$AAL$1)),IF(IFERROR(ISODD(SUBSTITUTE($BE252:$AAL252,"A","")),FALSE),IF(ISODD(SUBSTITUTE($BE252:$AAL252,"A","")),1,0),0)))</f>
        <v>0</v>
      </c>
      <c r="AA252" t="str">
        <f t="shared" si="631"/>
        <v>3B</v>
      </c>
      <c r="AB252" t="str">
        <f t="shared" si="632"/>
        <v>4B</v>
      </c>
      <c r="AP252" t="s">
        <v>137</v>
      </c>
      <c r="AS252" t="s">
        <v>366</v>
      </c>
      <c r="JZ252" s="27" t="str">
        <f t="shared" si="633"/>
        <v>XT83</v>
      </c>
      <c r="KC252" t="str">
        <f t="shared" si="634"/>
        <v>F0-AI35-3B</v>
      </c>
      <c r="KD252" t="str">
        <f t="shared" si="635"/>
        <v>F0-AI35-4B</v>
      </c>
      <c r="KI252" cm="1">
        <f t="array" ref="KI252">IF(COUNTIFS($U$2:$U252,$U252)=1,1,INDEX(KI:KI,_xlfn.XMATCH(U252,U$1:U251,0,-1))+COUNT(KI251:KM251))</f>
        <v>4</v>
      </c>
      <c r="KJ252">
        <f t="shared" si="644"/>
        <v>5</v>
      </c>
      <c r="KK252">
        <f t="shared" si="645"/>
        <v>6</v>
      </c>
      <c r="KN252">
        <v>1</v>
      </c>
      <c r="KO252" s="16">
        <v>2</v>
      </c>
      <c r="KS252" s="16"/>
    </row>
    <row r="253" spans="1:305" x14ac:dyDescent="0.25">
      <c r="A253" t="s">
        <v>1403</v>
      </c>
      <c r="B253" t="s">
        <v>1383</v>
      </c>
      <c r="C253" t="s">
        <v>464</v>
      </c>
      <c r="P253" t="s">
        <v>448</v>
      </c>
      <c r="T253" s="14" t="s">
        <v>520</v>
      </c>
      <c r="U253">
        <v>83</v>
      </c>
      <c r="V253" t="s">
        <v>1723</v>
      </c>
      <c r="X253" t="str">
        <f>IF(COUNTIF(X$1:X252,X252)&gt;7,REPLACE(X252,LEN(X252),1,VALUE(RIGHT(X252,1))+1),X252)</f>
        <v>А3.35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SUM(IF(ISNUMBER(FIND("TmAi",$BE$1:$AAL$1)),IF(IFERROR(ISODD(SUBSTITUTE($BE253:$AAL253,"A","")),FALSE),IF(ISODD(SUBSTITUTE($BE253:$AAL253,"A","")),1,0),0)))</f>
        <v>0</v>
      </c>
      <c r="AA253" t="str">
        <f t="shared" si="631"/>
        <v>5B</v>
      </c>
      <c r="AB253" t="str">
        <f t="shared" si="632"/>
        <v>6B</v>
      </c>
      <c r="AP253" t="s">
        <v>137</v>
      </c>
      <c r="AS253" t="s">
        <v>366</v>
      </c>
      <c r="JZ253" s="27" t="str">
        <f t="shared" si="633"/>
        <v>XT83</v>
      </c>
      <c r="KC253" t="str">
        <f t="shared" si="634"/>
        <v>F0-AI35-5B</v>
      </c>
      <c r="KD253" t="str">
        <f t="shared" si="635"/>
        <v>F0-AI35-6B</v>
      </c>
      <c r="KI253" cm="1">
        <f t="array" ref="KI253">IF(COUNTIFS($U$2:$U253,$U253)=1,1,INDEX(KI:KI,_xlfn.XMATCH(U253,U$1:U252,0,-1))+COUNT(KI252:KM252))</f>
        <v>7</v>
      </c>
      <c r="KJ253">
        <f t="shared" si="644"/>
        <v>8</v>
      </c>
      <c r="KK253">
        <f t="shared" si="645"/>
        <v>9</v>
      </c>
      <c r="KN253">
        <v>1</v>
      </c>
      <c r="KO253" s="16">
        <v>2</v>
      </c>
      <c r="KS253" s="16"/>
    </row>
    <row r="254" spans="1:305" x14ac:dyDescent="0.25">
      <c r="A254" t="s">
        <v>1404</v>
      </c>
      <c r="B254" s="33" t="s">
        <v>1384</v>
      </c>
      <c r="C254" t="s">
        <v>464</v>
      </c>
      <c r="P254" t="s">
        <v>448</v>
      </c>
      <c r="T254" s="14" t="s">
        <v>520</v>
      </c>
      <c r="U254">
        <v>83</v>
      </c>
      <c r="V254" t="s">
        <v>1724</v>
      </c>
      <c r="X254" t="str">
        <f>IF(COUNTIF(X$1:X253,X253)&gt;7,REPLACE(X253,LEN(X253),1,VALUE(RIGHT(X253,1))+1),X253)</f>
        <v>А3.35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SUM(IF(ISNUMBER(FIND("TmAi",$BE$1:$AAL$1)),IF(IFERROR(ISODD(SUBSTITUTE($BE254:$AAL254,"A","")),FALSE),IF(ISODD(SUBSTITUTE($BE254:$AAL254,"A","")),1,0),0)))</f>
        <v>0</v>
      </c>
      <c r="AA254" t="str">
        <f t="shared" si="631"/>
        <v>7B</v>
      </c>
      <c r="AB254" t="str">
        <f t="shared" si="632"/>
        <v>8B</v>
      </c>
      <c r="AP254" t="s">
        <v>137</v>
      </c>
      <c r="AS254" t="s">
        <v>366</v>
      </c>
      <c r="JZ254" s="27" t="str">
        <f t="shared" si="633"/>
        <v>XT83</v>
      </c>
      <c r="KC254" t="str">
        <f t="shared" si="634"/>
        <v>F0-AI35-7B</v>
      </c>
      <c r="KD254" t="str">
        <f t="shared" si="635"/>
        <v>F0-AI35-8B</v>
      </c>
      <c r="KI254" cm="1">
        <f t="array" ref="KI254">IF(COUNTIFS($U$2:$U254,$U254)=1,1,INDEX(KI:KI,_xlfn.XMATCH(U254,U$1:U253,0,-1))+COUNT(KI253:KM253))</f>
        <v>10</v>
      </c>
      <c r="KJ254">
        <f t="shared" si="644"/>
        <v>11</v>
      </c>
      <c r="KK254">
        <f t="shared" si="645"/>
        <v>12</v>
      </c>
      <c r="KN254">
        <v>1</v>
      </c>
      <c r="KO254" s="16">
        <v>2</v>
      </c>
      <c r="KS254" s="16"/>
    </row>
    <row r="255" spans="1:305" x14ac:dyDescent="0.25">
      <c r="A255" t="s">
        <v>1405</v>
      </c>
      <c r="B255" t="s">
        <v>1385</v>
      </c>
      <c r="C255" t="s">
        <v>464</v>
      </c>
      <c r="P255" t="s">
        <v>448</v>
      </c>
      <c r="T255" s="14" t="s">
        <v>520</v>
      </c>
      <c r="U255">
        <v>84</v>
      </c>
      <c r="V255" t="s">
        <v>1725</v>
      </c>
      <c r="X255" t="str">
        <f>IF(COUNTIF(X$1:X254,X254)&gt;7,REPLACE(X254,LEN(X254),1,VALUE(RIGHT(X254,1))+1),X254)</f>
        <v>А3.35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SUM(IF(ISNUMBER(FIND("TmAi",$BE$1:$AAL$1)),IF(IFERROR(ISODD(SUBSTITUTE($BE255:$AAL255,"A","")),FALSE),IF(ISODD(SUBSTITUTE($BE255:$AAL255,"A","")),1,0),0)))</f>
        <v>0</v>
      </c>
      <c r="AA255" t="str">
        <f t="shared" si="631"/>
        <v>9B</v>
      </c>
      <c r="AB255" t="str">
        <f t="shared" si="632"/>
        <v>10B</v>
      </c>
      <c r="AP255" t="s">
        <v>137</v>
      </c>
      <c r="AS255" t="s">
        <v>366</v>
      </c>
      <c r="JZ255" s="27" t="str">
        <f t="shared" si="633"/>
        <v>XT84</v>
      </c>
      <c r="KC255" t="str">
        <f t="shared" si="634"/>
        <v>F0-AI35-9B</v>
      </c>
      <c r="KD255" t="str">
        <f t="shared" si="635"/>
        <v>F0-AI35-10B</v>
      </c>
      <c r="KI255" cm="1">
        <f t="array" ref="KI255">IF(COUNTIFS($U$2:$U255,$U255)=1,1,INDEX(KI:KI,_xlfn.XMATCH(U255,U$1:U254,0,-1))+COUNT(KI254:KM254))</f>
        <v>1</v>
      </c>
      <c r="KJ255">
        <f t="shared" si="644"/>
        <v>2</v>
      </c>
      <c r="KK255">
        <f t="shared" si="645"/>
        <v>3</v>
      </c>
      <c r="KN255">
        <v>1</v>
      </c>
      <c r="KO255" s="16">
        <v>2</v>
      </c>
      <c r="KS255" s="16"/>
    </row>
    <row r="256" spans="1:305" x14ac:dyDescent="0.25">
      <c r="A256" t="s">
        <v>1406</v>
      </c>
      <c r="B256" t="s">
        <v>1386</v>
      </c>
      <c r="C256" t="s">
        <v>464</v>
      </c>
      <c r="P256" t="s">
        <v>448</v>
      </c>
      <c r="T256" s="14" t="s">
        <v>520</v>
      </c>
      <c r="U256">
        <v>84</v>
      </c>
      <c r="V256" t="s">
        <v>1726</v>
      </c>
      <c r="X256" t="str">
        <f>IF(COUNTIF(X$1:X255,X255)&gt;7,REPLACE(X255,LEN(X255),1,VALUE(RIGHT(X255,1))+1),X255)</f>
        <v>А3.35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SUM(IF(ISNUMBER(FIND("TmAi",$BE$1:$AAL$1)),IF(IFERROR(ISODD(SUBSTITUTE($BE256:$AAL256,"A","")),FALSE),IF(ISODD(SUBSTITUTE($BE256:$AAL256,"A","")),1,0),0)))</f>
        <v>0</v>
      </c>
      <c r="AA256" t="str">
        <f t="shared" si="631"/>
        <v>11B</v>
      </c>
      <c r="AB256" t="str">
        <f t="shared" si="632"/>
        <v>12B</v>
      </c>
      <c r="AP256" t="s">
        <v>137</v>
      </c>
      <c r="AS256" t="s">
        <v>366</v>
      </c>
      <c r="JZ256" s="27" t="str">
        <f t="shared" si="633"/>
        <v>XT84</v>
      </c>
      <c r="KC256" t="str">
        <f t="shared" si="634"/>
        <v>F0-AI35-11B</v>
      </c>
      <c r="KD256" t="str">
        <f t="shared" si="635"/>
        <v>F0-AI35-12B</v>
      </c>
      <c r="KI256" cm="1">
        <f t="array" ref="KI256">IF(COUNTIFS($U$2:$U256,$U256)=1,1,INDEX(KI:KI,_xlfn.XMATCH(U256,U$1:U255,0,-1))+COUNT(KI255:KM255))</f>
        <v>4</v>
      </c>
      <c r="KJ256">
        <f t="shared" si="644"/>
        <v>5</v>
      </c>
      <c r="KK256">
        <f t="shared" si="645"/>
        <v>6</v>
      </c>
      <c r="KN256">
        <v>1</v>
      </c>
      <c r="KO256" s="16">
        <v>2</v>
      </c>
      <c r="KS256" s="16"/>
    </row>
    <row r="257" spans="1:305" x14ac:dyDescent="0.25">
      <c r="A257" t="s">
        <v>1407</v>
      </c>
      <c r="B257" t="s">
        <v>1387</v>
      </c>
      <c r="C257" t="s">
        <v>464</v>
      </c>
      <c r="P257" t="s">
        <v>448</v>
      </c>
      <c r="T257" s="14" t="s">
        <v>520</v>
      </c>
      <c r="U257">
        <v>84</v>
      </c>
      <c r="V257" t="s">
        <v>1727</v>
      </c>
      <c r="X257" t="str">
        <f>IF(COUNTIF(X$1:X256,X256)&gt;7,REPLACE(X256,LEN(X256),1,VALUE(RIGHT(X256,1))+1),X256)</f>
        <v>А3.35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SUM(IF(ISNUMBER(FIND("TmAi",$BE$1:$AAL$1)),IF(IFERROR(ISODD(SUBSTITUTE($BE257:$AAL257,"A","")),FALSE),IF(ISODD(SUBSTITUTE($BE257:$AAL257,"A","")),1,0),0)))</f>
        <v>0</v>
      </c>
      <c r="AA257" t="str">
        <f t="shared" si="631"/>
        <v>13B</v>
      </c>
      <c r="AB257" t="str">
        <f t="shared" si="632"/>
        <v>14B</v>
      </c>
      <c r="AP257" t="s">
        <v>137</v>
      </c>
      <c r="AS257" t="s">
        <v>366</v>
      </c>
      <c r="JZ257" s="27" t="str">
        <f t="shared" si="633"/>
        <v>XT84</v>
      </c>
      <c r="KC257" t="str">
        <f t="shared" si="634"/>
        <v>F0-AI35-13B</v>
      </c>
      <c r="KD257" t="str">
        <f t="shared" si="635"/>
        <v>F0-AI35-14B</v>
      </c>
      <c r="KI257" cm="1">
        <f t="array" ref="KI257">IF(COUNTIFS($U$2:$U257,$U257)=1,1,INDEX(KI:KI,_xlfn.XMATCH(U257,U$1:U256,0,-1))+COUNT(KI256:KM256))</f>
        <v>7</v>
      </c>
      <c r="KJ257">
        <f t="shared" si="644"/>
        <v>8</v>
      </c>
      <c r="KK257">
        <f t="shared" si="645"/>
        <v>9</v>
      </c>
      <c r="KN257">
        <v>1</v>
      </c>
      <c r="KO257" s="16">
        <v>2</v>
      </c>
      <c r="KS257" s="16"/>
    </row>
    <row r="258" spans="1:305" x14ac:dyDescent="0.25">
      <c r="A258" t="s">
        <v>1408</v>
      </c>
      <c r="B258" s="33" t="s">
        <v>1388</v>
      </c>
      <c r="C258" t="s">
        <v>464</v>
      </c>
      <c r="P258" t="s">
        <v>448</v>
      </c>
      <c r="T258" s="14" t="s">
        <v>520</v>
      </c>
      <c r="U258">
        <v>84</v>
      </c>
      <c r="V258" t="s">
        <v>1728</v>
      </c>
      <c r="X258" t="str">
        <f>IF(COUNTIF(X$1:X257,X257)&gt;7,REPLACE(X257,LEN(X257),1,VALUE(RIGHT(X257,1))+1),X257)</f>
        <v>А3.35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SUM(IF(ISNUMBER(FIND("TmAi",$BE$1:$AAL$1)),IF(IFERROR(ISODD(SUBSTITUTE($BE258:$AAL258,"A","")),FALSE),IF(ISODD(SUBSTITUTE($BE258:$AAL258,"A","")),1,0),0)))</f>
        <v>0</v>
      </c>
      <c r="AA258" t="str">
        <f t="shared" si="631"/>
        <v>15B</v>
      </c>
      <c r="AB258" t="str">
        <f t="shared" si="632"/>
        <v>16B</v>
      </c>
      <c r="AP258" t="s">
        <v>137</v>
      </c>
      <c r="AS258" t="s">
        <v>366</v>
      </c>
      <c r="JZ258" s="27" t="str">
        <f t="shared" si="633"/>
        <v>XT84</v>
      </c>
      <c r="KC258" t="str">
        <f t="shared" si="634"/>
        <v>F0-AI35-15B</v>
      </c>
      <c r="KD258" t="str">
        <f t="shared" si="635"/>
        <v>F0-AI35-16B</v>
      </c>
      <c r="KI258" cm="1">
        <f t="array" ref="KI258">IF(COUNTIFS($U$2:$U258,$U258)=1,1,INDEX(KI:KI,_xlfn.XMATCH(U258,U$1:U257,0,-1))+COUNT(KI257:KM257))</f>
        <v>10</v>
      </c>
      <c r="KJ258">
        <f t="shared" si="644"/>
        <v>11</v>
      </c>
      <c r="KK258">
        <f t="shared" si="645"/>
        <v>12</v>
      </c>
      <c r="KN258">
        <v>1</v>
      </c>
      <c r="KO258" s="16">
        <v>2</v>
      </c>
      <c r="KS258" s="16"/>
    </row>
    <row r="259" spans="1:305" x14ac:dyDescent="0.25">
      <c r="A259" t="s">
        <v>1409</v>
      </c>
      <c r="B259" t="s">
        <v>1389</v>
      </c>
      <c r="C259" t="s">
        <v>464</v>
      </c>
      <c r="P259" t="s">
        <v>448</v>
      </c>
      <c r="T259" s="14" t="s">
        <v>520</v>
      </c>
      <c r="U259">
        <v>85</v>
      </c>
      <c r="V259" t="s">
        <v>1729</v>
      </c>
      <c r="X259" t="str">
        <f>IF(COUNTIF(X$1:X258,X258)&gt;7,REPLACE(X258,LEN(X258),1,VALUE(RIGHT(X258,1))+1),X258)</f>
        <v>А3.36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SUM(IF(ISNUMBER(FIND("TmAi",$BE$1:$AAL$1)),IF(IFERROR(ISODD(SUBSTITUTE($BE259:$AAL259,"A","")),FALSE),IF(ISODD(SUBSTITUTE($BE259:$AAL259,"A","")),1,0),0)))</f>
        <v>0</v>
      </c>
      <c r="AA259" t="str">
        <f t="shared" si="631"/>
        <v>1B</v>
      </c>
      <c r="AB259" t="str">
        <f t="shared" si="632"/>
        <v>2B</v>
      </c>
      <c r="AP259" t="s">
        <v>137</v>
      </c>
      <c r="AS259" t="s">
        <v>366</v>
      </c>
      <c r="JZ259" s="27" t="str">
        <f t="shared" si="633"/>
        <v>XT85</v>
      </c>
      <c r="KC259" t="str">
        <f t="shared" si="634"/>
        <v>F0-AI36-1B</v>
      </c>
      <c r="KD259" t="str">
        <f t="shared" si="635"/>
        <v>F0-AI36-2B</v>
      </c>
      <c r="KI259" cm="1">
        <f t="array" ref="KI259">IF(COUNTIFS($U$2:$U259,$U259)=1,1,INDEX(KI:KI,_xlfn.XMATCH(U259,U$1:U258,0,-1))+COUNT(KI258:KM258))</f>
        <v>1</v>
      </c>
      <c r="KJ259">
        <f t="shared" si="644"/>
        <v>2</v>
      </c>
      <c r="KK259">
        <f t="shared" si="645"/>
        <v>3</v>
      </c>
      <c r="KN259">
        <v>1</v>
      </c>
      <c r="KO259" s="16">
        <v>2</v>
      </c>
      <c r="KS259" s="16"/>
    </row>
    <row r="260" spans="1:305" x14ac:dyDescent="0.25">
      <c r="A260" t="s">
        <v>1410</v>
      </c>
      <c r="B260" t="s">
        <v>1390</v>
      </c>
      <c r="C260" t="s">
        <v>464</v>
      </c>
      <c r="P260" t="s">
        <v>448</v>
      </c>
      <c r="T260" s="14" t="s">
        <v>520</v>
      </c>
      <c r="U260">
        <v>85</v>
      </c>
      <c r="V260" t="s">
        <v>1730</v>
      </c>
      <c r="X260" t="str">
        <f>IF(COUNTIF(X$1:X259,X259)&gt;7,REPLACE(X259,LEN(X259),1,VALUE(RIGHT(X259,1))+1),X259)</f>
        <v>А3.36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SUM(IF(ISNUMBER(FIND("TmAi",$BE$1:$AAL$1)),IF(IFERROR(ISODD(SUBSTITUTE($BE260:$AAL260,"A","")),FALSE),IF(ISODD(SUBSTITUTE($BE260:$AAL260,"A","")),1,0),0)))</f>
        <v>0</v>
      </c>
      <c r="AA260" t="str">
        <f t="shared" si="631"/>
        <v>3B</v>
      </c>
      <c r="AB260" t="str">
        <f t="shared" si="632"/>
        <v>4B</v>
      </c>
      <c r="AP260" t="s">
        <v>137</v>
      </c>
      <c r="AS260" t="s">
        <v>366</v>
      </c>
      <c r="JZ260" s="27" t="str">
        <f t="shared" si="633"/>
        <v>XT85</v>
      </c>
      <c r="KC260" t="str">
        <f t="shared" si="634"/>
        <v>F0-AI36-3B</v>
      </c>
      <c r="KD260" t="str">
        <f t="shared" si="635"/>
        <v>F0-AI36-4B</v>
      </c>
      <c r="KI260" cm="1">
        <f t="array" ref="KI260">IF(COUNTIFS($U$2:$U260,$U260)=1,1,INDEX(KI:KI,_xlfn.XMATCH(U260,U$1:U259,0,-1))+COUNT(KI259:KM259))</f>
        <v>4</v>
      </c>
      <c r="KJ260">
        <f t="shared" si="644"/>
        <v>5</v>
      </c>
      <c r="KK260">
        <f t="shared" si="645"/>
        <v>6</v>
      </c>
      <c r="KN260">
        <v>1</v>
      </c>
      <c r="KO260" s="16">
        <v>2</v>
      </c>
      <c r="KS260" s="16"/>
    </row>
    <row r="261" spans="1:305" x14ac:dyDescent="0.25">
      <c r="A261" t="s">
        <v>1411</v>
      </c>
      <c r="B261" t="s">
        <v>1391</v>
      </c>
      <c r="C261" t="s">
        <v>464</v>
      </c>
      <c r="P261" t="s">
        <v>448</v>
      </c>
      <c r="T261" s="14" t="s">
        <v>520</v>
      </c>
      <c r="U261">
        <v>85</v>
      </c>
      <c r="V261" t="s">
        <v>1731</v>
      </c>
      <c r="X261" t="str">
        <f>IF(COUNTIF(X$1:X260,X260)&gt;7,REPLACE(X260,LEN(X260),1,VALUE(RIGHT(X260,1))+1),X260)</f>
        <v>А3.36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SUM(IF(ISNUMBER(FIND("TmAi",$BE$1:$AAL$1)),IF(IFERROR(ISODD(SUBSTITUTE($BE261:$AAL261,"A","")),FALSE),IF(ISODD(SUBSTITUTE($BE261:$AAL261,"A","")),1,0),0)))</f>
        <v>0</v>
      </c>
      <c r="AA261" t="str">
        <f t="shared" si="631"/>
        <v>5B</v>
      </c>
      <c r="AB261" t="str">
        <f t="shared" si="632"/>
        <v>6B</v>
      </c>
      <c r="AP261" t="s">
        <v>137</v>
      </c>
      <c r="AS261" t="s">
        <v>366</v>
      </c>
      <c r="JZ261" s="27" t="str">
        <f t="shared" si="633"/>
        <v>XT85</v>
      </c>
      <c r="KC261" t="str">
        <f t="shared" si="634"/>
        <v>F0-AI36-5B</v>
      </c>
      <c r="KD261" t="str">
        <f t="shared" si="635"/>
        <v>F0-AI36-6B</v>
      </c>
      <c r="KI261" cm="1">
        <f t="array" ref="KI261">IF(COUNTIFS($U$2:$U261,$U261)=1,1,INDEX(KI:KI,_xlfn.XMATCH(U261,U$1:U260,0,-1))+COUNT(KI260:KM260))</f>
        <v>7</v>
      </c>
      <c r="KJ261">
        <f t="shared" si="644"/>
        <v>8</v>
      </c>
      <c r="KK261">
        <f t="shared" si="645"/>
        <v>9</v>
      </c>
      <c r="KN261">
        <v>1</v>
      </c>
      <c r="KO261" s="16">
        <v>2</v>
      </c>
      <c r="KS261" s="16"/>
    </row>
    <row r="262" spans="1:305" x14ac:dyDescent="0.25">
      <c r="A262" t="s">
        <v>1412</v>
      </c>
      <c r="B262" s="33" t="s">
        <v>1392</v>
      </c>
      <c r="C262" t="s">
        <v>464</v>
      </c>
      <c r="P262" t="s">
        <v>448</v>
      </c>
      <c r="T262" s="14" t="s">
        <v>520</v>
      </c>
      <c r="U262">
        <v>85</v>
      </c>
      <c r="V262" t="s">
        <v>1732</v>
      </c>
      <c r="X262" t="str">
        <f>IF(COUNTIF(X$1:X261,X261)&gt;7,REPLACE(X261,LEN(X261),1,VALUE(RIGHT(X261,1))+1),X261)</f>
        <v>А3.36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SUM(IF(ISNUMBER(FIND("TmAi",$BE$1:$AAL$1)),IF(IFERROR(ISODD(SUBSTITUTE($BE262:$AAL262,"A","")),FALSE),IF(ISODD(SUBSTITUTE($BE262:$AAL262,"A","")),1,0),0)))</f>
        <v>0</v>
      </c>
      <c r="AA262" t="str">
        <f t="shared" si="631"/>
        <v>7B</v>
      </c>
      <c r="AB262" t="str">
        <f t="shared" si="632"/>
        <v>8B</v>
      </c>
      <c r="AP262" t="s">
        <v>137</v>
      </c>
      <c r="AS262" t="s">
        <v>366</v>
      </c>
      <c r="JZ262" s="27" t="str">
        <f t="shared" si="633"/>
        <v>XT85</v>
      </c>
      <c r="KC262" t="str">
        <f t="shared" si="634"/>
        <v>F0-AI36-7B</v>
      </c>
      <c r="KD262" t="str">
        <f t="shared" si="635"/>
        <v>F0-AI36-8B</v>
      </c>
      <c r="KI262" cm="1">
        <f t="array" ref="KI262">IF(COUNTIFS($U$2:$U262,$U262)=1,1,INDEX(KI:KI,_xlfn.XMATCH(U262,U$1:U261,0,-1))+COUNT(KI261:KM261))</f>
        <v>10</v>
      </c>
      <c r="KJ262">
        <f t="shared" si="644"/>
        <v>11</v>
      </c>
      <c r="KK262">
        <f t="shared" si="645"/>
        <v>12</v>
      </c>
      <c r="KN262">
        <v>1</v>
      </c>
      <c r="KO262" s="16">
        <v>2</v>
      </c>
      <c r="KS262" s="16"/>
    </row>
    <row r="263" spans="1:305" x14ac:dyDescent="0.25">
      <c r="A263" t="s">
        <v>1413</v>
      </c>
      <c r="B263" t="s">
        <v>1393</v>
      </c>
      <c r="C263" t="s">
        <v>464</v>
      </c>
      <c r="P263" t="s">
        <v>448</v>
      </c>
      <c r="T263" s="14" t="s">
        <v>520</v>
      </c>
      <c r="U263">
        <v>86</v>
      </c>
      <c r="V263" t="s">
        <v>1733</v>
      </c>
      <c r="X263" t="str">
        <f>IF(COUNTIF(X$1:X262,X262)&gt;7,REPLACE(X262,LEN(X262),1,VALUE(RIGHT(X262,1))+1),X262)</f>
        <v>А3.36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SUM(IF(ISNUMBER(FIND("TmAi",$BE$1:$AAL$1)),IF(IFERROR(ISODD(SUBSTITUTE($BE263:$AAL263,"A","")),FALSE),IF(ISODD(SUBSTITUTE($BE263:$AAL263,"A","")),1,0),0)))</f>
        <v>0</v>
      </c>
      <c r="AA263" t="str">
        <f t="shared" si="631"/>
        <v>9B</v>
      </c>
      <c r="AB263" t="str">
        <f t="shared" si="632"/>
        <v>10B</v>
      </c>
      <c r="AP263" t="s">
        <v>137</v>
      </c>
      <c r="AS263" t="s">
        <v>366</v>
      </c>
      <c r="JZ263" s="27" t="str">
        <f t="shared" si="633"/>
        <v>XT86</v>
      </c>
      <c r="KC263" t="str">
        <f t="shared" si="634"/>
        <v>F0-AI36-9B</v>
      </c>
      <c r="KD263" t="str">
        <f t="shared" si="635"/>
        <v>F0-AI36-10B</v>
      </c>
      <c r="KI263" cm="1">
        <f t="array" ref="KI263">IF(COUNTIFS($U$2:$U263,$U263)=1,1,INDEX(KI:KI,_xlfn.XMATCH(U263,U$1:U262,0,-1))+COUNT(KI262:KM262))</f>
        <v>1</v>
      </c>
      <c r="KJ263">
        <f t="shared" si="644"/>
        <v>2</v>
      </c>
      <c r="KK263">
        <f t="shared" si="645"/>
        <v>3</v>
      </c>
      <c r="KN263">
        <v>1</v>
      </c>
      <c r="KO263" s="16">
        <v>2</v>
      </c>
      <c r="KS263" s="16"/>
    </row>
    <row r="264" spans="1:305" x14ac:dyDescent="0.25">
      <c r="A264" t="s">
        <v>1414</v>
      </c>
      <c r="B264" t="s">
        <v>1394</v>
      </c>
      <c r="C264" t="s">
        <v>464</v>
      </c>
      <c r="P264" t="s">
        <v>448</v>
      </c>
      <c r="T264" s="14" t="s">
        <v>520</v>
      </c>
      <c r="U264">
        <v>86</v>
      </c>
      <c r="V264" t="s">
        <v>1734</v>
      </c>
      <c r="X264" t="str">
        <f>IF(COUNTIF(X$1:X263,X263)&gt;7,REPLACE(X263,LEN(X263),1,VALUE(RIGHT(X263,1))+1),X263)</f>
        <v>А3.36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SUM(IF(ISNUMBER(FIND("TmAi",$BE$1:$AAL$1)),IF(IFERROR(ISODD(SUBSTITUTE($BE264:$AAL264,"A","")),FALSE),IF(ISODD(SUBSTITUTE($BE264:$AAL264,"A","")),1,0),0)))</f>
        <v>0</v>
      </c>
      <c r="AA264" t="str">
        <f t="shared" si="631"/>
        <v>11B</v>
      </c>
      <c r="AB264" t="str">
        <f t="shared" si="632"/>
        <v>12B</v>
      </c>
      <c r="AP264" t="s">
        <v>137</v>
      </c>
      <c r="AS264" t="s">
        <v>366</v>
      </c>
      <c r="JZ264" s="27" t="str">
        <f t="shared" si="633"/>
        <v>XT86</v>
      </c>
      <c r="KC264" t="str">
        <f t="shared" si="634"/>
        <v>F0-AI36-11B</v>
      </c>
      <c r="KD264" t="str">
        <f t="shared" si="635"/>
        <v>F0-AI36-12B</v>
      </c>
      <c r="KI264" cm="1">
        <f t="array" ref="KI264">IF(COUNTIFS($U$2:$U264,$U264)=1,1,INDEX(KI:KI,_xlfn.XMATCH(U264,U$1:U263,0,-1))+COUNT(KI263:KM263))</f>
        <v>4</v>
      </c>
      <c r="KJ264">
        <f t="shared" si="644"/>
        <v>5</v>
      </c>
      <c r="KK264">
        <f t="shared" si="645"/>
        <v>6</v>
      </c>
      <c r="KN264">
        <v>1</v>
      </c>
      <c r="KO264" s="16">
        <v>2</v>
      </c>
      <c r="KS264" s="16"/>
    </row>
    <row r="265" spans="1:305" x14ac:dyDescent="0.25">
      <c r="A265" t="s">
        <v>1415</v>
      </c>
      <c r="B265" t="s">
        <v>1395</v>
      </c>
      <c r="C265" t="s">
        <v>464</v>
      </c>
      <c r="P265" t="s">
        <v>448</v>
      </c>
      <c r="T265" s="14" t="s">
        <v>520</v>
      </c>
      <c r="U265">
        <v>86</v>
      </c>
      <c r="V265" t="s">
        <v>1735</v>
      </c>
      <c r="X265" t="str">
        <f>IF(COUNTIF(X$1:X264,X264)&gt;7,REPLACE(X264,LEN(X264),1,VALUE(RIGHT(X264,1))+1),X264)</f>
        <v>А3.36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SUM(IF(ISNUMBER(FIND("TmAi",$BE$1:$AAL$1)),IF(IFERROR(ISODD(SUBSTITUTE($BE265:$AAL265,"A","")),FALSE),IF(ISODD(SUBSTITUTE($BE265:$AAL265,"A","")),1,0),0)))</f>
        <v>0</v>
      </c>
      <c r="AA265" t="str">
        <f t="shared" si="631"/>
        <v>13B</v>
      </c>
      <c r="AB265" t="str">
        <f t="shared" si="632"/>
        <v>14B</v>
      </c>
      <c r="AP265" t="s">
        <v>137</v>
      </c>
      <c r="AS265" t="s">
        <v>366</v>
      </c>
      <c r="JZ265" s="27" t="str">
        <f t="shared" si="633"/>
        <v>XT86</v>
      </c>
      <c r="KC265" t="str">
        <f t="shared" si="634"/>
        <v>F0-AI36-13B</v>
      </c>
      <c r="KD265" t="str">
        <f t="shared" si="635"/>
        <v>F0-AI36-14B</v>
      </c>
      <c r="KI265" cm="1">
        <f t="array" ref="KI265">IF(COUNTIFS($U$2:$U265,$U265)=1,1,INDEX(KI:KI,_xlfn.XMATCH(U265,U$1:U264,0,-1))+COUNT(KI264:KM264))</f>
        <v>7</v>
      </c>
      <c r="KJ265">
        <f t="shared" si="644"/>
        <v>8</v>
      </c>
      <c r="KK265">
        <f t="shared" si="64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1416</v>
      </c>
      <c r="B266" s="33" t="s">
        <v>1396</v>
      </c>
      <c r="C266" t="s">
        <v>464</v>
      </c>
      <c r="P266" t="s">
        <v>448</v>
      </c>
      <c r="T266" s="14" t="s">
        <v>520</v>
      </c>
      <c r="U266">
        <v>86</v>
      </c>
      <c r="V266" t="s">
        <v>1736</v>
      </c>
      <c r="X266" t="str">
        <f>IF(COUNTIF(X$1:X265,X265)&gt;7,REPLACE(X265,LEN(X265),1,VALUE(RIGHT(X265,1))+1),X265)</f>
        <v>А3.36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SUM(IF(ISNUMBER(FIND("TmAi",$BE$1:$AAL$1)),IF(IFERROR(ISODD(SUBSTITUTE($BE266:$AAL266,"A","")),FALSE),IF(ISODD(SUBSTITUTE($BE266:$AAL266,"A","")),1,0),0)))</f>
        <v>0</v>
      </c>
      <c r="AA266" t="str">
        <f t="shared" si="631"/>
        <v>15B</v>
      </c>
      <c r="AB266" t="str">
        <f t="shared" si="632"/>
        <v>16B</v>
      </c>
      <c r="AP266" t="s">
        <v>137</v>
      </c>
      <c r="AS266" t="s">
        <v>366</v>
      </c>
      <c r="JZ266" s="27" t="str">
        <f t="shared" si="633"/>
        <v>XT86</v>
      </c>
      <c r="KC266" t="str">
        <f t="shared" si="634"/>
        <v>F0-AI36-15B</v>
      </c>
      <c r="KD266" t="str">
        <f t="shared" si="635"/>
        <v>F0-AI36-16B</v>
      </c>
      <c r="KI266" cm="1">
        <f t="array" ref="KI266">IF(COUNTIFS($U$2:$U266,$U266)=1,1,INDEX(KI:KI,_xlfn.XMATCH(U266,U$1:U265,0,-1))+COUNT(KI265:KM265))</f>
        <v>10</v>
      </c>
      <c r="KJ266">
        <f t="shared" si="644"/>
        <v>11</v>
      </c>
      <c r="KK266">
        <f t="shared" si="64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1421</v>
      </c>
      <c r="B267" t="s">
        <v>1425</v>
      </c>
      <c r="C267" t="s">
        <v>1483</v>
      </c>
      <c r="P267" t="s">
        <v>1424</v>
      </c>
      <c r="T267" s="10" t="s">
        <v>520</v>
      </c>
      <c r="U267" s="49">
        <v>87</v>
      </c>
      <c r="V267" s="11" t="s">
        <v>1737</v>
      </c>
      <c r="W267" s="11" t="s">
        <v>1738</v>
      </c>
      <c r="X267" t="str">
        <f>IF(COUNTIF(X$1:X266,X266)&gt;7,REPLACE(X266,LEN(X266),1,VALUE(RIGHT(X266,1))+1),X266)</f>
        <v>А3.37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SUM(IF(ISNUMBER(FIND("TmAi",$BE$1:$AAL$1)),IF(IFERROR(ISODD(SUBSTITUTE($BE267:$AAL267,"A","")),FALSE),IF(ISODD(SUBSTITUTE($BE267:$AAL267,"A","")),1,0),0)))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1427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SUM(IF(ISNUMBER(FIND("TmDi",$BE$1:$AAL$1)),IF(IFERROR(ISNUMBER(VALUE(SUBSTITUTE($BE267:$AAL267,"B",""))),FALSE),IF(ISNUMBER(VALUE(SUBSTITUTE($BE267:$AAL267,"B",""))),1,0),0)))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1432</v>
      </c>
      <c r="AI267" s="54" t="str" cm="1">
        <f t="array" ref="AI267">IF(COUNTIFS(AH$2:AH267,AH267)=1,"1",VALUE(SUBSTITUTE(INDEX(AI:AI,_xlfn.XMATCH(AH267,AH$1:AH266,0,-1)),"A",""))+INDEX(AJ:AJ,_xlfn.XMATCH(AH267,AH$1:AH266,0,-1))+1)</f>
        <v>1</v>
      </c>
      <c r="AJ267" s="54" cm="1">
        <f t="array" ref="AJ267">SUM(IF(ISNUMBER(FIND("TmDo",$BE$1:$AAL$1)),IF(IFERROR(ISNUMBER(VALUE(SUBSTITUTE($BE267:$AAL267,"B",""))),FALSE),IF(ISNUMBER(VALUE(SUBSTITUTE($BE267:$AAL267,"B",""))),1,0),0)))</f>
        <v>1</v>
      </c>
      <c r="AK267" s="11" t="str">
        <f t="shared" ref="AK267:AK282" si="646">CONCATENATE($AI267,"A")</f>
        <v>1A</v>
      </c>
      <c r="AL267" s="11" t="str">
        <f t="shared" ref="AL267:AL282" si="647">CONCATENATE($AI267,"B")</f>
        <v>1B</v>
      </c>
      <c r="AM267" s="12" t="s">
        <v>161</v>
      </c>
      <c r="AN267" s="12"/>
      <c r="AO267" s="12"/>
      <c r="AP267" s="12" t="s">
        <v>137</v>
      </c>
      <c r="AQ267" s="12" t="s">
        <v>1433</v>
      </c>
      <c r="AR267" s="12"/>
      <c r="AS267" s="12" t="s">
        <v>366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CONCATENATE(REPLACE(AK267,LEN(AK267),1,"")+1,"A")</f>
        <v>2A</v>
      </c>
      <c r="HF267" s="12" t="str">
        <f>CONCATENATE(REPLACE(AL267,LEN(AL267),1,"")+1,"B")</f>
        <v>2B</v>
      </c>
      <c r="HG267" s="12" t="str">
        <f>CONCATENATE("AI",REPLACE($X267,1,3,""),"-",AA267)</f>
        <v>AI37-1A</v>
      </c>
      <c r="HH267" s="12" t="str">
        <f>CONCATENATE("AI",REPLACE($X267,1,3,""),"-",AB267)</f>
        <v>AI37-1B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" si="648">CONCATENATE("DI",REPLACE($AC267,1,3,""),"-",GU267)</f>
        <v>DI14-C2</v>
      </c>
      <c r="HL267" s="12" t="str">
        <f t="shared" ref="HL267" si="649">CONCATENATE("DI",REPLACE($AC267,1,3,""),"-",GV267)</f>
        <v>DI14-B2</v>
      </c>
      <c r="HM267" s="12" t="str">
        <f t="shared" ref="HM267" si="650">CONCATENATE("DI",REPLACE($AC267,1,3,""),"-",GW267)</f>
        <v>DI14-C3</v>
      </c>
      <c r="HN267" s="12" t="str">
        <f t="shared" ref="HN267" si="651">CONCATENATE("DI",REPLACE($AC267,1,3,""),"-",GX267)</f>
        <v>DI14-B3</v>
      </c>
      <c r="HO267" s="12" t="str">
        <f t="shared" ref="HO267" si="652">CONCATENATE("DI",REPLACE($AC267,1,3,""),"-",GY267)</f>
        <v>DI14-C4</v>
      </c>
      <c r="HP267" s="12" t="str">
        <f t="shared" ref="HP267" si="653">CONCATENATE("DI",REPLACE($AC267,1,3,""),"-",GZ267)</f>
        <v>DI14-B4</v>
      </c>
      <c r="HQ267" s="12" t="str">
        <f t="shared" ref="HQ267" si="654">CONCATENATE("DI",REPLACE($AC267,1,3,""),"-",HA267)</f>
        <v>DI14-C5</v>
      </c>
      <c r="HR267" s="12" t="str">
        <f t="shared" ref="HR267" si="655">CONCATENATE("DI",REPLACE($AC267,1,3,""),"-",HB267)</f>
        <v>DI14-B5</v>
      </c>
      <c r="HS267" s="12" t="str">
        <f t="shared" ref="HS267" si="656">CONCATENATE("DI",REPLACE($AC267,1,3,""),"-",HC267)</f>
        <v>DI14-</v>
      </c>
      <c r="HT267" s="12" t="str">
        <f t="shared" ref="HT267" si="657">CONCATENATE("DI",REPLACE($AC267,1,3,""),"-",HD267)</f>
        <v>DI14-</v>
      </c>
      <c r="HU267" s="12" t="str">
        <f>CONCATENATE("DO",REPLACE($AH267,1,3,""),"-",AK267)</f>
        <v>DO8-1A</v>
      </c>
      <c r="HV267" s="12" t="str">
        <f>CONCATENATE("DO",REPLACE($AH267,1,3,""),"-",AL267)</f>
        <v>DO8-1B</v>
      </c>
      <c r="HW267" s="12" t="str">
        <f>CONCATENATE("DO",REPLACE($AH267,1,3,""),"-",HE267)</f>
        <v>DO8-2A</v>
      </c>
      <c r="HX267" s="12" t="str">
        <f>CONCATENATE("DO",REPLACE($AH267,1,3,""),"-",HF267)</f>
        <v>DO8-2B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383</v>
      </c>
      <c r="IW267" s="12" t="s">
        <v>384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1422</v>
      </c>
      <c r="B268" t="s">
        <v>1426</v>
      </c>
      <c r="C268" s="3" t="s">
        <v>1484</v>
      </c>
      <c r="O268" s="2"/>
      <c r="P268" t="s">
        <v>1423</v>
      </c>
      <c r="Q268" s="1"/>
      <c r="S268" s="1"/>
      <c r="T268" s="21" t="s">
        <v>520</v>
      </c>
      <c r="U268" s="50">
        <v>88</v>
      </c>
      <c r="V268" s="18" t="s">
        <v>1739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SUM(IF(ISNUMBER(FIND("TmDi",$BE$1:$AAL$1)),IF(IFERROR(ISNUMBER(VALUE(SUBSTITUTE($BE268:$AAL268,"B",""))),FALSE),IF(ISNUMBER(VALUE(SUBSTITUTE($BE268:$AAL268,"B",""))),1,0),0)))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54" cm="1">
        <f t="array" ref="AI268">IF(COUNTIFS(AH$2:AH268,AH268)=1,"1",VALUE(SUBSTITUTE(INDEX(AI:AI,_xlfn.XMATCH(AH268,AH$1:AH267,0,-1)),"A",""))+INDEX(AJ:AJ,_xlfn.XMATCH(AH268,AH$1:AH267,0,-1))+1)</f>
        <v>3</v>
      </c>
      <c r="AJ268" s="54" cm="1">
        <f t="array" ref="AJ268">SUM(IF(ISNUMBER(FIND("TmDo",$BE$1:$AAL$1)),IF(IFERROR(ISNUMBER(VALUE(SUBSTITUTE($BE268:$AAL268,"B",""))),FALSE),IF(ISNUMBER(VALUE(SUBSTITUTE($BE268:$AAL268,"B",""))),1,0),0)))</f>
        <v>2</v>
      </c>
      <c r="AK268" s="11" t="str">
        <f t="shared" si="646"/>
        <v>3A</v>
      </c>
      <c r="AL268" s="11" t="str">
        <f t="shared" si="647"/>
        <v>3B</v>
      </c>
      <c r="AM268" s="23" t="s">
        <v>150</v>
      </c>
      <c r="AN268" s="23"/>
      <c r="AO268" s="23"/>
      <c r="AP268" s="23" t="s">
        <v>137</v>
      </c>
      <c r="AQ268" s="23" t="s">
        <v>1433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658">CONCATENATE("B",REPLACE(AG268,1,1,"")+1)</f>
        <v>B7</v>
      </c>
      <c r="BH268" s="23" t="str">
        <f t="shared" ref="BH268" si="659">CONCATENATE("C",REPLACE(BF268,1,1,"")+1)</f>
        <v>C8</v>
      </c>
      <c r="BI268" s="23" t="str">
        <f t="shared" ref="BI268" si="660">CONCATENATE("B",REPLACE(BG268,1,1,"")+1)</f>
        <v>B8</v>
      </c>
      <c r="BJ268" s="23" t="str">
        <f t="shared" ref="BJ268" si="661">CONCATENATE("C",REPLACE(BH268,1,1,"")+1)</f>
        <v>C9</v>
      </c>
      <c r="BK268" s="23" t="str">
        <f t="shared" ref="BK268" si="662">CONCATENATE("B",REPLACE(BI268,1,1,"")+1)</f>
        <v>B9</v>
      </c>
      <c r="BL268" s="23" t="str">
        <f t="shared" ref="BL268" si="663">CONCATENATE("C",REPLACE(BJ268,1,1,"")+1)</f>
        <v>C10</v>
      </c>
      <c r="BM268" s="23" t="str">
        <f t="shared" ref="BM268" si="664">CONCATENATE("B",REPLACE(BK268,1,1,"")+1)</f>
        <v>B10</v>
      </c>
      <c r="BN268" s="23"/>
      <c r="BO268" s="23"/>
      <c r="BP268" s="23" t="str">
        <f>CONCATENATE(REPLACE(AK268,LEN(AK268),1,"")+1,"A")</f>
        <v>4A</v>
      </c>
      <c r="BQ268" s="23" t="str">
        <f>CONCATENATE(REPLACE(AL268,LEN(AL268),1,"")+1,"B")</f>
        <v>4B</v>
      </c>
      <c r="BR268" s="23" t="str">
        <f>CONCATENATE(REPLACE(BP268,LEN(BP268),1,"")+1,"A")</f>
        <v>5A</v>
      </c>
      <c r="BS268" s="23" t="str">
        <f>CONCATENATE(REPLACE(BQ268,LEN(BQ268),1,"")+1,"B")</f>
        <v>5B</v>
      </c>
      <c r="BT268" s="23" t="str">
        <f>CONCATENATE("DI",REPLACE($AC268,1,3,""),"-",AF268)</f>
        <v>DI14-C6</v>
      </c>
      <c r="BU268" s="23" t="str">
        <f t="shared" ref="BU268" si="665">CONCATENATE("DI",REPLACE($AC268,1,3,""),"-",AG268)</f>
        <v>DI14-B6</v>
      </c>
      <c r="BV268" s="23" t="str">
        <f t="shared" ref="BV268" si="666">CONCATENATE("DI",REPLACE($AC268,1,3,""),"-",BF268)</f>
        <v>DI14-C7</v>
      </c>
      <c r="BW268" s="23" t="str">
        <f t="shared" ref="BW268" si="667">CONCATENATE("DI",REPLACE($AC268,1,3,""),"-",BG268)</f>
        <v>DI14-B7</v>
      </c>
      <c r="BX268" s="23" t="str">
        <f t="shared" ref="BX268" si="668">CONCATENATE("DI",REPLACE($AC268,1,3,""),"-",BH268)</f>
        <v>DI14-C8</v>
      </c>
      <c r="BY268" s="23" t="str">
        <f t="shared" ref="BY268" si="669">CONCATENATE("DI",REPLACE($AC268,1,3,""),"-",BI268)</f>
        <v>DI14-B8</v>
      </c>
      <c r="BZ268" s="23" t="str">
        <f t="shared" ref="BZ268" si="670">CONCATENATE("DI",REPLACE($AC268,1,3,""),"-",BJ268)</f>
        <v>DI14-C9</v>
      </c>
      <c r="CA268" s="23" t="str">
        <f t="shared" ref="CA268" si="671">CONCATENATE("DI",REPLACE($AC268,1,3,""),"-",BK268)</f>
        <v>DI14-B9</v>
      </c>
      <c r="CB268" s="23" t="str">
        <f t="shared" ref="CB268" si="672">CONCATENATE("DI",REPLACE($AC268,1,3,""),"-",BL268)</f>
        <v>DI14-C10</v>
      </c>
      <c r="CC268" s="23" t="str">
        <f t="shared" ref="CC268" si="673">CONCATENATE("DI",REPLACE($AC268,1,3,""),"-",BM268)</f>
        <v>DI14-B10</v>
      </c>
      <c r="CD268" s="23" t="str">
        <f t="shared" ref="CD268" si="674">CONCATENATE("DI",REPLACE($AC268,1,3,""),"-",BN268)</f>
        <v>DI14-</v>
      </c>
      <c r="CE268" s="23" t="str">
        <f t="shared" ref="CE268" si="675">CONCATENATE("DI",REPLACE($AC268,1,3,""),"-",BO268)</f>
        <v>DI14-</v>
      </c>
      <c r="CF268" s="23" t="str">
        <f t="shared" ref="CF268" si="676">CONCATENATE("DO",REPLACE($AH268,1,3,""),"-",AK268)</f>
        <v>DO8-3A</v>
      </c>
      <c r="CG268" s="23" t="str">
        <f t="shared" ref="CG268" si="677">CONCATENATE("DO",REPLACE($AH268,1,3,""),"-",AL268)</f>
        <v>DO8-3B</v>
      </c>
      <c r="CH268" s="23" t="str">
        <f t="shared" ref="CH268" si="678">CONCATENATE("DO",REPLACE($AH268,1,3,""),"-",BP268)</f>
        <v>DO8-4A</v>
      </c>
      <c r="CI268" s="23" t="str">
        <f t="shared" ref="CI268" si="679">CONCATENATE("DO",REPLACE($AH268,1,3,""),"-",BQ268)</f>
        <v>DO8-4B</v>
      </c>
      <c r="CJ268" s="23" t="str">
        <f t="shared" ref="CJ268" si="680">CONCATENATE("DO",REPLACE($AH268,1,3,""),"-",BR268)</f>
        <v>DO8-5A</v>
      </c>
      <c r="CK268" s="23" t="str">
        <f t="shared" ref="CK268" si="681">CONCATENATE("DO",REPLACE($AH268,1,3,""),"-",BS268)</f>
        <v>DO8-5B</v>
      </c>
      <c r="CL268" s="23" t="str">
        <f t="shared" ref="CL268:CL285" si="682">CONCATENATE("K",$U268,"-10")</f>
        <v>K88-10</v>
      </c>
      <c r="CM268" s="23" t="str">
        <f t="shared" ref="CM268:CM285" si="683">CONCATENATE("K",$U268,"-03")</f>
        <v>K88-03</v>
      </c>
      <c r="CN268" s="23" t="str">
        <f t="shared" ref="CN268:CN285" si="684">CONCATENATE("K",$U268,"-04")</f>
        <v>K88-04</v>
      </c>
      <c r="CO268" s="23" t="str">
        <f t="shared" ref="CO268:CO285" si="685">CONCATENATE("K",$U268,"-01")</f>
        <v>K88-01</v>
      </c>
      <c r="CP268" s="23" t="str">
        <f t="shared" ref="CP268:CP285" si="686">CONCATENATE("K",$U268,"-08")</f>
        <v>K88-08</v>
      </c>
      <c r="CQ268" s="23" t="str">
        <f t="shared" ref="CQ268:CQ285" si="687">CONCATENATE("K",$U268,"-02")</f>
        <v>K88-02</v>
      </c>
      <c r="CR268" s="23" t="str">
        <f t="shared" ref="CR268:CR285" si="688">CONCATENATE("K",$U268,"-09")</f>
        <v>K88-09</v>
      </c>
      <c r="CS268" s="23" t="str">
        <f t="shared" ref="CS268:CS285" si="689">CONCATENATE("K",$U268,"-05")</f>
        <v>K88-05</v>
      </c>
      <c r="CT268" s="23" t="str">
        <f t="shared" ref="CT268:CT285" si="690">CONCATENATE("K",$U268,"-11")</f>
        <v>K88-11</v>
      </c>
      <c r="CU268" s="23" t="str">
        <f t="shared" ref="CU268:CU285" si="691">CONCATENATE($T268,"-M",$U268,"-A9")</f>
        <v>F0-M88-A9</v>
      </c>
      <c r="CV268" s="23" t="str">
        <f t="shared" ref="CV268:CV285" si="692">CONCATENATE($T268,"-M",$U268,"-A7")</f>
        <v>F0-M88-A7</v>
      </c>
      <c r="CW268" s="23" t="str">
        <f t="shared" ref="CW268:CW285" si="693">CONCATENATE($T268,"-M",$U268,"-A8")</f>
        <v>F0-M88-A8</v>
      </c>
      <c r="CX268" s="23" t="str">
        <f t="shared" ref="CX268:CX285" si="694">CONCATENATE($T268,"-M",$U268,"-A6")</f>
        <v>F0-M88-A6</v>
      </c>
      <c r="CY268" s="23" t="str">
        <f t="shared" ref="CY268:CY285" si="695">CONCATENATE($T268,"-M",$U268,"-A30")</f>
        <v>F0-M88-A30</v>
      </c>
      <c r="CZ268" s="23" t="str">
        <f t="shared" ref="CZ268:CZ285" si="696">CONCATENATE($T268,"-M",$U268,"-N")</f>
        <v>F0-M88-N</v>
      </c>
      <c r="DA268" s="23" t="str">
        <f>CONCATENATE($T268,"-A220-M",U268)</f>
        <v>F0-A220-M88</v>
      </c>
      <c r="DB268" s="23" t="str">
        <f t="shared" ref="DB268:DB285" si="697">CONCATENATE($T268,"-M",$U268,"-XM01")</f>
        <v>F0-M88-XM01</v>
      </c>
      <c r="DC268" s="23" t="str">
        <f t="shared" ref="DC268:DC285" si="698">CONCATENATE($T268,"-M",$U268,"-A1")</f>
        <v>F0-M88-A1</v>
      </c>
      <c r="DD268" s="23" t="str">
        <f t="shared" ref="DD268:DD285" si="699">CONCATENATE($T268,"-M",$U268,"-A5")</f>
        <v>F0-M88-A5</v>
      </c>
      <c r="DE268" s="23" t="str">
        <f t="shared" ref="DE268:DE285" si="700">CONCATENATE($T268,"-M",$U268,"-A11")</f>
        <v>F0-M88-A11</v>
      </c>
      <c r="DF268" s="23" t="str">
        <f t="shared" ref="DF268:DF285" si="701">CONCATENATE($T268,"-M",$U268,"-A12")</f>
        <v>F0-M88-A12</v>
      </c>
      <c r="DG268" s="23" t="str">
        <f t="shared" ref="DG268:DG285" si="702">CONCATENATE($T268,"-M",$U268,"-A19")</f>
        <v>F0-M88-A19</v>
      </c>
      <c r="DH268" s="23" t="str">
        <f t="shared" ref="DH268:DH285" si="70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1459</v>
      </c>
      <c r="B269" t="s">
        <v>1434</v>
      </c>
      <c r="C269" t="s">
        <v>1483</v>
      </c>
      <c r="P269" t="s">
        <v>1424</v>
      </c>
      <c r="T269" s="10" t="s">
        <v>520</v>
      </c>
      <c r="U269" s="49">
        <v>89</v>
      </c>
      <c r="V269" s="11" t="s">
        <v>1740</v>
      </c>
      <c r="W269" s="11" t="s">
        <v>1741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А3.37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SUM(IF(ISNUMBER(FIND("TmAi",$BE$1:$AAL$1)),IF(IFERROR(ISODD(SUBSTITUTE($BE269:$AAL269,"A","")),FALSE),IF(ISODD(SUBSTITUTE($BE269:$AAL269,"A","")),1,0),0)))</f>
        <v>0</v>
      </c>
      <c r="AA269" t="str">
        <f t="shared" ref="AA269" si="704">CONCATENATE($Y269*2-1,"A")</f>
        <v>3A</v>
      </c>
      <c r="AB269" t="str">
        <f t="shared" ref="AB269" si="70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SUM(IF(ISNUMBER(FIND("TmDi",$BE$1:$AAL$1)),IF(IFERROR(ISNUMBER(VALUE(SUBSTITUTE($BE269:$AAL269,"B",""))),FALSE),IF(ISNUMBER(VALUE(SUBSTITUTE($BE269:$AAL269,"B",""))),1,0),0)))</f>
        <v>4</v>
      </c>
      <c r="AF269" t="str">
        <f t="shared" ref="AF269:AF306" si="706">CONCATENATE("C",$AD269)</f>
        <v>C11</v>
      </c>
      <c r="AG269" t="str">
        <f t="shared" ref="AG269:AG306" si="707">CONCATENATE("B",$AD269)</f>
        <v>B11</v>
      </c>
      <c r="AH269" t="str">
        <f t="shared" ref="AH269:AH284" si="708">IF(AI268+AJ268&gt;31,REPLACE(AH268,LEN(AH268),1,VALUE(RIGHT(AH268,1))+1),AH268)</f>
        <v>A6.8</v>
      </c>
      <c r="AI269" s="54" cm="1">
        <f t="array" ref="AI269">IF(COUNTIFS(AH$2:AH269,AH269)=1,"1",VALUE(SUBSTITUTE(INDEX(AI:AI,_xlfn.XMATCH(AH269,AH$1:AH268,0,-1)),"A",""))+INDEX(AJ:AJ,_xlfn.XMATCH(AH269,AH$1:AH268,0,-1))+1)</f>
        <v>6</v>
      </c>
      <c r="AJ269" s="54" cm="1">
        <f t="array" ref="AJ269">SUM(IF(ISNUMBER(FIND("TmDo",$BE$1:$AAL$1)),IF(IFERROR(ISNUMBER(VALUE(SUBSTITUTE($BE269:$AAL269,"B",""))),FALSE),IF(ISNUMBER(VALUE(SUBSTITUTE($BE269:$AAL269,"B",""))),1,0),0)))</f>
        <v>1</v>
      </c>
      <c r="AK269" s="11" t="str">
        <f t="shared" si="646"/>
        <v>6A</v>
      </c>
      <c r="AL269" s="11" t="str">
        <f t="shared" si="647"/>
        <v>6B</v>
      </c>
      <c r="AM269" s="12" t="s">
        <v>161</v>
      </c>
      <c r="AN269" s="12"/>
      <c r="AO269" s="12"/>
      <c r="AP269" s="12" t="s">
        <v>137</v>
      </c>
      <c r="AQ269" s="12" t="s">
        <v>1433</v>
      </c>
      <c r="AR269" s="12"/>
      <c r="AS269" s="12" t="s">
        <v>366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709">CONCATENATE("XT",U269)</f>
        <v>XT89</v>
      </c>
      <c r="GU269" s="12" t="str">
        <f t="shared" ref="GU269" si="710">CONCATENATE("C",REPLACE(AF269,1,1,"")+1)</f>
        <v>C12</v>
      </c>
      <c r="GV269" s="12" t="str">
        <f t="shared" ref="GV269" si="711">CONCATENATE("B",REPLACE(AG269,1,1,"")+1)</f>
        <v>B12</v>
      </c>
      <c r="GW269" s="12" t="str">
        <f t="shared" ref="GW269" si="712">CONCATENATE("C",REPLACE(GU269,1,1,"")+1)</f>
        <v>C13</v>
      </c>
      <c r="GX269" s="12" t="str">
        <f t="shared" ref="GX269" si="713">CONCATENATE("B",REPLACE(GV269,1,1,"")+1)</f>
        <v>B13</v>
      </c>
      <c r="GY269" s="12" t="str">
        <f t="shared" ref="GY269" si="714">CONCATENATE("C",REPLACE(GW269,1,1,"")+1)</f>
        <v>C14</v>
      </c>
      <c r="GZ269" s="12" t="str">
        <f t="shared" ref="GZ269" si="715">CONCATENATE("B",REPLACE(GX269,1,1,"")+1)</f>
        <v>B14</v>
      </c>
      <c r="HA269" s="12" t="str">
        <f t="shared" ref="HA269" si="716">CONCATENATE("C",REPLACE(GY269,1,1,"")+1)</f>
        <v>C15</v>
      </c>
      <c r="HB269" s="12" t="str">
        <f t="shared" ref="HB269" si="717">CONCATENATE("B",REPLACE(GZ269,1,1,"")+1)</f>
        <v>B15</v>
      </c>
      <c r="HC269" s="12"/>
      <c r="HD269" s="12"/>
      <c r="HE269" s="12" t="str">
        <f>CONCATENATE(REPLACE(AK269,LEN(AK269),1,"")+1,"A")</f>
        <v>7A</v>
      </c>
      <c r="HF269" s="12" t="str">
        <f>CONCATENATE(REPLACE(AL269,LEN(AL269),1,"")+1,"B")</f>
        <v>7B</v>
      </c>
      <c r="HG269" s="12" t="str">
        <f t="shared" ref="HG269" si="718">CONCATENATE("AI",REPLACE($X269,1,3,""),"-",AA269)</f>
        <v>AI37-3A</v>
      </c>
      <c r="HH269" s="12" t="str">
        <f t="shared" ref="HH269" si="719">CONCATENATE("AI",REPLACE($X269,1,3,""),"-",AB269)</f>
        <v>AI37-3B</v>
      </c>
      <c r="HI269" s="12" t="str">
        <f t="shared" ref="HI269" si="720">CONCATENATE("DI",REPLACE($AC269,1,3,""),"-",AF269)</f>
        <v>DI14-C11</v>
      </c>
      <c r="HJ269" s="12" t="str">
        <f t="shared" ref="HJ269" si="721">CONCATENATE("DI",REPLACE($AC269,1,3,""),"-",AG269)</f>
        <v>DI14-B11</v>
      </c>
      <c r="HK269" s="12" t="str">
        <f t="shared" ref="HK269" si="722">CONCATENATE("DI",REPLACE($AC269,1,3,""),"-",GU269)</f>
        <v>DI14-C12</v>
      </c>
      <c r="HL269" s="12" t="str">
        <f t="shared" ref="HL269" si="723">CONCATENATE("DI",REPLACE($AC269,1,3,""),"-",GV269)</f>
        <v>DI14-B12</v>
      </c>
      <c r="HM269" s="12" t="str">
        <f t="shared" ref="HM269" si="724">CONCATENATE("DI",REPLACE($AC269,1,3,""),"-",GW269)</f>
        <v>DI14-C13</v>
      </c>
      <c r="HN269" s="12" t="str">
        <f t="shared" ref="HN269" si="725">CONCATENATE("DI",REPLACE($AC269,1,3,""),"-",GX269)</f>
        <v>DI14-B13</v>
      </c>
      <c r="HO269" s="12" t="str">
        <f t="shared" ref="HO269" si="726">CONCATENATE("DI",REPLACE($AC269,1,3,""),"-",GY269)</f>
        <v>DI14-C14</v>
      </c>
      <c r="HP269" s="12" t="str">
        <f t="shared" ref="HP269" si="727">CONCATENATE("DI",REPLACE($AC269,1,3,""),"-",GZ269)</f>
        <v>DI14-B14</v>
      </c>
      <c r="HQ269" s="12" t="str">
        <f t="shared" ref="HQ269" si="728">CONCATENATE("DI",REPLACE($AC269,1,3,""),"-",HA269)</f>
        <v>DI14-C15</v>
      </c>
      <c r="HR269" s="12" t="str">
        <f t="shared" ref="HR269" si="729">CONCATENATE("DI",REPLACE($AC269,1,3,""),"-",HB269)</f>
        <v>DI14-B15</v>
      </c>
      <c r="HS269" s="12" t="str">
        <f t="shared" ref="HS269" si="730">CONCATENATE("DI",REPLACE($AC269,1,3,""),"-",HC269)</f>
        <v>DI14-</v>
      </c>
      <c r="HT269" s="12" t="str">
        <f t="shared" ref="HT269" si="731">CONCATENATE("DI",REPLACE($AC269,1,3,""),"-",HD269)</f>
        <v>DI14-</v>
      </c>
      <c r="HU269" s="12" t="str">
        <f t="shared" ref="HU269" si="732">CONCATENATE("DO",REPLACE($AH269,1,3,""),"-",AK269)</f>
        <v>DO8-6A</v>
      </c>
      <c r="HV269" s="12" t="str">
        <f t="shared" ref="HV269" si="733">CONCATENATE("DO",REPLACE($AH269,1,3,""),"-",AL269)</f>
        <v>DO8-6B</v>
      </c>
      <c r="HW269" s="12" t="str">
        <f t="shared" ref="HW269" si="734">CONCATENATE("DO",REPLACE($AH269,1,3,""),"-",HE269)</f>
        <v>DO8-7A</v>
      </c>
      <c r="HX269" s="12" t="str">
        <f t="shared" ref="HX269" si="735">CONCATENATE("DO",REPLACE($AH269,1,3,""),"-",HF269)</f>
        <v>DO8-7B</v>
      </c>
      <c r="HY269" s="12" t="str">
        <f t="shared" ref="HY269" si="736">CONCATENATE("K",$U269,"-01")</f>
        <v>K89-01</v>
      </c>
      <c r="HZ269" s="12" t="str">
        <f t="shared" ref="HZ269" si="737">CONCATENATE("K",$U269,"-02")</f>
        <v>K89-02</v>
      </c>
      <c r="IA269" s="12" t="str">
        <f t="shared" ref="IA269" si="738">CONCATENATE("K",$U269,"-03")</f>
        <v>K89-03</v>
      </c>
      <c r="IB269" s="12" t="str">
        <f t="shared" ref="IB269" si="739">CONCATENATE("K",$U269,"-04")</f>
        <v>K89-04</v>
      </c>
      <c r="IC269" s="12" t="str">
        <f t="shared" ref="IC269" si="740">CONCATENATE("K",$U269,"-05")</f>
        <v>K89-05</v>
      </c>
      <c r="ID269" s="12" t="str">
        <f t="shared" ref="ID269" si="741">CONCATENATE("K",$U269,"-06")</f>
        <v>K89-06</v>
      </c>
      <c r="IE269" s="12" t="str">
        <f t="shared" ref="IE269" si="742">CONCATENATE("K",$U269,"-07")</f>
        <v>K89-07</v>
      </c>
      <c r="IF269" s="12" t="str">
        <f t="shared" ref="IF269" si="743">CONCATENATE("K",$U269,"-08")</f>
        <v>K89-08</v>
      </c>
      <c r="IG269" s="12" t="str">
        <f t="shared" ref="IG269" si="744">CONCATENATE($T269,"-M",$U269,"-AMS-12")</f>
        <v>F0-M89-AMS-12</v>
      </c>
      <c r="IH269" s="12" t="str">
        <f t="shared" ref="IH269" si="745">CONCATENATE($T269,"-M",$U269,"-AMS-10")</f>
        <v>F0-M89-AMS-10</v>
      </c>
      <c r="II269" s="12" t="str">
        <f t="shared" ref="II269" si="746">CONCATENATE($T269,"-M",$U269,"-AMS-11")</f>
        <v>F0-M89-AMS-11</v>
      </c>
      <c r="IJ269" s="12" t="str">
        <f t="shared" ref="IJ269" si="747">CONCATENATE($T269,"-M",$U269,"-AMS-13")</f>
        <v>F0-M89-AMS-13</v>
      </c>
      <c r="IK269" s="12" t="str">
        <f t="shared" ref="IK269" si="748">CONCATENATE($T269,"-M",$U269,"-AMS-9")</f>
        <v>F0-M89-AMS-9</v>
      </c>
      <c r="IL269" s="12" t="str">
        <f t="shared" ref="IL269" si="749">CONCATENATE($T269,"-M",$U269,"-AMS-7")</f>
        <v>F0-M89-AMS-7</v>
      </c>
      <c r="IM269" s="12" t="str">
        <f t="shared" ref="IM269" si="750">CONCATENATE($T269,"-M",$U269,"-AMS-18")</f>
        <v>F0-M89-AMS-18</v>
      </c>
      <c r="IN269" s="12" t="str">
        <f t="shared" ref="IN269" si="751">CONCATENATE($T269,"-M",$U269,"-AMS-20")</f>
        <v>F0-M89-AMS-20</v>
      </c>
      <c r="IO269" s="12" t="str">
        <f t="shared" ref="IO269" si="752">CONCATENATE($T269,"-M",$U269,"-AMS-17")</f>
        <v>F0-M89-AMS-17</v>
      </c>
      <c r="IP269" s="12" t="str">
        <f t="shared" ref="IP269" si="753">CONCATENATE($T269,"-+24-M",$U269,)</f>
        <v>F0-+24-M89</v>
      </c>
      <c r="IQ269" s="12" t="str">
        <f t="shared" ref="IQ269" si="754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383</v>
      </c>
      <c r="IW269" s="12" t="s">
        <v>384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1460</v>
      </c>
      <c r="B270" t="s">
        <v>1437</v>
      </c>
      <c r="C270" s="3" t="s">
        <v>1484</v>
      </c>
      <c r="O270" s="2"/>
      <c r="P270" t="s">
        <v>1423</v>
      </c>
      <c r="Q270" s="1"/>
      <c r="S270" s="1"/>
      <c r="T270" s="21" t="s">
        <v>520</v>
      </c>
      <c r="U270" s="50">
        <v>90</v>
      </c>
      <c r="V270" s="18" t="s">
        <v>1742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SUM(IF(ISNUMBER(FIND("TmDi",$BE$1:$AAL$1)),IF(IFERROR(ISNUMBER(VALUE(SUBSTITUTE($BE270:$AAL270,"B",""))),FALSE),IF(ISNUMBER(VALUE(SUBSTITUTE($BE270:$AAL270,"B",""))),1,0),0)))</f>
        <v>4</v>
      </c>
      <c r="AF270" t="str">
        <f t="shared" si="706"/>
        <v>C16</v>
      </c>
      <c r="AG270" t="str">
        <f t="shared" si="707"/>
        <v>B16</v>
      </c>
      <c r="AH270" t="str">
        <f t="shared" si="708"/>
        <v>A6.8</v>
      </c>
      <c r="AI270" s="54" cm="1">
        <f t="array" ref="AI270">IF(COUNTIFS(AH$2:AH270,AH270)=1,"1",VALUE(SUBSTITUTE(INDEX(AI:AI,_xlfn.XMATCH(AH270,AH$1:AH269,0,-1)),"A",""))+INDEX(AJ:AJ,_xlfn.XMATCH(AH270,AH$1:AH269,0,-1))+1)</f>
        <v>8</v>
      </c>
      <c r="AJ270" s="54" cm="1">
        <f t="array" ref="AJ270">SUM(IF(ISNUMBER(FIND("TmDo",$BE$1:$AAL$1)),IF(IFERROR(ISNUMBER(VALUE(SUBSTITUTE($BE270:$AAL270,"B",""))),FALSE),IF(ISNUMBER(VALUE(SUBSTITUTE($BE270:$AAL270,"B",""))),1,0),0)))</f>
        <v>2</v>
      </c>
      <c r="AK270" s="11" t="str">
        <f t="shared" si="646"/>
        <v>8A</v>
      </c>
      <c r="AL270" s="11" t="str">
        <f t="shared" si="647"/>
        <v>8B</v>
      </c>
      <c r="AM270" s="23" t="s">
        <v>150</v>
      </c>
      <c r="AN270" s="23"/>
      <c r="AO270" s="23"/>
      <c r="AP270" s="23" t="s">
        <v>137</v>
      </c>
      <c r="AQ270" s="23" t="s">
        <v>1433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755">CONCATENATE("XT",U270)</f>
        <v>XT90</v>
      </c>
      <c r="BF270" s="23" t="str">
        <f t="shared" ref="BF270" si="756">CONCATENATE("C",REPLACE(AF270,1,1,"")+1)</f>
        <v>C17</v>
      </c>
      <c r="BG270" s="23" t="str">
        <f t="shared" ref="BG270" si="757">CONCATENATE("B",REPLACE(AG270,1,1,"")+1)</f>
        <v>B17</v>
      </c>
      <c r="BH270" s="23" t="str">
        <f t="shared" ref="BH270" si="758">CONCATENATE("C",REPLACE(BF270,1,1,"")+1)</f>
        <v>C18</v>
      </c>
      <c r="BI270" s="23" t="str">
        <f t="shared" ref="BI270" si="759">CONCATENATE("B",REPLACE(BG270,1,1,"")+1)</f>
        <v>B18</v>
      </c>
      <c r="BJ270" s="23" t="str">
        <f t="shared" ref="BJ270" si="760">CONCATENATE("C",REPLACE(BH270,1,1,"")+1)</f>
        <v>C19</v>
      </c>
      <c r="BK270" s="23" t="str">
        <f t="shared" ref="BK270" si="761">CONCATENATE("B",REPLACE(BI270,1,1,"")+1)</f>
        <v>B19</v>
      </c>
      <c r="BL270" s="23" t="str">
        <f t="shared" ref="BL270" si="762">CONCATENATE("C",REPLACE(BJ270,1,1,"")+1)</f>
        <v>C20</v>
      </c>
      <c r="BM270" s="23" t="str">
        <f t="shared" ref="BM270" si="763">CONCATENATE("B",REPLACE(BK270,1,1,"")+1)</f>
        <v>B20</v>
      </c>
      <c r="BN270" s="23"/>
      <c r="BO270" s="23"/>
      <c r="BP270" s="23" t="str">
        <f>CONCATENATE(REPLACE(AK270,LEN(AK270),1,"")+1,"A")</f>
        <v>9A</v>
      </c>
      <c r="BQ270" s="23" t="str">
        <f>CONCATENATE(REPLACE(AL270,LEN(AL270),1,"")+1,"B")</f>
        <v>9B</v>
      </c>
      <c r="BR270" s="23" t="str">
        <f>CONCATENATE(REPLACE(BP270,LEN(BP270),1,"")+1,"A")</f>
        <v>10A</v>
      </c>
      <c r="BS270" s="23" t="str">
        <f>CONCATENATE(REPLACE(BQ270,LEN(BQ270),1,"")+1,"B")</f>
        <v>10B</v>
      </c>
      <c r="BT270" s="23" t="str">
        <f t="shared" ref="BT270" si="764">CONCATENATE("DI",REPLACE($AC270,1,3,""),"-",AF270)</f>
        <v>DI14-C16</v>
      </c>
      <c r="BU270" s="23" t="str">
        <f t="shared" ref="BU270" si="765">CONCATENATE("DI",REPLACE($AC270,1,3,""),"-",AG270)</f>
        <v>DI14-B16</v>
      </c>
      <c r="BV270" s="23" t="str">
        <f t="shared" ref="BV270" si="766">CONCATENATE("DI",REPLACE($AC270,1,3,""),"-",BF270)</f>
        <v>DI14-C17</v>
      </c>
      <c r="BW270" s="23" t="str">
        <f t="shared" ref="BW270" si="767">CONCATENATE("DI",REPLACE($AC270,1,3,""),"-",BG270)</f>
        <v>DI14-B17</v>
      </c>
      <c r="BX270" s="23" t="str">
        <f t="shared" ref="BX270" si="768">CONCATENATE("DI",REPLACE($AC270,1,3,""),"-",BH270)</f>
        <v>DI14-C18</v>
      </c>
      <c r="BY270" s="23" t="str">
        <f t="shared" ref="BY270" si="769">CONCATENATE("DI",REPLACE($AC270,1,3,""),"-",BI270)</f>
        <v>DI14-B18</v>
      </c>
      <c r="BZ270" s="23" t="str">
        <f t="shared" ref="BZ270" si="770">CONCATENATE("DI",REPLACE($AC270,1,3,""),"-",BJ270)</f>
        <v>DI14-C19</v>
      </c>
      <c r="CA270" s="23" t="str">
        <f t="shared" ref="CA270" si="771">CONCATENATE("DI",REPLACE($AC270,1,3,""),"-",BK270)</f>
        <v>DI14-B19</v>
      </c>
      <c r="CB270" s="23" t="str">
        <f t="shared" ref="CB270" si="772">CONCATENATE("DI",REPLACE($AC270,1,3,""),"-",BL270)</f>
        <v>DI14-C20</v>
      </c>
      <c r="CC270" s="23" t="str">
        <f t="shared" ref="CC270" si="773">CONCATENATE("DI",REPLACE($AC270,1,3,""),"-",BM270)</f>
        <v>DI14-B20</v>
      </c>
      <c r="CD270" s="23" t="str">
        <f t="shared" ref="CD270" si="774">CONCATENATE("DI",REPLACE($AC270,1,3,""),"-",BN270)</f>
        <v>DI14-</v>
      </c>
      <c r="CE270" s="23" t="str">
        <f t="shared" ref="CE270" si="775">CONCATENATE("DI",REPLACE($AC270,1,3,""),"-",BO270)</f>
        <v>DI14-</v>
      </c>
      <c r="CF270" s="23" t="str">
        <f t="shared" ref="CF270" si="776">CONCATENATE("DO",REPLACE($AH270,1,3,""),"-",AK270)</f>
        <v>DO8-8A</v>
      </c>
      <c r="CG270" s="23" t="str">
        <f t="shared" ref="CG270" si="777">CONCATENATE("DO",REPLACE($AH270,1,3,""),"-",AL270)</f>
        <v>DO8-8B</v>
      </c>
      <c r="CH270" s="23" t="str">
        <f t="shared" ref="CH270" si="778">CONCATENATE("DO",REPLACE($AH270,1,3,""),"-",BP270)</f>
        <v>DO8-9A</v>
      </c>
      <c r="CI270" s="23" t="str">
        <f t="shared" ref="CI270" si="779">CONCATENATE("DO",REPLACE($AH270,1,3,""),"-",BQ270)</f>
        <v>DO8-9B</v>
      </c>
      <c r="CJ270" s="23" t="str">
        <f t="shared" ref="CJ270" si="780">CONCATENATE("DO",REPLACE($AH270,1,3,""),"-",BR270)</f>
        <v>DO8-10A</v>
      </c>
      <c r="CK270" s="23" t="str">
        <f t="shared" ref="CK270" si="781">CONCATENATE("DO",REPLACE($AH270,1,3,""),"-",BS270)</f>
        <v>DO8-10B</v>
      </c>
      <c r="CL270" s="23" t="str">
        <f t="shared" si="682"/>
        <v>K90-10</v>
      </c>
      <c r="CM270" s="23" t="str">
        <f t="shared" si="683"/>
        <v>K90-03</v>
      </c>
      <c r="CN270" s="23" t="str">
        <f t="shared" si="684"/>
        <v>K90-04</v>
      </c>
      <c r="CO270" s="23" t="str">
        <f t="shared" si="685"/>
        <v>K90-01</v>
      </c>
      <c r="CP270" s="23" t="str">
        <f t="shared" si="686"/>
        <v>K90-08</v>
      </c>
      <c r="CQ270" s="23" t="str">
        <f t="shared" si="687"/>
        <v>K90-02</v>
      </c>
      <c r="CR270" s="23" t="str">
        <f t="shared" si="688"/>
        <v>K90-09</v>
      </c>
      <c r="CS270" s="23" t="str">
        <f t="shared" si="689"/>
        <v>K90-05</v>
      </c>
      <c r="CT270" s="23" t="str">
        <f t="shared" si="690"/>
        <v>K90-11</v>
      </c>
      <c r="CU270" s="23" t="str">
        <f t="shared" si="691"/>
        <v>F0-M90-A9</v>
      </c>
      <c r="CV270" s="23" t="str">
        <f t="shared" si="692"/>
        <v>F0-M90-A7</v>
      </c>
      <c r="CW270" s="23" t="str">
        <f t="shared" si="693"/>
        <v>F0-M90-A8</v>
      </c>
      <c r="CX270" s="23" t="str">
        <f t="shared" si="694"/>
        <v>F0-M90-A6</v>
      </c>
      <c r="CY270" s="23" t="str">
        <f t="shared" si="695"/>
        <v>F0-M90-A30</v>
      </c>
      <c r="CZ270" s="23" t="str">
        <f t="shared" si="696"/>
        <v>F0-M90-N</v>
      </c>
      <c r="DA270" s="23" t="str">
        <f t="shared" ref="DA270" si="782">CONCATENATE($T270,"-A220-M",U270)</f>
        <v>F0-A220-M90</v>
      </c>
      <c r="DB270" s="23" t="str">
        <f t="shared" si="697"/>
        <v>F0-M90-XM01</v>
      </c>
      <c r="DC270" s="23" t="str">
        <f t="shared" si="698"/>
        <v>F0-M90-A1</v>
      </c>
      <c r="DD270" s="23" t="str">
        <f t="shared" si="699"/>
        <v>F0-M90-A5</v>
      </c>
      <c r="DE270" s="23" t="str">
        <f t="shared" si="700"/>
        <v>F0-M90-A11</v>
      </c>
      <c r="DF270" s="23" t="str">
        <f t="shared" si="701"/>
        <v>F0-M90-A12</v>
      </c>
      <c r="DG270" s="23" t="str">
        <f t="shared" si="702"/>
        <v>F0-M90-A19</v>
      </c>
      <c r="DH270" s="23" t="str">
        <f t="shared" si="703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1438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1461</v>
      </c>
      <c r="B271" t="s">
        <v>1439</v>
      </c>
      <c r="C271" t="s">
        <v>1483</v>
      </c>
      <c r="P271" t="s">
        <v>1424</v>
      </c>
      <c r="T271" s="10" t="s">
        <v>520</v>
      </c>
      <c r="U271" s="49">
        <v>91</v>
      </c>
      <c r="V271" s="11" t="s">
        <v>1743</v>
      </c>
      <c r="W271" s="11" t="s">
        <v>1744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А3.37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SUM(IF(ISNUMBER(FIND("TmAi",$BE$1:$AAL$1)),IF(IFERROR(ISODD(SUBSTITUTE($BE271:$AAL271,"A","")),FALSE),IF(ISODD(SUBSTITUTE($BE271:$AAL271,"A","")),1,0),0)))</f>
        <v>0</v>
      </c>
      <c r="AA271" t="str">
        <f t="shared" ref="AA271" si="783">CONCATENATE($Y271*2-1,"A")</f>
        <v>5A</v>
      </c>
      <c r="AB271" t="str">
        <f t="shared" ref="AB271" si="784">CONCATENATE($Y271*2-1,"B")</f>
        <v>5B</v>
      </c>
      <c r="AC271" t="s">
        <v>1435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SUM(IF(ISNUMBER(FIND("TmDi",$BE$1:$AAL$1)),IF(IFERROR(ISNUMBER(VALUE(SUBSTITUTE($BE271:$AAL271,"B",""))),FALSE),IF(ISNUMBER(VALUE(SUBSTITUTE($BE271:$AAL271,"B",""))),1,0),0)))</f>
        <v>4</v>
      </c>
      <c r="AF271" t="str">
        <f t="shared" si="706"/>
        <v>C1</v>
      </c>
      <c r="AG271" t="str">
        <f t="shared" si="707"/>
        <v>B1</v>
      </c>
      <c r="AH271" t="str">
        <f t="shared" si="708"/>
        <v>A6.8</v>
      </c>
      <c r="AI271" s="54" cm="1">
        <f t="array" ref="AI271">IF(COUNTIFS(AH$2:AH271,AH271)=1,"1",VALUE(SUBSTITUTE(INDEX(AI:AI,_xlfn.XMATCH(AH271,AH$1:AH270,0,-1)),"A",""))+INDEX(AJ:AJ,_xlfn.XMATCH(AH271,AH$1:AH270,0,-1))+1)</f>
        <v>11</v>
      </c>
      <c r="AJ271" s="54" cm="1">
        <f t="array" ref="AJ271">SUM(IF(ISNUMBER(FIND("TmDo",$BE$1:$AAL$1)),IF(IFERROR(ISNUMBER(VALUE(SUBSTITUTE($BE271:$AAL271,"B",""))),FALSE),IF(ISNUMBER(VALUE(SUBSTITUTE($BE271:$AAL271,"B",""))),1,0),0)))</f>
        <v>1</v>
      </c>
      <c r="AK271" s="11" t="str">
        <f t="shared" si="646"/>
        <v>11A</v>
      </c>
      <c r="AL271" s="11" t="str">
        <f t="shared" si="647"/>
        <v>11B</v>
      </c>
      <c r="AM271" s="12" t="s">
        <v>161</v>
      </c>
      <c r="AN271" s="12"/>
      <c r="AO271" s="12"/>
      <c r="AP271" s="12" t="s">
        <v>137</v>
      </c>
      <c r="AQ271" s="12" t="s">
        <v>1433</v>
      </c>
      <c r="AR271" s="12"/>
      <c r="AS271" s="12" t="s">
        <v>366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785">CONCATENATE("XT",U271)</f>
        <v>XT91</v>
      </c>
      <c r="GU271" s="12" t="str">
        <f t="shared" ref="GU271" si="786">CONCATENATE("C",REPLACE(AF271,1,1,"")+1)</f>
        <v>C2</v>
      </c>
      <c r="GV271" s="12" t="str">
        <f t="shared" ref="GV271" si="787">CONCATENATE("B",REPLACE(AG271,1,1,"")+1)</f>
        <v>B2</v>
      </c>
      <c r="GW271" s="12" t="str">
        <f t="shared" ref="GW271" si="788">CONCATENATE("C",REPLACE(GU271,1,1,"")+1)</f>
        <v>C3</v>
      </c>
      <c r="GX271" s="12" t="str">
        <f t="shared" ref="GX271" si="789">CONCATENATE("B",REPLACE(GV271,1,1,"")+1)</f>
        <v>B3</v>
      </c>
      <c r="GY271" s="12" t="str">
        <f t="shared" ref="GY271" si="790">CONCATENATE("C",REPLACE(GW271,1,1,"")+1)</f>
        <v>C4</v>
      </c>
      <c r="GZ271" s="12" t="str">
        <f t="shared" ref="GZ271" si="791">CONCATENATE("B",REPLACE(GX271,1,1,"")+1)</f>
        <v>B4</v>
      </c>
      <c r="HA271" s="12" t="str">
        <f t="shared" ref="HA271" si="792">CONCATENATE("C",REPLACE(GY271,1,1,"")+1)</f>
        <v>C5</v>
      </c>
      <c r="HB271" s="12" t="str">
        <f t="shared" ref="HB271" si="793">CONCATENATE("B",REPLACE(GZ271,1,1,"")+1)</f>
        <v>B5</v>
      </c>
      <c r="HC271" s="12"/>
      <c r="HD271" s="12"/>
      <c r="HE271" s="12" t="str">
        <f>CONCATENATE(REPLACE(AK271,LEN(AK271),1,"")+1,"A")</f>
        <v>12A</v>
      </c>
      <c r="HF271" s="12" t="str">
        <f>CONCATENATE(REPLACE(AL271,LEN(AL271),1,"")+1,"B")</f>
        <v>12B</v>
      </c>
      <c r="HG271" s="12" t="str">
        <f t="shared" ref="HG271" si="794">CONCATENATE("AI",REPLACE($X271,1,3,""),"-",AA271)</f>
        <v>AI37-5A</v>
      </c>
      <c r="HH271" s="12" t="str">
        <f t="shared" ref="HH271" si="795">CONCATENATE("AI",REPLACE($X271,1,3,""),"-",AB271)</f>
        <v>AI37-5B</v>
      </c>
      <c r="HI271" s="12" t="str">
        <f t="shared" ref="HI271" si="796">CONCATENATE("DI",REPLACE($AC271,1,3,""),"-",AF271)</f>
        <v>DI15-C1</v>
      </c>
      <c r="HJ271" s="12" t="str">
        <f t="shared" ref="HJ271" si="797">CONCATENATE("DI",REPLACE($AC271,1,3,""),"-",AG271)</f>
        <v>DI15-B1</v>
      </c>
      <c r="HK271" s="12" t="str">
        <f t="shared" ref="HK271" si="798">CONCATENATE("DI",REPLACE($AC271,1,3,""),"-",GU271)</f>
        <v>DI15-C2</v>
      </c>
      <c r="HL271" s="12" t="str">
        <f t="shared" ref="HL271" si="799">CONCATENATE("DI",REPLACE($AC271,1,3,""),"-",GV271)</f>
        <v>DI15-B2</v>
      </c>
      <c r="HM271" s="12" t="str">
        <f t="shared" ref="HM271" si="800">CONCATENATE("DI",REPLACE($AC271,1,3,""),"-",GW271)</f>
        <v>DI15-C3</v>
      </c>
      <c r="HN271" s="12" t="str">
        <f t="shared" ref="HN271" si="801">CONCATENATE("DI",REPLACE($AC271,1,3,""),"-",GX271)</f>
        <v>DI15-B3</v>
      </c>
      <c r="HO271" s="12" t="str">
        <f t="shared" ref="HO271" si="802">CONCATENATE("DI",REPLACE($AC271,1,3,""),"-",GY271)</f>
        <v>DI15-C4</v>
      </c>
      <c r="HP271" s="12" t="str">
        <f t="shared" ref="HP271" si="803">CONCATENATE("DI",REPLACE($AC271,1,3,""),"-",GZ271)</f>
        <v>DI15-B4</v>
      </c>
      <c r="HQ271" s="12" t="str">
        <f t="shared" ref="HQ271" si="804">CONCATENATE("DI",REPLACE($AC271,1,3,""),"-",HA271)</f>
        <v>DI15-C5</v>
      </c>
      <c r="HR271" s="12" t="str">
        <f t="shared" ref="HR271" si="805">CONCATENATE("DI",REPLACE($AC271,1,3,""),"-",HB271)</f>
        <v>DI15-B5</v>
      </c>
      <c r="HS271" s="12" t="str">
        <f t="shared" ref="HS271" si="806">CONCATENATE("DI",REPLACE($AC271,1,3,""),"-",HC271)</f>
        <v>DI15-</v>
      </c>
      <c r="HT271" s="12" t="str">
        <f t="shared" ref="HT271" si="807">CONCATENATE("DI",REPLACE($AC271,1,3,""),"-",HD271)</f>
        <v>DI15-</v>
      </c>
      <c r="HU271" s="12" t="str">
        <f t="shared" ref="HU271" si="808">CONCATENATE("DO",REPLACE($AH271,1,3,""),"-",AK271)</f>
        <v>DO8-11A</v>
      </c>
      <c r="HV271" s="12" t="str">
        <f t="shared" ref="HV271" si="809">CONCATENATE("DO",REPLACE($AH271,1,3,""),"-",AL271)</f>
        <v>DO8-11B</v>
      </c>
      <c r="HW271" s="12" t="str">
        <f t="shared" ref="HW271" si="810">CONCATENATE("DO",REPLACE($AH271,1,3,""),"-",HE271)</f>
        <v>DO8-12A</v>
      </c>
      <c r="HX271" s="12" t="str">
        <f t="shared" ref="HX271" si="811">CONCATENATE("DO",REPLACE($AH271,1,3,""),"-",HF271)</f>
        <v>DO8-12B</v>
      </c>
      <c r="HY271" s="12" t="str">
        <f t="shared" ref="HY271" si="812">CONCATENATE("K",$U271,"-01")</f>
        <v>K91-01</v>
      </c>
      <c r="HZ271" s="12" t="str">
        <f t="shared" ref="HZ271" si="813">CONCATENATE("K",$U271,"-02")</f>
        <v>K91-02</v>
      </c>
      <c r="IA271" s="12" t="str">
        <f t="shared" ref="IA271" si="814">CONCATENATE("K",$U271,"-03")</f>
        <v>K91-03</v>
      </c>
      <c r="IB271" s="12" t="str">
        <f t="shared" ref="IB271" si="815">CONCATENATE("K",$U271,"-04")</f>
        <v>K91-04</v>
      </c>
      <c r="IC271" s="12" t="str">
        <f t="shared" ref="IC271" si="816">CONCATENATE("K",$U271,"-05")</f>
        <v>K91-05</v>
      </c>
      <c r="ID271" s="12" t="str">
        <f t="shared" ref="ID271" si="817">CONCATENATE("K",$U271,"-06")</f>
        <v>K91-06</v>
      </c>
      <c r="IE271" s="12" t="str">
        <f t="shared" ref="IE271" si="818">CONCATENATE("K",$U271,"-07")</f>
        <v>K91-07</v>
      </c>
      <c r="IF271" s="12" t="str">
        <f t="shared" ref="IF271" si="819">CONCATENATE("K",$U271,"-08")</f>
        <v>K91-08</v>
      </c>
      <c r="IG271" s="12" t="str">
        <f t="shared" ref="IG271" si="820">CONCATENATE($T271,"-M",$U271,"-AMS-12")</f>
        <v>F0-M91-AMS-12</v>
      </c>
      <c r="IH271" s="12" t="str">
        <f t="shared" ref="IH271" si="821">CONCATENATE($T271,"-M",$U271,"-AMS-10")</f>
        <v>F0-M91-AMS-10</v>
      </c>
      <c r="II271" s="12" t="str">
        <f t="shared" ref="II271" si="822">CONCATENATE($T271,"-M",$U271,"-AMS-11")</f>
        <v>F0-M91-AMS-11</v>
      </c>
      <c r="IJ271" s="12" t="str">
        <f t="shared" ref="IJ271" si="823">CONCATENATE($T271,"-M",$U271,"-AMS-13")</f>
        <v>F0-M91-AMS-13</v>
      </c>
      <c r="IK271" s="12" t="str">
        <f t="shared" ref="IK271" si="824">CONCATENATE($T271,"-M",$U271,"-AMS-9")</f>
        <v>F0-M91-AMS-9</v>
      </c>
      <c r="IL271" s="12" t="str">
        <f t="shared" ref="IL271" si="825">CONCATENATE($T271,"-M",$U271,"-AMS-7")</f>
        <v>F0-M91-AMS-7</v>
      </c>
      <c r="IM271" s="12" t="str">
        <f t="shared" ref="IM271" si="826">CONCATENATE($T271,"-M",$U271,"-AMS-18")</f>
        <v>F0-M91-AMS-18</v>
      </c>
      <c r="IN271" s="12" t="str">
        <f t="shared" ref="IN271" si="827">CONCATENATE($T271,"-M",$U271,"-AMS-20")</f>
        <v>F0-M91-AMS-20</v>
      </c>
      <c r="IO271" s="12" t="str">
        <f t="shared" ref="IO271" si="828">CONCATENATE($T271,"-M",$U271,"-AMS-17")</f>
        <v>F0-M91-AMS-17</v>
      </c>
      <c r="IP271" s="12" t="str">
        <f t="shared" ref="IP271" si="829">CONCATENATE($T271,"-+24-M",$U271,)</f>
        <v>F0-+24-M91</v>
      </c>
      <c r="IQ271" s="12" t="str">
        <f t="shared" ref="IQ271" si="830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383</v>
      </c>
      <c r="IW271" s="12" t="s">
        <v>384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1462</v>
      </c>
      <c r="B272" t="s">
        <v>1441</v>
      </c>
      <c r="C272" s="3" t="s">
        <v>1484</v>
      </c>
      <c r="O272" s="2"/>
      <c r="P272" t="s">
        <v>1423</v>
      </c>
      <c r="Q272" s="1"/>
      <c r="S272" s="1"/>
      <c r="T272" s="21" t="s">
        <v>520</v>
      </c>
      <c r="U272" s="50">
        <v>92</v>
      </c>
      <c r="V272" s="18" t="s">
        <v>1745</v>
      </c>
      <c r="W272" s="22"/>
      <c r="X272" s="23"/>
      <c r="Y272" s="23"/>
      <c r="Z272" s="23"/>
      <c r="AA272" s="23"/>
      <c r="AB272" s="23"/>
      <c r="AC272" t="str">
        <f t="shared" ref="AC272:AC284" si="831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SUM(IF(ISNUMBER(FIND("TmDi",$BE$1:$AAL$1)),IF(IFERROR(ISNUMBER(VALUE(SUBSTITUTE($BE272:$AAL272,"B",""))),FALSE),IF(ISNUMBER(VALUE(SUBSTITUTE($BE272:$AAL272,"B",""))),1,0),0)))</f>
        <v>4</v>
      </c>
      <c r="AF272" t="str">
        <f t="shared" si="706"/>
        <v>C6</v>
      </c>
      <c r="AG272" t="str">
        <f t="shared" si="707"/>
        <v>B6</v>
      </c>
      <c r="AH272" t="str">
        <f t="shared" si="708"/>
        <v>A6.8</v>
      </c>
      <c r="AI272" s="54" cm="1">
        <f t="array" ref="AI272">IF(COUNTIFS(AH$2:AH272,AH272)=1,"1",VALUE(SUBSTITUTE(INDEX(AI:AI,_xlfn.XMATCH(AH272,AH$1:AH271,0,-1)),"A",""))+INDEX(AJ:AJ,_xlfn.XMATCH(AH272,AH$1:AH271,0,-1))+1)</f>
        <v>13</v>
      </c>
      <c r="AJ272" s="54" cm="1">
        <f t="array" ref="AJ272">SUM(IF(ISNUMBER(FIND("TmDo",$BE$1:$AAL$1)),IF(IFERROR(ISNUMBER(VALUE(SUBSTITUTE($BE272:$AAL272,"B",""))),FALSE),IF(ISNUMBER(VALUE(SUBSTITUTE($BE272:$AAL272,"B",""))),1,0),0)))</f>
        <v>2</v>
      </c>
      <c r="AK272" s="11" t="str">
        <f t="shared" si="646"/>
        <v>13A</v>
      </c>
      <c r="AL272" s="11" t="str">
        <f t="shared" si="647"/>
        <v>13B</v>
      </c>
      <c r="AM272" s="23" t="s">
        <v>150</v>
      </c>
      <c r="AN272" s="23"/>
      <c r="AO272" s="23"/>
      <c r="AP272" s="23" t="s">
        <v>137</v>
      </c>
      <c r="AQ272" s="23" t="s">
        <v>1433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832">CONCATENATE("XT",U272)</f>
        <v>XT92</v>
      </c>
      <c r="BF272" s="23" t="str">
        <f t="shared" ref="BF272" si="833">CONCATENATE("C",REPLACE(AF272,1,1,"")+1)</f>
        <v>C7</v>
      </c>
      <c r="BG272" s="23" t="str">
        <f t="shared" ref="BG272" si="834">CONCATENATE("B",REPLACE(AG272,1,1,"")+1)</f>
        <v>B7</v>
      </c>
      <c r="BH272" s="23" t="str">
        <f t="shared" ref="BH272" si="835">CONCATENATE("C",REPLACE(BF272,1,1,"")+1)</f>
        <v>C8</v>
      </c>
      <c r="BI272" s="23" t="str">
        <f t="shared" ref="BI272" si="836">CONCATENATE("B",REPLACE(BG272,1,1,"")+1)</f>
        <v>B8</v>
      </c>
      <c r="BJ272" s="23" t="str">
        <f t="shared" ref="BJ272" si="837">CONCATENATE("C",REPLACE(BH272,1,1,"")+1)</f>
        <v>C9</v>
      </c>
      <c r="BK272" s="23" t="str">
        <f t="shared" ref="BK272" si="838">CONCATENATE("B",REPLACE(BI272,1,1,"")+1)</f>
        <v>B9</v>
      </c>
      <c r="BL272" s="23" t="str">
        <f t="shared" ref="BL272" si="839">CONCATENATE("C",REPLACE(BJ272,1,1,"")+1)</f>
        <v>C10</v>
      </c>
      <c r="BM272" s="23" t="str">
        <f t="shared" ref="BM272" si="840">CONCATENATE("B",REPLACE(BK272,1,1,"")+1)</f>
        <v>B10</v>
      </c>
      <c r="BN272" s="23"/>
      <c r="BO272" s="23"/>
      <c r="BP272" s="23" t="str">
        <f>CONCATENATE(REPLACE(AK272,LEN(AK272),1,"")+1,"A")</f>
        <v>14A</v>
      </c>
      <c r="BQ272" s="23" t="str">
        <f>CONCATENATE(REPLACE(AL272,LEN(AL272),1,"")+1,"B")</f>
        <v>14B</v>
      </c>
      <c r="BR272" s="23" t="str">
        <f>CONCATENATE(REPLACE(BP272,LEN(BP272),1,"")+1,"A")</f>
        <v>15A</v>
      </c>
      <c r="BS272" s="23" t="str">
        <f>CONCATENATE(REPLACE(BQ272,LEN(BQ272),1,"")+1,"B")</f>
        <v>15B</v>
      </c>
      <c r="BT272" s="23" t="str">
        <f t="shared" ref="BT272" si="841">CONCATENATE("DI",REPLACE($AC272,1,3,""),"-",AF272)</f>
        <v>DI15-C6</v>
      </c>
      <c r="BU272" s="23" t="str">
        <f t="shared" ref="BU272" si="842">CONCATENATE("DI",REPLACE($AC272,1,3,""),"-",AG272)</f>
        <v>DI15-B6</v>
      </c>
      <c r="BV272" s="23" t="str">
        <f t="shared" ref="BV272" si="843">CONCATENATE("DI",REPLACE($AC272,1,3,""),"-",BF272)</f>
        <v>DI15-C7</v>
      </c>
      <c r="BW272" s="23" t="str">
        <f t="shared" ref="BW272" si="844">CONCATENATE("DI",REPLACE($AC272,1,3,""),"-",BG272)</f>
        <v>DI15-B7</v>
      </c>
      <c r="BX272" s="23" t="str">
        <f t="shared" ref="BX272" si="845">CONCATENATE("DI",REPLACE($AC272,1,3,""),"-",BH272)</f>
        <v>DI15-C8</v>
      </c>
      <c r="BY272" s="23" t="str">
        <f t="shared" ref="BY272" si="846">CONCATENATE("DI",REPLACE($AC272,1,3,""),"-",BI272)</f>
        <v>DI15-B8</v>
      </c>
      <c r="BZ272" s="23" t="str">
        <f t="shared" ref="BZ272" si="847">CONCATENATE("DI",REPLACE($AC272,1,3,""),"-",BJ272)</f>
        <v>DI15-C9</v>
      </c>
      <c r="CA272" s="23" t="str">
        <f t="shared" ref="CA272" si="848">CONCATENATE("DI",REPLACE($AC272,1,3,""),"-",BK272)</f>
        <v>DI15-B9</v>
      </c>
      <c r="CB272" s="23" t="str">
        <f t="shared" ref="CB272" si="849">CONCATENATE("DI",REPLACE($AC272,1,3,""),"-",BL272)</f>
        <v>DI15-C10</v>
      </c>
      <c r="CC272" s="23" t="str">
        <f t="shared" ref="CC272" si="850">CONCATENATE("DI",REPLACE($AC272,1,3,""),"-",BM272)</f>
        <v>DI15-B10</v>
      </c>
      <c r="CD272" s="23" t="str">
        <f t="shared" ref="CD272" si="851">CONCATENATE("DI",REPLACE($AC272,1,3,""),"-",BN272)</f>
        <v>DI15-</v>
      </c>
      <c r="CE272" s="23" t="str">
        <f t="shared" ref="CE272" si="852">CONCATENATE("DI",REPLACE($AC272,1,3,""),"-",BO272)</f>
        <v>DI15-</v>
      </c>
      <c r="CF272" s="23" t="str">
        <f t="shared" ref="CF272" si="853">CONCATENATE("DO",REPLACE($AH272,1,3,""),"-",AK272)</f>
        <v>DO8-13A</v>
      </c>
      <c r="CG272" s="23" t="str">
        <f t="shared" ref="CG272" si="854">CONCATENATE("DO",REPLACE($AH272,1,3,""),"-",AL272)</f>
        <v>DO8-13B</v>
      </c>
      <c r="CH272" s="23" t="str">
        <f t="shared" ref="CH272" si="855">CONCATENATE("DO",REPLACE($AH272,1,3,""),"-",BP272)</f>
        <v>DO8-14A</v>
      </c>
      <c r="CI272" s="23" t="str">
        <f t="shared" ref="CI272" si="856">CONCATENATE("DO",REPLACE($AH272,1,3,""),"-",BQ272)</f>
        <v>DO8-14B</v>
      </c>
      <c r="CJ272" s="23" t="str">
        <f t="shared" ref="CJ272" si="857">CONCATENATE("DO",REPLACE($AH272,1,3,""),"-",BR272)</f>
        <v>DO8-15A</v>
      </c>
      <c r="CK272" s="23" t="str">
        <f t="shared" ref="CK272" si="858">CONCATENATE("DO",REPLACE($AH272,1,3,""),"-",BS272)</f>
        <v>DO8-15B</v>
      </c>
      <c r="CL272" s="23" t="str">
        <f t="shared" si="682"/>
        <v>K92-10</v>
      </c>
      <c r="CM272" s="23" t="str">
        <f t="shared" si="683"/>
        <v>K92-03</v>
      </c>
      <c r="CN272" s="23" t="str">
        <f t="shared" si="684"/>
        <v>K92-04</v>
      </c>
      <c r="CO272" s="23" t="str">
        <f t="shared" si="685"/>
        <v>K92-01</v>
      </c>
      <c r="CP272" s="23" t="str">
        <f t="shared" si="686"/>
        <v>K92-08</v>
      </c>
      <c r="CQ272" s="23" t="str">
        <f t="shared" si="687"/>
        <v>K92-02</v>
      </c>
      <c r="CR272" s="23" t="str">
        <f t="shared" si="688"/>
        <v>K92-09</v>
      </c>
      <c r="CS272" s="23" t="str">
        <f t="shared" si="689"/>
        <v>K92-05</v>
      </c>
      <c r="CT272" s="23" t="str">
        <f t="shared" si="690"/>
        <v>K92-11</v>
      </c>
      <c r="CU272" s="23" t="str">
        <f t="shared" si="691"/>
        <v>F0-M92-A9</v>
      </c>
      <c r="CV272" s="23" t="str">
        <f t="shared" si="692"/>
        <v>F0-M92-A7</v>
      </c>
      <c r="CW272" s="23" t="str">
        <f t="shared" si="693"/>
        <v>F0-M92-A8</v>
      </c>
      <c r="CX272" s="23" t="str">
        <f t="shared" si="694"/>
        <v>F0-M92-A6</v>
      </c>
      <c r="CY272" s="23" t="str">
        <f t="shared" si="695"/>
        <v>F0-M92-A30</v>
      </c>
      <c r="CZ272" s="23" t="str">
        <f t="shared" si="696"/>
        <v>F0-M92-N</v>
      </c>
      <c r="DA272" s="23" t="str">
        <f t="shared" ref="DA272" si="859">CONCATENATE($T272,"-A220-M",U272)</f>
        <v>F0-A220-M92</v>
      </c>
      <c r="DB272" s="23" t="str">
        <f t="shared" si="697"/>
        <v>F0-M92-XM01</v>
      </c>
      <c r="DC272" s="23" t="str">
        <f t="shared" si="698"/>
        <v>F0-M92-A1</v>
      </c>
      <c r="DD272" s="23" t="str">
        <f t="shared" si="699"/>
        <v>F0-M92-A5</v>
      </c>
      <c r="DE272" s="23" t="str">
        <f t="shared" si="700"/>
        <v>F0-M92-A11</v>
      </c>
      <c r="DF272" s="23" t="str">
        <f t="shared" si="701"/>
        <v>F0-M92-A12</v>
      </c>
      <c r="DG272" s="23" t="str">
        <f t="shared" si="702"/>
        <v>F0-M92-A19</v>
      </c>
      <c r="DH272" s="23" t="str">
        <f t="shared" si="703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1442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7" ht="15.75" thickBot="1" x14ac:dyDescent="0.3">
      <c r="A273" t="s">
        <v>1463</v>
      </c>
      <c r="B273" t="s">
        <v>1443</v>
      </c>
      <c r="C273" t="s">
        <v>1483</v>
      </c>
      <c r="P273" t="s">
        <v>1424</v>
      </c>
      <c r="T273" s="10" t="s">
        <v>520</v>
      </c>
      <c r="U273" s="49">
        <v>93</v>
      </c>
      <c r="V273" s="11" t="s">
        <v>1746</v>
      </c>
      <c r="W273" s="11" t="s">
        <v>1747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А3.37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SUM(IF(ISNUMBER(FIND("TmAi",$BE$1:$AAL$1)),IF(IFERROR(ISODD(SUBSTITUTE($BE273:$AAL273,"A","")),FALSE),IF(ISODD(SUBSTITUTE($BE273:$AAL273,"A","")),1,0),0)))</f>
        <v>0</v>
      </c>
      <c r="AA273" t="str">
        <f t="shared" ref="AA273" si="860">CONCATENATE($Y273*2-1,"A")</f>
        <v>7A</v>
      </c>
      <c r="AB273" t="str">
        <f t="shared" ref="AB273" si="861">CONCATENATE($Y273*2-1,"B")</f>
        <v>7B</v>
      </c>
      <c r="AC273" t="str">
        <f t="shared" si="831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SUM(IF(ISNUMBER(FIND("TmDi",$BE$1:$AAL$1)),IF(IFERROR(ISNUMBER(VALUE(SUBSTITUTE($BE273:$AAL273,"B",""))),FALSE),IF(ISNUMBER(VALUE(SUBSTITUTE($BE273:$AAL273,"B",""))),1,0),0)))</f>
        <v>4</v>
      </c>
      <c r="AF273" t="str">
        <f t="shared" si="706"/>
        <v>C11</v>
      </c>
      <c r="AG273" t="str">
        <f t="shared" si="707"/>
        <v>B11</v>
      </c>
      <c r="AH273" t="str">
        <f t="shared" si="708"/>
        <v>A6.8</v>
      </c>
      <c r="AI273" s="54" cm="1">
        <f t="array" ref="AI273">IF(COUNTIFS(AH$2:AH273,AH273)=1,"1",VALUE(SUBSTITUTE(INDEX(AI:AI,_xlfn.XMATCH(AH273,AH$1:AH272,0,-1)),"A",""))+INDEX(AJ:AJ,_xlfn.XMATCH(AH273,AH$1:AH272,0,-1))+1)</f>
        <v>16</v>
      </c>
      <c r="AJ273" s="54" cm="1">
        <f t="array" ref="AJ273">SUM(IF(ISNUMBER(FIND("TmDo",$BE$1:$AAL$1)),IF(IFERROR(ISNUMBER(VALUE(SUBSTITUTE($BE273:$AAL273,"B",""))),FALSE),IF(ISNUMBER(VALUE(SUBSTITUTE($BE273:$AAL273,"B",""))),1,0),0)))</f>
        <v>1</v>
      </c>
      <c r="AK273" s="11" t="str">
        <f t="shared" si="646"/>
        <v>16A</v>
      </c>
      <c r="AL273" s="11" t="str">
        <f t="shared" si="647"/>
        <v>16B</v>
      </c>
      <c r="AM273" s="12" t="s">
        <v>161</v>
      </c>
      <c r="AN273" s="12"/>
      <c r="AO273" s="12"/>
      <c r="AP273" s="12" t="s">
        <v>137</v>
      </c>
      <c r="AQ273" s="12" t="s">
        <v>1433</v>
      </c>
      <c r="AR273" s="12"/>
      <c r="AS273" s="12" t="s">
        <v>366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862">CONCATENATE("XT",U273)</f>
        <v>XT93</v>
      </c>
      <c r="GU273" s="12" t="str">
        <f t="shared" ref="GU273" si="863">CONCATENATE("C",REPLACE(AF273,1,1,"")+1)</f>
        <v>C12</v>
      </c>
      <c r="GV273" s="12" t="str">
        <f t="shared" ref="GV273" si="864">CONCATENATE("B",REPLACE(AG273,1,1,"")+1)</f>
        <v>B12</v>
      </c>
      <c r="GW273" s="12" t="str">
        <f t="shared" ref="GW273" si="865">CONCATENATE("C",REPLACE(GU273,1,1,"")+1)</f>
        <v>C13</v>
      </c>
      <c r="GX273" s="12" t="str">
        <f t="shared" ref="GX273" si="866">CONCATENATE("B",REPLACE(GV273,1,1,"")+1)</f>
        <v>B13</v>
      </c>
      <c r="GY273" s="12" t="str">
        <f t="shared" ref="GY273" si="867">CONCATENATE("C",REPLACE(GW273,1,1,"")+1)</f>
        <v>C14</v>
      </c>
      <c r="GZ273" s="12" t="str">
        <f t="shared" ref="GZ273" si="868">CONCATENATE("B",REPLACE(GX273,1,1,"")+1)</f>
        <v>B14</v>
      </c>
      <c r="HA273" s="12" t="str">
        <f t="shared" ref="HA273" si="869">CONCATENATE("C",REPLACE(GY273,1,1,"")+1)</f>
        <v>C15</v>
      </c>
      <c r="HB273" s="12" t="str">
        <f t="shared" ref="HB273" si="870">CONCATENATE("B",REPLACE(GZ273,1,1,"")+1)</f>
        <v>B15</v>
      </c>
      <c r="HC273" s="12"/>
      <c r="HD273" s="12"/>
      <c r="HE273" s="12" t="str">
        <f>CONCATENATE(REPLACE(AK273,LEN(AK273),1,"")+1,"A")</f>
        <v>17A</v>
      </c>
      <c r="HF273" s="12" t="str">
        <f>CONCATENATE(REPLACE(AL273,LEN(AL273),1,"")+1,"B")</f>
        <v>17B</v>
      </c>
      <c r="HG273" s="12" t="str">
        <f t="shared" ref="HG273" si="871">CONCATENATE("AI",REPLACE($X273,1,3,""),"-",AA273)</f>
        <v>AI37-7A</v>
      </c>
      <c r="HH273" s="12" t="str">
        <f t="shared" ref="HH273" si="872">CONCATENATE("AI",REPLACE($X273,1,3,""),"-",AB273)</f>
        <v>AI37-7B</v>
      </c>
      <c r="HI273" s="12" t="str">
        <f t="shared" ref="HI273" si="873">CONCATENATE("DI",REPLACE($AC273,1,3,""),"-",AF273)</f>
        <v>DI15-C11</v>
      </c>
      <c r="HJ273" s="12" t="str">
        <f t="shared" ref="HJ273" si="874">CONCATENATE("DI",REPLACE($AC273,1,3,""),"-",AG273)</f>
        <v>DI15-B11</v>
      </c>
      <c r="HK273" s="12" t="str">
        <f t="shared" ref="HK273" si="875">CONCATENATE("DI",REPLACE($AC273,1,3,""),"-",GU273)</f>
        <v>DI15-C12</v>
      </c>
      <c r="HL273" s="12" t="str">
        <f t="shared" ref="HL273" si="876">CONCATENATE("DI",REPLACE($AC273,1,3,""),"-",GV273)</f>
        <v>DI15-B12</v>
      </c>
      <c r="HM273" s="12" t="str">
        <f t="shared" ref="HM273" si="877">CONCATENATE("DI",REPLACE($AC273,1,3,""),"-",GW273)</f>
        <v>DI15-C13</v>
      </c>
      <c r="HN273" s="12" t="str">
        <f t="shared" ref="HN273" si="878">CONCATENATE("DI",REPLACE($AC273,1,3,""),"-",GX273)</f>
        <v>DI15-B13</v>
      </c>
      <c r="HO273" s="12" t="str">
        <f t="shared" ref="HO273" si="879">CONCATENATE("DI",REPLACE($AC273,1,3,""),"-",GY273)</f>
        <v>DI15-C14</v>
      </c>
      <c r="HP273" s="12" t="str">
        <f t="shared" ref="HP273" si="880">CONCATENATE("DI",REPLACE($AC273,1,3,""),"-",GZ273)</f>
        <v>DI15-B14</v>
      </c>
      <c r="HQ273" s="12" t="str">
        <f t="shared" ref="HQ273" si="881">CONCATENATE("DI",REPLACE($AC273,1,3,""),"-",HA273)</f>
        <v>DI15-C15</v>
      </c>
      <c r="HR273" s="12" t="str">
        <f t="shared" ref="HR273" si="882">CONCATENATE("DI",REPLACE($AC273,1,3,""),"-",HB273)</f>
        <v>DI15-B15</v>
      </c>
      <c r="HS273" s="12" t="str">
        <f t="shared" ref="HS273" si="883">CONCATENATE("DI",REPLACE($AC273,1,3,""),"-",HC273)</f>
        <v>DI15-</v>
      </c>
      <c r="HT273" s="12" t="str">
        <f t="shared" ref="HT273" si="884">CONCATENATE("DI",REPLACE($AC273,1,3,""),"-",HD273)</f>
        <v>DI15-</v>
      </c>
      <c r="HU273" s="12" t="str">
        <f t="shared" ref="HU273" si="885">CONCATENATE("DO",REPLACE($AH273,1,3,""),"-",AK273)</f>
        <v>DO8-16A</v>
      </c>
      <c r="HV273" s="12" t="str">
        <f t="shared" ref="HV273" si="886">CONCATENATE("DO",REPLACE($AH273,1,3,""),"-",AL273)</f>
        <v>DO8-16B</v>
      </c>
      <c r="HW273" s="12" t="str">
        <f t="shared" ref="HW273" si="887">CONCATENATE("DO",REPLACE($AH273,1,3,""),"-",HE273)</f>
        <v>DO8-17A</v>
      </c>
      <c r="HX273" s="12" t="str">
        <f t="shared" ref="HX273" si="888">CONCATENATE("DO",REPLACE($AH273,1,3,""),"-",HF273)</f>
        <v>DO8-17B</v>
      </c>
      <c r="HY273" s="12" t="str">
        <f t="shared" ref="HY273" si="889">CONCATENATE("K",$U273,"-01")</f>
        <v>K93-01</v>
      </c>
      <c r="HZ273" s="12" t="str">
        <f t="shared" ref="HZ273" si="890">CONCATENATE("K",$U273,"-02")</f>
        <v>K93-02</v>
      </c>
      <c r="IA273" s="12" t="str">
        <f t="shared" ref="IA273" si="891">CONCATENATE("K",$U273,"-03")</f>
        <v>K93-03</v>
      </c>
      <c r="IB273" s="12" t="str">
        <f t="shared" ref="IB273" si="892">CONCATENATE("K",$U273,"-04")</f>
        <v>K93-04</v>
      </c>
      <c r="IC273" s="12" t="str">
        <f t="shared" ref="IC273" si="893">CONCATENATE("K",$U273,"-05")</f>
        <v>K93-05</v>
      </c>
      <c r="ID273" s="12" t="str">
        <f t="shared" ref="ID273" si="894">CONCATENATE("K",$U273,"-06")</f>
        <v>K93-06</v>
      </c>
      <c r="IE273" s="12" t="str">
        <f t="shared" ref="IE273" si="895">CONCATENATE("K",$U273,"-07")</f>
        <v>K93-07</v>
      </c>
      <c r="IF273" s="12" t="str">
        <f t="shared" ref="IF273" si="896">CONCATENATE("K",$U273,"-08")</f>
        <v>K93-08</v>
      </c>
      <c r="IG273" s="12" t="str">
        <f t="shared" ref="IG273" si="897">CONCATENATE($T273,"-M",$U273,"-AMS-12")</f>
        <v>F0-M93-AMS-12</v>
      </c>
      <c r="IH273" s="12" t="str">
        <f t="shared" ref="IH273" si="898">CONCATENATE($T273,"-M",$U273,"-AMS-10")</f>
        <v>F0-M93-AMS-10</v>
      </c>
      <c r="II273" s="12" t="str">
        <f t="shared" ref="II273" si="899">CONCATENATE($T273,"-M",$U273,"-AMS-11")</f>
        <v>F0-M93-AMS-11</v>
      </c>
      <c r="IJ273" s="12" t="str">
        <f t="shared" ref="IJ273" si="900">CONCATENATE($T273,"-M",$U273,"-AMS-13")</f>
        <v>F0-M93-AMS-13</v>
      </c>
      <c r="IK273" s="12" t="str">
        <f t="shared" ref="IK273" si="901">CONCATENATE($T273,"-M",$U273,"-AMS-9")</f>
        <v>F0-M93-AMS-9</v>
      </c>
      <c r="IL273" s="12" t="str">
        <f t="shared" ref="IL273" si="902">CONCATENATE($T273,"-M",$U273,"-AMS-7")</f>
        <v>F0-M93-AMS-7</v>
      </c>
      <c r="IM273" s="12" t="str">
        <f t="shared" ref="IM273" si="903">CONCATENATE($T273,"-M",$U273,"-AMS-18")</f>
        <v>F0-M93-AMS-18</v>
      </c>
      <c r="IN273" s="12" t="str">
        <f t="shared" ref="IN273" si="904">CONCATENATE($T273,"-M",$U273,"-AMS-20")</f>
        <v>F0-M93-AMS-20</v>
      </c>
      <c r="IO273" s="12" t="str">
        <f t="shared" ref="IO273" si="905">CONCATENATE($T273,"-M",$U273,"-AMS-17")</f>
        <v>F0-M93-AMS-17</v>
      </c>
      <c r="IP273" s="12" t="str">
        <f t="shared" ref="IP273" si="906">CONCATENATE($T273,"-+24-M",$U273,)</f>
        <v>F0-+24-M93</v>
      </c>
      <c r="IQ273" s="12" t="str">
        <f t="shared" ref="IQ273" si="907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383</v>
      </c>
      <c r="IW273" s="12" t="s">
        <v>384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7" ht="15.75" thickBot="1" x14ac:dyDescent="0.3">
      <c r="A274" t="s">
        <v>1464</v>
      </c>
      <c r="B274" t="s">
        <v>1445</v>
      </c>
      <c r="C274" s="3" t="s">
        <v>1484</v>
      </c>
      <c r="O274" s="2"/>
      <c r="P274" t="s">
        <v>1423</v>
      </c>
      <c r="Q274" s="1"/>
      <c r="S274" s="1"/>
      <c r="T274" s="21" t="s">
        <v>520</v>
      </c>
      <c r="U274" s="50">
        <v>94</v>
      </c>
      <c r="V274" s="18" t="s">
        <v>1748</v>
      </c>
      <c r="W274" s="22"/>
      <c r="X274" s="23"/>
      <c r="Y274" s="23"/>
      <c r="Z274" s="23"/>
      <c r="AA274" s="23"/>
      <c r="AB274" s="23"/>
      <c r="AC274" t="str">
        <f t="shared" si="831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SUM(IF(ISNUMBER(FIND("TmDi",$BE$1:$AAL$1)),IF(IFERROR(ISNUMBER(VALUE(SUBSTITUTE($BE274:$AAL274,"B",""))),FALSE),IF(ISNUMBER(VALUE(SUBSTITUTE($BE274:$AAL274,"B",""))),1,0),0)))</f>
        <v>4</v>
      </c>
      <c r="AF274" t="str">
        <f t="shared" si="706"/>
        <v>C16</v>
      </c>
      <c r="AG274" t="str">
        <f t="shared" si="707"/>
        <v>B16</v>
      </c>
      <c r="AH274" t="str">
        <f t="shared" si="708"/>
        <v>A6.8</v>
      </c>
      <c r="AI274" s="54" cm="1">
        <f t="array" ref="AI274">IF(COUNTIFS(AH$2:AH274,AH274)=1,"1",VALUE(SUBSTITUTE(INDEX(AI:AI,_xlfn.XMATCH(AH274,AH$1:AH273,0,-1)),"A",""))+INDEX(AJ:AJ,_xlfn.XMATCH(AH274,AH$1:AH273,0,-1))+1)</f>
        <v>18</v>
      </c>
      <c r="AJ274" s="54" cm="1">
        <f t="array" ref="AJ274">SUM(IF(ISNUMBER(FIND("TmDo",$BE$1:$AAL$1)),IF(IFERROR(ISNUMBER(VALUE(SUBSTITUTE($BE274:$AAL274,"B",""))),FALSE),IF(ISNUMBER(VALUE(SUBSTITUTE($BE274:$AAL274,"B",""))),1,0),0)))</f>
        <v>2</v>
      </c>
      <c r="AK274" s="11" t="str">
        <f t="shared" si="646"/>
        <v>18A</v>
      </c>
      <c r="AL274" s="11" t="str">
        <f t="shared" si="647"/>
        <v>18B</v>
      </c>
      <c r="AM274" s="23" t="s">
        <v>150</v>
      </c>
      <c r="AN274" s="23"/>
      <c r="AO274" s="23"/>
      <c r="AP274" s="23" t="s">
        <v>137</v>
      </c>
      <c r="AQ274" s="23" t="s">
        <v>1433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908">CONCATENATE("XT",U274)</f>
        <v>XT94</v>
      </c>
      <c r="BF274" s="23" t="str">
        <f t="shared" ref="BF274" si="909">CONCATENATE("C",REPLACE(AF274,1,1,"")+1)</f>
        <v>C17</v>
      </c>
      <c r="BG274" s="23" t="str">
        <f t="shared" ref="BG274" si="910">CONCATENATE("B",REPLACE(AG274,1,1,"")+1)</f>
        <v>B17</v>
      </c>
      <c r="BH274" s="23" t="str">
        <f t="shared" ref="BH274" si="911">CONCATENATE("C",REPLACE(BF274,1,1,"")+1)</f>
        <v>C18</v>
      </c>
      <c r="BI274" s="23" t="str">
        <f t="shared" ref="BI274" si="912">CONCATENATE("B",REPLACE(BG274,1,1,"")+1)</f>
        <v>B18</v>
      </c>
      <c r="BJ274" s="23" t="str">
        <f t="shared" ref="BJ274" si="913">CONCATENATE("C",REPLACE(BH274,1,1,"")+1)</f>
        <v>C19</v>
      </c>
      <c r="BK274" s="23" t="str">
        <f t="shared" ref="BK274" si="914">CONCATENATE("B",REPLACE(BI274,1,1,"")+1)</f>
        <v>B19</v>
      </c>
      <c r="BL274" s="23" t="str">
        <f t="shared" ref="BL274" si="915">CONCATENATE("C",REPLACE(BJ274,1,1,"")+1)</f>
        <v>C20</v>
      </c>
      <c r="BM274" s="23" t="str">
        <f t="shared" ref="BM274" si="916">CONCATENATE("B",REPLACE(BK274,1,1,"")+1)</f>
        <v>B20</v>
      </c>
      <c r="BN274" s="23"/>
      <c r="BO274" s="23"/>
      <c r="BP274" s="23" t="str">
        <f>CONCATENATE(REPLACE(AK274,LEN(AK274),1,"")+1,"A")</f>
        <v>19A</v>
      </c>
      <c r="BQ274" s="23" t="str">
        <f>CONCATENATE(REPLACE(AL274,LEN(AL274),1,"")+1,"B")</f>
        <v>19B</v>
      </c>
      <c r="BR274" s="23" t="str">
        <f>CONCATENATE(REPLACE(BP274,LEN(BP274),1,"")+1,"A")</f>
        <v>20A</v>
      </c>
      <c r="BS274" s="23" t="str">
        <f>CONCATENATE(REPLACE(BQ274,LEN(BQ274),1,"")+1,"B")</f>
        <v>20B</v>
      </c>
      <c r="BT274" s="23" t="str">
        <f t="shared" ref="BT274" si="917">CONCATENATE("DI",REPLACE($AC274,1,3,""),"-",AF274)</f>
        <v>DI15-C16</v>
      </c>
      <c r="BU274" s="23" t="str">
        <f t="shared" ref="BU274" si="918">CONCATENATE("DI",REPLACE($AC274,1,3,""),"-",AG274)</f>
        <v>DI15-B16</v>
      </c>
      <c r="BV274" s="23" t="str">
        <f t="shared" ref="BV274" si="919">CONCATENATE("DI",REPLACE($AC274,1,3,""),"-",BF274)</f>
        <v>DI15-C17</v>
      </c>
      <c r="BW274" s="23" t="str">
        <f t="shared" ref="BW274" si="920">CONCATENATE("DI",REPLACE($AC274,1,3,""),"-",BG274)</f>
        <v>DI15-B17</v>
      </c>
      <c r="BX274" s="23" t="str">
        <f t="shared" ref="BX274" si="921">CONCATENATE("DI",REPLACE($AC274,1,3,""),"-",BH274)</f>
        <v>DI15-C18</v>
      </c>
      <c r="BY274" s="23" t="str">
        <f t="shared" ref="BY274" si="922">CONCATENATE("DI",REPLACE($AC274,1,3,""),"-",BI274)</f>
        <v>DI15-B18</v>
      </c>
      <c r="BZ274" s="23" t="str">
        <f t="shared" ref="BZ274" si="923">CONCATENATE("DI",REPLACE($AC274,1,3,""),"-",BJ274)</f>
        <v>DI15-C19</v>
      </c>
      <c r="CA274" s="23" t="str">
        <f t="shared" ref="CA274" si="924">CONCATENATE("DI",REPLACE($AC274,1,3,""),"-",BK274)</f>
        <v>DI15-B19</v>
      </c>
      <c r="CB274" s="23" t="str">
        <f t="shared" ref="CB274" si="925">CONCATENATE("DI",REPLACE($AC274,1,3,""),"-",BL274)</f>
        <v>DI15-C20</v>
      </c>
      <c r="CC274" s="23" t="str">
        <f t="shared" ref="CC274" si="926">CONCATENATE("DI",REPLACE($AC274,1,3,""),"-",BM274)</f>
        <v>DI15-B20</v>
      </c>
      <c r="CD274" s="23" t="str">
        <f t="shared" ref="CD274" si="927">CONCATENATE("DI",REPLACE($AC274,1,3,""),"-",BN274)</f>
        <v>DI15-</v>
      </c>
      <c r="CE274" s="23" t="str">
        <f t="shared" ref="CE274" si="928">CONCATENATE("DI",REPLACE($AC274,1,3,""),"-",BO274)</f>
        <v>DI15-</v>
      </c>
      <c r="CF274" s="23" t="str">
        <f t="shared" ref="CF274" si="929">CONCATENATE("DO",REPLACE($AH274,1,3,""),"-",AK274)</f>
        <v>DO8-18A</v>
      </c>
      <c r="CG274" s="23" t="str">
        <f t="shared" ref="CG274" si="930">CONCATENATE("DO",REPLACE($AH274,1,3,""),"-",AL274)</f>
        <v>DO8-18B</v>
      </c>
      <c r="CH274" s="23" t="str">
        <f t="shared" ref="CH274" si="931">CONCATENATE("DO",REPLACE($AH274,1,3,""),"-",BP274)</f>
        <v>DO8-19A</v>
      </c>
      <c r="CI274" s="23" t="str">
        <f t="shared" ref="CI274" si="932">CONCATENATE("DO",REPLACE($AH274,1,3,""),"-",BQ274)</f>
        <v>DO8-19B</v>
      </c>
      <c r="CJ274" s="23" t="str">
        <f t="shared" ref="CJ274" si="933">CONCATENATE("DO",REPLACE($AH274,1,3,""),"-",BR274)</f>
        <v>DO8-20A</v>
      </c>
      <c r="CK274" s="23" t="str">
        <f t="shared" ref="CK274" si="934">CONCATENATE("DO",REPLACE($AH274,1,3,""),"-",BS274)</f>
        <v>DO8-20B</v>
      </c>
      <c r="CL274" s="23" t="str">
        <f t="shared" si="682"/>
        <v>K94-10</v>
      </c>
      <c r="CM274" s="23" t="str">
        <f t="shared" si="683"/>
        <v>K94-03</v>
      </c>
      <c r="CN274" s="23" t="str">
        <f t="shared" si="684"/>
        <v>K94-04</v>
      </c>
      <c r="CO274" s="23" t="str">
        <f t="shared" si="685"/>
        <v>K94-01</v>
      </c>
      <c r="CP274" s="23" t="str">
        <f t="shared" si="686"/>
        <v>K94-08</v>
      </c>
      <c r="CQ274" s="23" t="str">
        <f t="shared" si="687"/>
        <v>K94-02</v>
      </c>
      <c r="CR274" s="23" t="str">
        <f t="shared" si="688"/>
        <v>K94-09</v>
      </c>
      <c r="CS274" s="23" t="str">
        <f t="shared" si="689"/>
        <v>K94-05</v>
      </c>
      <c r="CT274" s="23" t="str">
        <f t="shared" si="690"/>
        <v>K94-11</v>
      </c>
      <c r="CU274" s="23" t="str">
        <f t="shared" si="691"/>
        <v>F0-M94-A9</v>
      </c>
      <c r="CV274" s="23" t="str">
        <f t="shared" si="692"/>
        <v>F0-M94-A7</v>
      </c>
      <c r="CW274" s="23" t="str">
        <f t="shared" si="693"/>
        <v>F0-M94-A8</v>
      </c>
      <c r="CX274" s="23" t="str">
        <f t="shared" si="694"/>
        <v>F0-M94-A6</v>
      </c>
      <c r="CY274" s="23" t="str">
        <f t="shared" si="695"/>
        <v>F0-M94-A30</v>
      </c>
      <c r="CZ274" s="23" t="str">
        <f t="shared" si="696"/>
        <v>F0-M94-N</v>
      </c>
      <c r="DA274" s="23" t="str">
        <f t="shared" ref="DA274" si="935">CONCATENATE($T274,"-A220-M",U274)</f>
        <v>F0-A220-M94</v>
      </c>
      <c r="DB274" s="23" t="str">
        <f t="shared" si="697"/>
        <v>F0-M94-XM01</v>
      </c>
      <c r="DC274" s="23" t="str">
        <f t="shared" si="698"/>
        <v>F0-M94-A1</v>
      </c>
      <c r="DD274" s="23" t="str">
        <f t="shared" si="699"/>
        <v>F0-M94-A5</v>
      </c>
      <c r="DE274" s="23" t="str">
        <f t="shared" si="700"/>
        <v>F0-M94-A11</v>
      </c>
      <c r="DF274" s="23" t="str">
        <f t="shared" si="701"/>
        <v>F0-M94-A12</v>
      </c>
      <c r="DG274" s="23" t="str">
        <f t="shared" si="702"/>
        <v>F0-M94-A19</v>
      </c>
      <c r="DH274" s="23" t="str">
        <f t="shared" si="703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1446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7" ht="15.75" thickBot="1" x14ac:dyDescent="0.3">
      <c r="A275" t="s">
        <v>1465</v>
      </c>
      <c r="B275" t="s">
        <v>1447</v>
      </c>
      <c r="C275" t="s">
        <v>1483</v>
      </c>
      <c r="P275" t="s">
        <v>1424</v>
      </c>
      <c r="T275" s="10" t="s">
        <v>520</v>
      </c>
      <c r="U275" s="49">
        <v>95</v>
      </c>
      <c r="V275" s="11" t="s">
        <v>1749</v>
      </c>
      <c r="W275" s="11" t="s">
        <v>1750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А3.37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SUM(IF(ISNUMBER(FIND("TmAi",$BE$1:$AAL$1)),IF(IFERROR(ISODD(SUBSTITUTE($BE275:$AAL275,"A","")),FALSE),IF(ISODD(SUBSTITUTE($BE275:$AAL275,"A","")),1,0),0)))</f>
        <v>0</v>
      </c>
      <c r="AA275" t="str">
        <f t="shared" ref="AA275" si="936">CONCATENATE($Y275*2-1,"A")</f>
        <v>9A</v>
      </c>
      <c r="AB275" t="str">
        <f t="shared" ref="AB275" si="937">CONCATENATE($Y275*2-1,"B")</f>
        <v>9B</v>
      </c>
      <c r="AC275" t="s">
        <v>1440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SUM(IF(ISNUMBER(FIND("TmDi",$BE$1:$AAL$1)),IF(IFERROR(ISNUMBER(VALUE(SUBSTITUTE($BE275:$AAL275,"B",""))),FALSE),IF(ISNUMBER(VALUE(SUBSTITUTE($BE275:$AAL275,"B",""))),1,0),0)))</f>
        <v>4</v>
      </c>
      <c r="AF275" t="str">
        <f t="shared" si="706"/>
        <v>C1</v>
      </c>
      <c r="AG275" t="str">
        <f t="shared" si="707"/>
        <v>B1</v>
      </c>
      <c r="AH275" t="s">
        <v>1436</v>
      </c>
      <c r="AI275" s="54" t="str" cm="1">
        <f t="array" ref="AI275">IF(COUNTIFS(AH$2:AH275,AH275)=1,"1",VALUE(SUBSTITUTE(INDEX(AI:AI,_xlfn.XMATCH(AH275,AH$1:AH274,0,-1)),"A",""))+INDEX(AJ:AJ,_xlfn.XMATCH(AH275,AH$1:AH274,0,-1))+1)</f>
        <v>1</v>
      </c>
      <c r="AJ275" s="54" cm="1">
        <f t="array" ref="AJ275">SUM(IF(ISNUMBER(FIND("TmDo",$BE$1:$AAL$1)),IF(IFERROR(ISNUMBER(VALUE(SUBSTITUTE($BE275:$AAL275,"B",""))),FALSE),IF(ISNUMBER(VALUE(SUBSTITUTE($BE275:$AAL275,"B",""))),1,0),0)))</f>
        <v>1</v>
      </c>
      <c r="AK275" s="11" t="str">
        <f t="shared" si="646"/>
        <v>1A</v>
      </c>
      <c r="AL275" s="11" t="str">
        <f t="shared" si="647"/>
        <v>1B</v>
      </c>
      <c r="AM275" s="12" t="s">
        <v>161</v>
      </c>
      <c r="AN275" s="12"/>
      <c r="AO275" s="12"/>
      <c r="AP275" s="12" t="s">
        <v>137</v>
      </c>
      <c r="AQ275" s="12" t="s">
        <v>1433</v>
      </c>
      <c r="AR275" s="12"/>
      <c r="AS275" s="12" t="s">
        <v>366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938">CONCATENATE("XT",U275)</f>
        <v>XT95</v>
      </c>
      <c r="GU275" s="12" t="str">
        <f t="shared" ref="GU275" si="939">CONCATENATE("C",REPLACE(AF275,1,1,"")+1)</f>
        <v>C2</v>
      </c>
      <c r="GV275" s="12" t="str">
        <f t="shared" ref="GV275" si="940">CONCATENATE("B",REPLACE(AG275,1,1,"")+1)</f>
        <v>B2</v>
      </c>
      <c r="GW275" s="12" t="str">
        <f t="shared" ref="GW275" si="941">CONCATENATE("C",REPLACE(GU275,1,1,"")+1)</f>
        <v>C3</v>
      </c>
      <c r="GX275" s="12" t="str">
        <f t="shared" ref="GX275" si="942">CONCATENATE("B",REPLACE(GV275,1,1,"")+1)</f>
        <v>B3</v>
      </c>
      <c r="GY275" s="12" t="str">
        <f t="shared" ref="GY275" si="943">CONCATENATE("C",REPLACE(GW275,1,1,"")+1)</f>
        <v>C4</v>
      </c>
      <c r="GZ275" s="12" t="str">
        <f t="shared" ref="GZ275" si="944">CONCATENATE("B",REPLACE(GX275,1,1,"")+1)</f>
        <v>B4</v>
      </c>
      <c r="HA275" s="12" t="str">
        <f t="shared" ref="HA275" si="945">CONCATENATE("C",REPLACE(GY275,1,1,"")+1)</f>
        <v>C5</v>
      </c>
      <c r="HB275" s="12" t="str">
        <f t="shared" ref="HB275" si="946">CONCATENATE("B",REPLACE(GZ275,1,1,"")+1)</f>
        <v>B5</v>
      </c>
      <c r="HC275" s="12"/>
      <c r="HD275" s="12"/>
      <c r="HE275" s="12" t="str">
        <f>CONCATENATE(REPLACE(AK275,LEN(AK275),1,"")+1,"A")</f>
        <v>2A</v>
      </c>
      <c r="HF275" s="12" t="str">
        <f>CONCATENATE(REPLACE(AL275,LEN(AL275),1,"")+1,"B")</f>
        <v>2B</v>
      </c>
      <c r="HG275" s="12" t="str">
        <f t="shared" ref="HG275" si="947">CONCATENATE("AI",REPLACE($X275,1,3,""),"-",AA275)</f>
        <v>AI37-9A</v>
      </c>
      <c r="HH275" s="12" t="str">
        <f t="shared" ref="HH275" si="948">CONCATENATE("AI",REPLACE($X275,1,3,""),"-",AB275)</f>
        <v>AI37-9B</v>
      </c>
      <c r="HI275" s="12" t="str">
        <f t="shared" ref="HI275" si="949">CONCATENATE("DI",REPLACE($AC275,1,3,""),"-",AF275)</f>
        <v>DI16-C1</v>
      </c>
      <c r="HJ275" s="12" t="str">
        <f t="shared" ref="HJ275" si="950">CONCATENATE("DI",REPLACE($AC275,1,3,""),"-",AG275)</f>
        <v>DI16-B1</v>
      </c>
      <c r="HK275" s="12" t="str">
        <f t="shared" ref="HK275" si="951">CONCATENATE("DI",REPLACE($AC275,1,3,""),"-",GU275)</f>
        <v>DI16-C2</v>
      </c>
      <c r="HL275" s="12" t="str">
        <f t="shared" ref="HL275" si="952">CONCATENATE("DI",REPLACE($AC275,1,3,""),"-",GV275)</f>
        <v>DI16-B2</v>
      </c>
      <c r="HM275" s="12" t="str">
        <f t="shared" ref="HM275" si="953">CONCATENATE("DI",REPLACE($AC275,1,3,""),"-",GW275)</f>
        <v>DI16-C3</v>
      </c>
      <c r="HN275" s="12" t="str">
        <f t="shared" ref="HN275" si="954">CONCATENATE("DI",REPLACE($AC275,1,3,""),"-",GX275)</f>
        <v>DI16-B3</v>
      </c>
      <c r="HO275" s="12" t="str">
        <f t="shared" ref="HO275" si="955">CONCATENATE("DI",REPLACE($AC275,1,3,""),"-",GY275)</f>
        <v>DI16-C4</v>
      </c>
      <c r="HP275" s="12" t="str">
        <f t="shared" ref="HP275" si="956">CONCATENATE("DI",REPLACE($AC275,1,3,""),"-",GZ275)</f>
        <v>DI16-B4</v>
      </c>
      <c r="HQ275" s="12" t="str">
        <f t="shared" ref="HQ275" si="957">CONCATENATE("DI",REPLACE($AC275,1,3,""),"-",HA275)</f>
        <v>DI16-C5</v>
      </c>
      <c r="HR275" s="12" t="str">
        <f t="shared" ref="HR275" si="958">CONCATENATE("DI",REPLACE($AC275,1,3,""),"-",HB275)</f>
        <v>DI16-B5</v>
      </c>
      <c r="HS275" s="12" t="str">
        <f t="shared" ref="HS275" si="959">CONCATENATE("DI",REPLACE($AC275,1,3,""),"-",HC275)</f>
        <v>DI16-</v>
      </c>
      <c r="HT275" s="12" t="str">
        <f t="shared" ref="HT275" si="960">CONCATENATE("DI",REPLACE($AC275,1,3,""),"-",HD275)</f>
        <v>DI16-</v>
      </c>
      <c r="HU275" s="12" t="str">
        <f t="shared" ref="HU275" si="961">CONCATENATE("DO",REPLACE($AH275,1,3,""),"-",AK275)</f>
        <v>DO9-1A</v>
      </c>
      <c r="HV275" s="12" t="str">
        <f t="shared" ref="HV275" si="962">CONCATENATE("DO",REPLACE($AH275,1,3,""),"-",AL275)</f>
        <v>DO9-1B</v>
      </c>
      <c r="HW275" s="12" t="str">
        <f t="shared" ref="HW275" si="963">CONCATENATE("DO",REPLACE($AH275,1,3,""),"-",HE275)</f>
        <v>DO9-2A</v>
      </c>
      <c r="HX275" s="12" t="str">
        <f t="shared" ref="HX275" si="964">CONCATENATE("DO",REPLACE($AH275,1,3,""),"-",HF275)</f>
        <v>DO9-2B</v>
      </c>
      <c r="HY275" s="12" t="str">
        <f t="shared" ref="HY275" si="965">CONCATENATE("K",$U275,"-01")</f>
        <v>K95-01</v>
      </c>
      <c r="HZ275" s="12" t="str">
        <f t="shared" ref="HZ275" si="966">CONCATENATE("K",$U275,"-02")</f>
        <v>K95-02</v>
      </c>
      <c r="IA275" s="12" t="str">
        <f t="shared" ref="IA275" si="967">CONCATENATE("K",$U275,"-03")</f>
        <v>K95-03</v>
      </c>
      <c r="IB275" s="12" t="str">
        <f t="shared" ref="IB275" si="968">CONCATENATE("K",$U275,"-04")</f>
        <v>K95-04</v>
      </c>
      <c r="IC275" s="12" t="str">
        <f t="shared" ref="IC275" si="969">CONCATENATE("K",$U275,"-05")</f>
        <v>K95-05</v>
      </c>
      <c r="ID275" s="12" t="str">
        <f t="shared" ref="ID275" si="970">CONCATENATE("K",$U275,"-06")</f>
        <v>K95-06</v>
      </c>
      <c r="IE275" s="12" t="str">
        <f t="shared" ref="IE275" si="971">CONCATENATE("K",$U275,"-07")</f>
        <v>K95-07</v>
      </c>
      <c r="IF275" s="12" t="str">
        <f t="shared" ref="IF275" si="972">CONCATENATE("K",$U275,"-08")</f>
        <v>K95-08</v>
      </c>
      <c r="IG275" s="12" t="str">
        <f t="shared" ref="IG275" si="973">CONCATENATE($T275,"-M",$U275,"-AMS-12")</f>
        <v>F0-M95-AMS-12</v>
      </c>
      <c r="IH275" s="12" t="str">
        <f t="shared" ref="IH275" si="974">CONCATENATE($T275,"-M",$U275,"-AMS-10")</f>
        <v>F0-M95-AMS-10</v>
      </c>
      <c r="II275" s="12" t="str">
        <f t="shared" ref="II275" si="975">CONCATENATE($T275,"-M",$U275,"-AMS-11")</f>
        <v>F0-M95-AMS-11</v>
      </c>
      <c r="IJ275" s="12" t="str">
        <f t="shared" ref="IJ275" si="976">CONCATENATE($T275,"-M",$U275,"-AMS-13")</f>
        <v>F0-M95-AMS-13</v>
      </c>
      <c r="IK275" s="12" t="str">
        <f t="shared" ref="IK275" si="977">CONCATENATE($T275,"-M",$U275,"-AMS-9")</f>
        <v>F0-M95-AMS-9</v>
      </c>
      <c r="IL275" s="12" t="str">
        <f t="shared" ref="IL275" si="978">CONCATENATE($T275,"-M",$U275,"-AMS-7")</f>
        <v>F0-M95-AMS-7</v>
      </c>
      <c r="IM275" s="12" t="str">
        <f t="shared" ref="IM275" si="979">CONCATENATE($T275,"-M",$U275,"-AMS-18")</f>
        <v>F0-M95-AMS-18</v>
      </c>
      <c r="IN275" s="12" t="str">
        <f t="shared" ref="IN275" si="980">CONCATENATE($T275,"-M",$U275,"-AMS-20")</f>
        <v>F0-M95-AMS-20</v>
      </c>
      <c r="IO275" s="12" t="str">
        <f t="shared" ref="IO275" si="981">CONCATENATE($T275,"-M",$U275,"-AMS-17")</f>
        <v>F0-M95-AMS-17</v>
      </c>
      <c r="IP275" s="12" t="str">
        <f t="shared" ref="IP275" si="982">CONCATENATE($T275,"-+24-M",$U275,)</f>
        <v>F0-+24-M95</v>
      </c>
      <c r="IQ275" s="12" t="str">
        <f t="shared" ref="IQ275" si="983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383</v>
      </c>
      <c r="IW275" s="12" t="s">
        <v>384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7" ht="15.75" thickBot="1" x14ac:dyDescent="0.3">
      <c r="A276" t="s">
        <v>1466</v>
      </c>
      <c r="B276" t="s">
        <v>1448</v>
      </c>
      <c r="C276" s="3" t="s">
        <v>1484</v>
      </c>
      <c r="O276" s="2"/>
      <c r="P276" t="s">
        <v>1423</v>
      </c>
      <c r="Q276" s="1"/>
      <c r="S276" s="1"/>
      <c r="T276" s="21" t="s">
        <v>520</v>
      </c>
      <c r="U276" s="50">
        <v>96</v>
      </c>
      <c r="V276" s="18" t="s">
        <v>1751</v>
      </c>
      <c r="W276" s="22"/>
      <c r="X276" s="23"/>
      <c r="Y276" s="23"/>
      <c r="Z276" s="23"/>
      <c r="AA276" s="23"/>
      <c r="AB276" s="23"/>
      <c r="AC276" t="str">
        <f t="shared" si="831"/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SUM(IF(ISNUMBER(FIND("TmDi",$BE$1:$AAL$1)),IF(IFERROR(ISNUMBER(VALUE(SUBSTITUTE($BE276:$AAL276,"B",""))),FALSE),IF(ISNUMBER(VALUE(SUBSTITUTE($BE276:$AAL276,"B",""))),1,0),0)))</f>
        <v>4</v>
      </c>
      <c r="AF276" t="str">
        <f t="shared" si="706"/>
        <v>C6</v>
      </c>
      <c r="AG276" t="str">
        <f t="shared" si="707"/>
        <v>B6</v>
      </c>
      <c r="AH276" t="str">
        <f t="shared" si="708"/>
        <v>A6.9</v>
      </c>
      <c r="AI276" s="54" cm="1">
        <f t="array" ref="AI276">IF(COUNTIFS(AH$2:AH276,AH276)=1,"1",VALUE(SUBSTITUTE(INDEX(AI:AI,_xlfn.XMATCH(AH276,AH$1:AH275,0,-1)),"A",""))+INDEX(AJ:AJ,_xlfn.XMATCH(AH276,AH$1:AH275,0,-1))+1)</f>
        <v>3</v>
      </c>
      <c r="AJ276" s="54" cm="1">
        <f t="array" ref="AJ276">SUM(IF(ISNUMBER(FIND("TmDo",$BE$1:$AAL$1)),IF(IFERROR(ISNUMBER(VALUE(SUBSTITUTE($BE276:$AAL276,"B",""))),FALSE),IF(ISNUMBER(VALUE(SUBSTITUTE($BE276:$AAL276,"B",""))),1,0),0)))</f>
        <v>2</v>
      </c>
      <c r="AK276" s="11" t="str">
        <f t="shared" si="646"/>
        <v>3A</v>
      </c>
      <c r="AL276" s="11" t="str">
        <f t="shared" si="647"/>
        <v>3B</v>
      </c>
      <c r="AM276" s="23" t="s">
        <v>150</v>
      </c>
      <c r="AN276" s="23"/>
      <c r="AO276" s="23"/>
      <c r="AP276" s="23" t="s">
        <v>137</v>
      </c>
      <c r="AQ276" s="23" t="s">
        <v>1433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984">CONCATENATE("XT",U276)</f>
        <v>XT96</v>
      </c>
      <c r="BF276" s="23" t="str">
        <f t="shared" ref="BF276" si="985">CONCATENATE("C",REPLACE(AF276,1,1,"")+1)</f>
        <v>C7</v>
      </c>
      <c r="BG276" s="23" t="str">
        <f t="shared" ref="BG276" si="986">CONCATENATE("B",REPLACE(AG276,1,1,"")+1)</f>
        <v>B7</v>
      </c>
      <c r="BH276" s="23" t="str">
        <f t="shared" ref="BH276" si="987">CONCATENATE("C",REPLACE(BF276,1,1,"")+1)</f>
        <v>C8</v>
      </c>
      <c r="BI276" s="23" t="str">
        <f t="shared" ref="BI276" si="988">CONCATENATE("B",REPLACE(BG276,1,1,"")+1)</f>
        <v>B8</v>
      </c>
      <c r="BJ276" s="23" t="str">
        <f t="shared" ref="BJ276" si="989">CONCATENATE("C",REPLACE(BH276,1,1,"")+1)</f>
        <v>C9</v>
      </c>
      <c r="BK276" s="23" t="str">
        <f t="shared" ref="BK276" si="990">CONCATENATE("B",REPLACE(BI276,1,1,"")+1)</f>
        <v>B9</v>
      </c>
      <c r="BL276" s="23" t="str">
        <f t="shared" ref="BL276" si="991">CONCATENATE("C",REPLACE(BJ276,1,1,"")+1)</f>
        <v>C10</v>
      </c>
      <c r="BM276" s="23" t="str">
        <f t="shared" ref="BM276" si="992">CONCATENATE("B",REPLACE(BK276,1,1,"")+1)</f>
        <v>B10</v>
      </c>
      <c r="BN276" s="23"/>
      <c r="BO276" s="23"/>
      <c r="BP276" s="23" t="str">
        <f>CONCATENATE(REPLACE(AK276,LEN(AK276),1,"")+1,"A")</f>
        <v>4A</v>
      </c>
      <c r="BQ276" s="23" t="str">
        <f>CONCATENATE(REPLACE(AL276,LEN(AL276),1,"")+1,"B")</f>
        <v>4B</v>
      </c>
      <c r="BR276" s="23" t="str">
        <f>CONCATENATE(REPLACE(BP276,LEN(BP276),1,"")+1,"A")</f>
        <v>5A</v>
      </c>
      <c r="BS276" s="23" t="str">
        <f>CONCATENATE(REPLACE(BQ276,LEN(BQ276),1,"")+1,"B")</f>
        <v>5B</v>
      </c>
      <c r="BT276" s="23" t="str">
        <f t="shared" ref="BT276" si="993">CONCATENATE("DI",REPLACE($AC276,1,3,""),"-",AF276)</f>
        <v>DI16-C6</v>
      </c>
      <c r="BU276" s="23" t="str">
        <f t="shared" ref="BU276" si="994">CONCATENATE("DI",REPLACE($AC276,1,3,""),"-",AG276)</f>
        <v>DI16-B6</v>
      </c>
      <c r="BV276" s="23" t="str">
        <f t="shared" ref="BV276" si="995">CONCATENATE("DI",REPLACE($AC276,1,3,""),"-",BF276)</f>
        <v>DI16-C7</v>
      </c>
      <c r="BW276" s="23" t="str">
        <f t="shared" ref="BW276" si="996">CONCATENATE("DI",REPLACE($AC276,1,3,""),"-",BG276)</f>
        <v>DI16-B7</v>
      </c>
      <c r="BX276" s="23" t="str">
        <f t="shared" ref="BX276" si="997">CONCATENATE("DI",REPLACE($AC276,1,3,""),"-",BH276)</f>
        <v>DI16-C8</v>
      </c>
      <c r="BY276" s="23" t="str">
        <f t="shared" ref="BY276" si="998">CONCATENATE("DI",REPLACE($AC276,1,3,""),"-",BI276)</f>
        <v>DI16-B8</v>
      </c>
      <c r="BZ276" s="23" t="str">
        <f t="shared" ref="BZ276" si="999">CONCATENATE("DI",REPLACE($AC276,1,3,""),"-",BJ276)</f>
        <v>DI16-C9</v>
      </c>
      <c r="CA276" s="23" t="str">
        <f t="shared" ref="CA276" si="1000">CONCATENATE("DI",REPLACE($AC276,1,3,""),"-",BK276)</f>
        <v>DI16-B9</v>
      </c>
      <c r="CB276" s="23" t="str">
        <f t="shared" ref="CB276" si="1001">CONCATENATE("DI",REPLACE($AC276,1,3,""),"-",BL276)</f>
        <v>DI16-C10</v>
      </c>
      <c r="CC276" s="23" t="str">
        <f t="shared" ref="CC276" si="1002">CONCATENATE("DI",REPLACE($AC276,1,3,""),"-",BM276)</f>
        <v>DI16-B10</v>
      </c>
      <c r="CD276" s="23" t="str">
        <f t="shared" ref="CD276" si="1003">CONCATENATE("DI",REPLACE($AC276,1,3,""),"-",BN276)</f>
        <v>DI16-</v>
      </c>
      <c r="CE276" s="23" t="str">
        <f t="shared" ref="CE276" si="1004">CONCATENATE("DI",REPLACE($AC276,1,3,""),"-",BO276)</f>
        <v>DI16-</v>
      </c>
      <c r="CF276" s="23" t="str">
        <f t="shared" ref="CF276" si="1005">CONCATENATE("DO",REPLACE($AH276,1,3,""),"-",AK276)</f>
        <v>DO9-3A</v>
      </c>
      <c r="CG276" s="23" t="str">
        <f t="shared" ref="CG276" si="1006">CONCATENATE("DO",REPLACE($AH276,1,3,""),"-",AL276)</f>
        <v>DO9-3B</v>
      </c>
      <c r="CH276" s="23" t="str">
        <f t="shared" ref="CH276" si="1007">CONCATENATE("DO",REPLACE($AH276,1,3,""),"-",BP276)</f>
        <v>DO9-4A</v>
      </c>
      <c r="CI276" s="23" t="str">
        <f t="shared" ref="CI276" si="1008">CONCATENATE("DO",REPLACE($AH276,1,3,""),"-",BQ276)</f>
        <v>DO9-4B</v>
      </c>
      <c r="CJ276" s="23" t="str">
        <f t="shared" ref="CJ276" si="1009">CONCATENATE("DO",REPLACE($AH276,1,3,""),"-",BR276)</f>
        <v>DO9-5A</v>
      </c>
      <c r="CK276" s="23" t="str">
        <f t="shared" ref="CK276" si="1010">CONCATENATE("DO",REPLACE($AH276,1,3,""),"-",BS276)</f>
        <v>DO9-5B</v>
      </c>
      <c r="CL276" s="23" t="str">
        <f t="shared" si="682"/>
        <v>K96-10</v>
      </c>
      <c r="CM276" s="23" t="str">
        <f t="shared" si="683"/>
        <v>K96-03</v>
      </c>
      <c r="CN276" s="23" t="str">
        <f t="shared" si="684"/>
        <v>K96-04</v>
      </c>
      <c r="CO276" s="23" t="str">
        <f t="shared" si="685"/>
        <v>K96-01</v>
      </c>
      <c r="CP276" s="23" t="str">
        <f t="shared" si="686"/>
        <v>K96-08</v>
      </c>
      <c r="CQ276" s="23" t="str">
        <f t="shared" si="687"/>
        <v>K96-02</v>
      </c>
      <c r="CR276" s="23" t="str">
        <f t="shared" si="688"/>
        <v>K96-09</v>
      </c>
      <c r="CS276" s="23" t="str">
        <f t="shared" si="689"/>
        <v>K96-05</v>
      </c>
      <c r="CT276" s="23" t="str">
        <f t="shared" si="690"/>
        <v>K96-11</v>
      </c>
      <c r="CU276" s="23" t="str">
        <f t="shared" si="691"/>
        <v>F0-M96-A9</v>
      </c>
      <c r="CV276" s="23" t="str">
        <f t="shared" si="692"/>
        <v>F0-M96-A7</v>
      </c>
      <c r="CW276" s="23" t="str">
        <f t="shared" si="693"/>
        <v>F0-M96-A8</v>
      </c>
      <c r="CX276" s="23" t="str">
        <f t="shared" si="694"/>
        <v>F0-M96-A6</v>
      </c>
      <c r="CY276" s="23" t="str">
        <f t="shared" si="695"/>
        <v>F0-M96-A30</v>
      </c>
      <c r="CZ276" s="23" t="str">
        <f t="shared" si="696"/>
        <v>F0-M96-N</v>
      </c>
      <c r="DA276" s="23" t="str">
        <f t="shared" ref="DA276" si="1011">CONCATENATE($T276,"-A220-M",U276)</f>
        <v>F0-A220-M96</v>
      </c>
      <c r="DB276" s="23" t="str">
        <f t="shared" si="697"/>
        <v>F0-M96-XM01</v>
      </c>
      <c r="DC276" s="23" t="str">
        <f t="shared" si="698"/>
        <v>F0-M96-A1</v>
      </c>
      <c r="DD276" s="23" t="str">
        <f t="shared" si="699"/>
        <v>F0-M96-A5</v>
      </c>
      <c r="DE276" s="23" t="str">
        <f t="shared" si="700"/>
        <v>F0-M96-A11</v>
      </c>
      <c r="DF276" s="23" t="str">
        <f t="shared" si="701"/>
        <v>F0-M96-A12</v>
      </c>
      <c r="DG276" s="23" t="str">
        <f t="shared" si="702"/>
        <v>F0-M96-A19</v>
      </c>
      <c r="DH276" s="23" t="str">
        <f t="shared" si="703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1449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7" ht="15.75" thickBot="1" x14ac:dyDescent="0.3">
      <c r="A277" t="s">
        <v>1467</v>
      </c>
      <c r="B277" t="s">
        <v>1450</v>
      </c>
      <c r="C277" t="s">
        <v>1483</v>
      </c>
      <c r="P277" t="s">
        <v>1424</v>
      </c>
      <c r="T277" s="10" t="s">
        <v>520</v>
      </c>
      <c r="U277" s="49">
        <v>97</v>
      </c>
      <c r="V277" s="11" t="s">
        <v>1752</v>
      </c>
      <c r="W277" s="11" t="s">
        <v>1753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А3.37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SUM(IF(ISNUMBER(FIND("TmAi",$BE$1:$AAL$1)),IF(IFERROR(ISODD(SUBSTITUTE($BE277:$AAL277,"A","")),FALSE),IF(ISODD(SUBSTITUTE($BE277:$AAL277,"A","")),1,0),0)))</f>
        <v>0</v>
      </c>
      <c r="AA277" t="str">
        <f t="shared" ref="AA277" si="1012">CONCATENATE($Y277*2-1,"A")</f>
        <v>11A</v>
      </c>
      <c r="AB277" t="str">
        <f t="shared" ref="AB277" si="1013">CONCATENATE($Y277*2-1,"B")</f>
        <v>11B</v>
      </c>
      <c r="AC277" t="str">
        <f t="shared" si="831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SUM(IF(ISNUMBER(FIND("TmDi",$BE$1:$AAL$1)),IF(IFERROR(ISNUMBER(VALUE(SUBSTITUTE($BE277:$AAL277,"B",""))),FALSE),IF(ISNUMBER(VALUE(SUBSTITUTE($BE277:$AAL277,"B",""))),1,0),0)))</f>
        <v>4</v>
      </c>
      <c r="AF277" t="str">
        <f t="shared" si="706"/>
        <v>C11</v>
      </c>
      <c r="AG277" t="str">
        <f t="shared" si="707"/>
        <v>B11</v>
      </c>
      <c r="AH277" t="str">
        <f t="shared" si="708"/>
        <v>A6.9</v>
      </c>
      <c r="AI277" s="54" cm="1">
        <f t="array" ref="AI277">IF(COUNTIFS(AH$2:AH277,AH277)=1,"1",VALUE(SUBSTITUTE(INDEX(AI:AI,_xlfn.XMATCH(AH277,AH$1:AH276,0,-1)),"A",""))+INDEX(AJ:AJ,_xlfn.XMATCH(AH277,AH$1:AH276,0,-1))+1)</f>
        <v>6</v>
      </c>
      <c r="AJ277" s="54" cm="1">
        <f t="array" ref="AJ277">SUM(IF(ISNUMBER(FIND("TmDo",$BE$1:$AAL$1)),IF(IFERROR(ISNUMBER(VALUE(SUBSTITUTE($BE277:$AAL277,"B",""))),FALSE),IF(ISNUMBER(VALUE(SUBSTITUTE($BE277:$AAL277,"B",""))),1,0),0)))</f>
        <v>1</v>
      </c>
      <c r="AK277" s="11" t="str">
        <f t="shared" si="646"/>
        <v>6A</v>
      </c>
      <c r="AL277" s="11" t="str">
        <f t="shared" si="647"/>
        <v>6B</v>
      </c>
      <c r="AM277" s="12" t="s">
        <v>161</v>
      </c>
      <c r="AN277" s="12"/>
      <c r="AO277" s="12"/>
      <c r="AP277" s="12" t="s">
        <v>137</v>
      </c>
      <c r="AQ277" s="12" t="s">
        <v>1433</v>
      </c>
      <c r="AR277" s="12"/>
      <c r="AS277" s="12" t="s">
        <v>366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1014">CONCATENATE("XT",U277)</f>
        <v>XT97</v>
      </c>
      <c r="GU277" s="12" t="str">
        <f t="shared" ref="GU277" si="1015">CONCATENATE("C",REPLACE(AF277,1,1,"")+1)</f>
        <v>C12</v>
      </c>
      <c r="GV277" s="12" t="str">
        <f t="shared" ref="GV277" si="1016">CONCATENATE("B",REPLACE(AG277,1,1,"")+1)</f>
        <v>B12</v>
      </c>
      <c r="GW277" s="12" t="str">
        <f t="shared" ref="GW277" si="1017">CONCATENATE("C",REPLACE(GU277,1,1,"")+1)</f>
        <v>C13</v>
      </c>
      <c r="GX277" s="12" t="str">
        <f t="shared" ref="GX277" si="1018">CONCATENATE("B",REPLACE(GV277,1,1,"")+1)</f>
        <v>B13</v>
      </c>
      <c r="GY277" s="12" t="str">
        <f t="shared" ref="GY277" si="1019">CONCATENATE("C",REPLACE(GW277,1,1,"")+1)</f>
        <v>C14</v>
      </c>
      <c r="GZ277" s="12" t="str">
        <f t="shared" ref="GZ277" si="1020">CONCATENATE("B",REPLACE(GX277,1,1,"")+1)</f>
        <v>B14</v>
      </c>
      <c r="HA277" s="12" t="str">
        <f t="shared" ref="HA277" si="1021">CONCATENATE("C",REPLACE(GY277,1,1,"")+1)</f>
        <v>C15</v>
      </c>
      <c r="HB277" s="12" t="str">
        <f t="shared" ref="HB277" si="1022">CONCATENATE("B",REPLACE(GZ277,1,1,"")+1)</f>
        <v>B15</v>
      </c>
      <c r="HC277" s="12"/>
      <c r="HD277" s="12"/>
      <c r="HE277" s="12" t="str">
        <f>CONCATENATE(REPLACE(AK277,LEN(AK277),1,"")+1,"A")</f>
        <v>7A</v>
      </c>
      <c r="HF277" s="12" t="str">
        <f>CONCATENATE(REPLACE(AL277,LEN(AL277),1,"")+1,"B")</f>
        <v>7B</v>
      </c>
      <c r="HG277" s="12" t="str">
        <f t="shared" ref="HG277" si="1023">CONCATENATE("AI",REPLACE($X277,1,3,""),"-",AA277)</f>
        <v>AI37-11A</v>
      </c>
      <c r="HH277" s="12" t="str">
        <f t="shared" ref="HH277" si="1024">CONCATENATE("AI",REPLACE($X277,1,3,""),"-",AB277)</f>
        <v>AI37-11B</v>
      </c>
      <c r="HI277" s="12" t="str">
        <f t="shared" ref="HI277" si="1025">CONCATENATE("DI",REPLACE($AC277,1,3,""),"-",AF277)</f>
        <v>DI16-C11</v>
      </c>
      <c r="HJ277" s="12" t="str">
        <f t="shared" ref="HJ277" si="1026">CONCATENATE("DI",REPLACE($AC277,1,3,""),"-",AG277)</f>
        <v>DI16-B11</v>
      </c>
      <c r="HK277" s="12" t="str">
        <f t="shared" ref="HK277" si="1027">CONCATENATE("DI",REPLACE($AC277,1,3,""),"-",GU277)</f>
        <v>DI16-C12</v>
      </c>
      <c r="HL277" s="12" t="str">
        <f t="shared" ref="HL277" si="1028">CONCATENATE("DI",REPLACE($AC277,1,3,""),"-",GV277)</f>
        <v>DI16-B12</v>
      </c>
      <c r="HM277" s="12" t="str">
        <f t="shared" ref="HM277" si="1029">CONCATENATE("DI",REPLACE($AC277,1,3,""),"-",GW277)</f>
        <v>DI16-C13</v>
      </c>
      <c r="HN277" s="12" t="str">
        <f t="shared" ref="HN277" si="1030">CONCATENATE("DI",REPLACE($AC277,1,3,""),"-",GX277)</f>
        <v>DI16-B13</v>
      </c>
      <c r="HO277" s="12" t="str">
        <f t="shared" ref="HO277" si="1031">CONCATENATE("DI",REPLACE($AC277,1,3,""),"-",GY277)</f>
        <v>DI16-C14</v>
      </c>
      <c r="HP277" s="12" t="str">
        <f t="shared" ref="HP277" si="1032">CONCATENATE("DI",REPLACE($AC277,1,3,""),"-",GZ277)</f>
        <v>DI16-B14</v>
      </c>
      <c r="HQ277" s="12" t="str">
        <f t="shared" ref="HQ277" si="1033">CONCATENATE("DI",REPLACE($AC277,1,3,""),"-",HA277)</f>
        <v>DI16-C15</v>
      </c>
      <c r="HR277" s="12" t="str">
        <f t="shared" ref="HR277" si="1034">CONCATENATE("DI",REPLACE($AC277,1,3,""),"-",HB277)</f>
        <v>DI16-B15</v>
      </c>
      <c r="HS277" s="12" t="str">
        <f t="shared" ref="HS277" si="1035">CONCATENATE("DI",REPLACE($AC277,1,3,""),"-",HC277)</f>
        <v>DI16-</v>
      </c>
      <c r="HT277" s="12" t="str">
        <f t="shared" ref="HT277" si="1036">CONCATENATE("DI",REPLACE($AC277,1,3,""),"-",HD277)</f>
        <v>DI16-</v>
      </c>
      <c r="HU277" s="12" t="str">
        <f t="shared" ref="HU277" si="1037">CONCATENATE("DO",REPLACE($AH277,1,3,""),"-",AK277)</f>
        <v>DO9-6A</v>
      </c>
      <c r="HV277" s="12" t="str">
        <f t="shared" ref="HV277" si="1038">CONCATENATE("DO",REPLACE($AH277,1,3,""),"-",AL277)</f>
        <v>DO9-6B</v>
      </c>
      <c r="HW277" s="12" t="str">
        <f t="shared" ref="HW277" si="1039">CONCATENATE("DO",REPLACE($AH277,1,3,""),"-",HE277)</f>
        <v>DO9-7A</v>
      </c>
      <c r="HX277" s="12" t="str">
        <f t="shared" ref="HX277" si="1040">CONCATENATE("DO",REPLACE($AH277,1,3,""),"-",HF277)</f>
        <v>DO9-7B</v>
      </c>
      <c r="HY277" s="12" t="str">
        <f t="shared" ref="HY277" si="1041">CONCATENATE("K",$U277,"-01")</f>
        <v>K97-01</v>
      </c>
      <c r="HZ277" s="12" t="str">
        <f t="shared" ref="HZ277" si="1042">CONCATENATE("K",$U277,"-02")</f>
        <v>K97-02</v>
      </c>
      <c r="IA277" s="12" t="str">
        <f t="shared" ref="IA277" si="1043">CONCATENATE("K",$U277,"-03")</f>
        <v>K97-03</v>
      </c>
      <c r="IB277" s="12" t="str">
        <f t="shared" ref="IB277" si="1044">CONCATENATE("K",$U277,"-04")</f>
        <v>K97-04</v>
      </c>
      <c r="IC277" s="12" t="str">
        <f t="shared" ref="IC277" si="1045">CONCATENATE("K",$U277,"-05")</f>
        <v>K97-05</v>
      </c>
      <c r="ID277" s="12" t="str">
        <f t="shared" ref="ID277" si="1046">CONCATENATE("K",$U277,"-06")</f>
        <v>K97-06</v>
      </c>
      <c r="IE277" s="12" t="str">
        <f t="shared" ref="IE277" si="1047">CONCATENATE("K",$U277,"-07")</f>
        <v>K97-07</v>
      </c>
      <c r="IF277" s="12" t="str">
        <f t="shared" ref="IF277" si="1048">CONCATENATE("K",$U277,"-08")</f>
        <v>K97-08</v>
      </c>
      <c r="IG277" s="12" t="str">
        <f t="shared" ref="IG277" si="1049">CONCATENATE($T277,"-M",$U277,"-AMS-12")</f>
        <v>F0-M97-AMS-12</v>
      </c>
      <c r="IH277" s="12" t="str">
        <f t="shared" ref="IH277" si="1050">CONCATENATE($T277,"-M",$U277,"-AMS-10")</f>
        <v>F0-M97-AMS-10</v>
      </c>
      <c r="II277" s="12" t="str">
        <f t="shared" ref="II277" si="1051">CONCATENATE($T277,"-M",$U277,"-AMS-11")</f>
        <v>F0-M97-AMS-11</v>
      </c>
      <c r="IJ277" s="12" t="str">
        <f t="shared" ref="IJ277" si="1052">CONCATENATE($T277,"-M",$U277,"-AMS-13")</f>
        <v>F0-M97-AMS-13</v>
      </c>
      <c r="IK277" s="12" t="str">
        <f t="shared" ref="IK277" si="1053">CONCATENATE($T277,"-M",$U277,"-AMS-9")</f>
        <v>F0-M97-AMS-9</v>
      </c>
      <c r="IL277" s="12" t="str">
        <f t="shared" ref="IL277" si="1054">CONCATENATE($T277,"-M",$U277,"-AMS-7")</f>
        <v>F0-M97-AMS-7</v>
      </c>
      <c r="IM277" s="12" t="str">
        <f t="shared" ref="IM277" si="1055">CONCATENATE($T277,"-M",$U277,"-AMS-18")</f>
        <v>F0-M97-AMS-18</v>
      </c>
      <c r="IN277" s="12" t="str">
        <f t="shared" ref="IN277" si="1056">CONCATENATE($T277,"-M",$U277,"-AMS-20")</f>
        <v>F0-M97-AMS-20</v>
      </c>
      <c r="IO277" s="12" t="str">
        <f t="shared" ref="IO277" si="1057">CONCATENATE($T277,"-M",$U277,"-AMS-17")</f>
        <v>F0-M97-AMS-17</v>
      </c>
      <c r="IP277" s="12" t="str">
        <f t="shared" ref="IP277" si="1058">CONCATENATE($T277,"-+24-M",$U277,)</f>
        <v>F0-+24-M97</v>
      </c>
      <c r="IQ277" s="12" t="str">
        <f t="shared" ref="IQ277" si="1059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383</v>
      </c>
      <c r="IW277" s="12" t="s">
        <v>384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7" ht="15.75" thickBot="1" x14ac:dyDescent="0.3">
      <c r="A278" t="s">
        <v>1468</v>
      </c>
      <c r="B278" t="s">
        <v>1451</v>
      </c>
      <c r="C278" s="3" t="s">
        <v>1484</v>
      </c>
      <c r="O278" s="2"/>
      <c r="P278" t="s">
        <v>1423</v>
      </c>
      <c r="Q278" s="1"/>
      <c r="S278" s="1"/>
      <c r="T278" s="21" t="s">
        <v>520</v>
      </c>
      <c r="U278" s="50">
        <v>98</v>
      </c>
      <c r="V278" s="18" t="s">
        <v>1754</v>
      </c>
      <c r="W278" s="22"/>
      <c r="X278" s="23"/>
      <c r="Y278" s="23"/>
      <c r="Z278" s="23"/>
      <c r="AA278" s="23"/>
      <c r="AB278" s="23"/>
      <c r="AC278" t="str">
        <f t="shared" si="831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SUM(IF(ISNUMBER(FIND("TmDi",$BE$1:$AAL$1)),IF(IFERROR(ISNUMBER(VALUE(SUBSTITUTE($BE278:$AAL278,"B",""))),FALSE),IF(ISNUMBER(VALUE(SUBSTITUTE($BE278:$AAL278,"B",""))),1,0),0)))</f>
        <v>4</v>
      </c>
      <c r="AF278" t="str">
        <f t="shared" si="706"/>
        <v>C16</v>
      </c>
      <c r="AG278" t="str">
        <f t="shared" si="707"/>
        <v>B16</v>
      </c>
      <c r="AH278" t="str">
        <f t="shared" si="708"/>
        <v>A6.9</v>
      </c>
      <c r="AI278" s="54" cm="1">
        <f t="array" ref="AI278">IF(COUNTIFS(AH$2:AH278,AH278)=1,"1",VALUE(SUBSTITUTE(INDEX(AI:AI,_xlfn.XMATCH(AH278,AH$1:AH277,0,-1)),"A",""))+INDEX(AJ:AJ,_xlfn.XMATCH(AH278,AH$1:AH277,0,-1))+1)</f>
        <v>8</v>
      </c>
      <c r="AJ278" s="54" cm="1">
        <f t="array" ref="AJ278">SUM(IF(ISNUMBER(FIND("TmDo",$BE$1:$AAL$1)),IF(IFERROR(ISNUMBER(VALUE(SUBSTITUTE($BE278:$AAL278,"B",""))),FALSE),IF(ISNUMBER(VALUE(SUBSTITUTE($BE278:$AAL278,"B",""))),1,0),0)))</f>
        <v>2</v>
      </c>
      <c r="AK278" s="11" t="str">
        <f t="shared" si="646"/>
        <v>8A</v>
      </c>
      <c r="AL278" s="11" t="str">
        <f t="shared" si="647"/>
        <v>8B</v>
      </c>
      <c r="AM278" s="23" t="s">
        <v>150</v>
      </c>
      <c r="AN278" s="23"/>
      <c r="AO278" s="23"/>
      <c r="AP278" s="23" t="s">
        <v>137</v>
      </c>
      <c r="AQ278" s="23" t="s">
        <v>1433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1060">CONCATENATE("XT",U278)</f>
        <v>XT98</v>
      </c>
      <c r="BF278" s="23" t="str">
        <f t="shared" ref="BF278" si="1061">CONCATENATE("C",REPLACE(AF278,1,1,"")+1)</f>
        <v>C17</v>
      </c>
      <c r="BG278" s="23" t="str">
        <f t="shared" ref="BG278" si="1062">CONCATENATE("B",REPLACE(AG278,1,1,"")+1)</f>
        <v>B17</v>
      </c>
      <c r="BH278" s="23" t="str">
        <f t="shared" ref="BH278" si="1063">CONCATENATE("C",REPLACE(BF278,1,1,"")+1)</f>
        <v>C18</v>
      </c>
      <c r="BI278" s="23" t="str">
        <f t="shared" ref="BI278" si="1064">CONCATENATE("B",REPLACE(BG278,1,1,"")+1)</f>
        <v>B18</v>
      </c>
      <c r="BJ278" s="23" t="str">
        <f t="shared" ref="BJ278" si="1065">CONCATENATE("C",REPLACE(BH278,1,1,"")+1)</f>
        <v>C19</v>
      </c>
      <c r="BK278" s="23" t="str">
        <f t="shared" ref="BK278" si="1066">CONCATENATE("B",REPLACE(BI278,1,1,"")+1)</f>
        <v>B19</v>
      </c>
      <c r="BL278" s="23" t="str">
        <f t="shared" ref="BL278" si="1067">CONCATENATE("C",REPLACE(BJ278,1,1,"")+1)</f>
        <v>C20</v>
      </c>
      <c r="BM278" s="23" t="str">
        <f t="shared" ref="BM278" si="1068">CONCATENATE("B",REPLACE(BK278,1,1,"")+1)</f>
        <v>B20</v>
      </c>
      <c r="BN278" s="23"/>
      <c r="BO278" s="23"/>
      <c r="BP278" s="23" t="str">
        <f>CONCATENATE(REPLACE(AK278,LEN(AK278),1,"")+1,"A")</f>
        <v>9A</v>
      </c>
      <c r="BQ278" s="23" t="str">
        <f>CONCATENATE(REPLACE(AL278,LEN(AL278),1,"")+1,"B")</f>
        <v>9B</v>
      </c>
      <c r="BR278" s="23" t="str">
        <f>CONCATENATE(REPLACE(BP278,LEN(BP278),1,"")+1,"A")</f>
        <v>10A</v>
      </c>
      <c r="BS278" s="23" t="str">
        <f>CONCATENATE(REPLACE(BQ278,LEN(BQ278),1,"")+1,"B")</f>
        <v>10B</v>
      </c>
      <c r="BT278" s="23" t="str">
        <f t="shared" ref="BT278" si="1069">CONCATENATE("DI",REPLACE($AC278,1,3,""),"-",AF278)</f>
        <v>DI16-C16</v>
      </c>
      <c r="BU278" s="23" t="str">
        <f t="shared" ref="BU278" si="1070">CONCATENATE("DI",REPLACE($AC278,1,3,""),"-",AG278)</f>
        <v>DI16-B16</v>
      </c>
      <c r="BV278" s="23" t="str">
        <f t="shared" ref="BV278" si="1071">CONCATENATE("DI",REPLACE($AC278,1,3,""),"-",BF278)</f>
        <v>DI16-C17</v>
      </c>
      <c r="BW278" s="23" t="str">
        <f t="shared" ref="BW278" si="1072">CONCATENATE("DI",REPLACE($AC278,1,3,""),"-",BG278)</f>
        <v>DI16-B17</v>
      </c>
      <c r="BX278" s="23" t="str">
        <f t="shared" ref="BX278" si="1073">CONCATENATE("DI",REPLACE($AC278,1,3,""),"-",BH278)</f>
        <v>DI16-C18</v>
      </c>
      <c r="BY278" s="23" t="str">
        <f t="shared" ref="BY278" si="1074">CONCATENATE("DI",REPLACE($AC278,1,3,""),"-",BI278)</f>
        <v>DI16-B18</v>
      </c>
      <c r="BZ278" s="23" t="str">
        <f t="shared" ref="BZ278" si="1075">CONCATENATE("DI",REPLACE($AC278,1,3,""),"-",BJ278)</f>
        <v>DI16-C19</v>
      </c>
      <c r="CA278" s="23" t="str">
        <f t="shared" ref="CA278" si="1076">CONCATENATE("DI",REPLACE($AC278,1,3,""),"-",BK278)</f>
        <v>DI16-B19</v>
      </c>
      <c r="CB278" s="23" t="str">
        <f t="shared" ref="CB278" si="1077">CONCATENATE("DI",REPLACE($AC278,1,3,""),"-",BL278)</f>
        <v>DI16-C20</v>
      </c>
      <c r="CC278" s="23" t="str">
        <f t="shared" ref="CC278" si="1078">CONCATENATE("DI",REPLACE($AC278,1,3,""),"-",BM278)</f>
        <v>DI16-B20</v>
      </c>
      <c r="CD278" s="23" t="str">
        <f t="shared" ref="CD278" si="1079">CONCATENATE("DI",REPLACE($AC278,1,3,""),"-",BN278)</f>
        <v>DI16-</v>
      </c>
      <c r="CE278" s="23" t="str">
        <f t="shared" ref="CE278" si="1080">CONCATENATE("DI",REPLACE($AC278,1,3,""),"-",BO278)</f>
        <v>DI16-</v>
      </c>
      <c r="CF278" s="23" t="str">
        <f t="shared" ref="CF278" si="1081">CONCATENATE("DO",REPLACE($AH278,1,3,""),"-",AK278)</f>
        <v>DO9-8A</v>
      </c>
      <c r="CG278" s="23" t="str">
        <f t="shared" ref="CG278" si="1082">CONCATENATE("DO",REPLACE($AH278,1,3,""),"-",AL278)</f>
        <v>DO9-8B</v>
      </c>
      <c r="CH278" s="23" t="str">
        <f t="shared" ref="CH278" si="1083">CONCATENATE("DO",REPLACE($AH278,1,3,""),"-",BP278)</f>
        <v>DO9-9A</v>
      </c>
      <c r="CI278" s="23" t="str">
        <f t="shared" ref="CI278" si="1084">CONCATENATE("DO",REPLACE($AH278,1,3,""),"-",BQ278)</f>
        <v>DO9-9B</v>
      </c>
      <c r="CJ278" s="23" t="str">
        <f t="shared" ref="CJ278" si="1085">CONCATENATE("DO",REPLACE($AH278,1,3,""),"-",BR278)</f>
        <v>DO9-10A</v>
      </c>
      <c r="CK278" s="23" t="str">
        <f t="shared" ref="CK278" si="1086">CONCATENATE("DO",REPLACE($AH278,1,3,""),"-",BS278)</f>
        <v>DO9-10B</v>
      </c>
      <c r="CL278" s="23" t="str">
        <f t="shared" si="682"/>
        <v>K98-10</v>
      </c>
      <c r="CM278" s="23" t="str">
        <f t="shared" si="683"/>
        <v>K98-03</v>
      </c>
      <c r="CN278" s="23" t="str">
        <f t="shared" si="684"/>
        <v>K98-04</v>
      </c>
      <c r="CO278" s="23" t="str">
        <f t="shared" si="685"/>
        <v>K98-01</v>
      </c>
      <c r="CP278" s="23" t="str">
        <f t="shared" si="686"/>
        <v>K98-08</v>
      </c>
      <c r="CQ278" s="23" t="str">
        <f t="shared" si="687"/>
        <v>K98-02</v>
      </c>
      <c r="CR278" s="23" t="str">
        <f t="shared" si="688"/>
        <v>K98-09</v>
      </c>
      <c r="CS278" s="23" t="str">
        <f t="shared" si="689"/>
        <v>K98-05</v>
      </c>
      <c r="CT278" s="23" t="str">
        <f t="shared" si="690"/>
        <v>K98-11</v>
      </c>
      <c r="CU278" s="23" t="str">
        <f t="shared" si="691"/>
        <v>F0-M98-A9</v>
      </c>
      <c r="CV278" s="23" t="str">
        <f t="shared" si="692"/>
        <v>F0-M98-A7</v>
      </c>
      <c r="CW278" s="23" t="str">
        <f t="shared" si="693"/>
        <v>F0-M98-A8</v>
      </c>
      <c r="CX278" s="23" t="str">
        <f t="shared" si="694"/>
        <v>F0-M98-A6</v>
      </c>
      <c r="CY278" s="23" t="str">
        <f t="shared" si="695"/>
        <v>F0-M98-A30</v>
      </c>
      <c r="CZ278" s="23" t="str">
        <f t="shared" si="696"/>
        <v>F0-M98-N</v>
      </c>
      <c r="DA278" s="23" t="str">
        <f t="shared" ref="DA278" si="1087">CONCATENATE($T278,"-A220-M",U278)</f>
        <v>F0-A220-M98</v>
      </c>
      <c r="DB278" s="23" t="str">
        <f t="shared" si="697"/>
        <v>F0-M98-XM01</v>
      </c>
      <c r="DC278" s="23" t="str">
        <f t="shared" si="698"/>
        <v>F0-M98-A1</v>
      </c>
      <c r="DD278" s="23" t="str">
        <f t="shared" si="699"/>
        <v>F0-M98-A5</v>
      </c>
      <c r="DE278" s="23" t="str">
        <f t="shared" si="700"/>
        <v>F0-M98-A11</v>
      </c>
      <c r="DF278" s="23" t="str">
        <f t="shared" si="701"/>
        <v>F0-M98-A12</v>
      </c>
      <c r="DG278" s="23" t="str">
        <f t="shared" si="702"/>
        <v>F0-M98-A19</v>
      </c>
      <c r="DH278" s="23" t="str">
        <f t="shared" si="703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1452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7" ht="15.75" thickBot="1" x14ac:dyDescent="0.3">
      <c r="A279" t="s">
        <v>1469</v>
      </c>
      <c r="B279" t="s">
        <v>1453</v>
      </c>
      <c r="C279" t="s">
        <v>1483</v>
      </c>
      <c r="P279" t="s">
        <v>1424</v>
      </c>
      <c r="T279" s="10" t="s">
        <v>520</v>
      </c>
      <c r="U279" s="49">
        <v>99</v>
      </c>
      <c r="V279" s="11" t="s">
        <v>1755</v>
      </c>
      <c r="W279" s="11" t="s">
        <v>1756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А3.37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SUM(IF(ISNUMBER(FIND("TmAi",$BE$1:$AAL$1)),IF(IFERROR(ISODD(SUBSTITUTE($BE279:$AAL279,"A","")),FALSE),IF(ISODD(SUBSTITUTE($BE279:$AAL279,"A","")),1,0),0)))</f>
        <v>0</v>
      </c>
      <c r="AA279" t="str">
        <f t="shared" ref="AA279" si="1088">CONCATENATE($Y279*2-1,"A")</f>
        <v>13A</v>
      </c>
      <c r="AB279" t="str">
        <f t="shared" ref="AB279" si="1089">CONCATENATE($Y279*2-1,"B")</f>
        <v>13B</v>
      </c>
      <c r="AC279" t="s">
        <v>1444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SUM(IF(ISNUMBER(FIND("TmDi",$BE$1:$AAL$1)),IF(IFERROR(ISNUMBER(VALUE(SUBSTITUTE($BE279:$AAL279,"B",""))),FALSE),IF(ISNUMBER(VALUE(SUBSTITUTE($BE279:$AAL279,"B",""))),1,0),0)))</f>
        <v>4</v>
      </c>
      <c r="AF279" t="str">
        <f t="shared" si="706"/>
        <v>C1</v>
      </c>
      <c r="AG279" t="str">
        <f t="shared" si="707"/>
        <v>B1</v>
      </c>
      <c r="AH279" t="str">
        <f t="shared" si="708"/>
        <v>A6.9</v>
      </c>
      <c r="AI279" s="54" cm="1">
        <f t="array" ref="AI279">IF(COUNTIFS(AH$2:AH279,AH279)=1,"1",VALUE(SUBSTITUTE(INDEX(AI:AI,_xlfn.XMATCH(AH279,AH$1:AH278,0,-1)),"A",""))+INDEX(AJ:AJ,_xlfn.XMATCH(AH279,AH$1:AH278,0,-1))+1)</f>
        <v>11</v>
      </c>
      <c r="AJ279" s="54" cm="1">
        <f t="array" ref="AJ279">SUM(IF(ISNUMBER(FIND("TmDo",$BE$1:$AAL$1)),IF(IFERROR(ISNUMBER(VALUE(SUBSTITUTE($BE279:$AAL279,"B",""))),FALSE),IF(ISNUMBER(VALUE(SUBSTITUTE($BE279:$AAL279,"B",""))),1,0),0)))</f>
        <v>1</v>
      </c>
      <c r="AK279" s="11" t="str">
        <f t="shared" si="646"/>
        <v>11A</v>
      </c>
      <c r="AL279" s="11" t="str">
        <f t="shared" si="647"/>
        <v>11B</v>
      </c>
      <c r="AM279" s="12" t="s">
        <v>161</v>
      </c>
      <c r="AN279" s="12"/>
      <c r="AO279" s="12"/>
      <c r="AP279" s="12" t="s">
        <v>137</v>
      </c>
      <c r="AQ279" s="12" t="s">
        <v>1433</v>
      </c>
      <c r="AR279" s="12"/>
      <c r="AS279" s="12" t="s">
        <v>366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1090">CONCATENATE("XT",U279)</f>
        <v>XT99</v>
      </c>
      <c r="GU279" s="12" t="str">
        <f t="shared" ref="GU279" si="1091">CONCATENATE("C",REPLACE(AF279,1,1,"")+1)</f>
        <v>C2</v>
      </c>
      <c r="GV279" s="12" t="str">
        <f t="shared" ref="GV279" si="1092">CONCATENATE("B",REPLACE(AG279,1,1,"")+1)</f>
        <v>B2</v>
      </c>
      <c r="GW279" s="12" t="str">
        <f t="shared" ref="GW279" si="1093">CONCATENATE("C",REPLACE(GU279,1,1,"")+1)</f>
        <v>C3</v>
      </c>
      <c r="GX279" s="12" t="str">
        <f t="shared" ref="GX279" si="1094">CONCATENATE("B",REPLACE(GV279,1,1,"")+1)</f>
        <v>B3</v>
      </c>
      <c r="GY279" s="12" t="str">
        <f t="shared" ref="GY279" si="1095">CONCATENATE("C",REPLACE(GW279,1,1,"")+1)</f>
        <v>C4</v>
      </c>
      <c r="GZ279" s="12" t="str">
        <f t="shared" ref="GZ279" si="1096">CONCATENATE("B",REPLACE(GX279,1,1,"")+1)</f>
        <v>B4</v>
      </c>
      <c r="HA279" s="12" t="str">
        <f t="shared" ref="HA279" si="1097">CONCATENATE("C",REPLACE(GY279,1,1,"")+1)</f>
        <v>C5</v>
      </c>
      <c r="HB279" s="12" t="str">
        <f t="shared" ref="HB279" si="1098">CONCATENATE("B",REPLACE(GZ279,1,1,"")+1)</f>
        <v>B5</v>
      </c>
      <c r="HC279" s="12"/>
      <c r="HD279" s="12"/>
      <c r="HE279" s="12" t="str">
        <f>CONCATENATE(REPLACE(AK279,LEN(AK279),1,"")+1,"A")</f>
        <v>12A</v>
      </c>
      <c r="HF279" s="12" t="str">
        <f>CONCATENATE(REPLACE(AL279,LEN(AL279),1,"")+1,"B")</f>
        <v>12B</v>
      </c>
      <c r="HG279" s="12" t="str">
        <f t="shared" ref="HG279" si="1099">CONCATENATE("AI",REPLACE($X279,1,3,""),"-",AA279)</f>
        <v>AI37-13A</v>
      </c>
      <c r="HH279" s="12" t="str">
        <f t="shared" ref="HH279" si="1100">CONCATENATE("AI",REPLACE($X279,1,3,""),"-",AB279)</f>
        <v>AI37-13B</v>
      </c>
      <c r="HI279" s="12" t="str">
        <f t="shared" ref="HI279" si="1101">CONCATENATE("DI",REPLACE($AC279,1,3,""),"-",AF279)</f>
        <v>DI17-C1</v>
      </c>
      <c r="HJ279" s="12" t="str">
        <f t="shared" ref="HJ279" si="1102">CONCATENATE("DI",REPLACE($AC279,1,3,""),"-",AG279)</f>
        <v>DI17-B1</v>
      </c>
      <c r="HK279" s="12" t="str">
        <f t="shared" ref="HK279" si="1103">CONCATENATE("DI",REPLACE($AC279,1,3,""),"-",GU279)</f>
        <v>DI17-C2</v>
      </c>
      <c r="HL279" s="12" t="str">
        <f t="shared" ref="HL279" si="1104">CONCATENATE("DI",REPLACE($AC279,1,3,""),"-",GV279)</f>
        <v>DI17-B2</v>
      </c>
      <c r="HM279" s="12" t="str">
        <f t="shared" ref="HM279" si="1105">CONCATENATE("DI",REPLACE($AC279,1,3,""),"-",GW279)</f>
        <v>DI17-C3</v>
      </c>
      <c r="HN279" s="12" t="str">
        <f t="shared" ref="HN279" si="1106">CONCATENATE("DI",REPLACE($AC279,1,3,""),"-",GX279)</f>
        <v>DI17-B3</v>
      </c>
      <c r="HO279" s="12" t="str">
        <f t="shared" ref="HO279" si="1107">CONCATENATE("DI",REPLACE($AC279,1,3,""),"-",GY279)</f>
        <v>DI17-C4</v>
      </c>
      <c r="HP279" s="12" t="str">
        <f t="shared" ref="HP279" si="1108">CONCATENATE("DI",REPLACE($AC279,1,3,""),"-",GZ279)</f>
        <v>DI17-B4</v>
      </c>
      <c r="HQ279" s="12" t="str">
        <f t="shared" ref="HQ279" si="1109">CONCATENATE("DI",REPLACE($AC279,1,3,""),"-",HA279)</f>
        <v>DI17-C5</v>
      </c>
      <c r="HR279" s="12" t="str">
        <f t="shared" ref="HR279" si="1110">CONCATENATE("DI",REPLACE($AC279,1,3,""),"-",HB279)</f>
        <v>DI17-B5</v>
      </c>
      <c r="HS279" s="12" t="str">
        <f t="shared" ref="HS279" si="1111">CONCATENATE("DI",REPLACE($AC279,1,3,""),"-",HC279)</f>
        <v>DI17-</v>
      </c>
      <c r="HT279" s="12" t="str">
        <f t="shared" ref="HT279" si="1112">CONCATENATE("DI",REPLACE($AC279,1,3,""),"-",HD279)</f>
        <v>DI17-</v>
      </c>
      <c r="HU279" s="12" t="str">
        <f t="shared" ref="HU279" si="1113">CONCATENATE("DO",REPLACE($AH279,1,3,""),"-",AK279)</f>
        <v>DO9-11A</v>
      </c>
      <c r="HV279" s="12" t="str">
        <f t="shared" ref="HV279" si="1114">CONCATENATE("DO",REPLACE($AH279,1,3,""),"-",AL279)</f>
        <v>DO9-11B</v>
      </c>
      <c r="HW279" s="12" t="str">
        <f t="shared" ref="HW279" si="1115">CONCATENATE("DO",REPLACE($AH279,1,3,""),"-",HE279)</f>
        <v>DO9-12A</v>
      </c>
      <c r="HX279" s="12" t="str">
        <f t="shared" ref="HX279" si="1116">CONCATENATE("DO",REPLACE($AH279,1,3,""),"-",HF279)</f>
        <v>DO9-12B</v>
      </c>
      <c r="HY279" s="12" t="str">
        <f t="shared" ref="HY279" si="1117">CONCATENATE("K",$U279,"-01")</f>
        <v>K99-01</v>
      </c>
      <c r="HZ279" s="12" t="str">
        <f t="shared" ref="HZ279" si="1118">CONCATENATE("K",$U279,"-02")</f>
        <v>K99-02</v>
      </c>
      <c r="IA279" s="12" t="str">
        <f t="shared" ref="IA279" si="1119">CONCATENATE("K",$U279,"-03")</f>
        <v>K99-03</v>
      </c>
      <c r="IB279" s="12" t="str">
        <f t="shared" ref="IB279" si="1120">CONCATENATE("K",$U279,"-04")</f>
        <v>K99-04</v>
      </c>
      <c r="IC279" s="12" t="str">
        <f t="shared" ref="IC279" si="1121">CONCATENATE("K",$U279,"-05")</f>
        <v>K99-05</v>
      </c>
      <c r="ID279" s="12" t="str">
        <f t="shared" ref="ID279" si="1122">CONCATENATE("K",$U279,"-06")</f>
        <v>K99-06</v>
      </c>
      <c r="IE279" s="12" t="str">
        <f t="shared" ref="IE279" si="1123">CONCATENATE("K",$U279,"-07")</f>
        <v>K99-07</v>
      </c>
      <c r="IF279" s="12" t="str">
        <f t="shared" ref="IF279" si="1124">CONCATENATE("K",$U279,"-08")</f>
        <v>K99-08</v>
      </c>
      <c r="IG279" s="12" t="str">
        <f t="shared" ref="IG279" si="1125">CONCATENATE($T279,"-M",$U279,"-AMS-12")</f>
        <v>F0-M99-AMS-12</v>
      </c>
      <c r="IH279" s="12" t="str">
        <f t="shared" ref="IH279" si="1126">CONCATENATE($T279,"-M",$U279,"-AMS-10")</f>
        <v>F0-M99-AMS-10</v>
      </c>
      <c r="II279" s="12" t="str">
        <f t="shared" ref="II279" si="1127">CONCATENATE($T279,"-M",$U279,"-AMS-11")</f>
        <v>F0-M99-AMS-11</v>
      </c>
      <c r="IJ279" s="12" t="str">
        <f t="shared" ref="IJ279" si="1128">CONCATENATE($T279,"-M",$U279,"-AMS-13")</f>
        <v>F0-M99-AMS-13</v>
      </c>
      <c r="IK279" s="12" t="str">
        <f t="shared" ref="IK279" si="1129">CONCATENATE($T279,"-M",$U279,"-AMS-9")</f>
        <v>F0-M99-AMS-9</v>
      </c>
      <c r="IL279" s="12" t="str">
        <f t="shared" ref="IL279" si="1130">CONCATENATE($T279,"-M",$U279,"-AMS-7")</f>
        <v>F0-M99-AMS-7</v>
      </c>
      <c r="IM279" s="12" t="str">
        <f t="shared" ref="IM279" si="1131">CONCATENATE($T279,"-M",$U279,"-AMS-18")</f>
        <v>F0-M99-AMS-18</v>
      </c>
      <c r="IN279" s="12" t="str">
        <f t="shared" ref="IN279" si="1132">CONCATENATE($T279,"-M",$U279,"-AMS-20")</f>
        <v>F0-M99-AMS-20</v>
      </c>
      <c r="IO279" s="12" t="str">
        <f t="shared" ref="IO279" si="1133">CONCATENATE($T279,"-M",$U279,"-AMS-17")</f>
        <v>F0-M99-AMS-17</v>
      </c>
      <c r="IP279" s="12" t="str">
        <f t="shared" ref="IP279" si="1134">CONCATENATE($T279,"-+24-M",$U279,)</f>
        <v>F0-+24-M99</v>
      </c>
      <c r="IQ279" s="12" t="str">
        <f t="shared" ref="IQ279" si="1135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383</v>
      </c>
      <c r="IW279" s="12" t="s">
        <v>384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7" ht="15.75" thickBot="1" x14ac:dyDescent="0.3">
      <c r="A280" t="s">
        <v>1470</v>
      </c>
      <c r="B280" t="s">
        <v>1454</v>
      </c>
      <c r="C280" s="3" t="s">
        <v>1484</v>
      </c>
      <c r="O280" s="2"/>
      <c r="P280" t="s">
        <v>1423</v>
      </c>
      <c r="Q280" s="1"/>
      <c r="S280" s="1"/>
      <c r="T280" s="21" t="s">
        <v>520</v>
      </c>
      <c r="U280" s="50">
        <v>100</v>
      </c>
      <c r="V280" s="18" t="s">
        <v>1757</v>
      </c>
      <c r="W280" s="22"/>
      <c r="X280" s="23"/>
      <c r="Y280" s="23"/>
      <c r="Z280" s="23"/>
      <c r="AA280" s="23"/>
      <c r="AB280" s="23"/>
      <c r="AC280" t="str">
        <f t="shared" si="831"/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SUM(IF(ISNUMBER(FIND("TmDi",$BE$1:$AAL$1)),IF(IFERROR(ISNUMBER(VALUE(SUBSTITUTE($BE280:$AAL280,"B",""))),FALSE),IF(ISNUMBER(VALUE(SUBSTITUTE($BE280:$AAL280,"B",""))),1,0),0)))</f>
        <v>4</v>
      </c>
      <c r="AF280" t="str">
        <f t="shared" si="706"/>
        <v>C6</v>
      </c>
      <c r="AG280" t="str">
        <f t="shared" si="707"/>
        <v>B6</v>
      </c>
      <c r="AH280" t="str">
        <f t="shared" si="708"/>
        <v>A6.9</v>
      </c>
      <c r="AI280" s="54" cm="1">
        <f t="array" ref="AI280">IF(COUNTIFS(AH$2:AH280,AH280)=1,"1",VALUE(SUBSTITUTE(INDEX(AI:AI,_xlfn.XMATCH(AH280,AH$1:AH279,0,-1)),"A",""))+INDEX(AJ:AJ,_xlfn.XMATCH(AH280,AH$1:AH279,0,-1))+1)</f>
        <v>13</v>
      </c>
      <c r="AJ280" s="54" cm="1">
        <f t="array" ref="AJ280">SUM(IF(ISNUMBER(FIND("TmDo",$BE$1:$AAL$1)),IF(IFERROR(ISNUMBER(VALUE(SUBSTITUTE($BE280:$AAL280,"B",""))),FALSE),IF(ISNUMBER(VALUE(SUBSTITUTE($BE280:$AAL280,"B",""))),1,0),0)))</f>
        <v>2</v>
      </c>
      <c r="AK280" s="11" t="str">
        <f t="shared" si="646"/>
        <v>13A</v>
      </c>
      <c r="AL280" s="11" t="str">
        <f t="shared" si="647"/>
        <v>13B</v>
      </c>
      <c r="AM280" s="23" t="s">
        <v>150</v>
      </c>
      <c r="AN280" s="23"/>
      <c r="AO280" s="23"/>
      <c r="AP280" s="23" t="s">
        <v>137</v>
      </c>
      <c r="AQ280" s="23" t="s">
        <v>1433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1136">CONCATENATE("XT",U280)</f>
        <v>XT100</v>
      </c>
      <c r="BF280" s="23" t="str">
        <f t="shared" ref="BF280" si="1137">CONCATENATE("C",REPLACE(AF280,1,1,"")+1)</f>
        <v>C7</v>
      </c>
      <c r="BG280" s="23" t="str">
        <f t="shared" ref="BG280" si="1138">CONCATENATE("B",REPLACE(AG280,1,1,"")+1)</f>
        <v>B7</v>
      </c>
      <c r="BH280" s="23" t="str">
        <f t="shared" ref="BH280" si="1139">CONCATENATE("C",REPLACE(BF280,1,1,"")+1)</f>
        <v>C8</v>
      </c>
      <c r="BI280" s="23" t="str">
        <f t="shared" ref="BI280" si="1140">CONCATENATE("B",REPLACE(BG280,1,1,"")+1)</f>
        <v>B8</v>
      </c>
      <c r="BJ280" s="23" t="str">
        <f t="shared" ref="BJ280" si="1141">CONCATENATE("C",REPLACE(BH280,1,1,"")+1)</f>
        <v>C9</v>
      </c>
      <c r="BK280" s="23" t="str">
        <f t="shared" ref="BK280" si="1142">CONCATENATE("B",REPLACE(BI280,1,1,"")+1)</f>
        <v>B9</v>
      </c>
      <c r="BL280" s="23" t="str">
        <f t="shared" ref="BL280" si="1143">CONCATENATE("C",REPLACE(BJ280,1,1,"")+1)</f>
        <v>C10</v>
      </c>
      <c r="BM280" s="23" t="str">
        <f t="shared" ref="BM280" si="1144">CONCATENATE("B",REPLACE(BK280,1,1,"")+1)</f>
        <v>B10</v>
      </c>
      <c r="BN280" s="23"/>
      <c r="BO280" s="23"/>
      <c r="BP280" s="23" t="str">
        <f>CONCATENATE(REPLACE(AK280,LEN(AK280),1,"")+1,"A")</f>
        <v>14A</v>
      </c>
      <c r="BQ280" s="23" t="str">
        <f>CONCATENATE(REPLACE(AL280,LEN(AL280),1,"")+1,"B")</f>
        <v>14B</v>
      </c>
      <c r="BR280" s="23" t="str">
        <f>CONCATENATE(REPLACE(BP280,LEN(BP280),1,"")+1,"A")</f>
        <v>15A</v>
      </c>
      <c r="BS280" s="23" t="str">
        <f>CONCATENATE(REPLACE(BQ280,LEN(BQ280),1,"")+1,"B")</f>
        <v>15B</v>
      </c>
      <c r="BT280" s="23" t="str">
        <f t="shared" ref="BT280" si="1145">CONCATENATE("DI",REPLACE($AC280,1,3,""),"-",AF280)</f>
        <v>DI17-C6</v>
      </c>
      <c r="BU280" s="23" t="str">
        <f t="shared" ref="BU280" si="1146">CONCATENATE("DI",REPLACE($AC280,1,3,""),"-",AG280)</f>
        <v>DI17-B6</v>
      </c>
      <c r="BV280" s="23" t="str">
        <f t="shared" ref="BV280" si="1147">CONCATENATE("DI",REPLACE($AC280,1,3,""),"-",BF280)</f>
        <v>DI17-C7</v>
      </c>
      <c r="BW280" s="23" t="str">
        <f t="shared" ref="BW280" si="1148">CONCATENATE("DI",REPLACE($AC280,1,3,""),"-",BG280)</f>
        <v>DI17-B7</v>
      </c>
      <c r="BX280" s="23" t="str">
        <f t="shared" ref="BX280" si="1149">CONCATENATE("DI",REPLACE($AC280,1,3,""),"-",BH280)</f>
        <v>DI17-C8</v>
      </c>
      <c r="BY280" s="23" t="str">
        <f t="shared" ref="BY280" si="1150">CONCATENATE("DI",REPLACE($AC280,1,3,""),"-",BI280)</f>
        <v>DI17-B8</v>
      </c>
      <c r="BZ280" s="23" t="str">
        <f t="shared" ref="BZ280" si="1151">CONCATENATE("DI",REPLACE($AC280,1,3,""),"-",BJ280)</f>
        <v>DI17-C9</v>
      </c>
      <c r="CA280" s="23" t="str">
        <f t="shared" ref="CA280" si="1152">CONCATENATE("DI",REPLACE($AC280,1,3,""),"-",BK280)</f>
        <v>DI17-B9</v>
      </c>
      <c r="CB280" s="23" t="str">
        <f t="shared" ref="CB280" si="1153">CONCATENATE("DI",REPLACE($AC280,1,3,""),"-",BL280)</f>
        <v>DI17-C10</v>
      </c>
      <c r="CC280" s="23" t="str">
        <f t="shared" ref="CC280" si="1154">CONCATENATE("DI",REPLACE($AC280,1,3,""),"-",BM280)</f>
        <v>DI17-B10</v>
      </c>
      <c r="CD280" s="23" t="str">
        <f t="shared" ref="CD280" si="1155">CONCATENATE("DI",REPLACE($AC280,1,3,""),"-",BN280)</f>
        <v>DI17-</v>
      </c>
      <c r="CE280" s="23" t="str">
        <f t="shared" ref="CE280" si="1156">CONCATENATE("DI",REPLACE($AC280,1,3,""),"-",BO280)</f>
        <v>DI17-</v>
      </c>
      <c r="CF280" s="23" t="str">
        <f t="shared" ref="CF280" si="1157">CONCATENATE("DO",REPLACE($AH280,1,3,""),"-",AK280)</f>
        <v>DO9-13A</v>
      </c>
      <c r="CG280" s="23" t="str">
        <f t="shared" ref="CG280" si="1158">CONCATENATE("DO",REPLACE($AH280,1,3,""),"-",AL280)</f>
        <v>DO9-13B</v>
      </c>
      <c r="CH280" s="23" t="str">
        <f t="shared" ref="CH280" si="1159">CONCATENATE("DO",REPLACE($AH280,1,3,""),"-",BP280)</f>
        <v>DO9-14A</v>
      </c>
      <c r="CI280" s="23" t="str">
        <f t="shared" ref="CI280" si="1160">CONCATENATE("DO",REPLACE($AH280,1,3,""),"-",BQ280)</f>
        <v>DO9-14B</v>
      </c>
      <c r="CJ280" s="23" t="str">
        <f t="shared" ref="CJ280" si="1161">CONCATENATE("DO",REPLACE($AH280,1,3,""),"-",BR280)</f>
        <v>DO9-15A</v>
      </c>
      <c r="CK280" s="23" t="str">
        <f t="shared" ref="CK280" si="1162">CONCATENATE("DO",REPLACE($AH280,1,3,""),"-",BS280)</f>
        <v>DO9-15B</v>
      </c>
      <c r="CL280" s="23" t="str">
        <f t="shared" si="682"/>
        <v>K100-10</v>
      </c>
      <c r="CM280" s="23" t="str">
        <f t="shared" si="683"/>
        <v>K100-03</v>
      </c>
      <c r="CN280" s="23" t="str">
        <f t="shared" si="684"/>
        <v>K100-04</v>
      </c>
      <c r="CO280" s="23" t="str">
        <f t="shared" si="685"/>
        <v>K100-01</v>
      </c>
      <c r="CP280" s="23" t="str">
        <f t="shared" si="686"/>
        <v>K100-08</v>
      </c>
      <c r="CQ280" s="23" t="str">
        <f t="shared" si="687"/>
        <v>K100-02</v>
      </c>
      <c r="CR280" s="23" t="str">
        <f t="shared" si="688"/>
        <v>K100-09</v>
      </c>
      <c r="CS280" s="23" t="str">
        <f t="shared" si="689"/>
        <v>K100-05</v>
      </c>
      <c r="CT280" s="23" t="str">
        <f t="shared" si="690"/>
        <v>K100-11</v>
      </c>
      <c r="CU280" s="23" t="str">
        <f t="shared" si="691"/>
        <v>F0-M100-A9</v>
      </c>
      <c r="CV280" s="23" t="str">
        <f t="shared" si="692"/>
        <v>F0-M100-A7</v>
      </c>
      <c r="CW280" s="23" t="str">
        <f t="shared" si="693"/>
        <v>F0-M100-A8</v>
      </c>
      <c r="CX280" s="23" t="str">
        <f t="shared" si="694"/>
        <v>F0-M100-A6</v>
      </c>
      <c r="CY280" s="23" t="str">
        <f t="shared" si="695"/>
        <v>F0-M100-A30</v>
      </c>
      <c r="CZ280" s="23" t="str">
        <f t="shared" si="696"/>
        <v>F0-M100-N</v>
      </c>
      <c r="DA280" s="23" t="str">
        <f t="shared" ref="DA280" si="1163">CONCATENATE($T280,"-A220-M",U280)</f>
        <v>F0-A220-M100</v>
      </c>
      <c r="DB280" s="23" t="str">
        <f t="shared" si="697"/>
        <v>F0-M100-XM01</v>
      </c>
      <c r="DC280" s="23" t="str">
        <f t="shared" si="698"/>
        <v>F0-M100-A1</v>
      </c>
      <c r="DD280" s="23" t="str">
        <f t="shared" si="699"/>
        <v>F0-M100-A5</v>
      </c>
      <c r="DE280" s="23" t="str">
        <f t="shared" si="700"/>
        <v>F0-M100-A11</v>
      </c>
      <c r="DF280" s="23" t="str">
        <f t="shared" si="701"/>
        <v>F0-M100-A12</v>
      </c>
      <c r="DG280" s="23" t="str">
        <f t="shared" si="702"/>
        <v>F0-M100-A19</v>
      </c>
      <c r="DH280" s="23" t="str">
        <f t="shared" si="703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1455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7" ht="15.75" thickBot="1" x14ac:dyDescent="0.3">
      <c r="A281" t="s">
        <v>1471</v>
      </c>
      <c r="B281" t="s">
        <v>1456</v>
      </c>
      <c r="C281" t="s">
        <v>1483</v>
      </c>
      <c r="P281" t="s">
        <v>1424</v>
      </c>
      <c r="T281" s="10" t="s">
        <v>520</v>
      </c>
      <c r="U281" s="49">
        <v>101</v>
      </c>
      <c r="V281" s="11" t="s">
        <v>1758</v>
      </c>
      <c r="W281" s="11" t="s">
        <v>1759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А3.37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SUM(IF(ISNUMBER(FIND("TmAi",$BE$1:$AAL$1)),IF(IFERROR(ISODD(SUBSTITUTE($BE281:$AAL281,"A","")),FALSE),IF(ISODD(SUBSTITUTE($BE281:$AAL281,"A","")),1,0),0)))</f>
        <v>0</v>
      </c>
      <c r="AA281" t="str">
        <f t="shared" ref="AA281" si="1164">CONCATENATE($Y281*2-1,"A")</f>
        <v>15A</v>
      </c>
      <c r="AB281" t="str">
        <f t="shared" ref="AB281" si="1165">CONCATENATE($Y281*2-1,"B")</f>
        <v>15B</v>
      </c>
      <c r="AC281" t="str">
        <f t="shared" si="831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SUM(IF(ISNUMBER(FIND("TmDi",$BE$1:$AAL$1)),IF(IFERROR(ISNUMBER(VALUE(SUBSTITUTE($BE281:$AAL281,"B",""))),FALSE),IF(ISNUMBER(VALUE(SUBSTITUTE($BE281:$AAL281,"B",""))),1,0),0)))</f>
        <v>4</v>
      </c>
      <c r="AF281" t="str">
        <f t="shared" si="706"/>
        <v>C11</v>
      </c>
      <c r="AG281" t="str">
        <f t="shared" si="707"/>
        <v>B11</v>
      </c>
      <c r="AH281" t="str">
        <f t="shared" si="708"/>
        <v>A6.9</v>
      </c>
      <c r="AI281" s="54" cm="1">
        <f t="array" ref="AI281">IF(COUNTIFS(AH$2:AH281,AH281)=1,"1",VALUE(SUBSTITUTE(INDEX(AI:AI,_xlfn.XMATCH(AH281,AH$1:AH280,0,-1)),"A",""))+INDEX(AJ:AJ,_xlfn.XMATCH(AH281,AH$1:AH280,0,-1))+1)</f>
        <v>16</v>
      </c>
      <c r="AJ281" s="54" cm="1">
        <f t="array" ref="AJ281">SUM(IF(ISNUMBER(FIND("TmDo",$BE$1:$AAL$1)),IF(IFERROR(ISNUMBER(VALUE(SUBSTITUTE($BE281:$AAL281,"B",""))),FALSE),IF(ISNUMBER(VALUE(SUBSTITUTE($BE281:$AAL281,"B",""))),1,0),0)))</f>
        <v>1</v>
      </c>
      <c r="AK281" s="11" t="str">
        <f t="shared" si="646"/>
        <v>16A</v>
      </c>
      <c r="AL281" s="11" t="str">
        <f t="shared" si="647"/>
        <v>16B</v>
      </c>
      <c r="AM281" s="12" t="s">
        <v>161</v>
      </c>
      <c r="AN281" s="12"/>
      <c r="AO281" s="12"/>
      <c r="AP281" s="12" t="s">
        <v>137</v>
      </c>
      <c r="AQ281" s="12" t="s">
        <v>1433</v>
      </c>
      <c r="AR281" s="12"/>
      <c r="AS281" s="12" t="s">
        <v>366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1166">CONCATENATE("C",REPLACE(AF281,1,1,"")+1)</f>
        <v>C12</v>
      </c>
      <c r="GV281" s="12" t="str">
        <f t="shared" ref="GV281" si="1167">CONCATENATE("B",REPLACE(AG281,1,1,"")+1)</f>
        <v>B12</v>
      </c>
      <c r="GW281" s="12" t="str">
        <f t="shared" ref="GW281" si="1168">CONCATENATE("C",REPLACE(GU281,1,1,"")+1)</f>
        <v>C13</v>
      </c>
      <c r="GX281" s="12" t="str">
        <f t="shared" ref="GX281" si="1169">CONCATENATE("B",REPLACE(GV281,1,1,"")+1)</f>
        <v>B13</v>
      </c>
      <c r="GY281" s="12" t="str">
        <f t="shared" ref="GY281" si="1170">CONCATENATE("C",REPLACE(GW281,1,1,"")+1)</f>
        <v>C14</v>
      </c>
      <c r="GZ281" s="12" t="str">
        <f t="shared" ref="GZ281" si="1171">CONCATENATE("B",REPLACE(GX281,1,1,"")+1)</f>
        <v>B14</v>
      </c>
      <c r="HA281" s="12" t="str">
        <f t="shared" ref="HA281" si="1172">CONCATENATE("C",REPLACE(GY281,1,1,"")+1)</f>
        <v>C15</v>
      </c>
      <c r="HB281" s="12" t="str">
        <f t="shared" ref="HB281" si="1173">CONCATENATE("B",REPLACE(GZ281,1,1,"")+1)</f>
        <v>B15</v>
      </c>
      <c r="HC281" s="12"/>
      <c r="HD281" s="12"/>
      <c r="HE281" s="12" t="str">
        <f>CONCATENATE(REPLACE(AK281,LEN(AK281),1,"")+1,"A")</f>
        <v>17A</v>
      </c>
      <c r="HF281" s="12" t="str">
        <f>CONCATENATE(REPLACE(AL281,LEN(AL281),1,"")+1,"B")</f>
        <v>17B</v>
      </c>
      <c r="HG281" s="12" t="str">
        <f t="shared" ref="HG281" si="1174">CONCATENATE("AI",REPLACE($X281,1,3,""),"-",AA281)</f>
        <v>AI37-15A</v>
      </c>
      <c r="HH281" s="12" t="str">
        <f t="shared" ref="HH281" si="1175">CONCATENATE("AI",REPLACE($X281,1,3,""),"-",AB281)</f>
        <v>AI37-15B</v>
      </c>
      <c r="HI281" s="12" t="str">
        <f t="shared" ref="HI281" si="1176">CONCATENATE("DI",REPLACE($AC281,1,3,""),"-",AF281)</f>
        <v>DI17-C11</v>
      </c>
      <c r="HJ281" s="12" t="str">
        <f t="shared" ref="HJ281" si="1177">CONCATENATE("DI",REPLACE($AC281,1,3,""),"-",AG281)</f>
        <v>DI17-B11</v>
      </c>
      <c r="HK281" s="12" t="str">
        <f t="shared" ref="HK281" si="1178">CONCATENATE("DI",REPLACE($AC281,1,3,""),"-",GU281)</f>
        <v>DI17-C12</v>
      </c>
      <c r="HL281" s="12" t="str">
        <f t="shared" ref="HL281" si="1179">CONCATENATE("DI",REPLACE($AC281,1,3,""),"-",GV281)</f>
        <v>DI17-B12</v>
      </c>
      <c r="HM281" s="12" t="str">
        <f t="shared" ref="HM281" si="1180">CONCATENATE("DI",REPLACE($AC281,1,3,""),"-",GW281)</f>
        <v>DI17-C13</v>
      </c>
      <c r="HN281" s="12" t="str">
        <f t="shared" ref="HN281" si="1181">CONCATENATE("DI",REPLACE($AC281,1,3,""),"-",GX281)</f>
        <v>DI17-B13</v>
      </c>
      <c r="HO281" s="12" t="str">
        <f t="shared" ref="HO281" si="1182">CONCATENATE("DI",REPLACE($AC281,1,3,""),"-",GY281)</f>
        <v>DI17-C14</v>
      </c>
      <c r="HP281" s="12" t="str">
        <f t="shared" ref="HP281" si="1183">CONCATENATE("DI",REPLACE($AC281,1,3,""),"-",GZ281)</f>
        <v>DI17-B14</v>
      </c>
      <c r="HQ281" s="12" t="str">
        <f t="shared" ref="HQ281" si="1184">CONCATENATE("DI",REPLACE($AC281,1,3,""),"-",HA281)</f>
        <v>DI17-C15</v>
      </c>
      <c r="HR281" s="12" t="str">
        <f t="shared" ref="HR281" si="1185">CONCATENATE("DI",REPLACE($AC281,1,3,""),"-",HB281)</f>
        <v>DI17-B15</v>
      </c>
      <c r="HS281" s="12" t="str">
        <f t="shared" ref="HS281" si="1186">CONCATENATE("DI",REPLACE($AC281,1,3,""),"-",HC281)</f>
        <v>DI17-</v>
      </c>
      <c r="HT281" s="12" t="str">
        <f t="shared" ref="HT281" si="1187">CONCATENATE("DI",REPLACE($AC281,1,3,""),"-",HD281)</f>
        <v>DI17-</v>
      </c>
      <c r="HU281" s="12" t="str">
        <f t="shared" ref="HU281" si="1188">CONCATENATE("DO",REPLACE($AH281,1,3,""),"-",AK281)</f>
        <v>DO9-16A</v>
      </c>
      <c r="HV281" s="12" t="str">
        <f t="shared" ref="HV281" si="1189">CONCATENATE("DO",REPLACE($AH281,1,3,""),"-",AL281)</f>
        <v>DO9-16B</v>
      </c>
      <c r="HW281" s="12" t="str">
        <f t="shared" ref="HW281" si="1190">CONCATENATE("DO",REPLACE($AH281,1,3,""),"-",HE281)</f>
        <v>DO9-17A</v>
      </c>
      <c r="HX281" s="12" t="str">
        <f t="shared" ref="HX281" si="1191">CONCATENATE("DO",REPLACE($AH281,1,3,""),"-",HF281)</f>
        <v>DO9-17B</v>
      </c>
      <c r="HY281" s="12" t="str">
        <f t="shared" ref="HY281" si="1192">CONCATENATE("K",$U281,"-01")</f>
        <v>K101-01</v>
      </c>
      <c r="HZ281" s="12" t="str">
        <f t="shared" ref="HZ281" si="1193">CONCATENATE("K",$U281,"-02")</f>
        <v>K101-02</v>
      </c>
      <c r="IA281" s="12" t="str">
        <f t="shared" ref="IA281" si="1194">CONCATENATE("K",$U281,"-03")</f>
        <v>K101-03</v>
      </c>
      <c r="IB281" s="12" t="str">
        <f t="shared" ref="IB281" si="1195">CONCATENATE("K",$U281,"-04")</f>
        <v>K101-04</v>
      </c>
      <c r="IC281" s="12" t="str">
        <f t="shared" ref="IC281" si="1196">CONCATENATE("K",$U281,"-05")</f>
        <v>K101-05</v>
      </c>
      <c r="ID281" s="12" t="str">
        <f t="shared" ref="ID281" si="1197">CONCATENATE("K",$U281,"-06")</f>
        <v>K101-06</v>
      </c>
      <c r="IE281" s="12" t="str">
        <f t="shared" ref="IE281" si="1198">CONCATENATE("K",$U281,"-07")</f>
        <v>K101-07</v>
      </c>
      <c r="IF281" s="12" t="str">
        <f t="shared" ref="IF281" si="1199">CONCATENATE("K",$U281,"-08")</f>
        <v>K101-08</v>
      </c>
      <c r="IG281" s="12" t="str">
        <f t="shared" ref="IG281" si="1200">CONCATENATE($T281,"-M",$U281,"-AMS-12")</f>
        <v>F0-M101-AMS-12</v>
      </c>
      <c r="IH281" s="12" t="str">
        <f t="shared" ref="IH281" si="1201">CONCATENATE($T281,"-M",$U281,"-AMS-10")</f>
        <v>F0-M101-AMS-10</v>
      </c>
      <c r="II281" s="12" t="str">
        <f t="shared" ref="II281" si="1202">CONCATENATE($T281,"-M",$U281,"-AMS-11")</f>
        <v>F0-M101-AMS-11</v>
      </c>
      <c r="IJ281" s="12" t="str">
        <f t="shared" ref="IJ281" si="1203">CONCATENATE($T281,"-M",$U281,"-AMS-13")</f>
        <v>F0-M101-AMS-13</v>
      </c>
      <c r="IK281" s="12" t="str">
        <f t="shared" ref="IK281" si="1204">CONCATENATE($T281,"-M",$U281,"-AMS-9")</f>
        <v>F0-M101-AMS-9</v>
      </c>
      <c r="IL281" s="12" t="str">
        <f t="shared" ref="IL281" si="1205">CONCATENATE($T281,"-M",$U281,"-AMS-7")</f>
        <v>F0-M101-AMS-7</v>
      </c>
      <c r="IM281" s="12" t="str">
        <f t="shared" ref="IM281" si="1206">CONCATENATE($T281,"-M",$U281,"-AMS-18")</f>
        <v>F0-M101-AMS-18</v>
      </c>
      <c r="IN281" s="12" t="str">
        <f t="shared" ref="IN281" si="1207">CONCATENATE($T281,"-M",$U281,"-AMS-20")</f>
        <v>F0-M101-AMS-20</v>
      </c>
      <c r="IO281" s="12" t="str">
        <f t="shared" ref="IO281" si="1208">CONCATENATE($T281,"-M",$U281,"-AMS-17")</f>
        <v>F0-M101-AMS-17</v>
      </c>
      <c r="IP281" s="12" t="str">
        <f t="shared" ref="IP281" si="1209">CONCATENATE($T281,"-+24-M",$U281,)</f>
        <v>F0-+24-M101</v>
      </c>
      <c r="IQ281" s="12" t="str">
        <f t="shared" ref="IQ281" si="121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383</v>
      </c>
      <c r="IW281" s="12" t="s">
        <v>384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7" ht="15.75" thickBot="1" x14ac:dyDescent="0.3">
      <c r="A282" t="s">
        <v>1472</v>
      </c>
      <c r="B282" t="s">
        <v>1457</v>
      </c>
      <c r="C282" s="3" t="s">
        <v>1484</v>
      </c>
      <c r="O282" s="2"/>
      <c r="P282" t="s">
        <v>1423</v>
      </c>
      <c r="Q282" s="1"/>
      <c r="S282" s="1"/>
      <c r="T282" s="21" t="s">
        <v>520</v>
      </c>
      <c r="U282" s="50">
        <v>102</v>
      </c>
      <c r="V282" s="18" t="s">
        <v>1760</v>
      </c>
      <c r="W282" s="22"/>
      <c r="X282" s="23"/>
      <c r="Y282" s="23"/>
      <c r="Z282" s="23"/>
      <c r="AA282" s="23"/>
      <c r="AB282" s="23"/>
      <c r="AC282" t="str">
        <f t="shared" si="831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SUM(IF(ISNUMBER(FIND("TmDi",$BE$1:$AAL$1)),IF(IFERROR(ISNUMBER(VALUE(SUBSTITUTE($BE282:$AAL282,"B",""))),FALSE),IF(ISNUMBER(VALUE(SUBSTITUTE($BE282:$AAL282,"B",""))),1,0),0)))</f>
        <v>4</v>
      </c>
      <c r="AF282" t="str">
        <f t="shared" si="706"/>
        <v>C16</v>
      </c>
      <c r="AG282" t="str">
        <f t="shared" si="707"/>
        <v>B16</v>
      </c>
      <c r="AH282" t="str">
        <f t="shared" si="708"/>
        <v>A6.9</v>
      </c>
      <c r="AI282" s="54" cm="1">
        <f t="array" ref="AI282">IF(COUNTIFS(AH$2:AH282,AH282)=1,"1",VALUE(SUBSTITUTE(INDEX(AI:AI,_xlfn.XMATCH(AH282,AH$1:AH281,0,-1)),"A",""))+INDEX(AJ:AJ,_xlfn.XMATCH(AH282,AH$1:AH281,0,-1))+1)</f>
        <v>18</v>
      </c>
      <c r="AJ282" s="54" cm="1">
        <f t="array" ref="AJ282">SUM(IF(ISNUMBER(FIND("TmDo",$BE$1:$AAL$1)),IF(IFERROR(ISNUMBER(VALUE(SUBSTITUTE($BE282:$AAL282,"B",""))),FALSE),IF(ISNUMBER(VALUE(SUBSTITUTE($BE282:$AAL282,"B",""))),1,0),0)))</f>
        <v>2</v>
      </c>
      <c r="AK282" s="11" t="str">
        <f t="shared" si="646"/>
        <v>18A</v>
      </c>
      <c r="AL282" s="11" t="str">
        <f t="shared" si="647"/>
        <v>18B</v>
      </c>
      <c r="AM282" s="23" t="s">
        <v>150</v>
      </c>
      <c r="AN282" s="23"/>
      <c r="AO282" s="23"/>
      <c r="AP282" s="23" t="s">
        <v>137</v>
      </c>
      <c r="AQ282" s="23" t="s">
        <v>1433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3" si="1211">CONCATENATE("XT",U282)</f>
        <v>XT102</v>
      </c>
      <c r="BF282" s="23" t="str">
        <f t="shared" ref="BF282:BF283" si="1212">CONCATENATE("C",REPLACE(AF282,1,1,"")+1)</f>
        <v>C17</v>
      </c>
      <c r="BG282" s="23" t="str">
        <f t="shared" ref="BG282:BG283" si="1213">CONCATENATE("B",REPLACE(AG282,1,1,"")+1)</f>
        <v>B17</v>
      </c>
      <c r="BH282" s="23" t="str">
        <f t="shared" ref="BH282:BH283" si="1214">CONCATENATE("C",REPLACE(BF282,1,1,"")+1)</f>
        <v>C18</v>
      </c>
      <c r="BI282" s="23" t="str">
        <f t="shared" ref="BI282:BI283" si="1215">CONCATENATE("B",REPLACE(BG282,1,1,"")+1)</f>
        <v>B18</v>
      </c>
      <c r="BJ282" s="23" t="str">
        <f t="shared" ref="BJ282:BJ283" si="1216">CONCATENATE("C",REPLACE(BH282,1,1,"")+1)</f>
        <v>C19</v>
      </c>
      <c r="BK282" s="23" t="str">
        <f t="shared" ref="BK282:BK283" si="1217">CONCATENATE("B",REPLACE(BI282,1,1,"")+1)</f>
        <v>B19</v>
      </c>
      <c r="BL282" s="23" t="str">
        <f t="shared" ref="BL282:BL283" si="1218">CONCATENATE("C",REPLACE(BJ282,1,1,"")+1)</f>
        <v>C20</v>
      </c>
      <c r="BM282" s="23" t="str">
        <f t="shared" ref="BM282:BM283" si="1219">CONCATENATE("B",REPLACE(BK282,1,1,"")+1)</f>
        <v>B20</v>
      </c>
      <c r="BN282" s="23"/>
      <c r="BO282" s="23"/>
      <c r="BP282" s="23" t="str">
        <f>CONCATENATE(REPLACE(AK282,LEN(AK282),1,"")+1,"A")</f>
        <v>19A</v>
      </c>
      <c r="BQ282" s="23" t="str">
        <f>CONCATENATE(REPLACE(AL282,LEN(AL282),1,"")+1,"B")</f>
        <v>19B</v>
      </c>
      <c r="BR282" s="23" t="str">
        <f>CONCATENATE(REPLACE(BP282,LEN(BP282),1,"")+1,"A")</f>
        <v>20A</v>
      </c>
      <c r="BS282" s="23" t="str">
        <f>CONCATENATE(REPLACE(BQ282,LEN(BQ282),1,"")+1,"B")</f>
        <v>20B</v>
      </c>
      <c r="BT282" s="23" t="str">
        <f t="shared" ref="BT282:BT283" si="1220">CONCATENATE("DI",REPLACE($AC282,1,3,""),"-",AF282)</f>
        <v>DI17-C16</v>
      </c>
      <c r="BU282" s="23" t="str">
        <f t="shared" ref="BU282:BU283" si="1221">CONCATENATE("DI",REPLACE($AC282,1,3,""),"-",AG282)</f>
        <v>DI17-B16</v>
      </c>
      <c r="BV282" s="23" t="str">
        <f t="shared" ref="BV282:BV283" si="1222">CONCATENATE("DI",REPLACE($AC282,1,3,""),"-",BF282)</f>
        <v>DI17-C17</v>
      </c>
      <c r="BW282" s="23" t="str">
        <f t="shared" ref="BW282:BW283" si="1223">CONCATENATE("DI",REPLACE($AC282,1,3,""),"-",BG282)</f>
        <v>DI17-B17</v>
      </c>
      <c r="BX282" s="23" t="str">
        <f t="shared" ref="BX282:BX283" si="1224">CONCATENATE("DI",REPLACE($AC282,1,3,""),"-",BH282)</f>
        <v>DI17-C18</v>
      </c>
      <c r="BY282" s="23" t="str">
        <f t="shared" ref="BY282:BY283" si="1225">CONCATENATE("DI",REPLACE($AC282,1,3,""),"-",BI282)</f>
        <v>DI17-B18</v>
      </c>
      <c r="BZ282" s="23" t="str">
        <f t="shared" ref="BZ282:BZ283" si="1226">CONCATENATE("DI",REPLACE($AC282,1,3,""),"-",BJ282)</f>
        <v>DI17-C19</v>
      </c>
      <c r="CA282" s="23" t="str">
        <f t="shared" ref="CA282:CA283" si="1227">CONCATENATE("DI",REPLACE($AC282,1,3,""),"-",BK282)</f>
        <v>DI17-B19</v>
      </c>
      <c r="CB282" s="23" t="str">
        <f t="shared" ref="CB282:CB283" si="1228">CONCATENATE("DI",REPLACE($AC282,1,3,""),"-",BL282)</f>
        <v>DI17-C20</v>
      </c>
      <c r="CC282" s="23" t="str">
        <f t="shared" ref="CC282:CC283" si="1229">CONCATENATE("DI",REPLACE($AC282,1,3,""),"-",BM282)</f>
        <v>DI17-B20</v>
      </c>
      <c r="CD282" s="23" t="str">
        <f t="shared" ref="CD282:CD283" si="1230">CONCATENATE("DI",REPLACE($AC282,1,3,""),"-",BN282)</f>
        <v>DI17-</v>
      </c>
      <c r="CE282" s="23" t="str">
        <f t="shared" ref="CE282:CE283" si="1231">CONCATENATE("DI",REPLACE($AC282,1,3,""),"-",BO282)</f>
        <v>DI17-</v>
      </c>
      <c r="CF282" s="23" t="str">
        <f t="shared" ref="CF282:CF283" si="1232">CONCATENATE("DO",REPLACE($AH282,1,3,""),"-",AK282)</f>
        <v>DO9-18A</v>
      </c>
      <c r="CG282" s="23" t="str">
        <f t="shared" ref="CG282:CG283" si="1233">CONCATENATE("DO",REPLACE($AH282,1,3,""),"-",AL282)</f>
        <v>DO9-18B</v>
      </c>
      <c r="CH282" s="23" t="str">
        <f t="shared" ref="CH282:CH283" si="1234">CONCATENATE("DO",REPLACE($AH282,1,3,""),"-",BP282)</f>
        <v>DO9-19A</v>
      </c>
      <c r="CI282" s="23" t="str">
        <f t="shared" ref="CI282:CI283" si="1235">CONCATENATE("DO",REPLACE($AH282,1,3,""),"-",BQ282)</f>
        <v>DO9-19B</v>
      </c>
      <c r="CJ282" s="23" t="str">
        <f t="shared" ref="CJ282:CJ283" si="1236">CONCATENATE("DO",REPLACE($AH282,1,3,""),"-",BR282)</f>
        <v>DO9-20A</v>
      </c>
      <c r="CK282" s="23" t="str">
        <f t="shared" ref="CK282:CK283" si="1237">CONCATENATE("DO",REPLACE($AH282,1,3,""),"-",BS282)</f>
        <v>DO9-20B</v>
      </c>
      <c r="CL282" s="23" t="str">
        <f t="shared" si="682"/>
        <v>K102-10</v>
      </c>
      <c r="CM282" s="23" t="str">
        <f t="shared" si="683"/>
        <v>K102-03</v>
      </c>
      <c r="CN282" s="23" t="str">
        <f t="shared" si="684"/>
        <v>K102-04</v>
      </c>
      <c r="CO282" s="23" t="str">
        <f t="shared" si="685"/>
        <v>K102-01</v>
      </c>
      <c r="CP282" s="23" t="str">
        <f t="shared" si="686"/>
        <v>K102-08</v>
      </c>
      <c r="CQ282" s="23" t="str">
        <f t="shared" si="687"/>
        <v>K102-02</v>
      </c>
      <c r="CR282" s="23" t="str">
        <f t="shared" si="688"/>
        <v>K102-09</v>
      </c>
      <c r="CS282" s="23" t="str">
        <f t="shared" si="689"/>
        <v>K102-05</v>
      </c>
      <c r="CT282" s="23" t="str">
        <f t="shared" si="690"/>
        <v>K102-11</v>
      </c>
      <c r="CU282" s="23" t="str">
        <f t="shared" si="691"/>
        <v>F0-M102-A9</v>
      </c>
      <c r="CV282" s="23" t="str">
        <f t="shared" si="692"/>
        <v>F0-M102-A7</v>
      </c>
      <c r="CW282" s="23" t="str">
        <f t="shared" si="693"/>
        <v>F0-M102-A8</v>
      </c>
      <c r="CX282" s="23" t="str">
        <f t="shared" si="694"/>
        <v>F0-M102-A6</v>
      </c>
      <c r="CY282" s="23" t="str">
        <f t="shared" si="695"/>
        <v>F0-M102-A30</v>
      </c>
      <c r="CZ282" s="23" t="str">
        <f t="shared" si="696"/>
        <v>F0-M102-N</v>
      </c>
      <c r="DA282" s="23" t="str">
        <f t="shared" ref="DA282:DA283" si="1238">CONCATENATE($T282,"-A220-M",U282)</f>
        <v>F0-A220-M102</v>
      </c>
      <c r="DB282" s="23" t="str">
        <f t="shared" si="697"/>
        <v>F0-M102-XM01</v>
      </c>
      <c r="DC282" s="23" t="str">
        <f t="shared" si="698"/>
        <v>F0-M102-A1</v>
      </c>
      <c r="DD282" s="23" t="str">
        <f t="shared" si="699"/>
        <v>F0-M102-A5</v>
      </c>
      <c r="DE282" s="23" t="str">
        <f t="shared" si="700"/>
        <v>F0-M102-A11</v>
      </c>
      <c r="DF282" s="23" t="str">
        <f t="shared" si="701"/>
        <v>F0-M102-A12</v>
      </c>
      <c r="DG282" s="23" t="str">
        <f t="shared" si="702"/>
        <v>F0-M102-A19</v>
      </c>
      <c r="DH282" s="23" t="str">
        <f t="shared" si="703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1458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7" ht="15.75" thickBot="1" x14ac:dyDescent="0.3">
      <c r="A283" t="s">
        <v>1474</v>
      </c>
      <c r="B283" t="s">
        <v>1473</v>
      </c>
      <c r="C283" s="3" t="s">
        <v>1482</v>
      </c>
      <c r="O283" s="2"/>
      <c r="P283" t="s">
        <v>129</v>
      </c>
      <c r="Q283" s="1"/>
      <c r="S283" s="1" t="s">
        <v>130</v>
      </c>
      <c r="T283" s="17" t="s">
        <v>520</v>
      </c>
      <c r="U283" s="51">
        <v>103</v>
      </c>
      <c r="V283" s="18" t="s">
        <v>1761</v>
      </c>
      <c r="W283" s="18"/>
      <c r="X283" s="19"/>
      <c r="Y283" s="19"/>
      <c r="Z283" s="19"/>
      <c r="AA283" s="19"/>
      <c r="AB283" s="19"/>
      <c r="AC283" t="s">
        <v>1475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SUM(IF(ISNUMBER(FIND("TmDi",$BE$1:$AAL$1)),IF(IFERROR(ISNUMBER(VALUE(SUBSTITUTE($BE283:$AAL283,"B",""))),FALSE),IF(ISNUMBER(VALUE(SUBSTITUTE($BE283:$AAL283,"B",""))),1,0),0)))</f>
        <v>5</v>
      </c>
      <c r="AF283" t="str">
        <f t="shared" si="706"/>
        <v>C1</v>
      </c>
      <c r="AG283" t="str">
        <f t="shared" si="707"/>
        <v>B1</v>
      </c>
      <c r="AH283" s="19" t="s">
        <v>1476</v>
      </c>
      <c r="AI283" s="54" t="str" cm="1">
        <f t="array" ref="AI283">IF(COUNTIFS(AH$2:AH283,AH283)=1,"1",VALUE(SUBSTITUTE(INDEX(AI:AI,_xlfn.XMATCH(AH283,AH$1:AH282,0,-1)),"A",""))+INDEX(AJ:AJ,_xlfn.XMATCH(AH283,AH$1:AH282,0,-1))+1)</f>
        <v>1</v>
      </c>
      <c r="AJ283" s="54" cm="1">
        <f t="array" ref="AJ283">SUM(IF(ISNUMBER(FIND("TmDo",$BE$1:$AAL$1)),IF(IFERROR(ISNUMBER(VALUE(SUBSTITUTE($BE283:$AAL283,"B",""))),FALSE),IF(ISNUMBER(VALUE(SUBSTITUTE($BE283:$AAL283,"B",""))),1,0),0)))</f>
        <v>2</v>
      </c>
      <c r="AK283" s="19" t="str">
        <f t="shared" ref="AK283:AK285" si="1239">CONCATENATE($AI283,"A")</f>
        <v>1A</v>
      </c>
      <c r="AL283" s="19" t="str">
        <f t="shared" ref="AL283:AL285" si="1240">CONCATENATE($AI283,"B")</f>
        <v>1B</v>
      </c>
      <c r="AM283" s="19" t="s">
        <v>141</v>
      </c>
      <c r="AN283" s="19"/>
      <c r="AO283" s="19"/>
      <c r="AP283" s="19" t="s">
        <v>137</v>
      </c>
      <c r="AQ283" s="23" t="s">
        <v>1433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1211"/>
        <v>XT103</v>
      </c>
      <c r="BF283" s="19" t="str">
        <f t="shared" si="1212"/>
        <v>C2</v>
      </c>
      <c r="BG283" s="19" t="str">
        <f t="shared" si="1213"/>
        <v>B2</v>
      </c>
      <c r="BH283" s="19" t="str">
        <f t="shared" si="1214"/>
        <v>C3</v>
      </c>
      <c r="BI283" s="19" t="str">
        <f t="shared" si="1215"/>
        <v>B3</v>
      </c>
      <c r="BJ283" s="19" t="str">
        <f t="shared" si="1216"/>
        <v>C4</v>
      </c>
      <c r="BK283" s="19" t="str">
        <f t="shared" si="1217"/>
        <v>B4</v>
      </c>
      <c r="BL283" s="19" t="str">
        <f t="shared" si="1218"/>
        <v>C5</v>
      </c>
      <c r="BM283" s="19" t="str">
        <f t="shared" si="1219"/>
        <v>B5</v>
      </c>
      <c r="BN283" s="19" t="str">
        <f t="shared" ref="BN283" si="1241">CONCATENATE("C",REPLACE(BL283,1,1,"")+1)</f>
        <v>C6</v>
      </c>
      <c r="BO283" s="19" t="str">
        <f t="shared" ref="BO283" si="1242">CONCATENATE("B",REPLACE(BM283,1,1,"")+1)</f>
        <v>B6</v>
      </c>
      <c r="BP283" s="19" t="str">
        <f>CONCATENATE(REPLACE(AK283,LEN(AK283),1,"")+1,"A")</f>
        <v>2A</v>
      </c>
      <c r="BQ283" s="19" t="str">
        <f>CONCATENATE(REPLACE(AL283,LEN(AL283),1,"")+1,"B")</f>
        <v>2B</v>
      </c>
      <c r="BR283" s="19" t="str">
        <f>CONCATENATE(REPLACE(BP283,LEN(BP283),1,"")+1,"A")</f>
        <v>3A</v>
      </c>
      <c r="BS283" s="19" t="str">
        <f>CONCATENATE(REPLACE(BQ283,LEN(BQ283),1,"")+1,"B")</f>
        <v>3B</v>
      </c>
      <c r="BT283" s="19" t="str">
        <f t="shared" si="1220"/>
        <v>DI18-C1</v>
      </c>
      <c r="BU283" s="19" t="str">
        <f t="shared" si="1221"/>
        <v>DI18-B1</v>
      </c>
      <c r="BV283" s="19" t="str">
        <f t="shared" si="1222"/>
        <v>DI18-C2</v>
      </c>
      <c r="BW283" s="19" t="str">
        <f t="shared" si="1223"/>
        <v>DI18-B2</v>
      </c>
      <c r="BX283" s="19" t="str">
        <f t="shared" si="1224"/>
        <v>DI18-C3</v>
      </c>
      <c r="BY283" s="19" t="str">
        <f t="shared" si="1225"/>
        <v>DI18-B3</v>
      </c>
      <c r="BZ283" s="19" t="str">
        <f t="shared" si="1226"/>
        <v>DI18-C4</v>
      </c>
      <c r="CA283" s="19" t="str">
        <f t="shared" si="1227"/>
        <v>DI18-B4</v>
      </c>
      <c r="CB283" s="19" t="str">
        <f t="shared" si="1228"/>
        <v>DI18-C5</v>
      </c>
      <c r="CC283" s="19" t="str">
        <f t="shared" si="1229"/>
        <v>DI18-B5</v>
      </c>
      <c r="CD283" s="19" t="str">
        <f t="shared" si="1230"/>
        <v>DI18-C6</v>
      </c>
      <c r="CE283" s="19" t="str">
        <f t="shared" si="1231"/>
        <v>DI18-B6</v>
      </c>
      <c r="CF283" s="19" t="str">
        <f t="shared" si="1232"/>
        <v>DO10-1A</v>
      </c>
      <c r="CG283" s="19" t="str">
        <f t="shared" si="1233"/>
        <v>DO10-1B</v>
      </c>
      <c r="CH283" s="19" t="str">
        <f t="shared" si="1234"/>
        <v>DO10-2A</v>
      </c>
      <c r="CI283" s="19" t="str">
        <f t="shared" si="1235"/>
        <v>DO10-2B</v>
      </c>
      <c r="CJ283" s="19" t="str">
        <f t="shared" si="1236"/>
        <v>DO10-3A</v>
      </c>
      <c r="CK283" s="19" t="str">
        <f t="shared" si="1237"/>
        <v>DO10-3B</v>
      </c>
      <c r="CL283" s="19" t="str">
        <f t="shared" si="682"/>
        <v>K103-10</v>
      </c>
      <c r="CM283" s="19" t="str">
        <f t="shared" si="683"/>
        <v>K103-03</v>
      </c>
      <c r="CN283" s="19" t="str">
        <f t="shared" si="684"/>
        <v>K103-04</v>
      </c>
      <c r="CO283" s="19" t="str">
        <f t="shared" si="685"/>
        <v>K103-01</v>
      </c>
      <c r="CP283" s="19" t="str">
        <f t="shared" si="686"/>
        <v>K103-08</v>
      </c>
      <c r="CQ283" s="19" t="str">
        <f t="shared" si="687"/>
        <v>K103-02</v>
      </c>
      <c r="CR283" s="19" t="str">
        <f t="shared" si="688"/>
        <v>K103-09</v>
      </c>
      <c r="CS283" s="19" t="str">
        <f t="shared" si="689"/>
        <v>K103-05</v>
      </c>
      <c r="CT283" s="19" t="str">
        <f t="shared" si="690"/>
        <v>K103-11</v>
      </c>
      <c r="CU283" s="19" t="str">
        <f t="shared" si="691"/>
        <v>F0-M103-A9</v>
      </c>
      <c r="CV283" s="19" t="str">
        <f t="shared" si="692"/>
        <v>F0-M103-A7</v>
      </c>
      <c r="CW283" s="19" t="str">
        <f t="shared" si="693"/>
        <v>F0-M103-A8</v>
      </c>
      <c r="CX283" s="19" t="str">
        <f t="shared" si="694"/>
        <v>F0-M103-A6</v>
      </c>
      <c r="CY283" s="19" t="str">
        <f t="shared" si="695"/>
        <v>F0-M103-A30</v>
      </c>
      <c r="CZ283" s="19" t="str">
        <f t="shared" si="696"/>
        <v>F0-M103-N</v>
      </c>
      <c r="DA283" s="19" t="str">
        <f t="shared" si="1238"/>
        <v>F0-A220-M103</v>
      </c>
      <c r="DB283" s="19" t="str">
        <f t="shared" si="697"/>
        <v>F0-M103-XM01</v>
      </c>
      <c r="DC283" s="19" t="str">
        <f t="shared" si="698"/>
        <v>F0-M103-A1</v>
      </c>
      <c r="DD283" s="19" t="str">
        <f t="shared" si="699"/>
        <v>F0-M103-A5</v>
      </c>
      <c r="DE283" s="19" t="str">
        <f t="shared" si="700"/>
        <v>F0-M103-A11</v>
      </c>
      <c r="DF283" s="19" t="str">
        <f t="shared" si="701"/>
        <v>F0-M103-A12</v>
      </c>
      <c r="DG283" s="19" t="str">
        <f t="shared" si="702"/>
        <v>F0-M103-A19</v>
      </c>
      <c r="DH283" s="19" t="str">
        <f t="shared" si="703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7" ht="15.75" thickBot="1" x14ac:dyDescent="0.3">
      <c r="A284" t="s">
        <v>1477</v>
      </c>
      <c r="B284" t="s">
        <v>1479</v>
      </c>
      <c r="C284" s="3" t="s">
        <v>1482</v>
      </c>
      <c r="O284" s="2"/>
      <c r="P284" t="s">
        <v>129</v>
      </c>
      <c r="Q284" s="1"/>
      <c r="S284" s="1" t="s">
        <v>130</v>
      </c>
      <c r="T284" s="17" t="s">
        <v>520</v>
      </c>
      <c r="U284" s="51">
        <v>104</v>
      </c>
      <c r="V284" s="18" t="s">
        <v>1762</v>
      </c>
      <c r="W284" s="18"/>
      <c r="X284" s="19"/>
      <c r="Y284" s="19"/>
      <c r="Z284" s="19"/>
      <c r="AA284" s="19"/>
      <c r="AB284" s="19"/>
      <c r="AC284" t="str">
        <f t="shared" si="831"/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SUM(IF(ISNUMBER(FIND("TmDi",$BE$1:$AAL$1)),IF(IFERROR(ISNUMBER(VALUE(SUBSTITUTE($BE284:$AAL284,"B",""))),FALSE),IF(ISNUMBER(VALUE(SUBSTITUTE($BE284:$AAL284,"B",""))),1,0),0)))</f>
        <v>5</v>
      </c>
      <c r="AF284" t="str">
        <f t="shared" si="706"/>
        <v>C7</v>
      </c>
      <c r="AG284" t="str">
        <f t="shared" si="707"/>
        <v>B7</v>
      </c>
      <c r="AH284" t="str">
        <f t="shared" si="708"/>
        <v>A6.10</v>
      </c>
      <c r="AI284" s="54" cm="1">
        <f t="array" ref="AI284">IF(COUNTIFS(AH$2:AH284,AH284)=1,"1",VALUE(SUBSTITUTE(INDEX(AI:AI,_xlfn.XMATCH(AH284,AH$1:AH283,0,-1)),"A",""))+INDEX(AJ:AJ,_xlfn.XMATCH(AH284,AH$1:AH283,0,-1))+1)</f>
        <v>4</v>
      </c>
      <c r="AJ284" s="54" cm="1">
        <f t="array" ref="AJ284">SUM(IF(ISNUMBER(FIND("TmDo",$BE$1:$AAL$1)),IF(IFERROR(ISNUMBER(VALUE(SUBSTITUTE($BE284:$AAL284,"B",""))),FALSE),IF(ISNUMBER(VALUE(SUBSTITUTE($BE284:$AAL284,"B",""))),1,0),0)))</f>
        <v>2</v>
      </c>
      <c r="AK284" s="19" t="str">
        <f t="shared" si="1239"/>
        <v>4A</v>
      </c>
      <c r="AL284" s="19" t="str">
        <f t="shared" si="1240"/>
        <v>4B</v>
      </c>
      <c r="AM284" s="19" t="s">
        <v>150</v>
      </c>
      <c r="AN284" s="19"/>
      <c r="AO284" s="19"/>
      <c r="AP284" s="19" t="s">
        <v>137</v>
      </c>
      <c r="AQ284" s="23" t="s">
        <v>1433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ref="BE284" si="1243">CONCATENATE("XT",U284)</f>
        <v>XT104</v>
      </c>
      <c r="BF284" s="19" t="str">
        <f t="shared" ref="BF284" si="1244">CONCATENATE("C",REPLACE(AF284,1,1,"")+1)</f>
        <v>C8</v>
      </c>
      <c r="BG284" s="19" t="str">
        <f t="shared" ref="BG284" si="1245">CONCATENATE("B",REPLACE(AG284,1,1,"")+1)</f>
        <v>B8</v>
      </c>
      <c r="BH284" s="19" t="str">
        <f t="shared" ref="BH284" si="1246">CONCATENATE("C",REPLACE(BF284,1,1,"")+1)</f>
        <v>C9</v>
      </c>
      <c r="BI284" s="19" t="str">
        <f t="shared" ref="BI284" si="1247">CONCATENATE("B",REPLACE(BG284,1,1,"")+1)</f>
        <v>B9</v>
      </c>
      <c r="BJ284" s="19" t="str">
        <f t="shared" ref="BJ284" si="1248">CONCATENATE("C",REPLACE(BH284,1,1,"")+1)</f>
        <v>C10</v>
      </c>
      <c r="BK284" s="19" t="str">
        <f t="shared" ref="BK284" si="1249">CONCATENATE("B",REPLACE(BI284,1,1,"")+1)</f>
        <v>B10</v>
      </c>
      <c r="BL284" s="19" t="str">
        <f t="shared" ref="BL284" si="1250">CONCATENATE("C",REPLACE(BJ284,1,1,"")+1)</f>
        <v>C11</v>
      </c>
      <c r="BM284" s="19" t="str">
        <f t="shared" ref="BM284" si="1251">CONCATENATE("B",REPLACE(BK284,1,1,"")+1)</f>
        <v>B11</v>
      </c>
      <c r="BN284" s="19" t="str">
        <f t="shared" ref="BN284" si="1252">CONCATENATE("C",REPLACE(BL284,1,1,"")+1)</f>
        <v>C12</v>
      </c>
      <c r="BO284" s="19" t="str">
        <f t="shared" ref="BO284" si="1253">CONCATENATE("B",REPLACE(BM284,1,1,"")+1)</f>
        <v>B12</v>
      </c>
      <c r="BP284" s="19" t="str">
        <f>CONCATENATE(REPLACE(AK284,LEN(AK284),1,"")+1,"A")</f>
        <v>5A</v>
      </c>
      <c r="BQ284" s="19" t="str">
        <f>CONCATENATE(REPLACE(AL284,LEN(AL284),1,"")+1,"B")</f>
        <v>5B</v>
      </c>
      <c r="BR284" s="19" t="str">
        <f>CONCATENATE(REPLACE(BP284,LEN(BP284),1,"")+1,"A")</f>
        <v>6A</v>
      </c>
      <c r="BS284" s="19" t="str">
        <f>CONCATENATE(REPLACE(BQ284,LEN(BQ284),1,"")+1,"B")</f>
        <v>6B</v>
      </c>
      <c r="BT284" s="19" t="str">
        <f t="shared" ref="BT284" si="1254">CONCATENATE("DI",REPLACE($AC284,1,3,""),"-",AF284)</f>
        <v>DI18-C7</v>
      </c>
      <c r="BU284" s="19" t="str">
        <f t="shared" ref="BU284" si="1255">CONCATENATE("DI",REPLACE($AC284,1,3,""),"-",AG284)</f>
        <v>DI18-B7</v>
      </c>
      <c r="BV284" s="19" t="str">
        <f t="shared" ref="BV284" si="1256">CONCATENATE("DI",REPLACE($AC284,1,3,""),"-",BF284)</f>
        <v>DI18-C8</v>
      </c>
      <c r="BW284" s="19" t="str">
        <f t="shared" ref="BW284" si="1257">CONCATENATE("DI",REPLACE($AC284,1,3,""),"-",BG284)</f>
        <v>DI18-B8</v>
      </c>
      <c r="BX284" s="19" t="str">
        <f t="shared" ref="BX284" si="1258">CONCATENATE("DI",REPLACE($AC284,1,3,""),"-",BH284)</f>
        <v>DI18-C9</v>
      </c>
      <c r="BY284" s="19" t="str">
        <f t="shared" ref="BY284" si="1259">CONCATENATE("DI",REPLACE($AC284,1,3,""),"-",BI284)</f>
        <v>DI18-B9</v>
      </c>
      <c r="BZ284" s="19" t="str">
        <f t="shared" ref="BZ284" si="1260">CONCATENATE("DI",REPLACE($AC284,1,3,""),"-",BJ284)</f>
        <v>DI18-C10</v>
      </c>
      <c r="CA284" s="19" t="str">
        <f t="shared" ref="CA284" si="1261">CONCATENATE("DI",REPLACE($AC284,1,3,""),"-",BK284)</f>
        <v>DI18-B10</v>
      </c>
      <c r="CB284" s="19" t="str">
        <f t="shared" ref="CB284" si="1262">CONCATENATE("DI",REPLACE($AC284,1,3,""),"-",BL284)</f>
        <v>DI18-C11</v>
      </c>
      <c r="CC284" s="19" t="str">
        <f t="shared" ref="CC284" si="1263">CONCATENATE("DI",REPLACE($AC284,1,3,""),"-",BM284)</f>
        <v>DI18-B11</v>
      </c>
      <c r="CD284" s="19" t="str">
        <f t="shared" ref="CD284" si="1264">CONCATENATE("DI",REPLACE($AC284,1,3,""),"-",BN284)</f>
        <v>DI18-C12</v>
      </c>
      <c r="CE284" s="19" t="str">
        <f t="shared" ref="CE284" si="1265">CONCATENATE("DI",REPLACE($AC284,1,3,""),"-",BO284)</f>
        <v>DI18-B12</v>
      </c>
      <c r="CF284" s="19" t="str">
        <f t="shared" ref="CF284" si="1266">CONCATENATE("DO",REPLACE($AH284,1,3,""),"-",AK284)</f>
        <v>DO10-4A</v>
      </c>
      <c r="CG284" s="19" t="str">
        <f t="shared" ref="CG284" si="1267">CONCATENATE("DO",REPLACE($AH284,1,3,""),"-",AL284)</f>
        <v>DO10-4B</v>
      </c>
      <c r="CH284" s="19" t="str">
        <f t="shared" ref="CH284" si="1268">CONCATENATE("DO",REPLACE($AH284,1,3,""),"-",BP284)</f>
        <v>DO10-5A</v>
      </c>
      <c r="CI284" s="19" t="str">
        <f t="shared" ref="CI284" si="1269">CONCATENATE("DO",REPLACE($AH284,1,3,""),"-",BQ284)</f>
        <v>DO10-5B</v>
      </c>
      <c r="CJ284" s="19" t="str">
        <f t="shared" ref="CJ284" si="1270">CONCATENATE("DO",REPLACE($AH284,1,3,""),"-",BR284)</f>
        <v>DO10-6A</v>
      </c>
      <c r="CK284" s="19" t="str">
        <f t="shared" ref="CK284" si="1271">CONCATENATE("DO",REPLACE($AH284,1,3,""),"-",BS284)</f>
        <v>DO10-6B</v>
      </c>
      <c r="CL284" s="19" t="str">
        <f t="shared" si="682"/>
        <v>K104-10</v>
      </c>
      <c r="CM284" s="19" t="str">
        <f t="shared" si="683"/>
        <v>K104-03</v>
      </c>
      <c r="CN284" s="19" t="str">
        <f t="shared" si="684"/>
        <v>K104-04</v>
      </c>
      <c r="CO284" s="19" t="str">
        <f t="shared" si="685"/>
        <v>K104-01</v>
      </c>
      <c r="CP284" s="19" t="str">
        <f t="shared" si="686"/>
        <v>K104-08</v>
      </c>
      <c r="CQ284" s="19" t="str">
        <f t="shared" si="687"/>
        <v>K104-02</v>
      </c>
      <c r="CR284" s="19" t="str">
        <f t="shared" si="688"/>
        <v>K104-09</v>
      </c>
      <c r="CS284" s="19" t="str">
        <f t="shared" si="689"/>
        <v>K104-05</v>
      </c>
      <c r="CT284" s="19" t="str">
        <f t="shared" si="690"/>
        <v>K104-11</v>
      </c>
      <c r="CU284" s="19" t="str">
        <f t="shared" si="691"/>
        <v>F0-M104-A9</v>
      </c>
      <c r="CV284" s="19" t="str">
        <f t="shared" si="692"/>
        <v>F0-M104-A7</v>
      </c>
      <c r="CW284" s="19" t="str">
        <f t="shared" si="693"/>
        <v>F0-M104-A8</v>
      </c>
      <c r="CX284" s="19" t="str">
        <f t="shared" si="694"/>
        <v>F0-M104-A6</v>
      </c>
      <c r="CY284" s="19" t="str">
        <f t="shared" si="695"/>
        <v>F0-M104-A30</v>
      </c>
      <c r="CZ284" s="19" t="str">
        <f t="shared" si="696"/>
        <v>F0-M104-N</v>
      </c>
      <c r="DA284" s="19" t="str">
        <f t="shared" ref="DA284" si="1272">CONCATENATE($T284,"-A220-M",U284)</f>
        <v>F0-A220-M104</v>
      </c>
      <c r="DB284" s="19" t="str">
        <f t="shared" si="697"/>
        <v>F0-M104-XM01</v>
      </c>
      <c r="DC284" s="19" t="str">
        <f t="shared" si="698"/>
        <v>F0-M104-A1</v>
      </c>
      <c r="DD284" s="19" t="str">
        <f t="shared" si="699"/>
        <v>F0-M104-A5</v>
      </c>
      <c r="DE284" s="19" t="str">
        <f t="shared" si="700"/>
        <v>F0-M104-A11</v>
      </c>
      <c r="DF284" s="19" t="str">
        <f t="shared" si="701"/>
        <v>F0-M104-A12</v>
      </c>
      <c r="DG284" s="19" t="str">
        <f t="shared" si="702"/>
        <v>F0-M104-A19</v>
      </c>
      <c r="DH284" s="19" t="str">
        <f t="shared" si="703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1438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7" ht="15.75" thickBot="1" x14ac:dyDescent="0.3">
      <c r="A285" t="s">
        <v>1480</v>
      </c>
      <c r="B285" t="s">
        <v>1481</v>
      </c>
      <c r="C285" s="3" t="s">
        <v>1482</v>
      </c>
      <c r="O285" s="2"/>
      <c r="P285" t="s">
        <v>129</v>
      </c>
      <c r="Q285" s="1"/>
      <c r="S285" s="1" t="s">
        <v>130</v>
      </c>
      <c r="T285" s="17" t="s">
        <v>520</v>
      </c>
      <c r="U285" s="51">
        <v>105</v>
      </c>
      <c r="V285" s="18" t="s">
        <v>1763</v>
      </c>
      <c r="W285" s="18"/>
      <c r="X285" s="19"/>
      <c r="Y285" s="19"/>
      <c r="Z285" s="19"/>
      <c r="AA285" s="19"/>
      <c r="AB285" s="19"/>
      <c r="AC285" t="str">
        <f t="shared" ref="AC285:AC294" si="1273">IF(AD284+AE284&gt;31,REPLACE(AC284,LEN(AC284),1,VALUE(RIGHT(AC284,1))+1),AC284)</f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SUM(IF(ISNUMBER(FIND("TmDi",$BE$1:$AAL$1)),IF(IFERROR(ISNUMBER(VALUE(SUBSTITUTE($BE285:$AAL285,"B",""))),FALSE),IF(ISNUMBER(VALUE(SUBSTITUTE($BE285:$AAL285,"B",""))),1,0),0)))</f>
        <v>5</v>
      </c>
      <c r="AF285" t="str">
        <f t="shared" si="706"/>
        <v>C13</v>
      </c>
      <c r="AG285" t="str">
        <f t="shared" si="707"/>
        <v>B13</v>
      </c>
      <c r="AH285" t="str">
        <f t="shared" ref="AH285" si="1274">IF(AI284+AJ284&gt;31,REPLACE(AH284,LEN(AH284),1,VALUE(RIGHT(AH284,1))+1),AH284)</f>
        <v>A6.10</v>
      </c>
      <c r="AI285" s="54" cm="1">
        <f t="array" ref="AI285">IF(COUNTIFS(AH$2:AH285,AH285)=1,"1",VALUE(SUBSTITUTE(INDEX(AI:AI,_xlfn.XMATCH(AH285,AH$1:AH284,0,-1)),"A",""))+INDEX(AJ:AJ,_xlfn.XMATCH(AH285,AH$1:AH284,0,-1))+1)</f>
        <v>7</v>
      </c>
      <c r="AJ285" s="54" cm="1">
        <f t="array" ref="AJ285">SUM(IF(ISNUMBER(FIND("TmDo",$BE$1:$AAL$1)),IF(IFERROR(ISNUMBER(VALUE(SUBSTITUTE($BE285:$AAL285,"B",""))),FALSE),IF(ISNUMBER(VALUE(SUBSTITUTE($BE285:$AAL285,"B",""))),1,0),0)))</f>
        <v>2</v>
      </c>
      <c r="AK285" s="19" t="str">
        <f t="shared" si="1239"/>
        <v>7A</v>
      </c>
      <c r="AL285" s="19" t="str">
        <f t="shared" si="1240"/>
        <v>7B</v>
      </c>
      <c r="AM285" s="19" t="s">
        <v>150</v>
      </c>
      <c r="AN285" s="19"/>
      <c r="AO285" s="19"/>
      <c r="AP285" s="19" t="s">
        <v>137</v>
      </c>
      <c r="AQ285" s="23" t="s">
        <v>1433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ref="BE285" si="1275">CONCATENATE("XT",U285)</f>
        <v>XT105</v>
      </c>
      <c r="BF285" s="19" t="str">
        <f t="shared" ref="BF285" si="1276">CONCATENATE("C",REPLACE(AF285,1,1,"")+1)</f>
        <v>C14</v>
      </c>
      <c r="BG285" s="19" t="str">
        <f t="shared" ref="BG285" si="1277">CONCATENATE("B",REPLACE(AG285,1,1,"")+1)</f>
        <v>B14</v>
      </c>
      <c r="BH285" s="19" t="str">
        <f t="shared" ref="BH285" si="1278">CONCATENATE("C",REPLACE(BF285,1,1,"")+1)</f>
        <v>C15</v>
      </c>
      <c r="BI285" s="19" t="str">
        <f t="shared" ref="BI285" si="1279">CONCATENATE("B",REPLACE(BG285,1,1,"")+1)</f>
        <v>B15</v>
      </c>
      <c r="BJ285" s="19" t="str">
        <f t="shared" ref="BJ285" si="1280">CONCATENATE("C",REPLACE(BH285,1,1,"")+1)</f>
        <v>C16</v>
      </c>
      <c r="BK285" s="19" t="str">
        <f t="shared" ref="BK285" si="1281">CONCATENATE("B",REPLACE(BI285,1,1,"")+1)</f>
        <v>B16</v>
      </c>
      <c r="BL285" s="19" t="str">
        <f t="shared" ref="BL285" si="1282">CONCATENATE("C",REPLACE(BJ285,1,1,"")+1)</f>
        <v>C17</v>
      </c>
      <c r="BM285" s="19" t="str">
        <f t="shared" ref="BM285" si="1283">CONCATENATE("B",REPLACE(BK285,1,1,"")+1)</f>
        <v>B17</v>
      </c>
      <c r="BN285" s="19" t="str">
        <f t="shared" ref="BN285" si="1284">CONCATENATE("C",REPLACE(BL285,1,1,"")+1)</f>
        <v>C18</v>
      </c>
      <c r="BO285" s="19" t="str">
        <f t="shared" ref="BO285" si="1285">CONCATENATE("B",REPLACE(BM285,1,1,"")+1)</f>
        <v>B18</v>
      </c>
      <c r="BP285" s="19" t="str">
        <f>CONCATENATE(REPLACE(AK285,LEN(AK285),1,"")+1,"A")</f>
        <v>8A</v>
      </c>
      <c r="BQ285" s="19" t="str">
        <f>CONCATENATE(REPLACE(AL285,LEN(AL285),1,"")+1,"B")</f>
        <v>8B</v>
      </c>
      <c r="BR285" s="19" t="str">
        <f>CONCATENATE(REPLACE(BP285,LEN(BP285),1,"")+1,"A")</f>
        <v>9A</v>
      </c>
      <c r="BS285" s="19" t="str">
        <f>CONCATENATE(REPLACE(BQ285,LEN(BQ285),1,"")+1,"B")</f>
        <v>9B</v>
      </c>
      <c r="BT285" s="19" t="str">
        <f t="shared" ref="BT285" si="1286">CONCATENATE("DI",REPLACE($AC285,1,3,""),"-",AF285)</f>
        <v>DI18-C13</v>
      </c>
      <c r="BU285" s="19" t="str">
        <f t="shared" ref="BU285" si="1287">CONCATENATE("DI",REPLACE($AC285,1,3,""),"-",AG285)</f>
        <v>DI18-B13</v>
      </c>
      <c r="BV285" s="19" t="str">
        <f t="shared" ref="BV285" si="1288">CONCATENATE("DI",REPLACE($AC285,1,3,""),"-",BF285)</f>
        <v>DI18-C14</v>
      </c>
      <c r="BW285" s="19" t="str">
        <f t="shared" ref="BW285" si="1289">CONCATENATE("DI",REPLACE($AC285,1,3,""),"-",BG285)</f>
        <v>DI18-B14</v>
      </c>
      <c r="BX285" s="19" t="str">
        <f t="shared" ref="BX285" si="1290">CONCATENATE("DI",REPLACE($AC285,1,3,""),"-",BH285)</f>
        <v>DI18-C15</v>
      </c>
      <c r="BY285" s="19" t="str">
        <f t="shared" ref="BY285" si="1291">CONCATENATE("DI",REPLACE($AC285,1,3,""),"-",BI285)</f>
        <v>DI18-B15</v>
      </c>
      <c r="BZ285" s="19" t="str">
        <f t="shared" ref="BZ285" si="1292">CONCATENATE("DI",REPLACE($AC285,1,3,""),"-",BJ285)</f>
        <v>DI18-C16</v>
      </c>
      <c r="CA285" s="19" t="str">
        <f t="shared" ref="CA285" si="1293">CONCATENATE("DI",REPLACE($AC285,1,3,""),"-",BK285)</f>
        <v>DI18-B16</v>
      </c>
      <c r="CB285" s="19" t="str">
        <f t="shared" ref="CB285" si="1294">CONCATENATE("DI",REPLACE($AC285,1,3,""),"-",BL285)</f>
        <v>DI18-C17</v>
      </c>
      <c r="CC285" s="19" t="str">
        <f t="shared" ref="CC285" si="1295">CONCATENATE("DI",REPLACE($AC285,1,3,""),"-",BM285)</f>
        <v>DI18-B17</v>
      </c>
      <c r="CD285" s="19" t="str">
        <f t="shared" ref="CD285" si="1296">CONCATENATE("DI",REPLACE($AC285,1,3,""),"-",BN285)</f>
        <v>DI18-C18</v>
      </c>
      <c r="CE285" s="19" t="str">
        <f t="shared" ref="CE285" si="1297">CONCATENATE("DI",REPLACE($AC285,1,3,""),"-",BO285)</f>
        <v>DI18-B18</v>
      </c>
      <c r="CF285" s="19" t="str">
        <f t="shared" ref="CF285" si="1298">CONCATENATE("DO",REPLACE($AH285,1,3,""),"-",AK285)</f>
        <v>DO10-7A</v>
      </c>
      <c r="CG285" s="19" t="str">
        <f t="shared" ref="CG285" si="1299">CONCATENATE("DO",REPLACE($AH285,1,3,""),"-",AL285)</f>
        <v>DO10-7B</v>
      </c>
      <c r="CH285" s="19" t="str">
        <f t="shared" ref="CH285" si="1300">CONCATENATE("DO",REPLACE($AH285,1,3,""),"-",BP285)</f>
        <v>DO10-8A</v>
      </c>
      <c r="CI285" s="19" t="str">
        <f t="shared" ref="CI285" si="1301">CONCATENATE("DO",REPLACE($AH285,1,3,""),"-",BQ285)</f>
        <v>DO10-8B</v>
      </c>
      <c r="CJ285" s="19" t="str">
        <f t="shared" ref="CJ285" si="1302">CONCATENATE("DO",REPLACE($AH285,1,3,""),"-",BR285)</f>
        <v>DO10-9A</v>
      </c>
      <c r="CK285" s="19" t="str">
        <f t="shared" ref="CK285" si="1303">CONCATENATE("DO",REPLACE($AH285,1,3,""),"-",BS285)</f>
        <v>DO10-9B</v>
      </c>
      <c r="CL285" s="19" t="str">
        <f t="shared" si="682"/>
        <v>K105-10</v>
      </c>
      <c r="CM285" s="19" t="str">
        <f t="shared" si="683"/>
        <v>K105-03</v>
      </c>
      <c r="CN285" s="19" t="str">
        <f t="shared" si="684"/>
        <v>K105-04</v>
      </c>
      <c r="CO285" s="19" t="str">
        <f t="shared" si="685"/>
        <v>K105-01</v>
      </c>
      <c r="CP285" s="19" t="str">
        <f t="shared" si="686"/>
        <v>K105-08</v>
      </c>
      <c r="CQ285" s="19" t="str">
        <f t="shared" si="687"/>
        <v>K105-02</v>
      </c>
      <c r="CR285" s="19" t="str">
        <f t="shared" si="688"/>
        <v>K105-09</v>
      </c>
      <c r="CS285" s="19" t="str">
        <f t="shared" si="689"/>
        <v>K105-05</v>
      </c>
      <c r="CT285" s="19" t="str">
        <f t="shared" si="690"/>
        <v>K105-11</v>
      </c>
      <c r="CU285" s="19" t="str">
        <f t="shared" si="691"/>
        <v>F0-M105-A9</v>
      </c>
      <c r="CV285" s="19" t="str">
        <f t="shared" si="692"/>
        <v>F0-M105-A7</v>
      </c>
      <c r="CW285" s="19" t="str">
        <f t="shared" si="693"/>
        <v>F0-M105-A8</v>
      </c>
      <c r="CX285" s="19" t="str">
        <f t="shared" si="694"/>
        <v>F0-M105-A6</v>
      </c>
      <c r="CY285" s="19" t="str">
        <f t="shared" si="695"/>
        <v>F0-M105-A30</v>
      </c>
      <c r="CZ285" s="19" t="str">
        <f t="shared" si="696"/>
        <v>F0-M105-N</v>
      </c>
      <c r="DA285" s="19" t="str">
        <f t="shared" ref="DA285" si="1304">CONCATENATE($T285,"-A220-M",U285)</f>
        <v>F0-A220-M105</v>
      </c>
      <c r="DB285" s="19" t="str">
        <f t="shared" si="697"/>
        <v>F0-M105-XM01</v>
      </c>
      <c r="DC285" s="19" t="str">
        <f t="shared" si="698"/>
        <v>F0-M105-A1</v>
      </c>
      <c r="DD285" s="19" t="str">
        <f t="shared" si="699"/>
        <v>F0-M105-A5</v>
      </c>
      <c r="DE285" s="19" t="str">
        <f t="shared" si="700"/>
        <v>F0-M105-A11</v>
      </c>
      <c r="DF285" s="19" t="str">
        <f t="shared" si="701"/>
        <v>F0-M105-A12</v>
      </c>
      <c r="DG285" s="19" t="str">
        <f t="shared" si="702"/>
        <v>F0-M105-A19</v>
      </c>
      <c r="DH285" s="19" t="str">
        <f t="shared" si="703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1442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7" x14ac:dyDescent="0.25">
      <c r="A286" t="s">
        <v>1601</v>
      </c>
      <c r="B286" t="s">
        <v>1773</v>
      </c>
      <c r="P286" t="s">
        <v>1485</v>
      </c>
      <c r="T286" s="25" t="s">
        <v>520</v>
      </c>
      <c r="AC286" t="s">
        <v>1478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SUM(IF(ISNUMBER(FIND("TmDi",$BE$1:$AAL$1)),IF(IFERROR(ISNUMBER(VALUE(SUBSTITUTE($BE286:$AAL286,"B",""))),FALSE),IF(ISNUMBER(VALUE(SUBSTITUTE($BE286:$AAL286,"B",""))),1,0),0)))</f>
        <v>0</v>
      </c>
      <c r="AF286" t="str">
        <f t="shared" si="706"/>
        <v>C1</v>
      </c>
      <c r="AG286" t="str">
        <f t="shared" si="707"/>
        <v>B1</v>
      </c>
      <c r="AP286" t="s">
        <v>137</v>
      </c>
      <c r="AT286" t="s">
        <v>820</v>
      </c>
      <c r="AU286" t="s">
        <v>1329</v>
      </c>
      <c r="LY286" s="25" t="str">
        <f>CONCATENATE("DI",REPLACE($AC286,1,3,""),"-",$AF286)</f>
        <v>DI19-C1</v>
      </c>
      <c r="LZ286" s="12"/>
      <c r="MA286" s="12" t="s">
        <v>1487</v>
      </c>
      <c r="MB286" s="12" t="s">
        <v>1486</v>
      </c>
      <c r="MC286" s="12">
        <v>11</v>
      </c>
      <c r="MD286" s="12">
        <v>14</v>
      </c>
      <c r="ME286" s="12" t="s">
        <v>142</v>
      </c>
      <c r="MF286" s="12" t="s">
        <v>143</v>
      </c>
      <c r="MG286" s="12" t="s">
        <v>454</v>
      </c>
      <c r="MH286" s="12" t="s">
        <v>453</v>
      </c>
      <c r="MI286" s="12" t="s">
        <v>384</v>
      </c>
      <c r="MJ286" s="12" t="s">
        <v>383</v>
      </c>
      <c r="MK286" s="12"/>
      <c r="ML286" s="12"/>
      <c r="MM286" s="12"/>
      <c r="MN286" s="12"/>
      <c r="MO286" s="12"/>
      <c r="MP286" s="12"/>
      <c r="MQ286" s="12">
        <v>1</v>
      </c>
      <c r="MR286" s="13">
        <v>2</v>
      </c>
      <c r="MS286" s="27"/>
    </row>
    <row r="287" spans="1:357" x14ac:dyDescent="0.25">
      <c r="A287" t="s">
        <v>1602</v>
      </c>
      <c r="B287" t="s">
        <v>1774</v>
      </c>
      <c r="P287" t="s">
        <v>1485</v>
      </c>
      <c r="T287" s="27" t="s">
        <v>520</v>
      </c>
      <c r="AC287" t="str">
        <f t="shared" si="1273"/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SUM(IF(ISNUMBER(FIND("TmDi",$BE$1:$AAL$1)),IF(IFERROR(ISNUMBER(VALUE(SUBSTITUTE($BE287:$AAL287,"B",""))),FALSE),IF(ISNUMBER(VALUE(SUBSTITUTE($BE287:$AAL287,"B",""))),1,0),0)))</f>
        <v>0</v>
      </c>
      <c r="AF287" t="str">
        <f t="shared" si="706"/>
        <v>C2</v>
      </c>
      <c r="AG287" t="str">
        <f t="shared" si="707"/>
        <v>B2</v>
      </c>
      <c r="AP287" t="s">
        <v>137</v>
      </c>
      <c r="AT287" t="s">
        <v>820</v>
      </c>
      <c r="AU287" t="s">
        <v>1329</v>
      </c>
      <c r="LY287" s="27" t="str">
        <f>CONCATENATE("DI",REPLACE($AC287,1,3,""),"-",$AF287)</f>
        <v>DI19-C2</v>
      </c>
      <c r="MA287" t="s">
        <v>1488</v>
      </c>
      <c r="MB287" t="s">
        <v>1489</v>
      </c>
      <c r="MC287">
        <f t="shared" ref="MC287:MJ287" si="1305">MC286</f>
        <v>11</v>
      </c>
      <c r="MD287">
        <f t="shared" si="1305"/>
        <v>14</v>
      </c>
      <c r="ME287" t="str">
        <f t="shared" si="1305"/>
        <v>A1</v>
      </c>
      <c r="MF287" t="str">
        <f t="shared" si="1305"/>
        <v>A2</v>
      </c>
      <c r="MG287" t="str">
        <f t="shared" si="1305"/>
        <v>0v3</v>
      </c>
      <c r="MH287" t="str">
        <f t="shared" si="1305"/>
        <v>24v3</v>
      </c>
      <c r="MI287" t="str">
        <f t="shared" si="1305"/>
        <v>0v6</v>
      </c>
      <c r="MJ287" t="str">
        <f t="shared" si="1305"/>
        <v>24v6</v>
      </c>
      <c r="MQ287">
        <f>MQ286</f>
        <v>1</v>
      </c>
      <c r="MR287" s="16">
        <f>MR286</f>
        <v>2</v>
      </c>
    </row>
    <row r="288" spans="1:357" x14ac:dyDescent="0.25">
      <c r="A288" t="s">
        <v>1603</v>
      </c>
      <c r="B288" t="s">
        <v>1775</v>
      </c>
      <c r="P288" t="s">
        <v>1485</v>
      </c>
      <c r="T288" s="27" t="s">
        <v>520</v>
      </c>
      <c r="AC288" t="str">
        <f t="shared" si="1273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SUM(IF(ISNUMBER(FIND("TmDi",$BE$1:$AAL$1)),IF(IFERROR(ISNUMBER(VALUE(SUBSTITUTE($BE288:$AAL288,"B",""))),FALSE),IF(ISNUMBER(VALUE(SUBSTITUTE($BE288:$AAL288,"B",""))),1,0),0)))</f>
        <v>0</v>
      </c>
      <c r="AF288" t="str">
        <f t="shared" si="706"/>
        <v>C3</v>
      </c>
      <c r="AG288" t="str">
        <f t="shared" si="707"/>
        <v>B3</v>
      </c>
      <c r="AP288" t="s">
        <v>137</v>
      </c>
      <c r="AT288" t="s">
        <v>820</v>
      </c>
      <c r="AU288" t="s">
        <v>1329</v>
      </c>
      <c r="LY288" s="27" t="str">
        <f t="shared" ref="LY288:LY294" si="1306">CONCATENATE("DI",REPLACE($AC288,1,3,""),"-",$AF288)</f>
        <v>DI19-C3</v>
      </c>
      <c r="MA288" t="s">
        <v>1490</v>
      </c>
      <c r="MB288" t="s">
        <v>1491</v>
      </c>
      <c r="MC288">
        <f t="shared" ref="MC288:MC294" si="1307">MC287</f>
        <v>11</v>
      </c>
      <c r="MD288">
        <f t="shared" ref="MD288:MD294" si="1308">MD287</f>
        <v>14</v>
      </c>
      <c r="ME288" t="str">
        <f t="shared" ref="ME288:ME294" si="1309">ME287</f>
        <v>A1</v>
      </c>
      <c r="MF288" t="str">
        <f t="shared" ref="MF288:MF294" si="1310">MF287</f>
        <v>A2</v>
      </c>
      <c r="MG288" t="str">
        <f t="shared" ref="MG288:MG294" si="1311">MG287</f>
        <v>0v3</v>
      </c>
      <c r="MH288" t="str">
        <f t="shared" ref="MH288:MH294" si="1312">MH287</f>
        <v>24v3</v>
      </c>
      <c r="MI288" t="str">
        <f t="shared" ref="MI288:MI294" si="1313">MI287</f>
        <v>0v6</v>
      </c>
      <c r="MJ288" t="str">
        <f t="shared" ref="MJ288:MJ294" si="1314">MJ287</f>
        <v>24v6</v>
      </c>
      <c r="MQ288">
        <f t="shared" ref="MQ288:MQ294" si="1315">MQ287</f>
        <v>1</v>
      </c>
      <c r="MR288" s="16">
        <f t="shared" ref="MR288:MR294" si="1316">MR287</f>
        <v>2</v>
      </c>
    </row>
    <row r="289" spans="1:357" x14ac:dyDescent="0.25">
      <c r="A289" t="s">
        <v>1604</v>
      </c>
      <c r="B289" t="s">
        <v>1776</v>
      </c>
      <c r="P289" t="s">
        <v>1485</v>
      </c>
      <c r="T289" s="27" t="s">
        <v>520</v>
      </c>
      <c r="AC289" t="str">
        <f t="shared" si="1273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SUM(IF(ISNUMBER(FIND("TmDi",$BE$1:$AAL$1)),IF(IFERROR(ISNUMBER(VALUE(SUBSTITUTE($BE289:$AAL289,"B",""))),FALSE),IF(ISNUMBER(VALUE(SUBSTITUTE($BE289:$AAL289,"B",""))),1,0),0)))</f>
        <v>0</v>
      </c>
      <c r="AF289" t="str">
        <f t="shared" si="706"/>
        <v>C4</v>
      </c>
      <c r="AG289" t="str">
        <f t="shared" si="707"/>
        <v>B4</v>
      </c>
      <c r="AP289" t="s">
        <v>137</v>
      </c>
      <c r="AT289" t="s">
        <v>820</v>
      </c>
      <c r="AU289" t="s">
        <v>1329</v>
      </c>
      <c r="LY289" s="27" t="str">
        <f t="shared" si="1306"/>
        <v>DI19-C4</v>
      </c>
      <c r="MA289" t="s">
        <v>1492</v>
      </c>
      <c r="MB289" t="s">
        <v>1493</v>
      </c>
      <c r="MC289">
        <f t="shared" si="1307"/>
        <v>11</v>
      </c>
      <c r="MD289">
        <f t="shared" si="1308"/>
        <v>14</v>
      </c>
      <c r="ME289" t="str">
        <f t="shared" si="1309"/>
        <v>A1</v>
      </c>
      <c r="MF289" t="str">
        <f t="shared" si="1310"/>
        <v>A2</v>
      </c>
      <c r="MG289" t="str">
        <f t="shared" si="1311"/>
        <v>0v3</v>
      </c>
      <c r="MH289" t="str">
        <f t="shared" si="1312"/>
        <v>24v3</v>
      </c>
      <c r="MI289" t="str">
        <f t="shared" si="1313"/>
        <v>0v6</v>
      </c>
      <c r="MJ289" t="str">
        <f t="shared" si="1314"/>
        <v>24v6</v>
      </c>
      <c r="MQ289">
        <f t="shared" si="1315"/>
        <v>1</v>
      </c>
      <c r="MR289" s="16">
        <f t="shared" si="1316"/>
        <v>2</v>
      </c>
    </row>
    <row r="290" spans="1:357" x14ac:dyDescent="0.25">
      <c r="A290" t="s">
        <v>1605</v>
      </c>
      <c r="B290" t="s">
        <v>1777</v>
      </c>
      <c r="P290" t="s">
        <v>1485</v>
      </c>
      <c r="T290" s="27" t="s">
        <v>520</v>
      </c>
      <c r="AC290" t="str">
        <f t="shared" si="1273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SUM(IF(ISNUMBER(FIND("TmDi",$BE$1:$AAL$1)),IF(IFERROR(ISNUMBER(VALUE(SUBSTITUTE($BE290:$AAL290,"B",""))),FALSE),IF(ISNUMBER(VALUE(SUBSTITUTE($BE290:$AAL290,"B",""))),1,0),0)))</f>
        <v>0</v>
      </c>
      <c r="AF290" t="str">
        <f t="shared" si="706"/>
        <v>C5</v>
      </c>
      <c r="AG290" t="str">
        <f t="shared" si="707"/>
        <v>B5</v>
      </c>
      <c r="AP290" t="s">
        <v>137</v>
      </c>
      <c r="AT290" t="s">
        <v>820</v>
      </c>
      <c r="AU290" t="s">
        <v>1329</v>
      </c>
      <c r="LY290" s="27" t="str">
        <f t="shared" si="1306"/>
        <v>DI19-C5</v>
      </c>
      <c r="MA290" t="s">
        <v>1494</v>
      </c>
      <c r="MB290" t="s">
        <v>1495</v>
      </c>
      <c r="MC290">
        <f t="shared" si="1307"/>
        <v>11</v>
      </c>
      <c r="MD290">
        <f t="shared" si="1308"/>
        <v>14</v>
      </c>
      <c r="ME290" t="str">
        <f t="shared" si="1309"/>
        <v>A1</v>
      </c>
      <c r="MF290" t="str">
        <f t="shared" si="1310"/>
        <v>A2</v>
      </c>
      <c r="MG290" t="str">
        <f t="shared" si="1311"/>
        <v>0v3</v>
      </c>
      <c r="MH290" t="str">
        <f t="shared" si="1312"/>
        <v>24v3</v>
      </c>
      <c r="MI290" t="str">
        <f t="shared" si="1313"/>
        <v>0v6</v>
      </c>
      <c r="MJ290" t="str">
        <f t="shared" si="1314"/>
        <v>24v6</v>
      </c>
      <c r="MQ290">
        <f t="shared" si="1315"/>
        <v>1</v>
      </c>
      <c r="MR290" s="16">
        <f t="shared" si="1316"/>
        <v>2</v>
      </c>
    </row>
    <row r="291" spans="1:357" x14ac:dyDescent="0.25">
      <c r="A291" t="s">
        <v>1606</v>
      </c>
      <c r="B291" t="s">
        <v>1778</v>
      </c>
      <c r="P291" t="s">
        <v>1485</v>
      </c>
      <c r="T291" s="27" t="s">
        <v>520</v>
      </c>
      <c r="AC291" t="str">
        <f t="shared" si="1273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SUM(IF(ISNUMBER(FIND("TmDi",$BE$1:$AAL$1)),IF(IFERROR(ISNUMBER(VALUE(SUBSTITUTE($BE291:$AAL291,"B",""))),FALSE),IF(ISNUMBER(VALUE(SUBSTITUTE($BE291:$AAL291,"B",""))),1,0),0)))</f>
        <v>0</v>
      </c>
      <c r="AF291" t="str">
        <f t="shared" si="706"/>
        <v>C6</v>
      </c>
      <c r="AG291" t="str">
        <f t="shared" si="707"/>
        <v>B6</v>
      </c>
      <c r="AP291" t="s">
        <v>137</v>
      </c>
      <c r="AT291" t="s">
        <v>820</v>
      </c>
      <c r="AU291" t="s">
        <v>1329</v>
      </c>
      <c r="LY291" s="27" t="str">
        <f t="shared" si="1306"/>
        <v>DI19-C6</v>
      </c>
      <c r="MA291" t="s">
        <v>1496</v>
      </c>
      <c r="MB291" t="s">
        <v>1497</v>
      </c>
      <c r="MC291">
        <f t="shared" si="1307"/>
        <v>11</v>
      </c>
      <c r="MD291">
        <f t="shared" si="1308"/>
        <v>14</v>
      </c>
      <c r="ME291" t="str">
        <f t="shared" si="1309"/>
        <v>A1</v>
      </c>
      <c r="MF291" t="str">
        <f t="shared" si="1310"/>
        <v>A2</v>
      </c>
      <c r="MG291" t="str">
        <f t="shared" si="1311"/>
        <v>0v3</v>
      </c>
      <c r="MH291" t="str">
        <f t="shared" si="1312"/>
        <v>24v3</v>
      </c>
      <c r="MI291" t="str">
        <f t="shared" si="1313"/>
        <v>0v6</v>
      </c>
      <c r="MJ291" t="str">
        <f t="shared" si="1314"/>
        <v>24v6</v>
      </c>
      <c r="MQ291">
        <f t="shared" si="1315"/>
        <v>1</v>
      </c>
      <c r="MR291" s="16">
        <f t="shared" si="1316"/>
        <v>2</v>
      </c>
    </row>
    <row r="292" spans="1:357" x14ac:dyDescent="0.25">
      <c r="A292" t="s">
        <v>1607</v>
      </c>
      <c r="B292" t="s">
        <v>1779</v>
      </c>
      <c r="P292" t="s">
        <v>1485</v>
      </c>
      <c r="T292" s="27" t="s">
        <v>520</v>
      </c>
      <c r="AC292" t="str">
        <f t="shared" si="1273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SUM(IF(ISNUMBER(FIND("TmDi",$BE$1:$AAL$1)),IF(IFERROR(ISNUMBER(VALUE(SUBSTITUTE($BE292:$AAL292,"B",""))),FALSE),IF(ISNUMBER(VALUE(SUBSTITUTE($BE292:$AAL292,"B",""))),1,0),0)))</f>
        <v>0</v>
      </c>
      <c r="AF292" t="str">
        <f t="shared" si="706"/>
        <v>C7</v>
      </c>
      <c r="AG292" t="str">
        <f t="shared" si="707"/>
        <v>B7</v>
      </c>
      <c r="AP292" t="s">
        <v>137</v>
      </c>
      <c r="AT292" t="s">
        <v>820</v>
      </c>
      <c r="AU292" t="s">
        <v>1329</v>
      </c>
      <c r="LY292" s="27" t="str">
        <f t="shared" si="1306"/>
        <v>DI19-C7</v>
      </c>
      <c r="MA292" t="s">
        <v>1498</v>
      </c>
      <c r="MB292" t="s">
        <v>1499</v>
      </c>
      <c r="MC292">
        <f t="shared" si="1307"/>
        <v>11</v>
      </c>
      <c r="MD292">
        <f t="shared" si="1308"/>
        <v>14</v>
      </c>
      <c r="ME292" t="str">
        <f t="shared" si="1309"/>
        <v>A1</v>
      </c>
      <c r="MF292" t="str">
        <f t="shared" si="1310"/>
        <v>A2</v>
      </c>
      <c r="MG292" t="str">
        <f t="shared" si="1311"/>
        <v>0v3</v>
      </c>
      <c r="MH292" t="str">
        <f t="shared" si="1312"/>
        <v>24v3</v>
      </c>
      <c r="MI292" t="str">
        <f t="shared" si="1313"/>
        <v>0v6</v>
      </c>
      <c r="MJ292" t="str">
        <f t="shared" si="1314"/>
        <v>24v6</v>
      </c>
      <c r="MQ292">
        <f t="shared" si="1315"/>
        <v>1</v>
      </c>
      <c r="MR292" s="16">
        <f t="shared" si="1316"/>
        <v>2</v>
      </c>
    </row>
    <row r="293" spans="1:357" x14ac:dyDescent="0.25">
      <c r="A293" t="s">
        <v>1608</v>
      </c>
      <c r="B293" t="s">
        <v>1780</v>
      </c>
      <c r="P293" t="s">
        <v>1485</v>
      </c>
      <c r="T293" s="27" t="s">
        <v>520</v>
      </c>
      <c r="AC293" t="str">
        <f t="shared" si="1273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SUM(IF(ISNUMBER(FIND("TmDi",$BE$1:$AAL$1)),IF(IFERROR(ISNUMBER(VALUE(SUBSTITUTE($BE293:$AAL293,"B",""))),FALSE),IF(ISNUMBER(VALUE(SUBSTITUTE($BE293:$AAL293,"B",""))),1,0),0)))</f>
        <v>0</v>
      </c>
      <c r="AF293" t="str">
        <f t="shared" si="706"/>
        <v>C8</v>
      </c>
      <c r="AG293" t="str">
        <f t="shared" si="707"/>
        <v>B8</v>
      </c>
      <c r="AP293" t="s">
        <v>137</v>
      </c>
      <c r="AT293" t="s">
        <v>820</v>
      </c>
      <c r="AU293" t="s">
        <v>1329</v>
      </c>
      <c r="LY293" s="27" t="str">
        <f t="shared" si="1306"/>
        <v>DI19-C8</v>
      </c>
      <c r="MA293" t="s">
        <v>1500</v>
      </c>
      <c r="MB293" t="s">
        <v>1501</v>
      </c>
      <c r="MC293">
        <f t="shared" si="1307"/>
        <v>11</v>
      </c>
      <c r="MD293">
        <f t="shared" si="1308"/>
        <v>14</v>
      </c>
      <c r="ME293" t="str">
        <f t="shared" si="1309"/>
        <v>A1</v>
      </c>
      <c r="MF293" t="str">
        <f t="shared" si="1310"/>
        <v>A2</v>
      </c>
      <c r="MG293" t="str">
        <f t="shared" si="1311"/>
        <v>0v3</v>
      </c>
      <c r="MH293" t="str">
        <f t="shared" si="1312"/>
        <v>24v3</v>
      </c>
      <c r="MI293" t="str">
        <f t="shared" si="1313"/>
        <v>0v6</v>
      </c>
      <c r="MJ293" t="str">
        <f t="shared" si="1314"/>
        <v>24v6</v>
      </c>
      <c r="MQ293">
        <f t="shared" si="1315"/>
        <v>1</v>
      </c>
      <c r="MR293" s="16">
        <f t="shared" si="1316"/>
        <v>2</v>
      </c>
    </row>
    <row r="294" spans="1:357" ht="15.75" thickBot="1" x14ac:dyDescent="0.3">
      <c r="A294" t="s">
        <v>1609</v>
      </c>
      <c r="B294" t="s">
        <v>1781</v>
      </c>
      <c r="P294" t="s">
        <v>1485</v>
      </c>
      <c r="T294" s="27" t="s">
        <v>520</v>
      </c>
      <c r="AC294" t="str">
        <f t="shared" si="1273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SUM(IF(ISNUMBER(FIND("TmDi",$BE$1:$AAL$1)),IF(IFERROR(ISNUMBER(VALUE(SUBSTITUTE($BE294:$AAL294,"B",""))),FALSE),IF(ISNUMBER(VALUE(SUBSTITUTE($BE294:$AAL294,"B",""))),1,0),0)))</f>
        <v>0</v>
      </c>
      <c r="AF294" t="str">
        <f t="shared" si="706"/>
        <v>C9</v>
      </c>
      <c r="AG294" t="str">
        <f t="shared" si="707"/>
        <v>B9</v>
      </c>
      <c r="AP294" t="s">
        <v>137</v>
      </c>
      <c r="AT294" t="s">
        <v>820</v>
      </c>
      <c r="AU294" t="s">
        <v>1329</v>
      </c>
      <c r="LY294" s="27" t="str">
        <f t="shared" si="1306"/>
        <v>DI19-C9</v>
      </c>
      <c r="MA294" t="s">
        <v>1502</v>
      </c>
      <c r="MB294" t="s">
        <v>1503</v>
      </c>
      <c r="MC294">
        <f t="shared" si="1307"/>
        <v>11</v>
      </c>
      <c r="MD294">
        <f t="shared" si="1308"/>
        <v>14</v>
      </c>
      <c r="ME294" t="str">
        <f t="shared" si="1309"/>
        <v>A1</v>
      </c>
      <c r="MF294" t="str">
        <f t="shared" si="1310"/>
        <v>A2</v>
      </c>
      <c r="MG294" t="str">
        <f t="shared" si="1311"/>
        <v>0v3</v>
      </c>
      <c r="MH294" t="str">
        <f t="shared" si="1312"/>
        <v>24v3</v>
      </c>
      <c r="MI294" t="str">
        <f t="shared" si="1313"/>
        <v>0v6</v>
      </c>
      <c r="MJ294" t="str">
        <f t="shared" si="1314"/>
        <v>24v6</v>
      </c>
      <c r="MQ294">
        <f t="shared" si="1315"/>
        <v>1</v>
      </c>
      <c r="MR294" s="16">
        <f t="shared" si="1316"/>
        <v>2</v>
      </c>
    </row>
    <row r="295" spans="1:357" x14ac:dyDescent="0.25">
      <c r="A295" t="s">
        <v>1766</v>
      </c>
      <c r="B295" t="s">
        <v>1782</v>
      </c>
      <c r="P295" t="s">
        <v>1485</v>
      </c>
      <c r="T295" s="27" t="s">
        <v>1772</v>
      </c>
      <c r="AC295" t="s">
        <v>1478</v>
      </c>
      <c r="AD295" s="43" cm="1">
        <f t="array" ref="AD295">IF(COUNTIFS(AC$2:AC295,AC295)=1,"1",VALUE(SUBSTITUTE(INDEX(AD:AD,_xlfn.XMATCH(AC295,AC$1:AC294,0,-1)),"A",""))+INDEX(AE:AE,_xlfn.XMATCH(AC295,AC$1:AC294,0,-1))+1)</f>
        <v>10</v>
      </c>
      <c r="AE295" s="43" cm="1">
        <f t="array" ref="AE295">SUM(IF(ISNUMBER(FIND("TmDi",$BE$1:$AAL$1)),IF(IFERROR(ISNUMBER(VALUE(SUBSTITUTE($BE295:$AAL295,"B",""))),FALSE),IF(ISNUMBER(VALUE(SUBSTITUTE($BE295:$AAL295,"B",""))),1,0),0)))</f>
        <v>0</v>
      </c>
      <c r="AF295" t="str">
        <f t="shared" si="706"/>
        <v>C10</v>
      </c>
      <c r="AG295" t="str">
        <f t="shared" si="707"/>
        <v>B10</v>
      </c>
      <c r="AP295" t="s">
        <v>137</v>
      </c>
      <c r="AT295" t="s">
        <v>820</v>
      </c>
      <c r="AU295" t="s">
        <v>1329</v>
      </c>
      <c r="LY295" s="25" t="str">
        <f>CONCATENATE("DI",REPLACE($AC295,1,3,""),"-",$AF295)</f>
        <v>DI19-C10</v>
      </c>
      <c r="LZ295" s="12"/>
      <c r="MA295" s="12" t="s">
        <v>1487</v>
      </c>
      <c r="MB295" s="12" t="s">
        <v>1486</v>
      </c>
      <c r="MC295" s="12">
        <v>11</v>
      </c>
      <c r="MD295" s="12">
        <v>14</v>
      </c>
      <c r="ME295" s="12" t="s">
        <v>142</v>
      </c>
      <c r="MF295" s="12" t="s">
        <v>143</v>
      </c>
      <c r="MG295" s="12" t="s">
        <v>454</v>
      </c>
      <c r="MH295" s="12" t="s">
        <v>453</v>
      </c>
      <c r="MI295" s="12" t="s">
        <v>384</v>
      </c>
      <c r="MJ295" s="12" t="s">
        <v>383</v>
      </c>
      <c r="MK295" s="12"/>
      <c r="ML295" s="12"/>
      <c r="MM295" s="12"/>
      <c r="MN295" s="12"/>
      <c r="MO295" s="12"/>
      <c r="MP295" s="12"/>
      <c r="MQ295" s="12">
        <v>1</v>
      </c>
      <c r="MR295" s="13">
        <v>2</v>
      </c>
      <c r="MS295" s="27"/>
    </row>
    <row r="296" spans="1:357" x14ac:dyDescent="0.25">
      <c r="A296" t="s">
        <v>1767</v>
      </c>
      <c r="B296" t="s">
        <v>1783</v>
      </c>
      <c r="P296" t="s">
        <v>1485</v>
      </c>
      <c r="T296" s="27" t="s">
        <v>1772</v>
      </c>
      <c r="AC296" t="str">
        <f t="shared" ref="AC296:AC300" si="1317">IF(AD295+AE295&gt;31,REPLACE(AC295,LEN(AC295),1,VALUE(RIGHT(AC295,1))+1),AC295)</f>
        <v>A5.19</v>
      </c>
      <c r="AD296" s="43" cm="1">
        <f t="array" ref="AD296">IF(COUNTIFS(AC$2:AC296,AC296)=1,"1",VALUE(SUBSTITUTE(INDEX(AD:AD,_xlfn.XMATCH(AC296,AC$1:AC295,0,-1)),"A",""))+INDEX(AE:AE,_xlfn.XMATCH(AC296,AC$1:AC295,0,-1))+1)</f>
        <v>11</v>
      </c>
      <c r="AE296" s="43" cm="1">
        <f t="array" ref="AE296">SUM(IF(ISNUMBER(FIND("TmDi",$BE$1:$AAL$1)),IF(IFERROR(ISNUMBER(VALUE(SUBSTITUTE($BE296:$AAL296,"B",""))),FALSE),IF(ISNUMBER(VALUE(SUBSTITUTE($BE296:$AAL296,"B",""))),1,0),0)))</f>
        <v>0</v>
      </c>
      <c r="AF296" t="str">
        <f t="shared" si="706"/>
        <v>C11</v>
      </c>
      <c r="AG296" t="str">
        <f t="shared" si="707"/>
        <v>B11</v>
      </c>
      <c r="AP296" t="s">
        <v>137</v>
      </c>
      <c r="AT296" t="s">
        <v>820</v>
      </c>
      <c r="AU296" t="s">
        <v>1329</v>
      </c>
      <c r="LY296" s="27" t="str">
        <f>CONCATENATE("DI",REPLACE($AC296,1,3,""),"-",$AF296)</f>
        <v>DI19-C11</v>
      </c>
      <c r="MA296" t="s">
        <v>1488</v>
      </c>
      <c r="MB296" t="s">
        <v>1489</v>
      </c>
      <c r="MC296">
        <f t="shared" ref="MC296:MJ300" si="1318">MC295</f>
        <v>11</v>
      </c>
      <c r="MD296">
        <f t="shared" si="1318"/>
        <v>14</v>
      </c>
      <c r="ME296" t="str">
        <f t="shared" si="1318"/>
        <v>A1</v>
      </c>
      <c r="MF296" t="str">
        <f t="shared" si="1318"/>
        <v>A2</v>
      </c>
      <c r="MG296" t="str">
        <f t="shared" si="1318"/>
        <v>0v3</v>
      </c>
      <c r="MH296" t="str">
        <f t="shared" si="1318"/>
        <v>24v3</v>
      </c>
      <c r="MI296" t="str">
        <f t="shared" si="1318"/>
        <v>0v6</v>
      </c>
      <c r="MJ296" t="str">
        <f t="shared" si="1318"/>
        <v>24v6</v>
      </c>
      <c r="MQ296">
        <f>MQ295</f>
        <v>1</v>
      </c>
      <c r="MR296" s="16">
        <f>MR295</f>
        <v>2</v>
      </c>
    </row>
    <row r="297" spans="1:357" x14ac:dyDescent="0.25">
      <c r="A297" t="s">
        <v>1768</v>
      </c>
      <c r="B297" t="s">
        <v>1784</v>
      </c>
      <c r="P297" t="s">
        <v>1485</v>
      </c>
      <c r="T297" s="27" t="s">
        <v>1772</v>
      </c>
      <c r="AC297" t="str">
        <f t="shared" si="1317"/>
        <v>A5.19</v>
      </c>
      <c r="AD297" s="43" cm="1">
        <f t="array" ref="AD297">IF(COUNTIFS(AC$2:AC297,AC297)=1,"1",VALUE(SUBSTITUTE(INDEX(AD:AD,_xlfn.XMATCH(AC297,AC$1:AC296,0,-1)),"A",""))+INDEX(AE:AE,_xlfn.XMATCH(AC297,AC$1:AC296,0,-1))+1)</f>
        <v>12</v>
      </c>
      <c r="AE297" s="43" cm="1">
        <f t="array" ref="AE297">SUM(IF(ISNUMBER(FIND("TmDi",$BE$1:$AAL$1)),IF(IFERROR(ISNUMBER(VALUE(SUBSTITUTE($BE297:$AAL297,"B",""))),FALSE),IF(ISNUMBER(VALUE(SUBSTITUTE($BE297:$AAL297,"B",""))),1,0),0)))</f>
        <v>0</v>
      </c>
      <c r="AF297" t="str">
        <f t="shared" si="706"/>
        <v>C12</v>
      </c>
      <c r="AG297" t="str">
        <f t="shared" si="707"/>
        <v>B12</v>
      </c>
      <c r="AP297" t="s">
        <v>137</v>
      </c>
      <c r="AT297" t="s">
        <v>820</v>
      </c>
      <c r="AU297" t="s">
        <v>1329</v>
      </c>
      <c r="LY297" s="27" t="str">
        <f t="shared" ref="LY297:LY300" si="1319">CONCATENATE("DI",REPLACE($AC297,1,3,""),"-",$AF297)</f>
        <v>DI19-C12</v>
      </c>
      <c r="MA297" t="s">
        <v>1490</v>
      </c>
      <c r="MB297" t="s">
        <v>1491</v>
      </c>
      <c r="MC297">
        <f t="shared" si="1318"/>
        <v>11</v>
      </c>
      <c r="MD297">
        <f t="shared" si="1318"/>
        <v>14</v>
      </c>
      <c r="ME297" t="str">
        <f t="shared" si="1318"/>
        <v>A1</v>
      </c>
      <c r="MF297" t="str">
        <f t="shared" si="1318"/>
        <v>A2</v>
      </c>
      <c r="MG297" t="str">
        <f t="shared" si="1318"/>
        <v>0v3</v>
      </c>
      <c r="MH297" t="str">
        <f t="shared" si="1318"/>
        <v>24v3</v>
      </c>
      <c r="MI297" t="str">
        <f t="shared" si="1318"/>
        <v>0v6</v>
      </c>
      <c r="MJ297" t="str">
        <f t="shared" si="1318"/>
        <v>24v6</v>
      </c>
      <c r="MQ297">
        <f t="shared" ref="MQ297:MR300" si="1320">MQ296</f>
        <v>1</v>
      </c>
      <c r="MR297" s="16">
        <f t="shared" si="1320"/>
        <v>2</v>
      </c>
    </row>
    <row r="298" spans="1:357" x14ac:dyDescent="0.25">
      <c r="A298" t="s">
        <v>1769</v>
      </c>
      <c r="B298" t="s">
        <v>1785</v>
      </c>
      <c r="P298" t="s">
        <v>1485</v>
      </c>
      <c r="T298" s="27" t="s">
        <v>1772</v>
      </c>
      <c r="AC298" t="str">
        <f t="shared" si="1317"/>
        <v>A5.19</v>
      </c>
      <c r="AD298" s="43" cm="1">
        <f t="array" ref="AD298">IF(COUNTIFS(AC$2:AC298,AC298)=1,"1",VALUE(SUBSTITUTE(INDEX(AD:AD,_xlfn.XMATCH(AC298,AC$1:AC297,0,-1)),"A",""))+INDEX(AE:AE,_xlfn.XMATCH(AC298,AC$1:AC297,0,-1))+1)</f>
        <v>13</v>
      </c>
      <c r="AE298" s="43" cm="1">
        <f t="array" ref="AE298">SUM(IF(ISNUMBER(FIND("TmDi",$BE$1:$AAL$1)),IF(IFERROR(ISNUMBER(VALUE(SUBSTITUTE($BE298:$AAL298,"B",""))),FALSE),IF(ISNUMBER(VALUE(SUBSTITUTE($BE298:$AAL298,"B",""))),1,0),0)))</f>
        <v>0</v>
      </c>
      <c r="AF298" t="str">
        <f t="shared" si="706"/>
        <v>C13</v>
      </c>
      <c r="AG298" t="str">
        <f t="shared" si="707"/>
        <v>B13</v>
      </c>
      <c r="AP298" t="s">
        <v>137</v>
      </c>
      <c r="AT298" t="s">
        <v>820</v>
      </c>
      <c r="AU298" t="s">
        <v>1329</v>
      </c>
      <c r="LY298" s="27" t="str">
        <f t="shared" si="1319"/>
        <v>DI19-C13</v>
      </c>
      <c r="MA298" t="s">
        <v>1492</v>
      </c>
      <c r="MB298" t="s">
        <v>1493</v>
      </c>
      <c r="MC298">
        <f t="shared" si="1318"/>
        <v>11</v>
      </c>
      <c r="MD298">
        <f t="shared" si="1318"/>
        <v>14</v>
      </c>
      <c r="ME298" t="str">
        <f t="shared" si="1318"/>
        <v>A1</v>
      </c>
      <c r="MF298" t="str">
        <f t="shared" si="1318"/>
        <v>A2</v>
      </c>
      <c r="MG298" t="str">
        <f t="shared" si="1318"/>
        <v>0v3</v>
      </c>
      <c r="MH298" t="str">
        <f t="shared" si="1318"/>
        <v>24v3</v>
      </c>
      <c r="MI298" t="str">
        <f t="shared" si="1318"/>
        <v>0v6</v>
      </c>
      <c r="MJ298" t="str">
        <f t="shared" si="1318"/>
        <v>24v6</v>
      </c>
      <c r="MQ298">
        <f t="shared" si="1320"/>
        <v>1</v>
      </c>
      <c r="MR298" s="16">
        <f t="shared" si="1320"/>
        <v>2</v>
      </c>
    </row>
    <row r="299" spans="1:357" x14ac:dyDescent="0.25">
      <c r="A299" t="s">
        <v>1770</v>
      </c>
      <c r="B299" t="s">
        <v>1786</v>
      </c>
      <c r="P299" t="s">
        <v>1485</v>
      </c>
      <c r="T299" s="27" t="s">
        <v>1772</v>
      </c>
      <c r="AC299" t="str">
        <f t="shared" si="1317"/>
        <v>A5.19</v>
      </c>
      <c r="AD299" s="43" cm="1">
        <f t="array" ref="AD299">IF(COUNTIFS(AC$2:AC299,AC299)=1,"1",VALUE(SUBSTITUTE(INDEX(AD:AD,_xlfn.XMATCH(AC299,AC$1:AC298,0,-1)),"A",""))+INDEX(AE:AE,_xlfn.XMATCH(AC299,AC$1:AC298,0,-1))+1)</f>
        <v>14</v>
      </c>
      <c r="AE299" s="43" cm="1">
        <f t="array" ref="AE299">SUM(IF(ISNUMBER(FIND("TmDi",$BE$1:$AAL$1)),IF(IFERROR(ISNUMBER(VALUE(SUBSTITUTE($BE299:$AAL299,"B",""))),FALSE),IF(ISNUMBER(VALUE(SUBSTITUTE($BE299:$AAL299,"B",""))),1,0),0)))</f>
        <v>0</v>
      </c>
      <c r="AF299" t="str">
        <f t="shared" si="706"/>
        <v>C14</v>
      </c>
      <c r="AG299" t="str">
        <f t="shared" si="707"/>
        <v>B14</v>
      </c>
      <c r="AP299" t="s">
        <v>137</v>
      </c>
      <c r="AT299" t="s">
        <v>820</v>
      </c>
      <c r="AU299" t="s">
        <v>1329</v>
      </c>
      <c r="LY299" s="27" t="str">
        <f t="shared" si="1319"/>
        <v>DI19-C14</v>
      </c>
      <c r="MA299" t="s">
        <v>1494</v>
      </c>
      <c r="MB299" t="s">
        <v>1495</v>
      </c>
      <c r="MC299">
        <f t="shared" si="1318"/>
        <v>11</v>
      </c>
      <c r="MD299">
        <f t="shared" si="1318"/>
        <v>14</v>
      </c>
      <c r="ME299" t="str">
        <f t="shared" si="1318"/>
        <v>A1</v>
      </c>
      <c r="MF299" t="str">
        <f t="shared" si="1318"/>
        <v>A2</v>
      </c>
      <c r="MG299" t="str">
        <f t="shared" si="1318"/>
        <v>0v3</v>
      </c>
      <c r="MH299" t="str">
        <f t="shared" si="1318"/>
        <v>24v3</v>
      </c>
      <c r="MI299" t="str">
        <f t="shared" si="1318"/>
        <v>0v6</v>
      </c>
      <c r="MJ299" t="str">
        <f t="shared" si="1318"/>
        <v>24v6</v>
      </c>
      <c r="MQ299">
        <f t="shared" si="1320"/>
        <v>1</v>
      </c>
      <c r="MR299" s="16">
        <f t="shared" si="1320"/>
        <v>2</v>
      </c>
    </row>
    <row r="300" spans="1:357" ht="15.75" thickBot="1" x14ac:dyDescent="0.3">
      <c r="A300" t="s">
        <v>1771</v>
      </c>
      <c r="B300" t="s">
        <v>1787</v>
      </c>
      <c r="P300" t="s">
        <v>1485</v>
      </c>
      <c r="T300" s="27" t="s">
        <v>1772</v>
      </c>
      <c r="AC300" t="str">
        <f t="shared" si="1317"/>
        <v>A5.19</v>
      </c>
      <c r="AD300" s="43" cm="1">
        <f t="array" ref="AD300">IF(COUNTIFS(AC$2:AC300,AC300)=1,"1",VALUE(SUBSTITUTE(INDEX(AD:AD,_xlfn.XMATCH(AC300,AC$1:AC299,0,-1)),"A",""))+INDEX(AE:AE,_xlfn.XMATCH(AC300,AC$1:AC299,0,-1))+1)</f>
        <v>15</v>
      </c>
      <c r="AE300" s="43" cm="1">
        <f t="array" ref="AE300">SUM(IF(ISNUMBER(FIND("TmDi",$BE$1:$AAL$1)),IF(IFERROR(ISNUMBER(VALUE(SUBSTITUTE($BE300:$AAL300,"B",""))),FALSE),IF(ISNUMBER(VALUE(SUBSTITUTE($BE300:$AAL300,"B",""))),1,0),0)))</f>
        <v>0</v>
      </c>
      <c r="AF300" t="str">
        <f t="shared" si="706"/>
        <v>C15</v>
      </c>
      <c r="AG300" t="str">
        <f t="shared" si="707"/>
        <v>B15</v>
      </c>
      <c r="AP300" t="s">
        <v>137</v>
      </c>
      <c r="AT300" t="s">
        <v>820</v>
      </c>
      <c r="AU300" t="s">
        <v>1329</v>
      </c>
      <c r="LY300" s="27" t="str">
        <f t="shared" si="1319"/>
        <v>DI19-C15</v>
      </c>
      <c r="MA300" t="s">
        <v>1494</v>
      </c>
      <c r="MB300" t="s">
        <v>1495</v>
      </c>
      <c r="MC300">
        <f t="shared" si="1318"/>
        <v>11</v>
      </c>
      <c r="MD300">
        <f t="shared" si="1318"/>
        <v>14</v>
      </c>
      <c r="ME300" t="str">
        <f t="shared" si="1318"/>
        <v>A1</v>
      </c>
      <c r="MF300" t="str">
        <f t="shared" si="1318"/>
        <v>A2</v>
      </c>
      <c r="MG300" t="str">
        <f t="shared" si="1318"/>
        <v>0v3</v>
      </c>
      <c r="MH300" t="str">
        <f t="shared" si="1318"/>
        <v>24v3</v>
      </c>
      <c r="MI300" t="str">
        <f t="shared" si="1318"/>
        <v>0v6</v>
      </c>
      <c r="MJ300" t="str">
        <f t="shared" si="1318"/>
        <v>24v6</v>
      </c>
      <c r="MQ300">
        <f t="shared" si="1320"/>
        <v>1</v>
      </c>
      <c r="MR300" s="16">
        <f t="shared" si="1320"/>
        <v>2</v>
      </c>
    </row>
    <row r="301" spans="1:357" x14ac:dyDescent="0.25">
      <c r="A301" t="s">
        <v>1794</v>
      </c>
      <c r="B301" t="s">
        <v>1788</v>
      </c>
      <c r="P301" t="s">
        <v>1485</v>
      </c>
      <c r="T301" s="27" t="s">
        <v>1772</v>
      </c>
      <c r="AC301" t="s">
        <v>1478</v>
      </c>
      <c r="AD301" s="43" cm="1">
        <f t="array" ref="AD301">IF(COUNTIFS(AC$2:AC301,AC301)=1,"1",VALUE(SUBSTITUTE(INDEX(AD:AD,_xlfn.XMATCH(AC301,AC$1:AC300,0,-1)),"A",""))+INDEX(AE:AE,_xlfn.XMATCH(AC301,AC$1:AC300,0,-1))+1)</f>
        <v>16</v>
      </c>
      <c r="AE301" s="43" cm="1">
        <f t="array" ref="AE301">SUM(IF(ISNUMBER(FIND("TmDi",$BE$1:$AAL$1)),IF(IFERROR(ISNUMBER(VALUE(SUBSTITUTE($BE301:$AAL301,"B",""))),FALSE),IF(ISNUMBER(VALUE(SUBSTITUTE($BE301:$AAL301,"B",""))),1,0),0)))</f>
        <v>0</v>
      </c>
      <c r="AF301" t="str">
        <f t="shared" si="706"/>
        <v>C16</v>
      </c>
      <c r="AG301" t="str">
        <f t="shared" si="707"/>
        <v>B16</v>
      </c>
      <c r="AP301" t="s">
        <v>137</v>
      </c>
      <c r="AT301" t="s">
        <v>820</v>
      </c>
      <c r="AU301" t="s">
        <v>1329</v>
      </c>
      <c r="LY301" s="25" t="str">
        <f>CONCATENATE("DI",REPLACE($AC301,1,3,""),"-",$AF301)</f>
        <v>DI19-C16</v>
      </c>
      <c r="LZ301" s="12"/>
      <c r="MA301" s="12" t="s">
        <v>1487</v>
      </c>
      <c r="MB301" s="12" t="s">
        <v>1486</v>
      </c>
      <c r="MC301" s="12">
        <v>11</v>
      </c>
      <c r="MD301" s="12">
        <v>14</v>
      </c>
      <c r="ME301" s="12" t="s">
        <v>142</v>
      </c>
      <c r="MF301" s="12" t="s">
        <v>143</v>
      </c>
      <c r="MG301" s="12" t="s">
        <v>454</v>
      </c>
      <c r="MH301" s="12" t="s">
        <v>453</v>
      </c>
      <c r="MI301" s="12" t="s">
        <v>384</v>
      </c>
      <c r="MJ301" s="12" t="s">
        <v>383</v>
      </c>
      <c r="MK301" s="12"/>
      <c r="ML301" s="12"/>
      <c r="MM301" s="12"/>
      <c r="MN301" s="12"/>
      <c r="MO301" s="12"/>
      <c r="MP301" s="12"/>
      <c r="MQ301" s="12">
        <v>1</v>
      </c>
      <c r="MR301" s="13">
        <v>2</v>
      </c>
      <c r="MS301" s="27"/>
    </row>
    <row r="302" spans="1:357" x14ac:dyDescent="0.25">
      <c r="A302" t="s">
        <v>1795</v>
      </c>
      <c r="B302" t="s">
        <v>1789</v>
      </c>
      <c r="P302" t="s">
        <v>1485</v>
      </c>
      <c r="T302" s="27" t="s">
        <v>1772</v>
      </c>
      <c r="AC302" t="str">
        <f t="shared" ref="AC302:AC306" si="1321">IF(AD301+AE301&gt;31,REPLACE(AC301,LEN(AC301),1,VALUE(RIGHT(AC301,1))+1),AC301)</f>
        <v>A5.19</v>
      </c>
      <c r="AD302" s="43" cm="1">
        <f t="array" ref="AD302">IF(COUNTIFS(AC$2:AC302,AC302)=1,"1",VALUE(SUBSTITUTE(INDEX(AD:AD,_xlfn.XMATCH(AC302,AC$1:AC301,0,-1)),"A",""))+INDEX(AE:AE,_xlfn.XMATCH(AC302,AC$1:AC301,0,-1))+1)</f>
        <v>17</v>
      </c>
      <c r="AE302" s="43" cm="1">
        <f t="array" ref="AE302">SUM(IF(ISNUMBER(FIND("TmDi",$BE$1:$AAL$1)),IF(IFERROR(ISNUMBER(VALUE(SUBSTITUTE($BE302:$AAL302,"B",""))),FALSE),IF(ISNUMBER(VALUE(SUBSTITUTE($BE302:$AAL302,"B",""))),1,0),0)))</f>
        <v>0</v>
      </c>
      <c r="AF302" t="str">
        <f t="shared" si="706"/>
        <v>C17</v>
      </c>
      <c r="AG302" t="str">
        <f t="shared" si="707"/>
        <v>B17</v>
      </c>
      <c r="AP302" t="s">
        <v>137</v>
      </c>
      <c r="AT302" t="s">
        <v>820</v>
      </c>
      <c r="AU302" t="s">
        <v>1329</v>
      </c>
      <c r="LY302" s="27" t="str">
        <f>CONCATENATE("DI",REPLACE($AC302,1,3,""),"-",$AF302)</f>
        <v>DI19-C17</v>
      </c>
      <c r="MA302" t="s">
        <v>1488</v>
      </c>
      <c r="MB302" t="s">
        <v>1489</v>
      </c>
      <c r="MC302">
        <f t="shared" ref="MC302:MJ302" si="1322">MC301</f>
        <v>11</v>
      </c>
      <c r="MD302">
        <f t="shared" si="1322"/>
        <v>14</v>
      </c>
      <c r="ME302" t="str">
        <f t="shared" si="1322"/>
        <v>A1</v>
      </c>
      <c r="MF302" t="str">
        <f t="shared" si="1322"/>
        <v>A2</v>
      </c>
      <c r="MG302" t="str">
        <f t="shared" si="1322"/>
        <v>0v3</v>
      </c>
      <c r="MH302" t="str">
        <f t="shared" si="1322"/>
        <v>24v3</v>
      </c>
      <c r="MI302" t="str">
        <f t="shared" si="1322"/>
        <v>0v6</v>
      </c>
      <c r="MJ302" t="str">
        <f t="shared" si="1322"/>
        <v>24v6</v>
      </c>
      <c r="MQ302">
        <f>MQ301</f>
        <v>1</v>
      </c>
      <c r="MR302" s="16">
        <f>MR301</f>
        <v>2</v>
      </c>
    </row>
    <row r="303" spans="1:357" x14ac:dyDescent="0.25">
      <c r="A303" t="s">
        <v>1796</v>
      </c>
      <c r="B303" t="s">
        <v>1790</v>
      </c>
      <c r="P303" t="s">
        <v>1485</v>
      </c>
      <c r="T303" s="27" t="s">
        <v>1772</v>
      </c>
      <c r="AC303" t="str">
        <f t="shared" si="1321"/>
        <v>A5.19</v>
      </c>
      <c r="AD303" s="43" cm="1">
        <f t="array" ref="AD303">IF(COUNTIFS(AC$2:AC303,AC303)=1,"1",VALUE(SUBSTITUTE(INDEX(AD:AD,_xlfn.XMATCH(AC303,AC$1:AC302,0,-1)),"A",""))+INDEX(AE:AE,_xlfn.XMATCH(AC303,AC$1:AC302,0,-1))+1)</f>
        <v>18</v>
      </c>
      <c r="AE303" s="43" cm="1">
        <f t="array" ref="AE303">SUM(IF(ISNUMBER(FIND("TmDi",$BE$1:$AAL$1)),IF(IFERROR(ISNUMBER(VALUE(SUBSTITUTE($BE303:$AAL303,"B",""))),FALSE),IF(ISNUMBER(VALUE(SUBSTITUTE($BE303:$AAL303,"B",""))),1,0),0)))</f>
        <v>0</v>
      </c>
      <c r="AF303" t="str">
        <f t="shared" si="706"/>
        <v>C18</v>
      </c>
      <c r="AG303" t="str">
        <f t="shared" si="707"/>
        <v>B18</v>
      </c>
      <c r="AP303" t="s">
        <v>137</v>
      </c>
      <c r="AT303" t="s">
        <v>820</v>
      </c>
      <c r="AU303" t="s">
        <v>1329</v>
      </c>
      <c r="LY303" s="27" t="str">
        <f t="shared" ref="LY303:LY306" si="1323">CONCATENATE("DI",REPLACE($AC303,1,3,""),"-",$AF303)</f>
        <v>DI19-C18</v>
      </c>
      <c r="MA303" t="s">
        <v>1490</v>
      </c>
      <c r="MB303" t="s">
        <v>1491</v>
      </c>
      <c r="MC303">
        <f t="shared" ref="MC303:MJ303" si="1324">MC302</f>
        <v>11</v>
      </c>
      <c r="MD303">
        <f t="shared" si="1324"/>
        <v>14</v>
      </c>
      <c r="ME303" t="str">
        <f t="shared" si="1324"/>
        <v>A1</v>
      </c>
      <c r="MF303" t="str">
        <f t="shared" si="1324"/>
        <v>A2</v>
      </c>
      <c r="MG303" t="str">
        <f t="shared" si="1324"/>
        <v>0v3</v>
      </c>
      <c r="MH303" t="str">
        <f t="shared" si="1324"/>
        <v>24v3</v>
      </c>
      <c r="MI303" t="str">
        <f t="shared" si="1324"/>
        <v>0v6</v>
      </c>
      <c r="MJ303" t="str">
        <f t="shared" si="1324"/>
        <v>24v6</v>
      </c>
      <c r="MQ303">
        <f t="shared" ref="MQ303:MR303" si="1325">MQ302</f>
        <v>1</v>
      </c>
      <c r="MR303" s="16">
        <f t="shared" si="1325"/>
        <v>2</v>
      </c>
    </row>
    <row r="304" spans="1:357" x14ac:dyDescent="0.25">
      <c r="A304" t="s">
        <v>1797</v>
      </c>
      <c r="B304" t="s">
        <v>1791</v>
      </c>
      <c r="P304" t="s">
        <v>1485</v>
      </c>
      <c r="T304" s="27" t="s">
        <v>1772</v>
      </c>
      <c r="AC304" t="str">
        <f t="shared" si="1321"/>
        <v>A5.19</v>
      </c>
      <c r="AD304" s="43" cm="1">
        <f t="array" ref="AD304">IF(COUNTIFS(AC$2:AC304,AC304)=1,"1",VALUE(SUBSTITUTE(INDEX(AD:AD,_xlfn.XMATCH(AC304,AC$1:AC303,0,-1)),"A",""))+INDEX(AE:AE,_xlfn.XMATCH(AC304,AC$1:AC303,0,-1))+1)</f>
        <v>19</v>
      </c>
      <c r="AE304" s="43" cm="1">
        <f t="array" ref="AE304">SUM(IF(ISNUMBER(FIND("TmDi",$BE$1:$AAL$1)),IF(IFERROR(ISNUMBER(VALUE(SUBSTITUTE($BE304:$AAL304,"B",""))),FALSE),IF(ISNUMBER(VALUE(SUBSTITUTE($BE304:$AAL304,"B",""))),1,0),0)))</f>
        <v>0</v>
      </c>
      <c r="AF304" t="str">
        <f t="shared" si="706"/>
        <v>C19</v>
      </c>
      <c r="AG304" t="str">
        <f t="shared" si="707"/>
        <v>B19</v>
      </c>
      <c r="AP304" t="s">
        <v>137</v>
      </c>
      <c r="AT304" t="s">
        <v>820</v>
      </c>
      <c r="AU304" t="s">
        <v>1329</v>
      </c>
      <c r="LY304" s="27" t="str">
        <f t="shared" si="1323"/>
        <v>DI19-C19</v>
      </c>
      <c r="MA304" t="s">
        <v>1492</v>
      </c>
      <c r="MB304" t="s">
        <v>1493</v>
      </c>
      <c r="MC304">
        <f t="shared" ref="MC304:MJ304" si="1326">MC303</f>
        <v>11</v>
      </c>
      <c r="MD304">
        <f t="shared" si="1326"/>
        <v>14</v>
      </c>
      <c r="ME304" t="str">
        <f t="shared" si="1326"/>
        <v>A1</v>
      </c>
      <c r="MF304" t="str">
        <f t="shared" si="1326"/>
        <v>A2</v>
      </c>
      <c r="MG304" t="str">
        <f t="shared" si="1326"/>
        <v>0v3</v>
      </c>
      <c r="MH304" t="str">
        <f t="shared" si="1326"/>
        <v>24v3</v>
      </c>
      <c r="MI304" t="str">
        <f t="shared" si="1326"/>
        <v>0v6</v>
      </c>
      <c r="MJ304" t="str">
        <f t="shared" si="1326"/>
        <v>24v6</v>
      </c>
      <c r="MQ304">
        <f t="shared" ref="MQ304:MR304" si="1327">MQ303</f>
        <v>1</v>
      </c>
      <c r="MR304" s="16">
        <f t="shared" si="1327"/>
        <v>2</v>
      </c>
    </row>
    <row r="305" spans="1:550" x14ac:dyDescent="0.25">
      <c r="A305" t="s">
        <v>1798</v>
      </c>
      <c r="B305" t="s">
        <v>1792</v>
      </c>
      <c r="P305" t="s">
        <v>1485</v>
      </c>
      <c r="T305" s="27" t="s">
        <v>1772</v>
      </c>
      <c r="AC305" t="str">
        <f t="shared" si="1321"/>
        <v>A5.19</v>
      </c>
      <c r="AD305" s="43" cm="1">
        <f t="array" ref="AD305">IF(COUNTIFS(AC$2:AC305,AC305)=1,"1",VALUE(SUBSTITUTE(INDEX(AD:AD,_xlfn.XMATCH(AC305,AC$1:AC304,0,-1)),"A",""))+INDEX(AE:AE,_xlfn.XMATCH(AC305,AC$1:AC304,0,-1))+1)</f>
        <v>20</v>
      </c>
      <c r="AE305" s="43" cm="1">
        <f t="array" ref="AE305">SUM(IF(ISNUMBER(FIND("TmDi",$BE$1:$AAL$1)),IF(IFERROR(ISNUMBER(VALUE(SUBSTITUTE($BE305:$AAL305,"B",""))),FALSE),IF(ISNUMBER(VALUE(SUBSTITUTE($BE305:$AAL305,"B",""))),1,0),0)))</f>
        <v>0</v>
      </c>
      <c r="AF305" t="str">
        <f t="shared" si="706"/>
        <v>C20</v>
      </c>
      <c r="AG305" t="str">
        <f t="shared" si="707"/>
        <v>B20</v>
      </c>
      <c r="AP305" t="s">
        <v>137</v>
      </c>
      <c r="AT305" t="s">
        <v>820</v>
      </c>
      <c r="AU305" t="s">
        <v>1329</v>
      </c>
      <c r="LY305" s="27" t="str">
        <f t="shared" si="1323"/>
        <v>DI19-C20</v>
      </c>
      <c r="MA305" t="s">
        <v>1494</v>
      </c>
      <c r="MB305" t="s">
        <v>1495</v>
      </c>
      <c r="MC305">
        <f t="shared" ref="MC305:MJ305" si="1328">MC304</f>
        <v>11</v>
      </c>
      <c r="MD305">
        <f t="shared" si="1328"/>
        <v>14</v>
      </c>
      <c r="ME305" t="str">
        <f t="shared" si="1328"/>
        <v>A1</v>
      </c>
      <c r="MF305" t="str">
        <f t="shared" si="1328"/>
        <v>A2</v>
      </c>
      <c r="MG305" t="str">
        <f t="shared" si="1328"/>
        <v>0v3</v>
      </c>
      <c r="MH305" t="str">
        <f t="shared" si="1328"/>
        <v>24v3</v>
      </c>
      <c r="MI305" t="str">
        <f t="shared" si="1328"/>
        <v>0v6</v>
      </c>
      <c r="MJ305" t="str">
        <f t="shared" si="1328"/>
        <v>24v6</v>
      </c>
      <c r="MQ305">
        <f t="shared" ref="MQ305:MR305" si="1329">MQ304</f>
        <v>1</v>
      </c>
      <c r="MR305" s="16">
        <f t="shared" si="1329"/>
        <v>2</v>
      </c>
    </row>
    <row r="306" spans="1:550" x14ac:dyDescent="0.25">
      <c r="A306" t="s">
        <v>1799</v>
      </c>
      <c r="B306" t="s">
        <v>1793</v>
      </c>
      <c r="P306" t="s">
        <v>1485</v>
      </c>
      <c r="T306" s="27" t="s">
        <v>1772</v>
      </c>
      <c r="AC306" t="str">
        <f t="shared" si="1321"/>
        <v>A5.19</v>
      </c>
      <c r="AD306" s="43" cm="1">
        <f t="array" ref="AD306">IF(COUNTIFS(AC$2:AC306,AC306)=1,"1",VALUE(SUBSTITUTE(INDEX(AD:AD,_xlfn.XMATCH(AC306,AC$1:AC305,0,-1)),"A",""))+INDEX(AE:AE,_xlfn.XMATCH(AC306,AC$1:AC305,0,-1))+1)</f>
        <v>21</v>
      </c>
      <c r="AE306" s="43" cm="1">
        <f t="array" ref="AE306">SUM(IF(ISNUMBER(FIND("TmDi",$BE$1:$AAL$1)),IF(IFERROR(ISNUMBER(VALUE(SUBSTITUTE($BE306:$AAL306,"B",""))),FALSE),IF(ISNUMBER(VALUE(SUBSTITUTE($BE306:$AAL306,"B",""))),1,0),0)))</f>
        <v>0</v>
      </c>
      <c r="AF306" t="str">
        <f t="shared" si="706"/>
        <v>C21</v>
      </c>
      <c r="AG306" t="str">
        <f t="shared" si="707"/>
        <v>B21</v>
      </c>
      <c r="AP306" t="s">
        <v>137</v>
      </c>
      <c r="AT306" t="s">
        <v>820</v>
      </c>
      <c r="AU306" t="s">
        <v>1329</v>
      </c>
      <c r="LY306" s="27" t="str">
        <f t="shared" si="1323"/>
        <v>DI19-C21</v>
      </c>
      <c r="MA306" t="s">
        <v>1494</v>
      </c>
      <c r="MB306" t="s">
        <v>1495</v>
      </c>
      <c r="MC306">
        <f t="shared" ref="MC306:MJ306" si="1330">MC305</f>
        <v>11</v>
      </c>
      <c r="MD306">
        <f t="shared" si="1330"/>
        <v>14</v>
      </c>
      <c r="ME306" t="str">
        <f t="shared" si="1330"/>
        <v>A1</v>
      </c>
      <c r="MF306" t="str">
        <f t="shared" si="1330"/>
        <v>A2</v>
      </c>
      <c r="MG306" t="str">
        <f t="shared" si="1330"/>
        <v>0v3</v>
      </c>
      <c r="MH306" t="str">
        <f t="shared" si="1330"/>
        <v>24v3</v>
      </c>
      <c r="MI306" t="str">
        <f t="shared" si="1330"/>
        <v>0v6</v>
      </c>
      <c r="MJ306" t="str">
        <f t="shared" si="1330"/>
        <v>24v6</v>
      </c>
      <c r="MQ306">
        <f t="shared" ref="MQ306:MR306" si="1331">MQ305</f>
        <v>1</v>
      </c>
      <c r="MR306" s="16">
        <f t="shared" si="1331"/>
        <v>2</v>
      </c>
    </row>
    <row r="307" spans="1:550" ht="30" x14ac:dyDescent="0.25">
      <c r="A307" t="s">
        <v>1515</v>
      </c>
      <c r="B307" t="s">
        <v>1523</v>
      </c>
      <c r="P307" t="s">
        <v>1532</v>
      </c>
      <c r="T307" s="27" t="s">
        <v>520</v>
      </c>
      <c r="U307">
        <v>107</v>
      </c>
      <c r="V307" t="s">
        <v>1687</v>
      </c>
      <c r="AP307" t="s">
        <v>137</v>
      </c>
      <c r="AQ307" t="s">
        <v>962</v>
      </c>
      <c r="TS307" s="29" t="s">
        <v>1540</v>
      </c>
      <c r="TT307" t="s">
        <v>1541</v>
      </c>
      <c r="TU307" t="s">
        <v>1542</v>
      </c>
      <c r="TV307" t="s">
        <v>1543</v>
      </c>
      <c r="TW307" t="s">
        <v>1544</v>
      </c>
      <c r="TX307" t="s">
        <v>1545</v>
      </c>
      <c r="TY307" t="s">
        <v>1546</v>
      </c>
      <c r="TZ307" t="s">
        <v>1547</v>
      </c>
      <c r="UA307" t="str">
        <f>CONCATENATE("XT",$U307)</f>
        <v>XT107</v>
      </c>
      <c r="UB307">
        <v>1</v>
      </c>
      <c r="UC307">
        <f>UB307+1</f>
        <v>2</v>
      </c>
      <c r="UD307">
        <f>UC307+1</f>
        <v>3</v>
      </c>
    </row>
    <row r="308" spans="1:550" ht="30" x14ac:dyDescent="0.25">
      <c r="A308" t="s">
        <v>1517</v>
      </c>
      <c r="B308" t="s">
        <v>1524</v>
      </c>
      <c r="P308" t="s">
        <v>1532</v>
      </c>
      <c r="T308" s="27" t="s">
        <v>520</v>
      </c>
      <c r="U308">
        <v>107</v>
      </c>
      <c r="V308" t="s">
        <v>1681</v>
      </c>
      <c r="AQ308" t="s">
        <v>1201</v>
      </c>
      <c r="TS308" s="29" t="s">
        <v>1551</v>
      </c>
      <c r="TT308" t="s">
        <v>1541</v>
      </c>
      <c r="TU308" t="s">
        <v>1542</v>
      </c>
      <c r="TV308" t="s">
        <v>1543</v>
      </c>
      <c r="TW308" t="s">
        <v>1544</v>
      </c>
      <c r="TX308" t="s">
        <v>1548</v>
      </c>
      <c r="TY308" t="s">
        <v>1549</v>
      </c>
      <c r="TZ308" t="s">
        <v>1550</v>
      </c>
      <c r="UA308" t="str">
        <f t="shared" ref="UA308:UA315" si="1332">CONCATENATE("XT",$U308)</f>
        <v>XT107</v>
      </c>
      <c r="UB308">
        <f>UB307+3</f>
        <v>4</v>
      </c>
      <c r="UC308">
        <f>UB308+1</f>
        <v>5</v>
      </c>
      <c r="UD308">
        <f>UC308+1</f>
        <v>6</v>
      </c>
    </row>
    <row r="309" spans="1:550" ht="30" x14ac:dyDescent="0.25">
      <c r="A309" t="s">
        <v>1518</v>
      </c>
      <c r="B309" t="s">
        <v>1525</v>
      </c>
      <c r="P309" t="s">
        <v>1532</v>
      </c>
      <c r="T309" s="27" t="s">
        <v>520</v>
      </c>
      <c r="U309">
        <v>107</v>
      </c>
      <c r="V309" t="s">
        <v>1682</v>
      </c>
      <c r="AQ309" t="s">
        <v>1209</v>
      </c>
      <c r="TS309" s="29" t="s">
        <v>1552</v>
      </c>
      <c r="TT309" t="s">
        <v>1541</v>
      </c>
      <c r="TU309" t="s">
        <v>1542</v>
      </c>
      <c r="TV309" t="s">
        <v>1543</v>
      </c>
      <c r="TW309" t="s">
        <v>1544</v>
      </c>
      <c r="TX309" t="s">
        <v>1554</v>
      </c>
      <c r="TY309" t="s">
        <v>1556</v>
      </c>
      <c r="TZ309" t="s">
        <v>1558</v>
      </c>
      <c r="UA309" t="str">
        <f t="shared" si="1332"/>
        <v>XT107</v>
      </c>
      <c r="UB309">
        <f t="shared" ref="UB309:UB311" si="1333">UB308+3</f>
        <v>7</v>
      </c>
      <c r="UC309">
        <f t="shared" ref="UC309:UD309" si="1334">UB309+1</f>
        <v>8</v>
      </c>
      <c r="UD309">
        <f t="shared" si="1334"/>
        <v>9</v>
      </c>
    </row>
    <row r="310" spans="1:550" ht="30" x14ac:dyDescent="0.25">
      <c r="A310" t="s">
        <v>1519</v>
      </c>
      <c r="B310" t="s">
        <v>1526</v>
      </c>
      <c r="P310" t="s">
        <v>1532</v>
      </c>
      <c r="T310" s="27" t="s">
        <v>520</v>
      </c>
      <c r="U310">
        <v>107</v>
      </c>
      <c r="V310" t="s">
        <v>1683</v>
      </c>
      <c r="AQ310" t="s">
        <v>1220</v>
      </c>
      <c r="TS310" s="29" t="s">
        <v>1553</v>
      </c>
      <c r="TT310" t="s">
        <v>1541</v>
      </c>
      <c r="TU310" t="s">
        <v>1542</v>
      </c>
      <c r="TV310" t="s">
        <v>1543</v>
      </c>
      <c r="TW310" t="s">
        <v>1544</v>
      </c>
      <c r="TX310" t="s">
        <v>1555</v>
      </c>
      <c r="TY310" t="s">
        <v>1557</v>
      </c>
      <c r="TZ310" t="s">
        <v>1559</v>
      </c>
      <c r="UA310" t="str">
        <f t="shared" si="1332"/>
        <v>XT107</v>
      </c>
      <c r="UB310">
        <f t="shared" si="1333"/>
        <v>10</v>
      </c>
      <c r="UC310">
        <f t="shared" ref="UC310:UD310" si="1335">UB310+1</f>
        <v>11</v>
      </c>
      <c r="UD310">
        <f t="shared" si="1335"/>
        <v>12</v>
      </c>
    </row>
    <row r="311" spans="1:550" ht="30" x14ac:dyDescent="0.25">
      <c r="A311" t="s">
        <v>1520</v>
      </c>
      <c r="B311" t="s">
        <v>1527</v>
      </c>
      <c r="P311" t="s">
        <v>1532</v>
      </c>
      <c r="T311" s="27" t="s">
        <v>520</v>
      </c>
      <c r="U311">
        <v>107</v>
      </c>
      <c r="V311" t="s">
        <v>1684</v>
      </c>
      <c r="AQ311" t="s">
        <v>1239</v>
      </c>
      <c r="TS311" s="29" t="s">
        <v>1560</v>
      </c>
      <c r="TT311" t="s">
        <v>1541</v>
      </c>
      <c r="TU311" t="s">
        <v>1542</v>
      </c>
      <c r="TV311" t="s">
        <v>1543</v>
      </c>
      <c r="TW311" t="s">
        <v>1544</v>
      </c>
      <c r="TX311" t="s">
        <v>1545</v>
      </c>
      <c r="TY311" t="s">
        <v>1546</v>
      </c>
      <c r="TZ311" t="s">
        <v>1547</v>
      </c>
      <c r="UA311" t="str">
        <f>CONCATENATE("XT",$U311)</f>
        <v>XT107</v>
      </c>
      <c r="UB311">
        <f t="shared" si="1333"/>
        <v>13</v>
      </c>
      <c r="UC311">
        <f>UB311+1</f>
        <v>14</v>
      </c>
      <c r="UD311">
        <f>UC311+1</f>
        <v>15</v>
      </c>
    </row>
    <row r="312" spans="1:550" ht="30" x14ac:dyDescent="0.25">
      <c r="A312" t="s">
        <v>1521</v>
      </c>
      <c r="B312" t="s">
        <v>1528</v>
      </c>
      <c r="P312" t="s">
        <v>1532</v>
      </c>
      <c r="T312" s="27" t="s">
        <v>520</v>
      </c>
      <c r="U312">
        <v>107</v>
      </c>
      <c r="V312" t="s">
        <v>1685</v>
      </c>
      <c r="AQ312" t="s">
        <v>1250</v>
      </c>
      <c r="TS312" s="29" t="s">
        <v>1561</v>
      </c>
      <c r="TT312" t="s">
        <v>1541</v>
      </c>
      <c r="TU312" t="s">
        <v>1542</v>
      </c>
      <c r="TV312" t="s">
        <v>1543</v>
      </c>
      <c r="TW312" t="s">
        <v>1544</v>
      </c>
      <c r="TX312" t="s">
        <v>1548</v>
      </c>
      <c r="TY312" t="s">
        <v>1549</v>
      </c>
      <c r="TZ312" t="s">
        <v>1550</v>
      </c>
      <c r="UA312" t="str">
        <f t="shared" si="1332"/>
        <v>XT107</v>
      </c>
      <c r="UB312">
        <f>UB311+3</f>
        <v>16</v>
      </c>
      <c r="UC312">
        <f>UB312+1</f>
        <v>17</v>
      </c>
      <c r="UD312">
        <f>UC312+1</f>
        <v>18</v>
      </c>
    </row>
    <row r="313" spans="1:550" ht="30" x14ac:dyDescent="0.25">
      <c r="A313" t="s">
        <v>1522</v>
      </c>
      <c r="B313" t="s">
        <v>1529</v>
      </c>
      <c r="P313" t="s">
        <v>1532</v>
      </c>
      <c r="T313" s="27" t="s">
        <v>520</v>
      </c>
      <c r="U313">
        <v>107</v>
      </c>
      <c r="V313" t="s">
        <v>1686</v>
      </c>
      <c r="AQ313" t="s">
        <v>1252</v>
      </c>
      <c r="TS313" s="29" t="s">
        <v>1562</v>
      </c>
      <c r="TT313" t="s">
        <v>1541</v>
      </c>
      <c r="TU313" t="s">
        <v>1542</v>
      </c>
      <c r="TV313" t="s">
        <v>1543</v>
      </c>
      <c r="TW313" t="s">
        <v>1544</v>
      </c>
      <c r="TX313" t="s">
        <v>1554</v>
      </c>
      <c r="TY313" t="s">
        <v>1556</v>
      </c>
      <c r="TZ313" t="s">
        <v>1558</v>
      </c>
      <c r="UA313" t="str">
        <f t="shared" si="1332"/>
        <v>XT107</v>
      </c>
      <c r="UB313">
        <f t="shared" ref="UB313:UB314" si="1336">UB312+3</f>
        <v>19</v>
      </c>
      <c r="UC313">
        <f t="shared" ref="UC313:UD313" si="1337">UB313+1</f>
        <v>20</v>
      </c>
      <c r="UD313">
        <f t="shared" si="1337"/>
        <v>21</v>
      </c>
    </row>
    <row r="314" spans="1:550" ht="30" x14ac:dyDescent="0.25">
      <c r="A314" t="s">
        <v>1516</v>
      </c>
      <c r="B314" t="s">
        <v>1530</v>
      </c>
      <c r="P314" t="s">
        <v>1532</v>
      </c>
      <c r="T314" s="27" t="s">
        <v>520</v>
      </c>
      <c r="U314">
        <v>107</v>
      </c>
      <c r="V314" t="s">
        <v>1764</v>
      </c>
      <c r="AQ314" t="s">
        <v>1330</v>
      </c>
      <c r="TS314" s="29" t="s">
        <v>1563</v>
      </c>
      <c r="TT314" t="s">
        <v>1541</v>
      </c>
      <c r="TU314" t="s">
        <v>1542</v>
      </c>
      <c r="TV314" t="s">
        <v>1543</v>
      </c>
      <c r="TW314" t="s">
        <v>1544</v>
      </c>
      <c r="TX314" t="s">
        <v>1555</v>
      </c>
      <c r="TY314" t="s">
        <v>1557</v>
      </c>
      <c r="TZ314" t="s">
        <v>1559</v>
      </c>
      <c r="UA314" t="str">
        <f t="shared" si="1332"/>
        <v>XT107</v>
      </c>
      <c r="UB314">
        <f t="shared" si="1336"/>
        <v>22</v>
      </c>
      <c r="UC314">
        <f t="shared" ref="UC314:UD315" si="1338">UB314+1</f>
        <v>23</v>
      </c>
      <c r="UD314">
        <f t="shared" si="1338"/>
        <v>24</v>
      </c>
    </row>
    <row r="315" spans="1:550" s="19" customFormat="1" ht="30.75" thickBot="1" x14ac:dyDescent="0.3">
      <c r="A315" s="19" t="s">
        <v>1514</v>
      </c>
      <c r="B315" s="19" t="s">
        <v>1531</v>
      </c>
      <c r="P315" s="19" t="s">
        <v>1532</v>
      </c>
      <c r="T315" s="28" t="s">
        <v>520</v>
      </c>
      <c r="U315" s="19">
        <v>107</v>
      </c>
      <c r="V315" s="19" t="s">
        <v>1765</v>
      </c>
      <c r="AI315" s="58"/>
      <c r="AJ315" s="58"/>
      <c r="AQ315" s="19" t="s">
        <v>1417</v>
      </c>
      <c r="TS315" s="53" t="s">
        <v>1564</v>
      </c>
      <c r="TT315" s="19" t="s">
        <v>1541</v>
      </c>
      <c r="TU315" s="19" t="s">
        <v>1542</v>
      </c>
      <c r="TV315" s="19" t="s">
        <v>1543</v>
      </c>
      <c r="TW315" s="19" t="s">
        <v>1544</v>
      </c>
      <c r="TX315" s="19" t="s">
        <v>1565</v>
      </c>
      <c r="TY315" s="19" t="s">
        <v>1566</v>
      </c>
      <c r="TZ315" s="19" t="s">
        <v>1567</v>
      </c>
      <c r="UA315" s="19" t="str">
        <f t="shared" si="1332"/>
        <v>XT107</v>
      </c>
      <c r="UB315" s="19">
        <f t="shared" ref="UB315" si="1339">UB314+3</f>
        <v>25</v>
      </c>
      <c r="UC315" s="19">
        <f t="shared" si="1338"/>
        <v>26</v>
      </c>
      <c r="UD315" s="19">
        <f t="shared" si="1338"/>
        <v>27</v>
      </c>
    </row>
  </sheetData>
  <autoFilter ref="P1:P315" xr:uid="{00000000-0001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5E177FED-2A35-4F49-BBB2-0570A3F4C807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376194DD-3AB1-4935-B62F-E356BDDB075A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E56CEB78-79D9-424B-9DDB-D1107EE9B4F8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40205927-664A-42C7-941E-AE09CEB309AA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7E251FA1-4B1D-4EF5-B4EF-F271CE5F62AB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8932C437-FCDA-46B8-AA49-D964F7742998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ED722368-63F9-47E0-A84C-246E9025978F}">
        <filterColumn colId="0">
          <filters>
            <filter val="se0004"/>
          </filters>
        </filterColumn>
      </autoFilter>
    </customSheetView>
  </customSheetViews>
  <phoneticPr fontId="2" type="noConversion"/>
  <conditionalFormatting sqref="A1:A32">
    <cfRule type="duplicateValues" dxfId="14" priority="41"/>
  </conditionalFormatting>
  <conditionalFormatting sqref="A283:A285">
    <cfRule type="duplicateValues" dxfId="13" priority="31"/>
  </conditionalFormatting>
  <conditionalFormatting sqref="V221:V222 W223:W224">
    <cfRule type="duplicateValues" dxfId="12" priority="4"/>
  </conditionalFormatting>
  <conditionalFormatting sqref="V231 V225:W230 V232:W315">
    <cfRule type="duplicateValues" dxfId="11" priority="127"/>
  </conditionalFormatting>
  <conditionalFormatting sqref="V221:W224">
    <cfRule type="duplicateValues" dxfId="10" priority="3"/>
  </conditionalFormatting>
  <conditionalFormatting sqref="V316:W1048576 V1:W220">
    <cfRule type="duplicateValues" dxfId="9" priority="36"/>
  </conditionalFormatting>
  <conditionalFormatting sqref="W225:W229 V267:W267 V268 V269:W269 V271:W271 V273:W273 V275:W275 V277:W277 V279:W279 V281:W281 V270 V272 V274 V276 V278 V280 V225:V266 V282:V315">
    <cfRule type="duplicateValues" dxfId="8" priority="108"/>
  </conditionalFormatting>
  <conditionalFormatting sqref="Y1:Y1048576">
    <cfRule type="cellIs" dxfId="7" priority="5" operator="greaterThan">
      <formula>8</formula>
    </cfRule>
    <cfRule type="cellIs" dxfId="6" priority="37" operator="equal">
      <formula>"Y:Y+Z:Z&gt;8"</formula>
    </cfRule>
  </conditionalFormatting>
  <conditionalFormatting sqref="AD1 AD267:AD306">
    <cfRule type="cellIs" dxfId="5" priority="35" operator="equal">
      <formula>"Y:Y+Z:Z&gt;8"</formula>
    </cfRule>
  </conditionalFormatting>
  <conditionalFormatting sqref="AI1">
    <cfRule type="cellIs" dxfId="4" priority="32" operator="equal">
      <formula>"Y:Y+Z:Z&gt;8"</formula>
    </cfRule>
  </conditionalFormatting>
  <conditionalFormatting sqref="AI267:AI285">
    <cfRule type="cellIs" dxfId="3" priority="33" operator="equal">
      <formula>"Y:Y+Z:Z&gt;8"</formula>
    </cfRule>
  </conditionalFormatting>
  <conditionalFormatting sqref="A221:A224 A1:A32 A226:A227 A283:A1048576">
    <cfRule type="duplicateValues" dxfId="2" priority="128"/>
  </conditionalFormatting>
  <conditionalFormatting sqref="B1:B56 B221:B229 B267:B1048576">
    <cfRule type="duplicateValues" dxfId="1" priority="134"/>
  </conditionalFormatting>
  <conditionalFormatting sqref="V187 V192 V197 V202 W34 W43:W55 V316:V1048576 V1:V182 W183:W220">
    <cfRule type="duplicateValues" dxfId="0" priority="142"/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tabSelected="1"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927</v>
      </c>
      <c r="B1" s="5" t="s">
        <v>929</v>
      </c>
      <c r="C1" s="5" t="s">
        <v>930</v>
      </c>
      <c r="D1" s="9" t="s">
        <v>928</v>
      </c>
    </row>
    <row r="2" spans="1:5" x14ac:dyDescent="0.25">
      <c r="A2" t="s">
        <v>924</v>
      </c>
      <c r="B2" t="s">
        <v>925</v>
      </c>
      <c r="C2" t="s">
        <v>926</v>
      </c>
      <c r="D2" t="s">
        <v>931</v>
      </c>
      <c r="E2" t="s">
        <v>1418</v>
      </c>
    </row>
    <row r="3" spans="1:5" x14ac:dyDescent="0.25">
      <c r="A3" t="s">
        <v>932</v>
      </c>
      <c r="B3" t="s">
        <v>933</v>
      </c>
      <c r="C3" t="s">
        <v>926</v>
      </c>
      <c r="D3" t="s">
        <v>931</v>
      </c>
      <c r="E3" t="s">
        <v>1418</v>
      </c>
    </row>
    <row r="4" spans="1:5" x14ac:dyDescent="0.25">
      <c r="A4" t="s">
        <v>934</v>
      </c>
      <c r="B4" t="s">
        <v>935</v>
      </c>
      <c r="C4" t="s">
        <v>926</v>
      </c>
      <c r="D4" t="s">
        <v>931</v>
      </c>
      <c r="E4" t="s">
        <v>1418</v>
      </c>
    </row>
    <row r="5" spans="1:5" x14ac:dyDescent="0.25">
      <c r="A5" t="s">
        <v>936</v>
      </c>
      <c r="B5" t="s">
        <v>937</v>
      </c>
      <c r="C5" t="s">
        <v>926</v>
      </c>
      <c r="D5" t="s">
        <v>931</v>
      </c>
      <c r="E5" t="s">
        <v>1418</v>
      </c>
    </row>
    <row r="6" spans="1:5" x14ac:dyDescent="0.25">
      <c r="A6" t="s">
        <v>938</v>
      </c>
      <c r="B6" t="s">
        <v>939</v>
      </c>
      <c r="C6" t="s">
        <v>926</v>
      </c>
      <c r="D6" t="s">
        <v>931</v>
      </c>
      <c r="E6" t="s">
        <v>1418</v>
      </c>
    </row>
    <row r="7" spans="1:5" x14ac:dyDescent="0.25">
      <c r="A7" t="s">
        <v>940</v>
      </c>
      <c r="B7" t="s">
        <v>941</v>
      </c>
      <c r="C7" t="s">
        <v>926</v>
      </c>
      <c r="D7" t="s">
        <v>931</v>
      </c>
      <c r="E7" t="s">
        <v>1418</v>
      </c>
    </row>
    <row r="8" spans="1:5" x14ac:dyDescent="0.25">
      <c r="A8" t="s">
        <v>942</v>
      </c>
      <c r="B8" t="s">
        <v>943</v>
      </c>
      <c r="C8" t="s">
        <v>926</v>
      </c>
      <c r="D8" t="s">
        <v>931</v>
      </c>
      <c r="E8" t="s">
        <v>1418</v>
      </c>
    </row>
    <row r="9" spans="1:5" x14ac:dyDescent="0.25">
      <c r="A9" t="s">
        <v>944</v>
      </c>
      <c r="B9" t="s">
        <v>945</v>
      </c>
      <c r="C9" t="s">
        <v>926</v>
      </c>
      <c r="D9" t="s">
        <v>931</v>
      </c>
      <c r="E9" t="s">
        <v>1418</v>
      </c>
    </row>
    <row r="10" spans="1:5" x14ac:dyDescent="0.25">
      <c r="A10" t="s">
        <v>947</v>
      </c>
      <c r="B10" t="s">
        <v>946</v>
      </c>
      <c r="C10" t="s">
        <v>926</v>
      </c>
      <c r="D10" t="s">
        <v>931</v>
      </c>
      <c r="E10" t="s">
        <v>1418</v>
      </c>
    </row>
    <row r="11" spans="1:5" x14ac:dyDescent="0.25">
      <c r="A11" t="s">
        <v>948</v>
      </c>
      <c r="B11" t="s">
        <v>949</v>
      </c>
      <c r="C11" t="s">
        <v>926</v>
      </c>
      <c r="D11" t="s">
        <v>931</v>
      </c>
      <c r="E11" t="s">
        <v>1418</v>
      </c>
    </row>
    <row r="12" spans="1:5" x14ac:dyDescent="0.25">
      <c r="A12" t="s">
        <v>950</v>
      </c>
      <c r="B12" t="s">
        <v>951</v>
      </c>
      <c r="C12" t="s">
        <v>926</v>
      </c>
      <c r="D12" t="s">
        <v>931</v>
      </c>
      <c r="E12" t="s">
        <v>1418</v>
      </c>
    </row>
    <row r="13" spans="1:5" x14ac:dyDescent="0.25">
      <c r="A13" t="s">
        <v>952</v>
      </c>
      <c r="B13" t="s">
        <v>953</v>
      </c>
      <c r="C13" t="s">
        <v>926</v>
      </c>
      <c r="D13" t="s">
        <v>931</v>
      </c>
      <c r="E13" t="s">
        <v>1418</v>
      </c>
    </row>
    <row r="14" spans="1:5" x14ac:dyDescent="0.25">
      <c r="A14" t="s">
        <v>954</v>
      </c>
      <c r="B14" t="s">
        <v>955</v>
      </c>
      <c r="C14" t="s">
        <v>926</v>
      </c>
      <c r="D14" t="s">
        <v>931</v>
      </c>
      <c r="E14" t="s">
        <v>1418</v>
      </c>
    </row>
    <row r="15" spans="1:5" x14ac:dyDescent="0.25">
      <c r="A15" t="s">
        <v>956</v>
      </c>
      <c r="B15" t="s">
        <v>957</v>
      </c>
      <c r="C15" t="s">
        <v>926</v>
      </c>
      <c r="D15" t="s">
        <v>931</v>
      </c>
      <c r="E15" t="s">
        <v>1418</v>
      </c>
    </row>
    <row r="16" spans="1:5" x14ac:dyDescent="0.25">
      <c r="A16" t="s">
        <v>958</v>
      </c>
      <c r="B16" t="s">
        <v>959</v>
      </c>
      <c r="C16" t="s">
        <v>926</v>
      </c>
      <c r="D16" t="s">
        <v>931</v>
      </c>
      <c r="E16" t="s">
        <v>1418</v>
      </c>
    </row>
    <row r="17" spans="1:5" x14ac:dyDescent="0.25">
      <c r="A17" t="s">
        <v>960</v>
      </c>
      <c r="B17" t="s">
        <v>961</v>
      </c>
      <c r="C17" t="s">
        <v>926</v>
      </c>
      <c r="D17" t="s">
        <v>931</v>
      </c>
      <c r="E17" t="s">
        <v>1418</v>
      </c>
    </row>
    <row r="18" spans="1:5" x14ac:dyDescent="0.25">
      <c r="A18" t="s">
        <v>962</v>
      </c>
      <c r="B18" t="s">
        <v>1515</v>
      </c>
      <c r="C18" t="s">
        <v>963</v>
      </c>
      <c r="D18" t="s">
        <v>931</v>
      </c>
      <c r="E18" t="s">
        <v>1418</v>
      </c>
    </row>
    <row r="19" spans="1:5" x14ac:dyDescent="0.25">
      <c r="A19" t="s">
        <v>1201</v>
      </c>
      <c r="B19" t="s">
        <v>1517</v>
      </c>
      <c r="C19" t="s">
        <v>963</v>
      </c>
      <c r="D19" t="s">
        <v>931</v>
      </c>
      <c r="E19" t="s">
        <v>1418</v>
      </c>
    </row>
    <row r="20" spans="1:5" x14ac:dyDescent="0.25">
      <c r="A20" t="s">
        <v>1209</v>
      </c>
      <c r="B20" t="s">
        <v>1518</v>
      </c>
      <c r="C20" t="s">
        <v>963</v>
      </c>
      <c r="D20" t="s">
        <v>931</v>
      </c>
      <c r="E20" t="s">
        <v>1418</v>
      </c>
    </row>
    <row r="21" spans="1:5" x14ac:dyDescent="0.25">
      <c r="A21" t="s">
        <v>1220</v>
      </c>
      <c r="B21" t="s">
        <v>1519</v>
      </c>
      <c r="C21" t="s">
        <v>963</v>
      </c>
      <c r="D21" t="s">
        <v>931</v>
      </c>
      <c r="E21" t="s">
        <v>1418</v>
      </c>
    </row>
    <row r="22" spans="1:5" x14ac:dyDescent="0.25">
      <c r="A22" t="s">
        <v>1239</v>
      </c>
      <c r="B22" t="s">
        <v>1520</v>
      </c>
      <c r="C22" t="s">
        <v>963</v>
      </c>
      <c r="D22" t="s">
        <v>931</v>
      </c>
      <c r="E22" t="s">
        <v>1418</v>
      </c>
    </row>
    <row r="23" spans="1:5" x14ac:dyDescent="0.25">
      <c r="A23" t="s">
        <v>1250</v>
      </c>
      <c r="B23" t="s">
        <v>1521</v>
      </c>
      <c r="C23" t="s">
        <v>963</v>
      </c>
      <c r="D23" t="s">
        <v>931</v>
      </c>
      <c r="E23" t="s">
        <v>1418</v>
      </c>
    </row>
    <row r="24" spans="1:5" x14ac:dyDescent="0.25">
      <c r="A24" t="s">
        <v>1252</v>
      </c>
      <c r="B24" t="s">
        <v>1522</v>
      </c>
      <c r="C24" t="s">
        <v>963</v>
      </c>
      <c r="D24" t="s">
        <v>931</v>
      </c>
      <c r="E24" t="s">
        <v>1418</v>
      </c>
    </row>
    <row r="25" spans="1:5" x14ac:dyDescent="0.25">
      <c r="A25" t="s">
        <v>1330</v>
      </c>
      <c r="B25" t="s">
        <v>1516</v>
      </c>
      <c r="C25" t="s">
        <v>1331</v>
      </c>
      <c r="D25" t="s">
        <v>931</v>
      </c>
      <c r="E25" t="s">
        <v>1419</v>
      </c>
    </row>
    <row r="26" spans="1:5" x14ac:dyDescent="0.25">
      <c r="A26" t="s">
        <v>1417</v>
      </c>
      <c r="B26" t="s">
        <v>1514</v>
      </c>
      <c r="C26" t="s">
        <v>963</v>
      </c>
      <c r="D26" t="s">
        <v>931</v>
      </c>
      <c r="E26" t="s">
        <v>1420</v>
      </c>
    </row>
    <row r="27" spans="1:5" x14ac:dyDescent="0.25">
      <c r="A27" t="s">
        <v>1507</v>
      </c>
      <c r="B27" t="s">
        <v>1592</v>
      </c>
      <c r="C27" t="s">
        <v>1600</v>
      </c>
      <c r="D27" t="s">
        <v>931</v>
      </c>
      <c r="E27" t="s">
        <v>1420</v>
      </c>
    </row>
    <row r="28" spans="1:5" x14ac:dyDescent="0.25">
      <c r="A28" t="s">
        <v>1507</v>
      </c>
      <c r="B28" t="s">
        <v>1596</v>
      </c>
      <c r="C28" t="s">
        <v>926</v>
      </c>
      <c r="D28" t="s">
        <v>931</v>
      </c>
      <c r="E28" t="s">
        <v>1420</v>
      </c>
    </row>
    <row r="29" spans="1:5" x14ac:dyDescent="0.25">
      <c r="A29" t="s">
        <v>1508</v>
      </c>
      <c r="B29" t="s">
        <v>1593</v>
      </c>
      <c r="C29" t="s">
        <v>926</v>
      </c>
      <c r="D29" t="s">
        <v>931</v>
      </c>
      <c r="E29" t="s">
        <v>1420</v>
      </c>
    </row>
    <row r="30" spans="1:5" x14ac:dyDescent="0.25">
      <c r="A30" t="s">
        <v>1508</v>
      </c>
      <c r="B30" t="s">
        <v>1597</v>
      </c>
      <c r="C30" t="s">
        <v>926</v>
      </c>
      <c r="D30" t="s">
        <v>931</v>
      </c>
      <c r="E30" t="s">
        <v>1420</v>
      </c>
    </row>
    <row r="31" spans="1:5" x14ac:dyDescent="0.25">
      <c r="A31" t="s">
        <v>1509</v>
      </c>
      <c r="B31" t="s">
        <v>1594</v>
      </c>
      <c r="C31" t="s">
        <v>926</v>
      </c>
      <c r="D31" t="s">
        <v>931</v>
      </c>
      <c r="E31" t="s">
        <v>1418</v>
      </c>
    </row>
    <row r="32" spans="1:5" x14ac:dyDescent="0.25">
      <c r="A32" t="s">
        <v>1509</v>
      </c>
      <c r="B32" t="s">
        <v>1598</v>
      </c>
      <c r="C32" t="s">
        <v>926</v>
      </c>
      <c r="D32" t="s">
        <v>931</v>
      </c>
      <c r="E32" t="s">
        <v>1418</v>
      </c>
    </row>
    <row r="33" spans="1:5" x14ac:dyDescent="0.25">
      <c r="A33" t="s">
        <v>1510</v>
      </c>
      <c r="B33" t="s">
        <v>1595</v>
      </c>
      <c r="C33" t="s">
        <v>926</v>
      </c>
      <c r="D33" t="s">
        <v>931</v>
      </c>
      <c r="E33" t="s">
        <v>1418</v>
      </c>
    </row>
    <row r="34" spans="1:5" x14ac:dyDescent="0.25">
      <c r="A34" t="s">
        <v>1510</v>
      </c>
      <c r="B34" t="s">
        <v>1599</v>
      </c>
      <c r="C34" t="s">
        <v>926</v>
      </c>
      <c r="D34" t="s">
        <v>931</v>
      </c>
      <c r="E34" t="s">
        <v>1418</v>
      </c>
    </row>
    <row r="35" spans="1:5" x14ac:dyDescent="0.25">
      <c r="A35" t="s">
        <v>1511</v>
      </c>
      <c r="C35" t="s">
        <v>926</v>
      </c>
      <c r="D35" t="s">
        <v>1512</v>
      </c>
    </row>
    <row r="36" spans="1:5" x14ac:dyDescent="0.25">
      <c r="A36" t="s">
        <v>1511</v>
      </c>
      <c r="C36" t="s">
        <v>926</v>
      </c>
      <c r="D36" t="s">
        <v>1513</v>
      </c>
    </row>
    <row r="37" spans="1:5" x14ac:dyDescent="0.25">
      <c r="A37" t="s">
        <v>931</v>
      </c>
      <c r="B37" t="s">
        <v>925</v>
      </c>
      <c r="C37" t="s">
        <v>926</v>
      </c>
      <c r="D37" t="s">
        <v>1512</v>
      </c>
    </row>
    <row r="38" spans="1:5" x14ac:dyDescent="0.25">
      <c r="A38" t="s">
        <v>931</v>
      </c>
      <c r="B38" t="s">
        <v>933</v>
      </c>
      <c r="C38" t="s">
        <v>926</v>
      </c>
      <c r="D38" t="s">
        <v>1513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2025-07-23T09:27:42Z</dcterms:modified>
</cp:coreProperties>
</file>