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13_ncr:1_{E6913ACF-0A3F-4B22-BC23-369D0F16CE34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Лист1!$P$1:$P$38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30" i="1" l="1"/>
  <c r="MA29" i="1"/>
  <c r="MA12" i="1"/>
  <c r="MA11" i="1"/>
  <c r="MA10" i="1"/>
  <c r="MA9" i="1"/>
  <c r="MA8" i="1"/>
  <c r="MA7" i="1"/>
  <c r="MA6" i="1"/>
  <c r="MA5" i="1"/>
  <c r="MA4" i="1"/>
  <c r="MA3" i="1"/>
  <c r="MA2" i="1"/>
  <c r="FU26" i="1" l="1"/>
  <c r="FT26" i="1"/>
  <c r="FS26" i="1"/>
  <c r="FR26" i="1"/>
  <c r="FQ26" i="1"/>
  <c r="FP26" i="1"/>
  <c r="FO26" i="1"/>
  <c r="FN26" i="1"/>
  <c r="FM26" i="1"/>
  <c r="FL26" i="1"/>
  <c r="FK26" i="1"/>
  <c r="FJ26" i="1"/>
  <c r="FI26" i="1"/>
  <c r="ER26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BE25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BE24" i="1"/>
  <c r="DO21" i="1"/>
  <c r="DO22" i="1" s="1"/>
  <c r="DO23" i="1" s="1"/>
  <c r="BE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BE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BE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E13" i="1"/>
  <c r="CD13" i="1"/>
  <c r="CC13" i="1"/>
  <c r="CB13" i="1"/>
  <c r="BE13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BE14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BE15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BE16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BE20" i="1"/>
  <c r="MS32" i="1" l="1"/>
  <c r="MS33" i="1" s="1"/>
  <c r="MS34" i="1" s="1"/>
  <c r="MS35" i="1" s="1"/>
  <c r="MR32" i="1"/>
  <c r="MR33" i="1" s="1"/>
  <c r="MR34" i="1" s="1"/>
  <c r="MR35" i="1" s="1"/>
  <c r="MK32" i="1"/>
  <c r="MK33" i="1" s="1"/>
  <c r="MK34" i="1" s="1"/>
  <c r="MK35" i="1" s="1"/>
  <c r="MJ32" i="1"/>
  <c r="MJ33" i="1" s="1"/>
  <c r="MJ34" i="1" s="1"/>
  <c r="MJ35" i="1" s="1"/>
  <c r="MI32" i="1"/>
  <c r="MI33" i="1" s="1"/>
  <c r="MI34" i="1" s="1"/>
  <c r="MI35" i="1" s="1"/>
  <c r="MH32" i="1"/>
  <c r="MH33" i="1" s="1"/>
  <c r="MH34" i="1" s="1"/>
  <c r="MH35" i="1" s="1"/>
  <c r="MG32" i="1"/>
  <c r="MG33" i="1" s="1"/>
  <c r="MG34" i="1" s="1"/>
  <c r="MG35" i="1" s="1"/>
  <c r="MF32" i="1"/>
  <c r="MF33" i="1" s="1"/>
  <c r="MF34" i="1" s="1"/>
  <c r="MF35" i="1" s="1"/>
  <c r="ME32" i="1"/>
  <c r="ME33" i="1" s="1"/>
  <c r="ME34" i="1" s="1"/>
  <c r="ME35" i="1" s="1"/>
  <c r="MD32" i="1"/>
  <c r="MD33" i="1" s="1"/>
  <c r="MD34" i="1" s="1"/>
  <c r="MD35" i="1" s="1"/>
  <c r="VS28" i="1"/>
  <c r="VT28" i="1" s="1"/>
  <c r="VU28" i="1" s="1"/>
  <c r="VQ28" i="1"/>
  <c r="MH36" i="1" l="1"/>
  <c r="MH37" i="1" s="1"/>
  <c r="MH38" i="1" s="1"/>
  <c r="MJ36" i="1"/>
  <c r="MJ37" i="1" s="1"/>
  <c r="MJ38" i="1" s="1"/>
  <c r="MS36" i="1"/>
  <c r="MS37" i="1" s="1"/>
  <c r="MS38" i="1" s="1"/>
  <c r="MD36" i="1"/>
  <c r="MD37" i="1" s="1"/>
  <c r="MD38" i="1" s="1"/>
  <c r="ME36" i="1"/>
  <c r="ME37" i="1" s="1"/>
  <c r="ME38" i="1" s="1"/>
  <c r="MF36" i="1"/>
  <c r="MF37" i="1" s="1"/>
  <c r="MF38" i="1" s="1"/>
  <c r="MG36" i="1"/>
  <c r="MG37" i="1" s="1"/>
  <c r="MG38" i="1" s="1"/>
  <c r="MI36" i="1"/>
  <c r="MI37" i="1" s="1"/>
  <c r="MI38" i="1" s="1"/>
  <c r="MK36" i="1"/>
  <c r="MK37" i="1" s="1"/>
  <c r="MK38" i="1" s="1"/>
  <c r="MR36" i="1"/>
  <c r="MR37" i="1" s="1"/>
  <c r="MR38" i="1" s="1"/>
  <c r="KJ30" i="1"/>
  <c r="KK30" i="1" s="1"/>
  <c r="JZ30" i="1"/>
  <c r="UH29" i="1"/>
  <c r="UI29" i="1" s="1"/>
  <c r="UF29" i="1"/>
  <c r="CZ19" i="1"/>
  <c r="CW19" i="1"/>
  <c r="CV19" i="1"/>
  <c r="CT19" i="1"/>
  <c r="CS19" i="1"/>
  <c r="CR19" i="1"/>
  <c r="CQ19" i="1"/>
  <c r="CP19" i="1"/>
  <c r="CO19" i="1"/>
  <c r="CN19" i="1"/>
  <c r="CM19" i="1"/>
  <c r="CL19" i="1"/>
  <c r="DH19" i="1"/>
  <c r="DG19" i="1"/>
  <c r="DF19" i="1"/>
  <c r="DE19" i="1"/>
  <c r="DD19" i="1"/>
  <c r="DC19" i="1"/>
  <c r="DB19" i="1"/>
  <c r="DA19" i="1"/>
  <c r="CY19" i="1"/>
  <c r="CX19" i="1"/>
  <c r="CU19" i="1"/>
  <c r="BE19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GT18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GT17" i="1"/>
  <c r="AI13" i="1" a="1"/>
  <c r="AI13" i="1" s="1"/>
  <c r="JZ12" i="1"/>
  <c r="JZ11" i="1"/>
  <c r="JZ10" i="1"/>
  <c r="X3" i="1"/>
  <c r="JZ9" i="1"/>
  <c r="JZ8" i="1"/>
  <c r="JZ3" i="1"/>
  <c r="JZ4" i="1"/>
  <c r="JZ5" i="1"/>
  <c r="JZ6" i="1"/>
  <c r="JZ7" i="1"/>
  <c r="JZ2" i="1"/>
  <c r="AL13" i="1" l="1"/>
  <c r="AK13" i="1"/>
  <c r="X4" i="1"/>
  <c r="BP13" i="1" l="1"/>
  <c r="CF13" i="1"/>
  <c r="CG13" i="1"/>
  <c r="BQ13" i="1"/>
  <c r="X5" i="1"/>
  <c r="X6" i="1" s="1"/>
  <c r="X7" i="1" s="1"/>
  <c r="CI13" i="1" l="1"/>
  <c r="BS13" i="1"/>
  <c r="CK13" i="1" s="1"/>
  <c r="CH13" i="1"/>
  <c r="BR13" i="1"/>
  <c r="CJ13" i="1" s="1"/>
  <c r="Y8" i="1" a="1"/>
  <c r="Y8" i="1" s="1"/>
  <c r="X9" i="1"/>
  <c r="X11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X12" i="1"/>
  <c r="X18" i="1" s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" i="1" l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KK2" i="1" l="1"/>
  <c r="KI3" i="1" a="1"/>
  <c r="KI3" i="1" s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KJ3" i="1" l="1"/>
  <c r="KK3" i="1" s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KI4" i="1" l="1" a="1"/>
  <c r="KI4" i="1" s="1"/>
  <c r="KJ4" i="1" s="1"/>
  <c r="KK4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KI5" i="1" l="1" a="1"/>
  <c r="KI5" i="1" s="1"/>
  <c r="KJ5" i="1" s="1"/>
  <c r="KK5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KI6" i="1" l="1" a="1"/>
  <c r="KI6" i="1" s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J6" i="1" l="1"/>
  <c r="KK6" i="1" s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KI7" i="1" l="1" a="1"/>
  <c r="KI7" i="1" s="1"/>
  <c r="KJ7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KK7" i="1" l="1"/>
  <c r="KI8" i="1" s="1" a="1"/>
  <c r="KI8" i="1" s="1"/>
  <c r="KJ8" i="1" s="1"/>
  <c r="KK8" i="1" s="1"/>
  <c r="KL8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KI9" i="1" l="1" a="1"/>
  <c r="KI9" i="1" s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KJ9" i="1" l="1"/>
  <c r="KK9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KL9" i="1"/>
  <c r="KI10" i="1" s="1" a="1"/>
  <c r="KI10" i="1" s="1"/>
  <c r="KJ10" i="1" s="1"/>
  <c r="KK10" i="1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KI11" i="1" a="1"/>
  <c r="KI11" i="1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KJ11" i="1"/>
  <c r="KK11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KI12" i="1" a="1"/>
  <c r="KI12" i="1" s="1"/>
  <c r="KJ12" i="1" s="1"/>
  <c r="KK12" i="1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8" i="1" l="1"/>
  <c r="KB8" i="1" s="1"/>
  <c r="AA8" i="1"/>
  <c r="KA8" i="1" s="1"/>
  <c r="AB263" i="5"/>
  <c r="KD263" i="5" s="1"/>
  <c r="AA263" i="5"/>
  <c r="KC263" i="5" s="1"/>
  <c r="Z263" i="5" s="1" a="1"/>
  <c r="Z263" i="5" s="1"/>
  <c r="Y264" i="5" s="1" a="1"/>
  <c r="Y264" i="5" s="1"/>
  <c r="X265" i="5"/>
  <c r="KC8" i="1" l="1"/>
  <c r="KF8" i="1"/>
  <c r="KD8" i="1"/>
  <c r="AB264" i="5"/>
  <c r="KD264" i="5" s="1"/>
  <c r="AA264" i="5"/>
  <c r="KC264" i="5" s="1"/>
  <c r="Z264" i="5" s="1" a="1"/>
  <c r="Z264" i="5" s="1"/>
  <c r="Y265" i="5" s="1" a="1"/>
  <c r="Y265" i="5" s="1"/>
  <c r="X266" i="5"/>
  <c r="Z8" i="1" l="1" a="1"/>
  <c r="Z8" i="1" s="1"/>
  <c r="Y9" i="1" s="1" a="1"/>
  <c r="Y9" i="1" s="1"/>
  <c r="KE8" i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9" i="1" l="1"/>
  <c r="AA9" i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KC9" i="1" l="1"/>
  <c r="KA9" i="1"/>
  <c r="KB9" i="1"/>
  <c r="KF9" i="1" s="1"/>
  <c r="KD9" i="1"/>
  <c r="AB267" i="5"/>
  <c r="HH267" i="5" s="1"/>
  <c r="AA267" i="5"/>
  <c r="HG267" i="5" s="1"/>
  <c r="X273" i="5" a="1"/>
  <c r="X273" i="5" s="1"/>
  <c r="Z9" i="1" l="1" a="1"/>
  <c r="Z9" i="1" s="1"/>
  <c r="KE9" i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Y10" i="1" l="1" a="1"/>
  <c r="Y10" i="1" s="1"/>
  <c r="AB10" i="1" s="1"/>
  <c r="KD10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A10" i="1" l="1"/>
  <c r="KC10" i="1" s="1"/>
  <c r="Z10" i="1" s="1" a="1"/>
  <c r="Z10" i="1" s="1"/>
  <c r="Y11" i="1" s="1" a="1"/>
  <c r="Y11" i="1" s="1"/>
  <c r="AB11" i="1" s="1"/>
  <c r="KD11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AA11" i="1" l="1"/>
  <c r="KC11" i="1" s="1"/>
  <c r="Z11" i="1" s="1" a="1"/>
  <c r="Z11" i="1" s="1"/>
  <c r="Y12" i="1" s="1" a="1"/>
  <c r="Y12" i="1" s="1"/>
  <c r="AB12" i="1" s="1"/>
  <c r="KD12" i="1" s="1"/>
  <c r="BQ268" i="5"/>
  <c r="CG268" i="5"/>
  <c r="BP268" i="5"/>
  <c r="CF268" i="5"/>
  <c r="BI268" i="5"/>
  <c r="BW268" i="5"/>
  <c r="BV268" i="5"/>
  <c r="BH268" i="5"/>
  <c r="AA12" i="1" l="1"/>
  <c r="KC12" i="1" s="1"/>
  <c r="Z12" i="1" s="1" a="1"/>
  <c r="Z12" i="1" s="1"/>
  <c r="BR268" i="5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KC2" i="1" s="1"/>
  <c r="Z2" i="1" s="1" a="1"/>
  <c r="Z2" i="1" s="1"/>
  <c r="Y3" i="1" s="1" a="1"/>
  <c r="Y3" i="1" s="1"/>
  <c r="AB2" i="1"/>
  <c r="KD2" i="1" s="1"/>
  <c r="AA3" i="1" l="1"/>
  <c r="KC3" i="1" s="1"/>
  <c r="Z3" i="1" s="1" a="1"/>
  <c r="Z3" i="1" s="1"/>
  <c r="Y4" i="1" s="1" a="1"/>
  <c r="Y4" i="1" s="1"/>
  <c r="AB3" i="1"/>
  <c r="KD3" i="1" s="1"/>
  <c r="AB4" i="1" l="1"/>
  <c r="KD4" i="1" s="1"/>
  <c r="AA4" i="1"/>
  <c r="KC4" i="1" s="1"/>
  <c r="Z4" i="1" l="1" a="1"/>
  <c r="Z4" i="1" s="1"/>
  <c r="Y5" i="1" s="1" a="1"/>
  <c r="Y5" i="1" s="1"/>
  <c r="AA5" i="1" s="1"/>
  <c r="KC5" i="1" s="1"/>
  <c r="Z5" i="1" l="1" a="1"/>
  <c r="Z5" i="1" s="1"/>
  <c r="Y6" i="1" s="1" a="1"/>
  <c r="Y6" i="1" s="1"/>
  <c r="AA6" i="1" s="1"/>
  <c r="KC6" i="1" s="1"/>
  <c r="AB5" i="1"/>
  <c r="KD5" i="1" s="1"/>
  <c r="Z6" i="1" l="1" a="1"/>
  <c r="Z6" i="1" s="1"/>
  <c r="Y7" i="1" s="1" a="1"/>
  <c r="Y7" i="1" s="1"/>
  <c r="AA7" i="1" s="1"/>
  <c r="KC7" i="1" s="1"/>
  <c r="AB6" i="1"/>
  <c r="KD6" i="1" s="1"/>
  <c r="AB7" i="1" l="1"/>
  <c r="KD7" i="1" s="1"/>
  <c r="Z7" i="1" a="1"/>
  <c r="Z7" i="1" s="1"/>
  <c r="AD13" i="1" l="1" a="1"/>
  <c r="AD13" i="1" s="1"/>
  <c r="AG13" i="1" s="1"/>
  <c r="MA13" i="1" s="1"/>
  <c r="BG13" i="1" l="1"/>
  <c r="BU13" i="1"/>
  <c r="AF13" i="1"/>
  <c r="BF13" i="1" l="1"/>
  <c r="BT13" i="1"/>
  <c r="BI13" i="1"/>
  <c r="BW13" i="1"/>
  <c r="BK13" i="1" l="1"/>
  <c r="CA13" i="1" s="1"/>
  <c r="BY13" i="1"/>
  <c r="BH13" i="1"/>
  <c r="BV13" i="1"/>
  <c r="BX13" i="1" l="1"/>
  <c r="BJ13" i="1"/>
  <c r="BZ13" i="1" s="1"/>
  <c r="AJ13" i="1" a="1"/>
  <c r="AJ13" i="1" s="1"/>
  <c r="AH14" i="1" s="1"/>
  <c r="AI14" i="1" s="1" a="1"/>
  <c r="AI14" i="1" s="1"/>
  <c r="AL14" i="1" s="1"/>
  <c r="AE13" i="1" a="1"/>
  <c r="AE13" i="1" s="1"/>
  <c r="AC14" i="1" s="1"/>
  <c r="AK14" i="1" l="1"/>
  <c r="BP14" i="1" s="1"/>
  <c r="CD14" i="1"/>
  <c r="CC14" i="1"/>
  <c r="CE14" i="1"/>
  <c r="CB14" i="1"/>
  <c r="AD14" i="1" a="1"/>
  <c r="AD14" i="1" s="1"/>
  <c r="BQ14" i="1"/>
  <c r="CG14" i="1"/>
  <c r="CF14" i="1" l="1"/>
  <c r="AF14" i="1"/>
  <c r="AG14" i="1"/>
  <c r="MA14" i="1" s="1"/>
  <c r="BR14" i="1"/>
  <c r="CJ14" i="1" s="1"/>
  <c r="CH14" i="1"/>
  <c r="BS14" i="1"/>
  <c r="CK14" i="1" s="1"/>
  <c r="CI14" i="1"/>
  <c r="BU14" i="1" l="1"/>
  <c r="BG14" i="1"/>
  <c r="BF14" i="1"/>
  <c r="BT14" i="1"/>
  <c r="BI14" i="1" l="1"/>
  <c r="BW14" i="1"/>
  <c r="BH14" i="1"/>
  <c r="BV14" i="1"/>
  <c r="BJ14" i="1" l="1"/>
  <c r="BZ14" i="1" s="1"/>
  <c r="AJ14" i="1" a="1"/>
  <c r="AJ14" i="1" s="1"/>
  <c r="AH15" i="1" s="1"/>
  <c r="BX14" i="1"/>
  <c r="AE14" i="1" a="1"/>
  <c r="AE14" i="1" s="1"/>
  <c r="AC15" i="1" s="1"/>
  <c r="BK14" i="1"/>
  <c r="CA14" i="1" s="1"/>
  <c r="BY14" i="1"/>
  <c r="AD15" i="1" l="1" a="1"/>
  <c r="AD15" i="1" s="1"/>
  <c r="CE15" i="1"/>
  <c r="CB15" i="1"/>
  <c r="CC15" i="1"/>
  <c r="CD15" i="1"/>
  <c r="AI15" i="1" a="1"/>
  <c r="AI15" i="1" s="1"/>
  <c r="AL15" i="1" l="1"/>
  <c r="AK15" i="1"/>
  <c r="AF15" i="1"/>
  <c r="AG15" i="1"/>
  <c r="MA15" i="1" s="1"/>
  <c r="Y17" i="1" a="1"/>
  <c r="Y17" i="1" s="1"/>
  <c r="BG15" i="1" l="1"/>
  <c r="BU15" i="1"/>
  <c r="BP15" i="1"/>
  <c r="CF15" i="1"/>
  <c r="BT15" i="1"/>
  <c r="BF15" i="1"/>
  <c r="BQ15" i="1"/>
  <c r="CG15" i="1"/>
  <c r="AB17" i="1"/>
  <c r="HH17" i="1" s="1"/>
  <c r="AA17" i="1"/>
  <c r="HG17" i="1" s="1"/>
  <c r="BV15" i="1" l="1"/>
  <c r="BH15" i="1"/>
  <c r="BS15" i="1"/>
  <c r="CK15" i="1" s="1"/>
  <c r="CI15" i="1"/>
  <c r="BR15" i="1"/>
  <c r="CJ15" i="1" s="1"/>
  <c r="CH15" i="1"/>
  <c r="BI15" i="1"/>
  <c r="BW15" i="1"/>
  <c r="BK15" i="1" l="1"/>
  <c r="CA15" i="1" s="1"/>
  <c r="BY15" i="1"/>
  <c r="BX15" i="1"/>
  <c r="AJ15" i="1" a="1"/>
  <c r="AJ15" i="1" s="1"/>
  <c r="AH16" i="1" s="1"/>
  <c r="AI16" i="1" s="1" a="1"/>
  <c r="AI16" i="1" s="1"/>
  <c r="AK16" i="1" s="1"/>
  <c r="BJ15" i="1"/>
  <c r="BZ15" i="1" s="1"/>
  <c r="AE15" i="1" l="1" a="1"/>
  <c r="AE15" i="1" s="1"/>
  <c r="AC16" i="1" s="1"/>
  <c r="AL16" i="1"/>
  <c r="BQ16" i="1" s="1"/>
  <c r="BP16" i="1"/>
  <c r="CF16" i="1"/>
  <c r="AD16" i="1" l="1" a="1"/>
  <c r="AD16" i="1" s="1"/>
  <c r="AG16" i="1" s="1"/>
  <c r="MA16" i="1" s="1"/>
  <c r="CB16" i="1"/>
  <c r="CD16" i="1"/>
  <c r="CE16" i="1"/>
  <c r="CC16" i="1"/>
  <c r="CG16" i="1"/>
  <c r="BR16" i="1"/>
  <c r="CJ16" i="1" s="1"/>
  <c r="CH16" i="1"/>
  <c r="BS16" i="1"/>
  <c r="CK16" i="1" s="1"/>
  <c r="CI16" i="1"/>
  <c r="AF16" i="1" l="1"/>
  <c r="BF16" i="1" s="1"/>
  <c r="BG16" i="1"/>
  <c r="BU16" i="1"/>
  <c r="BT16" i="1" l="1"/>
  <c r="BV16" i="1"/>
  <c r="BH16" i="1"/>
  <c r="BW16" i="1"/>
  <c r="BI16" i="1"/>
  <c r="BY16" i="1" l="1"/>
  <c r="BK16" i="1"/>
  <c r="CA16" i="1" s="1"/>
  <c r="BX16" i="1"/>
  <c r="AE16" i="1" a="1"/>
  <c r="AE16" i="1" s="1"/>
  <c r="AC17" i="1" s="1"/>
  <c r="BJ16" i="1"/>
  <c r="BZ16" i="1" s="1"/>
  <c r="AJ16" i="1" a="1"/>
  <c r="AJ16" i="1" s="1"/>
  <c r="AH17" i="1" s="1"/>
  <c r="AI17" i="1" l="1" a="1"/>
  <c r="AI17" i="1" s="1"/>
  <c r="HS17" i="1"/>
  <c r="AD17" i="1" a="1"/>
  <c r="AD17" i="1" s="1"/>
  <c r="HT17" i="1"/>
  <c r="AF17" i="1" l="1"/>
  <c r="AG17" i="1"/>
  <c r="MA17" i="1" s="1"/>
  <c r="AL17" i="1"/>
  <c r="AK17" i="1"/>
  <c r="HE17" i="1" l="1"/>
  <c r="HW17" i="1" s="1"/>
  <c r="HU17" i="1"/>
  <c r="HJ17" i="1"/>
  <c r="GV17" i="1"/>
  <c r="HF17" i="1"/>
  <c r="HX17" i="1" s="1"/>
  <c r="HV17" i="1"/>
  <c r="HI17" i="1"/>
  <c r="GU17" i="1"/>
  <c r="GW17" i="1" l="1"/>
  <c r="HK17" i="1"/>
  <c r="HL17" i="1"/>
  <c r="GX17" i="1"/>
  <c r="HN17" i="1" l="1"/>
  <c r="GZ17" i="1"/>
  <c r="GY17" i="1"/>
  <c r="HM17" i="1"/>
  <c r="AJ17" i="1" l="1" a="1"/>
  <c r="AJ17" i="1" s="1"/>
  <c r="AH18" i="1" s="1"/>
  <c r="AE17" i="1" a="1"/>
  <c r="AE17" i="1" s="1"/>
  <c r="AC18" i="1" s="1"/>
  <c r="HO17" i="1"/>
  <c r="HA17" i="1"/>
  <c r="HQ17" i="1" s="1"/>
  <c r="Z17" i="1" a="1"/>
  <c r="Z17" i="1" s="1"/>
  <c r="Y18" i="1" s="1" a="1"/>
  <c r="Y18" i="1" s="1"/>
  <c r="HB17" i="1"/>
  <c r="HR17" i="1" s="1"/>
  <c r="HP17" i="1"/>
  <c r="AA18" i="1" l="1"/>
  <c r="HG18" i="1" s="1"/>
  <c r="AB18" i="1"/>
  <c r="HH18" i="1" s="1"/>
  <c r="AD19" i="1" a="1"/>
  <c r="AD19" i="1" s="1"/>
  <c r="HT18" i="1"/>
  <c r="HS18" i="1"/>
  <c r="AD18" i="1" a="1"/>
  <c r="AD18" i="1" s="1"/>
  <c r="AI18" i="1" a="1"/>
  <c r="AI18" i="1" s="1"/>
  <c r="AK18" i="1" l="1"/>
  <c r="AL18" i="1"/>
  <c r="AF18" i="1"/>
  <c r="AG18" i="1"/>
  <c r="MA18" i="1" s="1"/>
  <c r="AF19" i="1"/>
  <c r="AG19" i="1"/>
  <c r="MA19" i="1" s="1"/>
  <c r="BU19" i="1" l="1"/>
  <c r="BG19" i="1"/>
  <c r="BF19" i="1"/>
  <c r="BT19" i="1"/>
  <c r="HJ18" i="1"/>
  <c r="GV18" i="1"/>
  <c r="HI18" i="1"/>
  <c r="GU18" i="1"/>
  <c r="HF18" i="1"/>
  <c r="HX18" i="1" s="1"/>
  <c r="HV18" i="1"/>
  <c r="HE18" i="1"/>
  <c r="HW18" i="1" s="1"/>
  <c r="HU18" i="1"/>
  <c r="GX18" i="1" l="1"/>
  <c r="HL18" i="1"/>
  <c r="GW18" i="1"/>
  <c r="HK18" i="1"/>
  <c r="BH19" i="1"/>
  <c r="BV19" i="1"/>
  <c r="BI19" i="1"/>
  <c r="BW19" i="1"/>
  <c r="BK19" i="1" l="1"/>
  <c r="BY19" i="1"/>
  <c r="BX19" i="1"/>
  <c r="BJ19" i="1"/>
  <c r="HM18" i="1"/>
  <c r="GY18" i="1"/>
  <c r="GZ18" i="1"/>
  <c r="HN18" i="1"/>
  <c r="HP18" i="1" l="1"/>
  <c r="HB18" i="1"/>
  <c r="HR18" i="1" s="1"/>
  <c r="AJ18" i="1" a="1"/>
  <c r="AJ18" i="1" s="1"/>
  <c r="AH19" i="1" s="1"/>
  <c r="AI19" i="1" s="1" a="1"/>
  <c r="AI19" i="1" s="1"/>
  <c r="AK19" i="1" s="1"/>
  <c r="Z18" i="1" a="1"/>
  <c r="Z18" i="1" s="1"/>
  <c r="Y30" i="1" s="1" a="1"/>
  <c r="Y30" i="1" s="1"/>
  <c r="HO18" i="1"/>
  <c r="HA18" i="1"/>
  <c r="HQ18" i="1" s="1"/>
  <c r="AE18" i="1" s="1" a="1"/>
  <c r="AE18" i="1" s="1"/>
  <c r="BL19" i="1"/>
  <c r="BZ19" i="1"/>
  <c r="BM19" i="1"/>
  <c r="CA19" i="1"/>
  <c r="AL19" i="1" l="1"/>
  <c r="BQ19" i="1" s="1"/>
  <c r="BN19" i="1"/>
  <c r="CD19" i="1" s="1"/>
  <c r="CB19" i="1"/>
  <c r="AA30" i="1"/>
  <c r="KC30" i="1" s="1"/>
  <c r="Z30" i="1" s="1" a="1"/>
  <c r="Z30" i="1" s="1"/>
  <c r="AB30" i="1"/>
  <c r="KD30" i="1" s="1"/>
  <c r="CC19" i="1"/>
  <c r="BO19" i="1"/>
  <c r="CE19" i="1" s="1"/>
  <c r="BP19" i="1"/>
  <c r="CF19" i="1"/>
  <c r="CG19" i="1" l="1"/>
  <c r="BR19" i="1"/>
  <c r="CJ19" i="1" s="1"/>
  <c r="CH19" i="1"/>
  <c r="AJ19" i="1" a="1"/>
  <c r="AJ19" i="1" s="1"/>
  <c r="AH20" i="1" s="1"/>
  <c r="AI20" i="1" s="1" a="1"/>
  <c r="AI20" i="1" s="1"/>
  <c r="AK20" i="1" s="1"/>
  <c r="BP20" i="1" s="1"/>
  <c r="AE19" i="1" a="1"/>
  <c r="AE19" i="1" s="1"/>
  <c r="AC20" i="1" s="1"/>
  <c r="BS19" i="1"/>
  <c r="CK19" i="1" s="1"/>
  <c r="CI19" i="1"/>
  <c r="AD20" i="1" l="1" a="1"/>
  <c r="AD20" i="1" s="1"/>
  <c r="AG20" i="1" s="1"/>
  <c r="MA20" i="1" s="1"/>
  <c r="CF20" i="1"/>
  <c r="AL20" i="1"/>
  <c r="BQ20" i="1" s="1"/>
  <c r="BR20" i="1"/>
  <c r="CJ20" i="1" s="1"/>
  <c r="CH20" i="1"/>
  <c r="BU20" i="1" l="1"/>
  <c r="BG20" i="1"/>
  <c r="BW20" i="1" s="1"/>
  <c r="AF20" i="1"/>
  <c r="BF20" i="1" s="1"/>
  <c r="BH20" i="1" s="1"/>
  <c r="CG20" i="1"/>
  <c r="BS20" i="1"/>
  <c r="CK20" i="1" s="1"/>
  <c r="CI20" i="1"/>
  <c r="BV20" i="1" l="1"/>
  <c r="BT20" i="1"/>
  <c r="BI20" i="1"/>
  <c r="BK20" i="1" s="1"/>
  <c r="BJ20" i="1"/>
  <c r="BX20" i="1"/>
  <c r="BY20" i="1" l="1"/>
  <c r="BM20" i="1"/>
  <c r="CA20" i="1"/>
  <c r="BL20" i="1"/>
  <c r="BZ20" i="1"/>
  <c r="CB20" i="1" l="1"/>
  <c r="CE20" i="1"/>
  <c r="CC20" i="1"/>
  <c r="CD20" i="1" l="1"/>
  <c r="AE20" i="1" a="1"/>
  <c r="AE20" i="1" s="1"/>
  <c r="AC21" i="1" s="1"/>
  <c r="AJ20" i="1" a="1"/>
  <c r="AJ20" i="1" s="1"/>
  <c r="AH21" i="1" s="1"/>
  <c r="AI21" i="1" l="1" a="1"/>
  <c r="AI21" i="1" s="1"/>
  <c r="AK21" i="1" s="1"/>
  <c r="BP21" i="1" s="1"/>
  <c r="BR21" i="1" s="1"/>
  <c r="CJ21" i="1" s="1"/>
  <c r="AD21" i="1" a="1"/>
  <c r="AD21" i="1" s="1"/>
  <c r="AG21" i="1" s="1"/>
  <c r="MA21" i="1" s="1"/>
  <c r="CE21" i="1"/>
  <c r="CD21" i="1"/>
  <c r="AL21" i="1" l="1"/>
  <c r="BQ21" i="1" s="1"/>
  <c r="BS21" i="1" s="1"/>
  <c r="CK21" i="1" s="1"/>
  <c r="BG21" i="1"/>
  <c r="BU21" i="1"/>
  <c r="CH21" i="1"/>
  <c r="AF21" i="1"/>
  <c r="CF21" i="1"/>
  <c r="CG21" i="1" l="1"/>
  <c r="CI21" i="1"/>
  <c r="BF21" i="1"/>
  <c r="BT21" i="1"/>
  <c r="BI21" i="1"/>
  <c r="BW21" i="1"/>
  <c r="BK21" i="1" l="1"/>
  <c r="BY21" i="1"/>
  <c r="BH21" i="1"/>
  <c r="BV21" i="1"/>
  <c r="BJ21" i="1" l="1"/>
  <c r="BX21" i="1"/>
  <c r="BM21" i="1"/>
  <c r="CC21" i="1" s="1"/>
  <c r="CA21" i="1"/>
  <c r="BL21" i="1" l="1"/>
  <c r="CB21" i="1" s="1"/>
  <c r="BZ21" i="1"/>
  <c r="AJ21" i="1" a="1"/>
  <c r="AJ21" i="1" s="1"/>
  <c r="AH22" i="1" s="1"/>
  <c r="AE21" i="1" a="1"/>
  <c r="AE21" i="1" s="1"/>
  <c r="AC22" i="1" s="1"/>
  <c r="AD22" i="1" l="1" a="1"/>
  <c r="AD22" i="1" s="1"/>
  <c r="CD22" i="1"/>
  <c r="CE22" i="1"/>
  <c r="AI22" i="1" a="1"/>
  <c r="AI22" i="1" s="1"/>
  <c r="AL22" i="1" l="1"/>
  <c r="AK22" i="1"/>
  <c r="AG22" i="1"/>
  <c r="MA22" i="1" s="1"/>
  <c r="AF22" i="1"/>
  <c r="BG22" i="1" l="1"/>
  <c r="BU22" i="1"/>
  <c r="BF22" i="1"/>
  <c r="BT22" i="1"/>
  <c r="BQ22" i="1"/>
  <c r="CG22" i="1"/>
  <c r="BP22" i="1"/>
  <c r="CF22" i="1"/>
  <c r="BH22" i="1" l="1"/>
  <c r="BV22" i="1"/>
  <c r="BR22" i="1"/>
  <c r="CJ22" i="1" s="1"/>
  <c r="CH22" i="1"/>
  <c r="BS22" i="1"/>
  <c r="CK22" i="1" s="1"/>
  <c r="CI22" i="1"/>
  <c r="BI22" i="1"/>
  <c r="BW22" i="1"/>
  <c r="BK22" i="1" l="1"/>
  <c r="BY22" i="1"/>
  <c r="BJ22" i="1"/>
  <c r="BX22" i="1"/>
  <c r="BL22" i="1" l="1"/>
  <c r="CB22" i="1" s="1"/>
  <c r="BZ22" i="1"/>
  <c r="AE22" i="1" a="1"/>
  <c r="AE22" i="1" s="1"/>
  <c r="AC23" i="1" s="1"/>
  <c r="AJ22" i="1" a="1"/>
  <c r="AJ22" i="1" s="1"/>
  <c r="AH23" i="1" s="1"/>
  <c r="BM22" i="1"/>
  <c r="CC22" i="1" s="1"/>
  <c r="CA22" i="1"/>
  <c r="AI23" i="1" l="1" a="1"/>
  <c r="AI23" i="1" s="1"/>
  <c r="AD23" i="1" a="1"/>
  <c r="AD23" i="1" s="1"/>
  <c r="CE23" i="1"/>
  <c r="CD23" i="1"/>
  <c r="AF23" i="1" l="1"/>
  <c r="AG23" i="1"/>
  <c r="MA23" i="1" s="1"/>
  <c r="AL23" i="1"/>
  <c r="AK23" i="1"/>
  <c r="BP23" i="1" l="1"/>
  <c r="CF23" i="1"/>
  <c r="BQ23" i="1"/>
  <c r="CG23" i="1"/>
  <c r="BG23" i="1"/>
  <c r="BU23" i="1"/>
  <c r="BF23" i="1"/>
  <c r="BT23" i="1"/>
  <c r="BH23" i="1" l="1"/>
  <c r="BV23" i="1"/>
  <c r="BI23" i="1"/>
  <c r="BW23" i="1"/>
  <c r="BS23" i="1"/>
  <c r="CK23" i="1" s="1"/>
  <c r="CI23" i="1"/>
  <c r="BR23" i="1"/>
  <c r="CJ23" i="1" s="1"/>
  <c r="CH23" i="1"/>
  <c r="BK23" i="1" l="1"/>
  <c r="BY23" i="1"/>
  <c r="BJ23" i="1"/>
  <c r="BX23" i="1"/>
  <c r="BL23" i="1" l="1"/>
  <c r="CB23" i="1" s="1"/>
  <c r="BZ23" i="1"/>
  <c r="AJ23" i="1" a="1"/>
  <c r="AJ23" i="1" s="1"/>
  <c r="AE23" i="1" a="1"/>
  <c r="AE23" i="1" s="1"/>
  <c r="AC24" i="1" s="1"/>
  <c r="BM23" i="1"/>
  <c r="CC23" i="1" s="1"/>
  <c r="CA23" i="1"/>
  <c r="CB24" i="1" l="1"/>
  <c r="CE24" i="1"/>
  <c r="CD24" i="1"/>
  <c r="CC24" i="1"/>
  <c r="AH24" i="1"/>
  <c r="AD24" i="1" a="1"/>
  <c r="AD24" i="1" s="1"/>
  <c r="AI24" i="1" l="1" a="1"/>
  <c r="AI24" i="1" s="1"/>
  <c r="AK24" i="1" s="1"/>
  <c r="AG24" i="1"/>
  <c r="MA24" i="1" s="1"/>
  <c r="AF24" i="1"/>
  <c r="BP24" i="1" l="1"/>
  <c r="CF24" i="1"/>
  <c r="BG24" i="1"/>
  <c r="BU24" i="1"/>
  <c r="AL24" i="1"/>
  <c r="BF24" i="1"/>
  <c r="BT24" i="1"/>
  <c r="BH24" i="1" l="1"/>
  <c r="BV24" i="1"/>
  <c r="BQ24" i="1"/>
  <c r="CG24" i="1"/>
  <c r="BI24" i="1"/>
  <c r="BW24" i="1"/>
  <c r="BR24" i="1"/>
  <c r="CJ24" i="1" s="1"/>
  <c r="CH24" i="1"/>
  <c r="BK24" i="1" l="1"/>
  <c r="CA24" i="1" s="1"/>
  <c r="BY24" i="1"/>
  <c r="BS24" i="1"/>
  <c r="CK24" i="1" s="1"/>
  <c r="CI24" i="1"/>
  <c r="BJ24" i="1"/>
  <c r="BX24" i="1"/>
  <c r="BZ24" i="1" l="1"/>
  <c r="AE24" i="1" a="1"/>
  <c r="AE24" i="1" s="1"/>
  <c r="AJ24" i="1" a="1"/>
  <c r="AJ24" i="1" s="1"/>
  <c r="AH25" i="1" s="1"/>
  <c r="AI25" i="1" l="1" a="1"/>
  <c r="AI25" i="1" s="1"/>
  <c r="AL25" i="1" s="1"/>
  <c r="AD25" i="1" a="1"/>
  <c r="AD25" i="1" s="1"/>
  <c r="CE25" i="1"/>
  <c r="CD25" i="1"/>
  <c r="CC25" i="1"/>
  <c r="CB25" i="1"/>
  <c r="BQ25" i="1" l="1"/>
  <c r="CG25" i="1"/>
  <c r="AF25" i="1"/>
  <c r="AG25" i="1"/>
  <c r="MA25" i="1" s="1"/>
  <c r="AK25" i="1"/>
  <c r="BP25" i="1" l="1"/>
  <c r="CF25" i="1"/>
  <c r="BG25" i="1"/>
  <c r="BU25" i="1"/>
  <c r="BF25" i="1"/>
  <c r="BT25" i="1"/>
  <c r="BS25" i="1"/>
  <c r="CK25" i="1" s="1"/>
  <c r="CI25" i="1"/>
  <c r="BH25" i="1" l="1"/>
  <c r="BV25" i="1"/>
  <c r="BI25" i="1"/>
  <c r="BW25" i="1"/>
  <c r="BR25" i="1"/>
  <c r="CJ25" i="1" s="1"/>
  <c r="CH25" i="1"/>
  <c r="BK25" i="1" l="1"/>
  <c r="CA25" i="1" s="1"/>
  <c r="BY25" i="1"/>
  <c r="BJ25" i="1"/>
  <c r="BX25" i="1"/>
  <c r="BZ25" i="1" l="1"/>
  <c r="AE25" i="1" a="1"/>
  <c r="AE25" i="1" s="1"/>
  <c r="AC26" i="1" s="1"/>
  <c r="AJ25" i="1" a="1"/>
  <c r="AJ25" i="1" s="1"/>
  <c r="AH26" i="1" s="1"/>
  <c r="AI26" i="1" l="1" a="1"/>
  <c r="AI26" i="1" s="1"/>
  <c r="AL26" i="1" s="1"/>
  <c r="AD26" i="1" a="1"/>
  <c r="AD26" i="1" s="1"/>
  <c r="EX26" i="1" l="1"/>
  <c r="FH26" i="1" s="1"/>
  <c r="FF26" i="1"/>
  <c r="AK26" i="1"/>
  <c r="AF26" i="1"/>
  <c r="AG26" i="1"/>
  <c r="MA26" i="1" s="1"/>
  <c r="ET26" i="1" l="1"/>
  <c r="EZ26" i="1"/>
  <c r="ES26" i="1"/>
  <c r="EY26" i="1"/>
  <c r="EW26" i="1"/>
  <c r="FG26" i="1" s="1"/>
  <c r="FE26" i="1"/>
  <c r="EU26" i="1" l="1"/>
  <c r="FC26" i="1" s="1"/>
  <c r="AE26" i="1" a="1"/>
  <c r="AE26" i="1" s="1"/>
  <c r="AC27" i="1" s="1"/>
  <c r="AJ26" i="1" a="1"/>
  <c r="AJ26" i="1" s="1"/>
  <c r="FA26" i="1"/>
  <c r="EV26" i="1"/>
  <c r="FD26" i="1" s="1"/>
  <c r="FB26" i="1"/>
  <c r="AD27" i="1" l="1" a="1"/>
  <c r="AD27" i="1" s="1"/>
  <c r="AG27" i="1" s="1"/>
  <c r="MA27" i="1" s="1"/>
  <c r="AE27" i="1" s="1" a="1"/>
  <c r="AE27" i="1" s="1"/>
  <c r="AF27" i="1" l="1"/>
  <c r="AC28" i="1"/>
  <c r="AD28" i="1" l="1" a="1"/>
  <c r="AD28" i="1" s="1"/>
  <c r="AG28" i="1" l="1"/>
  <c r="AF28" i="1"/>
  <c r="VV28" i="1" l="1"/>
  <c r="VZ28" i="1" s="1"/>
  <c r="VY28" i="1"/>
  <c r="WB28" i="1"/>
  <c r="MA28" i="1"/>
  <c r="VW28" i="1"/>
  <c r="VX28" i="1"/>
  <c r="WC28" i="1" l="1"/>
  <c r="WA28" i="1"/>
  <c r="AE28" i="1" s="1" a="1"/>
  <c r="AE28" i="1" s="1"/>
  <c r="AD31" i="1" s="1" a="1"/>
  <c r="AD31" i="1" s="1"/>
  <c r="AG31" i="1" s="1"/>
  <c r="MA31" i="1" s="1"/>
  <c r="AF31" i="1" l="1"/>
  <c r="LZ31" i="1" s="1"/>
  <c r="AE31" i="1" s="1" a="1"/>
  <c r="AE31" i="1" s="1"/>
  <c r="AC32" i="1" s="1"/>
  <c r="AD32" i="1" s="1" a="1"/>
  <c r="AD32" i="1" s="1"/>
  <c r="AG32" i="1" s="1"/>
  <c r="MA32" i="1" l="1"/>
  <c r="AF32" i="1"/>
  <c r="LZ32" i="1" s="1"/>
  <c r="AE32" i="1" s="1" a="1"/>
  <c r="AE32" i="1" s="1"/>
  <c r="AC33" i="1" s="1"/>
  <c r="AD33" i="1" l="1" a="1"/>
  <c r="AD33" i="1" s="1"/>
  <c r="AG33" i="1" l="1"/>
  <c r="MA33" i="1" s="1"/>
  <c r="AF33" i="1"/>
  <c r="LZ33" i="1" s="1"/>
  <c r="AE33" i="1" s="1" a="1"/>
  <c r="AE33" i="1" s="1"/>
  <c r="AC34" i="1" s="1"/>
  <c r="AD34" i="1" l="1" a="1"/>
  <c r="AD34" i="1" s="1"/>
  <c r="AG34" i="1" l="1"/>
  <c r="MA34" i="1" s="1"/>
  <c r="AF34" i="1"/>
  <c r="LZ34" i="1" s="1"/>
  <c r="AE34" i="1" s="1" a="1"/>
  <c r="AE34" i="1" s="1"/>
  <c r="AC35" i="1" s="1"/>
  <c r="AD35" i="1" l="1" a="1"/>
  <c r="AD35" i="1" s="1"/>
  <c r="AG35" i="1" l="1"/>
  <c r="MA35" i="1" s="1"/>
  <c r="AF35" i="1"/>
  <c r="LZ35" i="1" s="1"/>
  <c r="AE35" i="1" s="1" a="1"/>
  <c r="AE35" i="1" s="1"/>
  <c r="AC36" i="1" s="1"/>
  <c r="AD36" i="1" l="1" a="1"/>
  <c r="AD36" i="1" s="1"/>
  <c r="AG36" i="1" l="1"/>
  <c r="MA36" i="1" s="1"/>
  <c r="AF36" i="1"/>
  <c r="LZ36" i="1" s="1"/>
  <c r="AE36" i="1" s="1" a="1"/>
  <c r="AE36" i="1" s="1"/>
  <c r="AC37" i="1" s="1"/>
  <c r="AD37" i="1" l="1" a="1"/>
  <c r="AD37" i="1" s="1"/>
  <c r="AF37" i="1" l="1"/>
  <c r="LZ37" i="1" s="1"/>
  <c r="AE37" i="1" s="1" a="1"/>
  <c r="AE37" i="1" s="1"/>
  <c r="AC38" i="1" s="1"/>
  <c r="AG37" i="1"/>
  <c r="MA37" i="1" s="1"/>
  <c r="AD38" i="1" l="1" a="1"/>
  <c r="AD38" i="1" s="1"/>
  <c r="AG38" i="1" l="1"/>
  <c r="MA38" i="1" s="1"/>
  <c r="AF38" i="1"/>
  <c r="LZ38" i="1" s="1"/>
  <c r="AE38" i="1" s="1" a="1"/>
  <c r="AE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tc={F37083B4-0267-40B3-943E-8E106B59FD56}</author>
    <author>tc={1E085EFA-2D4C-49AF-8DF0-637CB800E501}</author>
  </authors>
  <commentList>
    <comment ref="B20" authorId="0" shapeId="0" xr:uid="{00000000-0006-0000-00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</text>
    </comment>
    <comment ref="B27" authorId="1" shapeId="0" xr:uid="{00000000-0006-0000-00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</text>
    </comment>
  </commentList>
</comments>
</file>

<file path=xl/sharedStrings.xml><?xml version="1.0" encoding="utf-8"?>
<sst xmlns="http://schemas.openxmlformats.org/spreadsheetml/2006/main" count="9420" uniqueCount="2198">
  <si>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</si>
  <si>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</si>
  <si>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</si>
  <si>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</si>
  <si>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</si>
  <si>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</si>
  <si>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</si>
  <si>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</si>
  <si>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</si>
  <si>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</si>
  <si>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</si>
  <si>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</si>
  <si>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</si>
  <si>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</si>
  <si>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</si>
  <si>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</si>
  <si>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</si>
  <si>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</si>
  <si>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</si>
  <si>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</si>
  <si>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</si>
  <si>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</si>
  <si>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</si>
  <si>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</si>
  <si>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</si>
  <si>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</si>
  <si>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</si>
  <si>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</si>
  <si>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</si>
  <si>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</si>
  <si>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</si>
  <si>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</si>
  <si>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</si>
  <si>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</si>
  <si>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</si>
  <si>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</si>
  <si>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</si>
  <si>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</si>
  <si>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</si>
  <si>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</si>
  <si>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</si>
  <si>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</si>
  <si>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</si>
  <si>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</si>
  <si>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</si>
  <si>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</si>
  <si>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</si>
  <si>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</si>
  <si>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</si>
  <si>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</si>
  <si>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</si>
  <si>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</si>
  <si>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</si>
  <si>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</si>
  <si>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</si>
  <si>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</si>
  <si>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</si>
  <si>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</si>
  <si>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</si>
  <si>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</si>
  <si>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</si>
  <si>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</si>
  <si>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</si>
  <si>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</si>
  <si>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</si>
  <si>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</si>
  <si>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</si>
  <si>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</si>
  <si>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</si>
  <si>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</si>
  <si>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</si>
  <si>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</si>
  <si>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</si>
  <si>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</si>
  <si>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</si>
  <si>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</si>
  <si>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</si>
  <si>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</si>
  <si>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</si>
  <si>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</si>
  <si>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</si>
  <si>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</si>
  <si>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</si>
  <si>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</si>
  <si>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</si>
  <si>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</si>
  <si>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</si>
  <si>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</si>
  <si>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</si>
  <si>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</si>
  <si>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</si>
  <si>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</si>
  <si>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</si>
  <si>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</si>
  <si>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</si>
  <si>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</si>
  <si>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</si>
  <si>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</si>
  <si>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</si>
  <si>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</si>
  <si>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</si>
  <si>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</si>
  <si>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</si>
  <si>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</si>
  <si>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</si>
  <si>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</si>
  <si>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</si>
  <si>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</si>
  <si>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</si>
  <si>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</si>
  <si>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</si>
  <si>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</si>
  <si>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</si>
  <si>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</si>
  <si>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</si>
  <si>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</si>
  <si>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</si>
  <si>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</si>
  <si>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</si>
  <si>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</si>
  <si>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</si>
  <si>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</si>
  <si>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</si>
  <si>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</si>
  <si>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</si>
  <si>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</si>
  <si>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</si>
  <si>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</si>
  <si>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</si>
  <si>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</si>
  <si>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</si>
  <si>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</si>
  <si>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</si>
  <si>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</si>
  <si>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</si>
  <si>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</si>
  <si>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</si>
  <si>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</si>
  <si>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</si>
  <si>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</si>
  <si>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</si>
  <si>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</si>
  <si>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</si>
  <si>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</si>
  <si>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</si>
  <si>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</si>
  <si>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</si>
  <si>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</si>
  <si>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</si>
  <si>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</si>
  <si>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</si>
  <si>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</si>
  <si>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</si>
  <si>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</si>
  <si>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</si>
  <si>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</si>
  <si>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</si>
  <si>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</si>
  <si>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</si>
  <si>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</si>
  <si>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</si>
  <si>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</si>
  <si>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</si>
  <si>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</si>
  <si>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</si>
  <si>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</si>
  <si>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</si>
  <si>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</si>
  <si>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</si>
  <si>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</si>
  <si>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</si>
  <si>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</si>
  <si>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</si>
  <si>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</si>
  <si>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</si>
  <si>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</si>
  <si>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</si>
  <si>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</si>
  <si>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</si>
  <si>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</si>
  <si>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</si>
  <si>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</si>
  <si>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</si>
  <si>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</si>
  <si>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</si>
  <si>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</si>
  <si>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</si>
  <si>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</si>
  <si>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</si>
  <si>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</si>
  <si>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</si>
  <si>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</si>
  <si>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</si>
  <si>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</si>
  <si>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</si>
  <si>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</si>
  <si>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</si>
  <si>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</si>
  <si>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</si>
  <si>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</si>
  <si>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</si>
  <si>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</si>
  <si>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</si>
  <si>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</si>
  <si>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</si>
  <si>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</si>
  <si>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</si>
  <si>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</si>
  <si>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</si>
  <si>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</si>
  <si>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</si>
  <si>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</si>
  <si>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</si>
  <si>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</si>
  <si>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</si>
  <si>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</si>
  <si>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</si>
  <si>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</si>
  <si>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</si>
  <si>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</si>
  <si>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</si>
  <si>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</si>
  <si>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</si>
  <si>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</si>
  <si>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</si>
  <si>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</si>
  <si>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</si>
  <si>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</si>
  <si>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</si>
  <si>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</si>
  <si>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</si>
  <si>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</si>
  <si>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</si>
  <si>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</si>
  <si>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</si>
  <si>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</si>
  <si>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</si>
  <si>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</si>
  <si>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</si>
  <si>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</si>
  <si>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</si>
  <si>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</si>
  <si>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</si>
  <si>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</si>
  <si>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</si>
  <si>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</si>
  <si>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</si>
  <si>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</si>
  <si>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</si>
  <si>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</si>
  <si>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</si>
  <si>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</si>
  <si>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</si>
  <si>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</si>
  <si>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</si>
  <si>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</si>
  <si>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</si>
  <si>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</si>
  <si>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</si>
  <si>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</si>
  <si>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</si>
  <si>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</si>
  <si>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</si>
  <si>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</si>
  <si>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</si>
  <si>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</si>
  <si>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</si>
  <si>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</si>
  <si>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</si>
  <si>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</si>
  <si>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</si>
  <si>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</si>
  <si>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</si>
  <si>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</si>
  <si>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</si>
  <si>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</si>
  <si>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</si>
  <si>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</si>
  <si>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</si>
  <si>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</si>
  <si>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</si>
  <si>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</si>
  <si>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</si>
  <si>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</si>
  <si>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</si>
  <si>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</si>
  <si>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</si>
  <si>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</si>
  <si>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</si>
  <si>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</si>
  <si>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</si>
  <si>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</si>
  <si>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</si>
  <si>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</si>
  <si>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</si>
  <si>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</si>
  <si>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</si>
  <si>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</si>
  <si>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</si>
  <si>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</si>
  <si>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</si>
  <si>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</si>
  <si>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</si>
  <si>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</si>
  <si>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</si>
  <si>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</si>
  <si>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</si>
  <si>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</si>
  <si>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</si>
  <si>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</si>
  <si>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</si>
  <si>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</si>
  <si>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</si>
  <si>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</si>
  <si>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</si>
  <si>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</si>
  <si>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</si>
  <si>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</si>
  <si>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</si>
  <si>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</si>
  <si>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</si>
  <si>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</si>
  <si>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</si>
  <si>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</si>
  <si>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</si>
  <si>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</si>
  <si>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</si>
  <si>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</si>
  <si>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</si>
  <si>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</si>
  <si>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</si>
  <si>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</si>
  <si>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</si>
  <si>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</si>
  <si>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</si>
  <si>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</si>
  <si>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</si>
  <si>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</si>
  <si>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</si>
  <si>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</si>
  <si>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</si>
  <si>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</si>
  <si>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</si>
  <si>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</si>
  <si>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</si>
  <si>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</si>
  <si>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</si>
  <si>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</si>
  <si>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</si>
  <si>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</si>
  <si>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</si>
  <si>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</si>
  <si>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</si>
  <si>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</si>
  <si>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</si>
  <si>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</si>
  <si>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</si>
  <si>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</si>
  <si>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</si>
  <si>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</si>
  <si>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</si>
  <si>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</si>
  <si>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</si>
  <si>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</si>
  <si>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</si>
  <si>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</si>
  <si>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</si>
  <si>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</si>
  <si>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</si>
  <si>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</si>
  <si>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</si>
  <si>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</si>
  <si>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</si>
  <si>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</si>
  <si>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</si>
  <si>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</si>
  <si>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</si>
  <si>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</si>
  <si>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</si>
  <si>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</si>
  <si>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</si>
  <si>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</si>
  <si>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</si>
  <si>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</si>
  <si>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</si>
  <si>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</si>
  <si>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</si>
  <si>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</si>
  <si>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</si>
  <si>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</si>
  <si>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</si>
  <si>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</si>
  <si>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</si>
  <si>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</si>
  <si>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</si>
  <si>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</si>
  <si>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</si>
  <si>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</si>
  <si>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</si>
  <si>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</si>
  <si>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</si>
  <si>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</si>
  <si>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</si>
  <si>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</si>
  <si>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</si>
  <si>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</si>
  <si>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</si>
  <si>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</si>
  <si>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</si>
  <si>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</si>
  <si>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</si>
  <si>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</si>
  <si>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</si>
  <si>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</si>
  <si>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</si>
  <si>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</si>
  <si>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</si>
  <si>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</si>
  <si>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</si>
  <si>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</si>
  <si>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</si>
  <si>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</si>
  <si>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</si>
  <si>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</si>
  <si>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</si>
  <si>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</si>
  <si>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</si>
  <si>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</si>
  <si>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</si>
  <si>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</si>
  <si>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</si>
  <si>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</si>
  <si>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</si>
  <si>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</si>
  <si>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</si>
  <si>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</si>
  <si>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</si>
  <si>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</si>
  <si>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</si>
  <si>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</si>
  <si>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</si>
  <si>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</si>
  <si>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</si>
  <si>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</si>
  <si>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</si>
  <si>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</si>
  <si>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</si>
  <si>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</si>
  <si>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</si>
  <si>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</si>
  <si>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</si>
  <si>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</si>
  <si>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</si>
  <si>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</si>
  <si>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</si>
  <si>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</si>
  <si>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</si>
  <si>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</si>
  <si>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</si>
  <si>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</si>
  <si>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</si>
  <si>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</si>
  <si>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</si>
  <si>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</si>
  <si>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</si>
  <si>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</si>
  <si>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</si>
  <si>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</si>
  <si>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</si>
  <si>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</si>
  <si>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</si>
  <si>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</si>
  <si>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</si>
  <si>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</si>
  <si>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</si>
  <si>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</si>
  <si>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</si>
  <si>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</si>
  <si>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</si>
  <si>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</si>
  <si>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</si>
  <si>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</si>
  <si>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</si>
  <si>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</si>
  <si>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</si>
  <si>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</si>
  <si>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</si>
  <si>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</si>
  <si>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</si>
  <si>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</si>
  <si>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</si>
  <si>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</si>
  <si>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</si>
  <si>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</si>
  <si>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</si>
  <si>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</si>
  <si>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</si>
  <si>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</si>
  <si>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</si>
  <si>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</si>
  <si>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</si>
  <si>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</si>
  <si>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</si>
  <si>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</si>
  <si>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</si>
  <si>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</si>
  <si>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</si>
  <si>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</si>
  <si>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</si>
  <si>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</si>
  <si>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</si>
  <si>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</si>
  <si>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</si>
  <si>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</si>
  <si>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</si>
  <si>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</si>
  <si>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</si>
  <si>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</si>
  <si>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</si>
  <si>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</si>
  <si>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</si>
  <si>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</si>
  <si>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</si>
  <si>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</si>
  <si>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</si>
  <si>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</si>
  <si>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</si>
  <si>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</si>
  <si>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</si>
  <si>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</si>
  <si>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</si>
  <si>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</si>
  <si>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</si>
  <si>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</si>
  <si>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</si>
  <si>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</si>
  <si>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</si>
  <si>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</si>
  <si>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</si>
  <si>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</si>
  <si>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</si>
  <si>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</si>
  <si>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</si>
  <si>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</si>
  <si>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</si>
  <si>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</si>
  <si>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</si>
  <si>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</si>
  <si>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</si>
  <si>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</si>
  <si>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</si>
  <si>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</si>
  <si>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</si>
  <si>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</si>
  <si>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</si>
  <si>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</si>
  <si>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</si>
  <si>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</si>
  <si>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</si>
  <si>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</si>
  <si>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</si>
  <si>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</si>
  <si>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</si>
  <si>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</si>
  <si>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</si>
  <si>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</si>
  <si>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</si>
  <si>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</si>
  <si>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</si>
  <si>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</si>
  <si>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</si>
  <si>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</si>
  <si>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</si>
  <si>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</si>
  <si>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</si>
  <si>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</si>
  <si>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</si>
  <si>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</si>
  <si>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</si>
  <si>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</si>
  <si>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</si>
  <si>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</si>
  <si>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</si>
  <si>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</si>
  <si>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</si>
  <si>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</si>
  <si>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</si>
  <si>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</si>
  <si>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</si>
  <si>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</si>
  <si>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</si>
  <si>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</si>
  <si>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</si>
  <si>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</si>
  <si>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</si>
  <si>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</si>
  <si>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</si>
  <si>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</si>
  <si>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</si>
  <si>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</si>
  <si>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</si>
  <si>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</si>
  <si>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</si>
  <si>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</si>
  <si>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</si>
  <si>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</si>
  <si>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</si>
  <si>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</si>
  <si>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</si>
  <si>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</si>
  <si>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</si>
  <si>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</si>
  <si>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</si>
  <si>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</si>
  <si>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</si>
  <si>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</si>
  <si>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</si>
  <si>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</si>
  <si>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</si>
  <si>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</si>
  <si>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</si>
  <si>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</si>
  <si>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</si>
  <si>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</si>
  <si>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</si>
  <si>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</si>
  <si>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</si>
  <si>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</si>
  <si>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</si>
  <si>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</si>
  <si>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</si>
  <si>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</si>
  <si>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</si>
  <si>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</si>
  <si>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</si>
  <si>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</si>
  <si>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</si>
  <si>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</si>
  <si>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</si>
  <si>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</si>
  <si>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</si>
  <si>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</si>
  <si>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</si>
  <si>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</si>
  <si>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</si>
  <si>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</si>
  <si>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</si>
  <si>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</si>
  <si>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</si>
  <si>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</si>
  <si>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</si>
  <si>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</si>
  <si>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</si>
  <si>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</si>
  <si>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</si>
  <si>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</si>
  <si>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</si>
  <si>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</si>
  <si>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</si>
  <si>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</si>
  <si>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</si>
  <si>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</si>
  <si>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</si>
  <si>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</si>
  <si>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</si>
  <si>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</si>
  <si>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</si>
  <si>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</si>
  <si>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</si>
  <si>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</si>
  <si>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</si>
  <si>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</si>
  <si>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</si>
  <si>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</si>
  <si>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</si>
  <si>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</si>
  <si>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</si>
  <si>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</si>
  <si>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</si>
  <si>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</si>
  <si>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</si>
  <si>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</si>
  <si>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</si>
  <si>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</si>
  <si>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</si>
  <si>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</si>
  <si>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</si>
  <si>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</si>
  <si>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</si>
  <si>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</si>
  <si>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</si>
  <si>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</si>
  <si>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</si>
  <si>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</si>
  <si>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</si>
  <si>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</si>
  <si>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</si>
  <si>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</si>
  <si>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</si>
  <si>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</si>
  <si>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</si>
  <si>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</si>
  <si>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</si>
  <si>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</si>
  <si>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</si>
  <si>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</si>
  <si>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</si>
  <si>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</si>
  <si>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</si>
  <si>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</si>
  <si>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</si>
  <si>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</si>
  <si>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</si>
  <si>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</si>
  <si>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</si>
  <si>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</si>
  <si>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</si>
  <si>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</si>
  <si>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</si>
  <si>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</si>
  <si>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</si>
  <si>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</si>
  <si>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</si>
  <si>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</si>
  <si>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</si>
  <si>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</si>
  <si>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</si>
  <si>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</si>
  <si>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</si>
  <si>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</si>
  <si>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</si>
  <si>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</si>
  <si>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</si>
  <si>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</si>
  <si>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</si>
  <si>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</si>
  <si>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</si>
  <si>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</si>
  <si>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</si>
  <si>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</si>
  <si>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</si>
  <si>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</si>
  <si>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</si>
  <si>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</si>
  <si>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</si>
  <si>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</si>
  <si>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</si>
  <si>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</si>
  <si>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</si>
  <si>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</si>
  <si>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</si>
  <si>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</si>
  <si>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</si>
  <si>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</si>
  <si>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</si>
  <si>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</si>
  <si>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</si>
  <si>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</si>
  <si>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</si>
  <si>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</si>
  <si>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</si>
  <si>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</si>
  <si>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</si>
  <si>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</si>
  <si>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</si>
  <si>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</si>
  <si>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</si>
  <si>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</si>
  <si>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</si>
  <si>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</si>
  <si>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</si>
  <si>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</si>
  <si>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</si>
  <si>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</si>
  <si>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</si>
  <si>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</si>
  <si>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</si>
  <si>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</si>
  <si>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</si>
  <si>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</si>
  <si>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</si>
  <si>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</si>
  <si>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</si>
  <si>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</si>
  <si>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</si>
  <si>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</si>
  <si>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</si>
  <si>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</si>
  <si>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</si>
  <si>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</si>
  <si>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</si>
  <si>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</si>
  <si>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</si>
  <si>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</si>
  <si>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</si>
  <si>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</si>
  <si>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</si>
  <si>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</si>
  <si>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</si>
  <si>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</si>
  <si>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</si>
  <si>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</si>
  <si>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</si>
  <si>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</si>
  <si>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</si>
  <si>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</si>
  <si>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</si>
  <si>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</si>
  <si>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</si>
  <si>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</si>
  <si>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</si>
  <si>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</si>
  <si>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</si>
  <si>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</si>
  <si>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</si>
  <si>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</si>
  <si>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</si>
  <si>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</si>
  <si>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</si>
  <si>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</si>
  <si>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</si>
  <si>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</si>
  <si>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</si>
  <si>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</si>
  <si>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</si>
  <si>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</si>
  <si>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</si>
  <si>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</si>
  <si>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</si>
  <si>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</si>
  <si>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</si>
  <si>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</si>
  <si>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</si>
  <si>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</si>
  <si>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</si>
  <si>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</si>
  <si>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</si>
  <si>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</si>
  <si>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</si>
  <si>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</si>
  <si>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</si>
  <si>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</si>
  <si>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</si>
  <si>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</si>
  <si>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</si>
  <si>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</si>
  <si>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</si>
  <si>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</si>
  <si>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</si>
  <si>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</si>
  <si>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</si>
  <si>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</si>
  <si>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</si>
  <si>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</si>
  <si>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</si>
  <si>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</si>
  <si>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</si>
  <si>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</si>
  <si>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</si>
  <si>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</si>
  <si>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</si>
  <si>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</si>
  <si>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</si>
  <si>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</si>
  <si>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</si>
  <si>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</si>
  <si>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</si>
  <si>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</si>
  <si>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</si>
  <si>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</si>
  <si>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</si>
  <si>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</si>
  <si>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</si>
  <si>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</si>
  <si>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</si>
  <si>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</si>
  <si>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</si>
  <si>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</si>
  <si>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</si>
  <si>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</si>
  <si>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</si>
  <si>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</si>
  <si>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</si>
  <si>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</si>
  <si>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</si>
  <si>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</si>
  <si>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</si>
  <si>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</si>
  <si>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</si>
  <si>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</si>
  <si>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</si>
  <si>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</si>
  <si>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</si>
  <si>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</si>
  <si>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</si>
  <si>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</si>
  <si>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</si>
  <si>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</si>
  <si>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</si>
  <si>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</si>
  <si>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</si>
  <si>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</si>
  <si>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</si>
  <si>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</si>
  <si>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</si>
  <si>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</si>
  <si>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</si>
  <si>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</si>
  <si>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</si>
  <si>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</si>
  <si>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</si>
  <si>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</si>
  <si>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</si>
  <si>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</si>
  <si>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</si>
  <si>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</si>
  <si>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</si>
  <si>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</si>
  <si>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</si>
  <si>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</si>
  <si>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</si>
  <si>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</si>
  <si>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</si>
  <si>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</si>
  <si>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</si>
  <si>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</si>
  <si>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</si>
  <si>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</si>
  <si>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</si>
  <si>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</si>
  <si>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</si>
  <si>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</si>
  <si>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</si>
  <si>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</si>
  <si>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</si>
  <si>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</si>
  <si>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</si>
  <si>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</si>
  <si>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</si>
  <si>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</si>
  <si>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</si>
  <si>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</si>
  <si>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</si>
  <si>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</si>
  <si>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</si>
  <si>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</si>
  <si>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</si>
  <si>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</si>
  <si>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</si>
  <si>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</si>
  <si>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</si>
  <si>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</si>
  <si>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</si>
  <si>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</si>
  <si>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</si>
  <si>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</si>
  <si>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</si>
  <si>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</si>
  <si>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</si>
  <si>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</si>
  <si>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</si>
  <si>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</si>
  <si>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</si>
  <si>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</si>
  <si>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</si>
  <si>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</si>
  <si>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</si>
  <si>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</si>
  <si>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</si>
  <si>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</si>
  <si>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</si>
  <si>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</si>
  <si>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</si>
  <si>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</si>
  <si>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</si>
  <si>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</si>
  <si>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</si>
  <si>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</si>
  <si>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</si>
  <si>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</si>
  <si>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</si>
  <si>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</si>
  <si>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</si>
  <si>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</si>
  <si>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</si>
  <si>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</si>
  <si>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</si>
  <si>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</si>
  <si>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</si>
  <si>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</si>
  <si>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</si>
  <si>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</si>
  <si>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</si>
  <si>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</si>
  <si>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</si>
  <si>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</si>
  <si>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</si>
  <si>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</si>
  <si>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</si>
  <si>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</si>
  <si>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</si>
  <si>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</si>
  <si>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</si>
  <si>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</si>
  <si>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</si>
  <si>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</si>
  <si>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</si>
  <si>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</si>
  <si>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</si>
  <si>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</si>
  <si>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</si>
  <si>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</si>
  <si>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</si>
  <si>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</si>
  <si>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</si>
  <si>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</si>
  <si>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</si>
  <si>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</si>
  <si>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</si>
  <si>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</si>
  <si>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</si>
  <si>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</si>
  <si>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</si>
  <si>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</si>
  <si>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</si>
  <si>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</si>
  <si>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</si>
  <si>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</si>
  <si>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</si>
  <si>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</si>
  <si>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</si>
  <si>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</si>
  <si>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</si>
  <si>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</si>
  <si>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</si>
  <si>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</si>
  <si>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</si>
  <si>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</si>
  <si>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</si>
  <si>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</si>
  <si>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</si>
  <si>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</si>
  <si>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</si>
  <si>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</si>
  <si>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</si>
  <si>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</si>
  <si>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</si>
  <si>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</si>
  <si>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</si>
  <si>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</si>
  <si>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</si>
  <si>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</si>
  <si>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</si>
  <si>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</si>
  <si>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</si>
  <si>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</si>
  <si>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</si>
  <si>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</si>
  <si>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</si>
  <si>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</si>
  <si>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</si>
  <si>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</si>
  <si>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</si>
  <si>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</si>
  <si>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</si>
  <si>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</si>
  <si>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</si>
  <si>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</si>
  <si>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</si>
  <si>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</si>
  <si>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</si>
  <si>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</si>
  <si>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</si>
  <si>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</si>
  <si>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</si>
  <si>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</si>
  <si>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</si>
  <si>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</si>
  <si>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</si>
  <si>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</si>
  <si>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</si>
  <si>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</si>
  <si>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</si>
  <si>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</si>
  <si>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</si>
  <si>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</si>
  <si>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</si>
  <si>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</si>
  <si>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</si>
  <si>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</si>
  <si>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</si>
  <si>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</si>
  <si>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</si>
  <si>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</si>
  <si>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</si>
  <si>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</si>
  <si>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</si>
  <si>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</si>
  <si>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</si>
  <si>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</si>
  <si>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</si>
  <si>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</si>
  <si>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</si>
  <si>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</si>
  <si>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</si>
  <si>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</si>
  <si>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</si>
  <si>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</si>
  <si>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</si>
  <si>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</si>
  <si>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</si>
  <si>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</si>
  <si>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</si>
  <si>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</si>
  <si>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</si>
  <si>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</si>
  <si>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</si>
  <si>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</si>
  <si>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</si>
  <si>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</si>
  <si>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</si>
  <si>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</si>
  <si>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</si>
  <si>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</si>
  <si>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</si>
  <si>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</si>
  <si>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</si>
  <si>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</si>
  <si>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</si>
  <si>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</si>
  <si>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</si>
  <si>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</si>
  <si>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</si>
  <si>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</si>
  <si>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</si>
  <si>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</si>
  <si>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</si>
  <si>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</si>
  <si>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</si>
  <si>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</si>
  <si>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</si>
  <si>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</si>
  <si>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</si>
  <si>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</si>
  <si>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</si>
  <si>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</si>
  <si>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</si>
  <si>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</si>
  <si>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</si>
  <si>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</si>
  <si>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</si>
  <si>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</si>
  <si>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</si>
  <si>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</si>
  <si>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</si>
  <si>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</si>
  <si>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</si>
  <si>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</si>
  <si>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</si>
  <si>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</si>
  <si>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</si>
  <si>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</si>
  <si>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</si>
  <si>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</si>
  <si>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</si>
  <si>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</si>
  <si>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</si>
  <si>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</si>
  <si>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</si>
  <si>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</si>
  <si>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</si>
  <si>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</si>
  <si>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</si>
  <si>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</si>
  <si>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</si>
  <si>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</si>
  <si>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</si>
  <si>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</si>
  <si>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</si>
  <si>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</si>
  <si>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</si>
  <si>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</si>
  <si>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</si>
  <si>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</si>
  <si>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</si>
  <si>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</si>
  <si>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</si>
  <si>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</si>
  <si>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</si>
  <si>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</si>
  <si>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</si>
  <si>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</si>
  <si>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</si>
  <si>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</si>
  <si>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</si>
  <si>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</si>
  <si>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</si>
  <si>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</si>
  <si>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</si>
  <si>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</si>
  <si>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</si>
  <si>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</si>
  <si>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</si>
  <si>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</si>
  <si>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</si>
  <si>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</si>
  <si>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</si>
  <si>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</si>
  <si>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</si>
  <si>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</si>
  <si>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</si>
  <si>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</si>
  <si>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</si>
  <si>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</si>
  <si>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</si>
  <si>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</si>
  <si>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</si>
  <si>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</si>
  <si>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</si>
  <si>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</si>
  <si>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</si>
  <si>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</si>
  <si>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</si>
  <si>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</si>
  <si>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</si>
  <si>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</si>
  <si>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</si>
  <si>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</si>
  <si>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</si>
  <si>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</si>
  <si>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</si>
  <si>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</si>
  <si>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</si>
  <si>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</si>
  <si>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</si>
  <si>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</si>
  <si>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</si>
  <si>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</si>
  <si>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</si>
  <si>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</si>
  <si>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</si>
  <si>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</si>
  <si>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</si>
  <si>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</si>
  <si>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</si>
  <si>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</si>
  <si>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</si>
  <si>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</si>
  <si>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</si>
  <si>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</si>
  <si>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</si>
  <si>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</si>
  <si>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</si>
  <si>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</si>
  <si>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</si>
  <si>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</si>
  <si>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</si>
  <si>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</si>
  <si>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</si>
  <si>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</si>
  <si>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</si>
  <si>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</si>
  <si>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</si>
  <si>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</si>
  <si>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</si>
  <si>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</si>
  <si>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</si>
  <si>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</si>
  <si>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</si>
  <si>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</si>
  <si>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</si>
  <si>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</si>
  <si>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</si>
  <si>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</si>
  <si>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</si>
  <si>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</si>
  <si>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</si>
  <si>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</si>
  <si>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</si>
  <si>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</si>
  <si>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</si>
  <si>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</si>
  <si>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</si>
  <si>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</si>
  <si>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</si>
  <si>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</si>
  <si>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</si>
  <si>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</si>
  <si>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</si>
  <si>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</si>
  <si>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</si>
  <si>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</si>
  <si>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</si>
  <si>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</si>
  <si>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</si>
  <si>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</si>
  <si>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</si>
  <si>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</si>
  <si>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</si>
  <si>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</si>
  <si>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</si>
  <si>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</si>
  <si>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</si>
  <si>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</si>
  <si>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</si>
  <si>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</si>
  <si>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</si>
  <si>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</si>
  <si>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</si>
  <si>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</si>
  <si>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</si>
  <si>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</si>
  <si>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</si>
  <si>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</si>
  <si>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</si>
  <si>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</si>
  <si>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</si>
  <si>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</si>
  <si>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</si>
  <si>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</si>
  <si>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</si>
  <si>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</si>
  <si>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</si>
  <si>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</si>
  <si>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</si>
  <si>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</si>
  <si>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</si>
  <si>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</si>
  <si>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</si>
  <si>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</si>
  <si>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</si>
  <si>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</si>
  <si>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</si>
  <si>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</si>
  <si>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</si>
  <si>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</si>
  <si>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</si>
  <si>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</si>
  <si>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</si>
  <si>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</si>
  <si>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</si>
  <si>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</si>
  <si>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</si>
  <si>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</si>
  <si>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</si>
  <si>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</si>
  <si>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</si>
  <si>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</si>
  <si>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</si>
  <si>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</si>
  <si>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</si>
  <si>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</si>
  <si>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</si>
  <si>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</si>
  <si>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</si>
  <si>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</si>
  <si>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</si>
  <si>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</si>
  <si>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</si>
  <si>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</si>
  <si>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</si>
  <si>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</si>
  <si>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</si>
  <si>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</si>
  <si>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</si>
  <si>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</si>
  <si>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</si>
  <si>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</si>
  <si>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</si>
  <si>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</si>
  <si>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</si>
  <si>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</si>
  <si>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</si>
  <si>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</si>
  <si>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</si>
  <si>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</si>
  <si>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</si>
  <si>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</si>
  <si>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</si>
  <si>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</si>
  <si>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</si>
  <si>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</si>
  <si>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</si>
  <si>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</si>
  <si>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</si>
  <si>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</si>
  <si>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</si>
  <si>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</si>
  <si>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</si>
  <si>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</si>
  <si>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</si>
  <si>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</si>
  <si>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</si>
  <si>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</si>
  <si>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</si>
  <si>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</si>
  <si>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</si>
  <si>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</si>
  <si>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</si>
  <si>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</si>
  <si>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</si>
  <si>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</si>
  <si>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</si>
  <si>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</si>
  <si>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</si>
  <si>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</si>
  <si>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</si>
  <si>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</si>
  <si>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</si>
  <si>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</si>
  <si>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</si>
  <si>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</si>
  <si>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</si>
  <si>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</si>
  <si>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</si>
  <si>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</si>
  <si>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</si>
  <si>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</si>
  <si>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</si>
  <si>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</si>
  <si>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</si>
  <si>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</si>
  <si>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</si>
  <si>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</si>
  <si>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</si>
  <si>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</si>
  <si>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</si>
  <si>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</si>
  <si>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</si>
  <si>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</si>
  <si>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</si>
  <si>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</si>
  <si>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</si>
  <si>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</si>
  <si>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</si>
  <si>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</si>
  <si>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</si>
  <si>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</si>
  <si>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</si>
  <si>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</si>
  <si>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</si>
  <si>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</si>
  <si>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</si>
  <si>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</si>
  <si>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</si>
  <si>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</si>
  <si>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</si>
  <si>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</si>
  <si>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</si>
  <si>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</si>
  <si>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</si>
  <si>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</si>
  <si>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</si>
  <si>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</si>
  <si>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</si>
  <si>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</si>
  <si>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</si>
  <si>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</si>
  <si>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</si>
  <si>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</si>
  <si>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</si>
  <si>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</si>
  <si>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</si>
  <si>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</si>
  <si>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</si>
  <si>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</si>
  <si>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</si>
  <si>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</si>
  <si>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</si>
  <si>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</si>
  <si>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</si>
  <si>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</si>
  <si>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</si>
  <si>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</si>
  <si>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</si>
  <si>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</si>
  <si>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</si>
  <si>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</si>
  <si>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</si>
  <si>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</si>
  <si>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</si>
  <si>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</si>
  <si>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</si>
  <si>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</si>
  <si>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</si>
  <si>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</si>
  <si>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</si>
  <si>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</si>
  <si>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</si>
  <si>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</si>
  <si>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</si>
  <si>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</si>
  <si>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</si>
  <si>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</si>
  <si>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</si>
  <si>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</si>
  <si>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</si>
  <si>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</si>
  <si>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</si>
  <si>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</si>
  <si>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</si>
  <si>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</si>
  <si>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</si>
  <si>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</si>
  <si>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</si>
  <si>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</si>
  <si>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</si>
  <si>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</si>
  <si>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</si>
  <si>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</si>
  <si>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</si>
  <si>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</si>
  <si>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</si>
  <si>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</si>
  <si>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</si>
  <si>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</si>
  <si>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</si>
  <si>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</si>
  <si>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</si>
  <si>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</si>
  <si>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</si>
  <si>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</si>
  <si>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</si>
  <si>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</si>
  <si>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</si>
  <si>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</si>
  <si>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</si>
  <si>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</si>
  <si>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</si>
  <si>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</si>
  <si>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</si>
  <si>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</si>
  <si>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</si>
  <si>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</si>
  <si>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</si>
  <si>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</si>
  <si>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</si>
  <si>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</si>
  <si>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</si>
  <si>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</si>
  <si>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</si>
  <si>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</si>
  <si>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</si>
  <si>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</si>
  <si>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</si>
  <si>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</si>
  <si>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</si>
  <si>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</si>
  <si>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</si>
  <si>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</si>
  <si>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</si>
  <si>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</si>
  <si>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</si>
  <si>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</si>
  <si>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</si>
  <si>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</si>
  <si>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</si>
  <si>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</si>
  <si>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</si>
  <si>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</si>
  <si>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</si>
  <si>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</si>
  <si>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</si>
  <si>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</si>
  <si>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</si>
  <si>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</si>
  <si>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</si>
  <si>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</si>
  <si>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</si>
  <si>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</si>
  <si>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</si>
  <si>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</si>
  <si>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</si>
  <si>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</si>
  <si>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</si>
  <si>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</si>
  <si>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</si>
  <si>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</si>
  <si>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</si>
  <si>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</si>
  <si>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</si>
  <si>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</si>
  <si>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</si>
  <si>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</si>
  <si>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</si>
  <si>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</si>
  <si>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</si>
  <si>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</si>
  <si>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</si>
  <si>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</si>
  <si>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</si>
  <si>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</si>
  <si>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</si>
  <si>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</si>
  <si>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</si>
  <si>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</si>
  <si>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</si>
  <si>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</si>
  <si>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</si>
  <si>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</si>
  <si>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</si>
  <si>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</si>
  <si>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</si>
  <si>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</si>
  <si>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</si>
  <si>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</si>
  <si>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</si>
  <si>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</si>
  <si>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</si>
  <si>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</si>
  <si>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</si>
  <si>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</si>
  <si>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</si>
  <si>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</si>
  <si>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</si>
  <si>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</si>
  <si>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</si>
  <si>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</si>
  <si>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</si>
  <si>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</si>
  <si>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</si>
  <si>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</si>
  <si>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</si>
  <si>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</si>
  <si>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</si>
  <si>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</si>
  <si>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</si>
  <si>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</si>
  <si>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</si>
  <si>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</si>
  <si>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</si>
  <si>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</si>
  <si>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</si>
  <si>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</si>
  <si>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</si>
  <si>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</si>
  <si>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</si>
  <si>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</si>
  <si>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</si>
  <si>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</si>
  <si>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</si>
  <si>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</si>
  <si>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</si>
  <si>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</si>
  <si>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</si>
  <si>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</si>
  <si>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</si>
  <si>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</si>
  <si>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</si>
  <si>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</si>
  <si>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</si>
  <si>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</si>
  <si>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</si>
  <si>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</si>
  <si>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</si>
  <si>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</si>
  <si>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</si>
  <si>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</si>
  <si>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</si>
  <si>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</si>
  <si>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</si>
  <si>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</si>
  <si>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</si>
  <si>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</si>
  <si>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</si>
  <si>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</si>
  <si>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</si>
  <si>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</si>
  <si>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</si>
  <si>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</si>
  <si>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</si>
  <si>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</si>
  <si>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</si>
  <si>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</si>
  <si>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</si>
  <si>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</si>
  <si>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</si>
  <si>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</si>
  <si>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</si>
  <si>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</si>
  <si>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</si>
  <si>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</si>
  <si>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</si>
  <si>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</si>
  <si>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</si>
  <si>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</si>
  <si>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</si>
  <si>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</si>
  <si>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</si>
  <si>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</si>
  <si>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</si>
  <si>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</si>
  <si>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</si>
  <si>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</si>
  <si>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</si>
  <si>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</si>
  <si>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</si>
  <si>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</si>
  <si>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</si>
  <si>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</si>
  <si>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</si>
  <si>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</si>
  <si>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</si>
  <si>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</si>
  <si>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</si>
  <si>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</si>
  <si>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</si>
  <si>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</si>
  <si>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</si>
  <si>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</si>
  <si>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</si>
  <si>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</si>
  <si>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</si>
  <si>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</si>
  <si>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</si>
  <si>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</si>
  <si>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</si>
  <si>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</si>
  <si>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</si>
  <si>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</si>
  <si>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</si>
  <si>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</si>
  <si>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</si>
  <si>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</si>
  <si>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</si>
  <si>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</si>
  <si>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</si>
  <si>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</si>
  <si>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</si>
  <si>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</si>
  <si>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</si>
  <si>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</si>
  <si>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</si>
  <si>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</si>
  <si>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</si>
  <si>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</si>
  <si>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</si>
  <si>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</si>
  <si>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</si>
  <si>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</si>
  <si>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</si>
  <si>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</si>
  <si>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</si>
  <si>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</si>
  <si>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</si>
  <si>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</si>
  <si>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</si>
  <si>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</si>
  <si>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</si>
  <si>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</si>
  <si>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</si>
  <si>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</si>
  <si>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</si>
  <si>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</si>
  <si>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</si>
  <si>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</si>
  <si>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</si>
  <si>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</si>
  <si>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</si>
  <si>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</si>
  <si>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</si>
  <si>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</si>
  <si>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</si>
  <si>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</si>
  <si>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</si>
  <si>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</si>
  <si>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</si>
  <si>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</si>
  <si>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</si>
  <si>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</si>
  <si>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</si>
  <si>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</si>
  <si>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</si>
  <si>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</si>
  <si>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</si>
  <si>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</si>
  <si>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</si>
  <si>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</si>
  <si>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</si>
  <si>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</si>
  <si>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</si>
  <si>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</si>
  <si>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</si>
  <si>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</si>
  <si>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</si>
  <si>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</si>
  <si>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</si>
  <si>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</si>
  <si>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</si>
  <si>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</si>
  <si>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</si>
  <si>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</si>
  <si>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</si>
  <si>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</si>
  <si>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</si>
  <si>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</si>
  <si>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</si>
  <si>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</si>
  <si>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</si>
  <si>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</si>
  <si>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</si>
  <si>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</si>
  <si>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</si>
  <si>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</si>
  <si>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</si>
  <si>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</si>
  <si>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</si>
  <si>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</si>
  <si>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</si>
  <si>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</si>
  <si>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</si>
  <si>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</si>
  <si>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</si>
  <si>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</si>
  <si>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</si>
  <si>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</si>
  <si>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</si>
  <si>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</si>
  <si>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</si>
  <si>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</si>
  <si>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</si>
  <si>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</si>
  <si>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</si>
  <si>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</si>
  <si>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</si>
  <si>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</si>
  <si>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</si>
  <si>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</si>
  <si>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</si>
  <si>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</si>
  <si>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</si>
  <si>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</si>
  <si>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</si>
  <si>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</si>
  <si>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</si>
  <si>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</si>
  <si>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</si>
  <si>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</si>
  <si>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</si>
  <si>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</si>
  <si>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</si>
  <si>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</si>
  <si>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</si>
  <si>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</si>
  <si>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</si>
  <si>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</si>
  <si>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</si>
  <si>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</si>
  <si>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</si>
  <si>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</si>
  <si>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</si>
  <si>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</si>
  <si>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</si>
  <si>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</si>
  <si>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</si>
  <si>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</si>
  <si>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</si>
  <si>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</si>
  <si>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</si>
  <si>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</si>
  <si>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</si>
  <si>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</si>
  <si>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</si>
  <si>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</si>
  <si>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</si>
  <si>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</si>
  <si>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</si>
  <si>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</si>
  <si>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</si>
  <si>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</si>
  <si>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</si>
  <si>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</si>
  <si>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</si>
  <si>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</si>
  <si>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</si>
  <si>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</si>
  <si>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</si>
  <si>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</si>
  <si>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</si>
  <si>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</si>
  <si>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</si>
  <si>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</si>
  <si>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</si>
  <si>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</si>
  <si>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</si>
  <si>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</si>
  <si>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</si>
  <si>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</si>
  <si>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</si>
  <si>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</si>
  <si>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</si>
  <si>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</si>
  <si>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</si>
  <si>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</si>
  <si>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</si>
  <si>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</si>
  <si>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</si>
  <si>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</si>
  <si>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</si>
  <si>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</si>
  <si>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</si>
  <si>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</si>
  <si>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</si>
  <si>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</si>
  <si>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</si>
  <si>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</si>
  <si>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</si>
  <si>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</si>
  <si>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</si>
  <si>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</si>
  <si>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</si>
  <si>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</si>
  <si>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</si>
  <si>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</si>
  <si>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</si>
  <si>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</si>
  <si>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</si>
  <si>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</si>
  <si>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</si>
  <si>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</si>
  <si>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</si>
  <si>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</si>
  <si>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</si>
  <si>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</si>
  <si>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</si>
  <si>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</si>
  <si>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</si>
  <si>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</si>
  <si>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</si>
  <si>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</si>
  <si>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</si>
  <si>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</si>
  <si>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</si>
  <si>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</si>
  <si>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</si>
  <si>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</si>
  <si>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</si>
  <si>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</si>
  <si>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</si>
  <si>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</si>
  <si>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</si>
  <si>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</si>
  <si>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</si>
  <si>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</si>
  <si>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</si>
  <si>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</si>
  <si>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</si>
  <si>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</si>
  <si>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</si>
  <si>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</si>
  <si>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</si>
  <si>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</si>
  <si>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</si>
  <si>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</si>
  <si>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</si>
  <si>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</si>
  <si>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</si>
  <si>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</si>
  <si>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</si>
  <si>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</si>
  <si>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</si>
  <si>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</si>
  <si>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</si>
  <si>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</si>
  <si>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</si>
  <si>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</si>
  <si>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</si>
  <si>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</si>
  <si>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</si>
  <si>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</si>
  <si>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</si>
  <si>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</si>
  <si>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</si>
  <si>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</si>
  <si>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</si>
  <si>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</si>
  <si>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</si>
  <si>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</si>
  <si>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</si>
  <si>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</si>
  <si>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</si>
  <si>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</si>
  <si>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</si>
  <si>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</si>
  <si>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</si>
  <si>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</si>
  <si>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</si>
  <si>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</si>
  <si>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</si>
  <si>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</si>
  <si>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</si>
  <si>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</si>
  <si>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</si>
  <si>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</si>
  <si>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</si>
  <si>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</si>
  <si>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A3.2</t>
  </si>
  <si>
    <t>Сигнализатор газов СТМ-10</t>
  </si>
  <si>
    <t>Desc1</t>
  </si>
  <si>
    <t>Desc2</t>
  </si>
  <si>
    <t>Неисправность шкафа сборки задвижек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</si>
  <si>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</si>
  <si>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</si>
  <si>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</si>
  <si>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</si>
  <si>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</si>
  <si>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E2EKD01CP001</t>
  </si>
  <si>
    <t>E2EKD02CP001</t>
  </si>
  <si>
    <t>E2EKA01CP001</t>
  </si>
  <si>
    <t>E2EKG01CP001</t>
  </si>
  <si>
    <t>E2EKG01CP002</t>
  </si>
  <si>
    <t>E2EKG01CP003</t>
  </si>
  <si>
    <t>E2EKA01CT101</t>
  </si>
  <si>
    <t>E2EKG01CT101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</si>
  <si>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</si>
  <si>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</si>
  <si>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</si>
  <si>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</si>
  <si>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</si>
  <si>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</si>
  <si>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</si>
  <si>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</si>
  <si>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</si>
  <si>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</si>
  <si>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</si>
  <si>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E2CDA01GH001</t>
  </si>
  <si>
    <t>E2UEN01CQ001</t>
  </si>
  <si>
    <t>E2EKG12AA001</t>
  </si>
  <si>
    <t>E2EKG11AA002</t>
  </si>
  <si>
    <t>E2EKG11AA001</t>
  </si>
  <si>
    <t>E2EKA01AA001</t>
  </si>
  <si>
    <t>E2EKG02AA001</t>
  </si>
  <si>
    <t>E2EKD02AA002</t>
  </si>
  <si>
    <t>E2EKD02AA001</t>
  </si>
  <si>
    <t>E2EKD01AA002</t>
  </si>
  <si>
    <t>E2EKD01AA001</t>
  </si>
  <si>
    <t>E2EKD02AA801</t>
  </si>
  <si>
    <t>E2EKD01AA801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</si>
  <si>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</si>
  <si>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</si>
  <si>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</si>
  <si>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</si>
  <si>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</si>
  <si>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</si>
  <si>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</si>
  <si>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</si>
  <si>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</si>
  <si>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</si>
  <si>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</si>
  <si>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</si>
  <si>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</si>
  <si>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</si>
  <si>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</si>
  <si>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</si>
  <si>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E2EKA02СР001</t>
  </si>
  <si>
    <t>E2EKA02СР002</t>
  </si>
  <si>
    <t>E2EKA02СР003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</si>
  <si>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</si>
  <si>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</si>
  <si>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</si>
  <si>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</si>
  <si>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</si>
  <si>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E2-23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</si>
  <si>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</si>
  <si>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</si>
  <si>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</si>
  <si>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</si>
  <si>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</si>
  <si>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</si>
  <si>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</si>
  <si>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</si>
  <si>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</si>
  <si>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E2EKA02AA001</t>
  </si>
  <si>
    <t>Затвор со стороны газопровода на ГРП-1</t>
  </si>
  <si>
    <t>E2EKA02AA002</t>
  </si>
  <si>
    <t>Регулятор давления газа</t>
  </si>
  <si>
    <t>E2EKA02AA801</t>
  </si>
  <si>
    <t>E2EKA02FF001</t>
  </si>
  <si>
    <t>Расход газа</t>
  </si>
  <si>
    <t>E2-15</t>
  </si>
  <si>
    <t>Шкаф учета газа ШУГ (E2CFQ01)</t>
  </si>
  <si>
    <t>E2EKA02СF001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</si>
  <si>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</si>
  <si>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</si>
  <si>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</si>
  <si>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</si>
  <si>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</si>
  <si>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</si>
  <si>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</si>
  <si>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</si>
  <si>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</si>
  <si>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</si>
  <si>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</si>
  <si>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</si>
  <si>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</si>
  <si>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</si>
  <si>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</si>
  <si>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</si>
  <si>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</si>
  <si>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</si>
  <si>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</si>
  <si>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</si>
  <si>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</si>
  <si>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</si>
  <si>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</si>
  <si>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</si>
  <si>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</si>
  <si>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</si>
  <si>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</si>
  <si>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</si>
  <si>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</si>
  <si>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</si>
  <si>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</si>
  <si>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</si>
  <si>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</si>
  <si>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</si>
  <si>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E2CJU01GH001</t>
  </si>
  <si>
    <t>E2CJU01GH002</t>
  </si>
  <si>
    <t>E2CJU01GH003</t>
  </si>
  <si>
    <t>E2CJU01GH004</t>
  </si>
  <si>
    <t>E2CJU01GH005</t>
  </si>
  <si>
    <t>E2CJU01GH007</t>
  </si>
  <si>
    <t>E2CJU01GH008</t>
  </si>
  <si>
    <t>E2CJU01GH009</t>
  </si>
  <si>
    <t>se0033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</si>
  <si>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</si>
  <si>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</si>
  <si>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</si>
  <si>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</si>
  <si>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</si>
  <si>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</si>
  <si>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</si>
  <si>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</si>
  <si>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</si>
  <si>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</si>
  <si>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</si>
  <si>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</si>
  <si>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</si>
  <si>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</si>
  <si>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</si>
  <si>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</si>
  <si>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</si>
  <si>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</si>
  <si>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</si>
  <si>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</si>
  <si>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</si>
  <si>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</si>
  <si>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</si>
  <si>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</si>
  <si>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</si>
  <si>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</si>
  <si>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</si>
  <si>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</si>
  <si>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</si>
  <si>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</si>
  <si>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</si>
  <si>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</si>
  <si>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</si>
  <si>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</si>
  <si>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</si>
  <si>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</si>
  <si>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</si>
  <si>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</si>
  <si>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</si>
  <si>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</si>
  <si>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</si>
  <si>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</si>
  <si>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</si>
  <si>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</si>
  <si>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</si>
  <si>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</si>
  <si>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</si>
  <si>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</si>
  <si>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</si>
  <si>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</si>
  <si>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</si>
  <si>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</si>
  <si>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</si>
  <si>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se0037</t>
  </si>
  <si>
    <t>?</t>
  </si>
  <si>
    <t>Питание ввода №1 в норме (ГРП-2)</t>
  </si>
  <si>
    <t>Питание ввода №2 в норме (ГРП-2)</t>
  </si>
  <si>
    <t>Ввод 1 включен (ГРП-2)</t>
  </si>
  <si>
    <t>Ввод 2 включен (ГРП-2)</t>
  </si>
  <si>
    <t>Питание ИБП в норме (ГРП-2)</t>
  </si>
  <si>
    <t>Питание датчиков 220В включено (ГРП-2)</t>
  </si>
  <si>
    <t>Дверь шкафа открыта (ГРП-2)</t>
  </si>
  <si>
    <t>Switch</t>
  </si>
  <si>
    <t>Port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</si>
  <si>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</si>
  <si>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</si>
  <si>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</si>
  <si>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</si>
  <si>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</si>
  <si>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</si>
  <si>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</si>
  <si>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</si>
  <si>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Питание реле 24в включено (ГРП-2)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</si>
</sst>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1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0" borderId="1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27" dT="2025-07-03T10:31:53.28" personId="{1BBA9C37-440F-4406-BC90-B03034B3364F}" id="{1E085EFA-2D4C-49AF-8DF0-637CB800E501}">
    <text>нужна схема шкафа Ш-1 ГРП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8"/>
  <sheetViews>
    <sheetView tabSelected="1" zoomScale="85" zoomScaleNormal="85" workbookViewId="0">
      <pane ySplit="1" topLeftCell="A2" activePane="bottomLeft" state="frozen"/>
      <selection pane="bottomLeft" activeCell="W32" sqref="W32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4" bestFit="1" customWidth="1"/>
    <col min="36" max="36" width="8.7109375" style="64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3" t="s">
        <v>1791</v>
      </c>
      <c r="AJ1" s="63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1998</v>
      </c>
      <c r="VP1" s="20" t="s">
        <v>1999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2098</v>
      </c>
      <c r="WP1" s="19" t="s">
        <v>2099</v>
      </c>
      <c r="WQ1" s="20" t="s">
        <v>2100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2134</v>
      </c>
      <c r="XR1" t="s">
        <v>2133</v>
      </c>
      <c r="XS1" t="s">
        <v>2135</v>
      </c>
      <c r="XT1" t="s">
        <v>2132</v>
      </c>
      <c r="XU1" t="s">
        <v>2136</v>
      </c>
      <c r="XV1" t="s">
        <v>2131</v>
      </c>
      <c r="XW1" t="s">
        <v>2137</v>
      </c>
      <c r="XX1" t="s">
        <v>2130</v>
      </c>
      <c r="XY1" t="s">
        <v>2138</v>
      </c>
      <c r="XZ1" t="s">
        <v>2129</v>
      </c>
      <c r="YA1" t="s">
        <v>2128</v>
      </c>
      <c r="YB1" t="s">
        <v>2127</v>
      </c>
      <c r="YC1" t="s">
        <v>2126</v>
      </c>
      <c r="YD1" t="s">
        <v>2125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2140</v>
      </c>
      <c r="YL1" t="s">
        <v>2139</v>
      </c>
      <c r="YM1" t="s">
        <v>2142</v>
      </c>
      <c r="YN1" t="s">
        <v>2141</v>
      </c>
      <c r="YO1" t="s">
        <v>2144</v>
      </c>
      <c r="YP1" t="s">
        <v>2143</v>
      </c>
      <c r="YQ1" t="s">
        <v>2146</v>
      </c>
      <c r="YR1" t="s">
        <v>2145</v>
      </c>
      <c r="YS1" t="s">
        <v>2148</v>
      </c>
      <c r="YT1" t="s">
        <v>2147</v>
      </c>
      <c r="YU1" t="s">
        <v>2150</v>
      </c>
      <c r="YV1" t="s">
        <v>2149</v>
      </c>
      <c r="YW1" t="s">
        <v>2151</v>
      </c>
      <c r="YX1" t="s">
        <v>2152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2153</v>
      </c>
      <c r="ZI1" t="s">
        <v>2154</v>
      </c>
      <c r="ZJ1" t="s">
        <v>82</v>
      </c>
      <c r="ZK1" t="s">
        <v>2155</v>
      </c>
      <c r="ZL1" t="s">
        <v>83</v>
      </c>
      <c r="ZM1" t="s">
        <v>2156</v>
      </c>
      <c r="ZN1" t="s">
        <v>84</v>
      </c>
      <c r="ZO1" t="s">
        <v>2157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2158</v>
      </c>
      <c r="AAB1" t="s">
        <v>2159</v>
      </c>
      <c r="AAC1" t="s">
        <v>1998</v>
      </c>
      <c r="AAD1" t="s">
        <v>1999</v>
      </c>
      <c r="AAE1" t="s">
        <v>2160</v>
      </c>
      <c r="AAF1" t="s">
        <v>2161</v>
      </c>
      <c r="AAG1" t="s">
        <v>2162</v>
      </c>
      <c r="AAH1" t="s">
        <v>2163</v>
      </c>
      <c r="AAI1" t="s">
        <v>2164</v>
      </c>
      <c r="AAJ1" t="s">
        <v>2165</v>
      </c>
      <c r="AAK1" t="s">
        <v>2166</v>
      </c>
      <c r="AAL1" t="s">
        <v>2167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2168</v>
      </c>
      <c r="ABC1" t="s">
        <v>2169</v>
      </c>
      <c r="ABD1" t="s">
        <v>2170</v>
      </c>
      <c r="ABE1" t="s">
        <v>2171</v>
      </c>
      <c r="ABF1" t="s">
        <v>2172</v>
      </c>
      <c r="ABG1" s="16" t="s">
        <v>2173</v>
      </c>
      <c r="ABH1" s="19" t="s">
        <v>1998</v>
      </c>
      <c r="ABI1" s="20" t="s">
        <v>1999</v>
      </c>
      <c r="ABJ1" s="19" t="s">
        <v>2160</v>
      </c>
      <c r="ABK1" s="19" t="s">
        <v>2161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2174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2175</v>
      </c>
      <c r="ADX1" s="42" t="s">
        <v>2176</v>
      </c>
      <c r="ADY1" s="42" t="s">
        <v>2177</v>
      </c>
      <c r="ADZ1" s="42" t="s">
        <v>924</v>
      </c>
      <c r="AEA1" s="52" t="s">
        <v>925</v>
      </c>
      <c r="AEB1" s="53" t="s">
        <v>2187</v>
      </c>
      <c r="AEC1" s="42" t="s">
        <v>2188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6" t="s">
        <v>859</v>
      </c>
      <c r="AEO1" s="66" t="s">
        <v>858</v>
      </c>
      <c r="AEP1" s="66" t="s">
        <v>404</v>
      </c>
      <c r="AEQ1" s="66" t="s">
        <v>862</v>
      </c>
      <c r="AER1" s="66" t="s">
        <v>863</v>
      </c>
    </row>
    <row r="2" spans="1:824" x14ac:dyDescent="0.25">
      <c r="A2" t="s">
        <v>2008</v>
      </c>
      <c r="B2" t="s">
        <v>2003</v>
      </c>
      <c r="C2" t="s">
        <v>498</v>
      </c>
      <c r="P2" t="s">
        <v>482</v>
      </c>
      <c r="T2" s="14" t="s">
        <v>2041</v>
      </c>
      <c r="U2">
        <v>1</v>
      </c>
      <c r="V2" t="s">
        <v>2042</v>
      </c>
      <c r="X2" t="s">
        <v>400</v>
      </c>
      <c r="Y2" s="59">
        <v>1</v>
      </c>
      <c r="Z2" s="59">
        <f t="array" ref="Z2">SUM(IF(ISNUMBER(FIND("TmAi",$BE$1:$AAQ$1)),IF(IFERROR(ISODD(SUBSTITUTE($BE2:$AAQ2,"A","")),FALSE),IF(ISODD(SUBSTITUTE($BE2:$AAQ2,"A","")),1,0),0)))</f>
        <v>0</v>
      </c>
      <c r="AA2" t="str">
        <f t="shared" ref="AA2:AA7" si="0">CONCATENATE($Y2*2-1,"B")</f>
        <v>1B</v>
      </c>
      <c r="AB2" t="str">
        <f t="shared" ref="AB2:AB7" si="1">CONCATENATE($Y2*2,"B")</f>
        <v>2B</v>
      </c>
      <c r="AP2" t="s">
        <v>2043</v>
      </c>
      <c r="AS2" t="s">
        <v>396</v>
      </c>
      <c r="JZ2" s="25" t="str">
        <f>CONCATENATE("XT",U2)</f>
        <v>XT1</v>
      </c>
      <c r="KA2" s="12"/>
      <c r="KB2" s="12"/>
      <c r="KC2" s="12" t="str">
        <f>CONCATENATE(T2,"-AI",REPLACE($X2,1,3,""),"-",AA2)</f>
        <v>E2-AI1-1B</v>
      </c>
      <c r="KD2" s="12" t="str">
        <f>CONCATENATE(T2,"-AI",REPLACE($X2,1,3,""),"-",AB2)</f>
        <v>E2-AI1-2B</v>
      </c>
      <c r="KE2" s="12"/>
      <c r="KF2" s="12"/>
      <c r="KG2" s="12"/>
      <c r="KH2" s="12"/>
      <c r="KI2" s="12">
        <v>1</v>
      </c>
      <c r="KJ2" s="12">
        <f t="shared" ref="KJ2:KK7" si="2">KI2+1</f>
        <v>2</v>
      </c>
      <c r="KK2" s="12">
        <f t="shared" si="2"/>
        <v>3</v>
      </c>
      <c r="KL2" s="12"/>
      <c r="KM2" s="12"/>
      <c r="KN2" s="12">
        <v>1</v>
      </c>
      <c r="KO2" s="13">
        <v>2</v>
      </c>
      <c r="KP2" s="12"/>
      <c r="KQ2" s="12"/>
      <c r="KR2" s="12"/>
      <c r="KS2" s="13"/>
      <c r="MA2" t="str">
        <f t="shared" ref="MA2:MA12" si="3">CONCATENATE("DI",REPLACE($AC2,1,3,""),"-",$AG2)</f>
        <v>DI-</v>
      </c>
    </row>
    <row r="3" spans="1:824" x14ac:dyDescent="0.25">
      <c r="A3" t="s">
        <v>2009</v>
      </c>
      <c r="B3" t="s">
        <v>2038</v>
      </c>
      <c r="C3" t="s">
        <v>498</v>
      </c>
      <c r="P3" t="s">
        <v>482</v>
      </c>
      <c r="T3" s="14" t="s">
        <v>2041</v>
      </c>
      <c r="U3">
        <v>1</v>
      </c>
      <c r="V3" t="s">
        <v>2044</v>
      </c>
      <c r="X3" t="str">
        <f>IF(COUNTIF(X$2:X2,X2)&gt;7,REPLACE(X2,LEN(X2),1,VALUE(RIGHT(X2,1))+1),X2)</f>
        <v>A3.1</v>
      </c>
      <c r="Y3" s="59">
        <f t="array" ref="Y3">IF(COUNTIFS($X$2:$X3,$X3)=1,"1",VALUE(SUBSTITUTE(INDEX(Y:Y,_xlfn.XMATCH($X3,$X$1:$X2,0,-1)),"A",""))+INDEX(Z:Z,_xlfn.XMATCH($X3,$X$1:$X2,0,-1))+1)</f>
        <v>2</v>
      </c>
      <c r="Z3">
        <f t="array" ref="Z3">SUM(IF(ISNUMBER(FIND("TmAi",$BE$1:$AAQ$1)),IF(IFERROR(ISODD(SUBSTITUTE($BE3:$AAQ3,"A","")),FALSE),IF(ISODD(SUBSTITUTE($BE3:$AAQ3,"A","")),1,0),0)))</f>
        <v>0</v>
      </c>
      <c r="AA3" t="str">
        <f t="shared" si="0"/>
        <v>3B</v>
      </c>
      <c r="AB3" t="str">
        <f t="shared" si="1"/>
        <v>4B</v>
      </c>
      <c r="AP3" t="s">
        <v>2043</v>
      </c>
      <c r="AS3" t="s">
        <v>396</v>
      </c>
      <c r="JZ3" s="27" t="str">
        <f t="shared" ref="JZ3:JZ9" si="4">CONCATENATE("XT",U3)</f>
        <v>XT1</v>
      </c>
      <c r="KC3" t="str">
        <f t="shared" ref="KC3:KC9" si="5">CONCATENATE(T3,"-AI",REPLACE($X3,1,3,""),"-",AA3)</f>
        <v>E2-AI1-3B</v>
      </c>
      <c r="KD3" t="str">
        <f t="shared" ref="KD3:KD9" si="6">CONCATENATE(T3,"-AI",REPLACE($X3,1,3,""),"-",AB3)</f>
        <v>E2-AI1-4B</v>
      </c>
      <c r="KI3">
        <f t="array" ref="KI3">IF(COUNTIFS($U$2:$U3,$U3)=1,1,INDEX(KI:KI,_xlfn.XMATCH(U3,U$1:U2,0,-1))+COUNT(KI2:KM2))</f>
        <v>4</v>
      </c>
      <c r="KJ3">
        <f t="shared" si="2"/>
        <v>5</v>
      </c>
      <c r="KK3">
        <f t="shared" si="2"/>
        <v>6</v>
      </c>
      <c r="KN3">
        <v>1</v>
      </c>
      <c r="KO3">
        <v>2</v>
      </c>
      <c r="KP3" s="27"/>
      <c r="KS3" s="16"/>
      <c r="MA3" t="str">
        <f t="shared" si="3"/>
        <v>DI-</v>
      </c>
    </row>
    <row r="4" spans="1:824" x14ac:dyDescent="0.25">
      <c r="A4" t="s">
        <v>2010</v>
      </c>
      <c r="B4" t="s">
        <v>2039</v>
      </c>
      <c r="C4" t="s">
        <v>498</v>
      </c>
      <c r="P4" t="s">
        <v>482</v>
      </c>
      <c r="T4" s="14" t="s">
        <v>2041</v>
      </c>
      <c r="U4">
        <v>1</v>
      </c>
      <c r="V4" t="s">
        <v>2045</v>
      </c>
      <c r="X4" t="str">
        <f>IF(COUNTIF(X$2:X3,X3)&gt;7,REPLACE(X3,LEN(X3),1,VALUE(RIGHT(X3,1))+1),X3)</f>
        <v>A3.1</v>
      </c>
      <c r="Y4" s="59">
        <f t="array" ref="Y4">IF(COUNTIFS($X$2:$X4,$X4)=1,"1",VALUE(SUBSTITUTE(INDEX(Y:Y,_xlfn.XMATCH($X4,$X$1:$X3,0,-1)),"A",""))+INDEX(Z:Z,_xlfn.XMATCH($X4,$X$1:$X3,0,-1))+1)</f>
        <v>3</v>
      </c>
      <c r="Z4">
        <f t="array" ref="Z4">SUM(IF(ISNUMBER(FIND("TmAi",$BE$1:$AAQ$1)),IF(IFERROR(ISODD(SUBSTITUTE($BE4:$AAQ4,"A","")),FALSE),IF(ISODD(SUBSTITUTE($BE4:$AAQ4,"A","")),1,0),0)))</f>
        <v>0</v>
      </c>
      <c r="AA4" t="str">
        <f t="shared" si="0"/>
        <v>5B</v>
      </c>
      <c r="AB4" t="str">
        <f t="shared" si="1"/>
        <v>6B</v>
      </c>
      <c r="AP4" t="s">
        <v>2043</v>
      </c>
      <c r="AS4" t="s">
        <v>396</v>
      </c>
      <c r="JZ4" s="27" t="str">
        <f t="shared" si="4"/>
        <v>XT1</v>
      </c>
      <c r="KC4" t="str">
        <f t="shared" si="5"/>
        <v>E2-AI1-5B</v>
      </c>
      <c r="KD4" t="str">
        <f t="shared" si="6"/>
        <v>E2-AI1-6B</v>
      </c>
      <c r="KI4">
        <f t="array" ref="KI4">IF(COUNTIFS($U$2:$U4,$U4)=1,1,INDEX(KI:KI,_xlfn.XMATCH(U4,U$1:U3,0,-1))+COUNT(KI3:KM3))</f>
        <v>7</v>
      </c>
      <c r="KJ4">
        <f t="shared" si="2"/>
        <v>8</v>
      </c>
      <c r="KK4">
        <f t="shared" si="2"/>
        <v>9</v>
      </c>
      <c r="KN4">
        <v>1</v>
      </c>
      <c r="KO4">
        <v>2</v>
      </c>
      <c r="KP4" s="27"/>
      <c r="KS4" s="16"/>
      <c r="MA4" t="str">
        <f t="shared" si="3"/>
        <v>DI-</v>
      </c>
    </row>
    <row r="5" spans="1:824" x14ac:dyDescent="0.25">
      <c r="A5" t="s">
        <v>2011</v>
      </c>
      <c r="B5" t="s">
        <v>2040</v>
      </c>
      <c r="C5" t="s">
        <v>498</v>
      </c>
      <c r="P5" t="s">
        <v>482</v>
      </c>
      <c r="T5" s="14" t="s">
        <v>2041</v>
      </c>
      <c r="U5">
        <v>1</v>
      </c>
      <c r="V5" t="s">
        <v>2046</v>
      </c>
      <c r="X5" t="str">
        <f>IF(COUNTIF(X$2:X4,X4)&gt;7,REPLACE(X4,LEN(X4),1,VALUE(RIGHT(X4,1))+1),X4)</f>
        <v>A3.1</v>
      </c>
      <c r="Y5" s="59">
        <f t="array" ref="Y5">IF(COUNTIFS($X$2:$X5,$X5)=1,"1",VALUE(SUBSTITUTE(INDEX(Y:Y,_xlfn.XMATCH($X5,$X$1:$X4,0,-1)),"A",""))+INDEX(Z:Z,_xlfn.XMATCH($X5,$X$1:$X4,0,-1))+1)</f>
        <v>4</v>
      </c>
      <c r="Z5">
        <f t="array" ref="Z5">SUM(IF(ISNUMBER(FIND("TmAi",$BE$1:$AAQ$1)),IF(IFERROR(ISODD(SUBSTITUTE($BE5:$AAQ5,"A","")),FALSE),IF(ISODD(SUBSTITUTE($BE5:$AAQ5,"A","")),1,0),0)))</f>
        <v>0</v>
      </c>
      <c r="AA5" t="str">
        <f t="shared" si="0"/>
        <v>7B</v>
      </c>
      <c r="AB5" t="str">
        <f t="shared" si="1"/>
        <v>8B</v>
      </c>
      <c r="AP5" t="s">
        <v>2043</v>
      </c>
      <c r="AS5" t="s">
        <v>396</v>
      </c>
      <c r="JZ5" s="27" t="str">
        <f t="shared" si="4"/>
        <v>XT1</v>
      </c>
      <c r="KC5" t="str">
        <f t="shared" si="5"/>
        <v>E2-AI1-7B</v>
      </c>
      <c r="KD5" t="str">
        <f t="shared" si="6"/>
        <v>E2-AI1-8B</v>
      </c>
      <c r="KI5">
        <f t="array" ref="KI5">IF(COUNTIFS($U$2:$U5,$U5)=1,1,INDEX(KI:KI,_xlfn.XMATCH(U5,U$1:U4,0,-1))+COUNT(KI4:KM4))</f>
        <v>10</v>
      </c>
      <c r="KJ5">
        <f t="shared" si="2"/>
        <v>11</v>
      </c>
      <c r="KK5">
        <f t="shared" si="2"/>
        <v>12</v>
      </c>
      <c r="KN5">
        <v>1</v>
      </c>
      <c r="KO5">
        <v>2</v>
      </c>
      <c r="KP5" s="27"/>
      <c r="KS5" s="16"/>
      <c r="MA5" t="str">
        <f t="shared" si="3"/>
        <v>DI-</v>
      </c>
    </row>
    <row r="6" spans="1:824" x14ac:dyDescent="0.25">
      <c r="A6" t="s">
        <v>2006</v>
      </c>
      <c r="B6" t="s">
        <v>2001</v>
      </c>
      <c r="C6" t="s">
        <v>498</v>
      </c>
      <c r="P6" t="s">
        <v>482</v>
      </c>
      <c r="T6" s="14" t="s">
        <v>2041</v>
      </c>
      <c r="U6">
        <v>1</v>
      </c>
      <c r="V6" t="s">
        <v>2047</v>
      </c>
      <c r="X6" t="str">
        <f>IF(COUNTIF(X$2:X5,X5)&gt;7,REPLACE(X5,LEN(X5),1,VALUE(RIGHT(X5,1))+1),X5)</f>
        <v>A3.1</v>
      </c>
      <c r="Y6" s="59">
        <f t="array" ref="Y6">IF(COUNTIFS($X$2:$X6,$X6)=1,"1",VALUE(SUBSTITUTE(INDEX(Y:Y,_xlfn.XMATCH($X6,$X$1:$X5,0,-1)),"A",""))+INDEX(Z:Z,_xlfn.XMATCH($X6,$X$1:$X5,0,-1))+1)</f>
        <v>5</v>
      </c>
      <c r="Z6">
        <f t="array" ref="Z6">SUM(IF(ISNUMBER(FIND("TmAi",$BE$1:$AAQ$1)),IF(IFERROR(ISODD(SUBSTITUTE($BE6:$AAQ6,"A","")),FALSE),IF(ISODD(SUBSTITUTE($BE6:$AAQ6,"A","")),1,0),0)))</f>
        <v>0</v>
      </c>
      <c r="AA6" t="str">
        <f t="shared" si="0"/>
        <v>9B</v>
      </c>
      <c r="AB6" t="str">
        <f t="shared" si="1"/>
        <v>10B</v>
      </c>
      <c r="AP6" t="s">
        <v>2043</v>
      </c>
      <c r="AS6" t="s">
        <v>396</v>
      </c>
      <c r="JZ6" s="27" t="str">
        <f t="shared" si="4"/>
        <v>XT1</v>
      </c>
      <c r="KC6" t="str">
        <f t="shared" si="5"/>
        <v>E2-AI1-9B</v>
      </c>
      <c r="KD6" t="str">
        <f t="shared" si="6"/>
        <v>E2-AI1-10B</v>
      </c>
      <c r="KI6">
        <f t="array" ref="KI6">IF(COUNTIFS($U$2:$U6,$U6)=1,1,INDEX(KI:KI,_xlfn.XMATCH(U6,U$1:U5,0,-1))+COUNT(KI5:KM5))</f>
        <v>13</v>
      </c>
      <c r="KJ6">
        <f t="shared" si="2"/>
        <v>14</v>
      </c>
      <c r="KK6">
        <f t="shared" si="2"/>
        <v>15</v>
      </c>
      <c r="KN6">
        <v>1</v>
      </c>
      <c r="KO6">
        <v>2</v>
      </c>
      <c r="KP6" s="27"/>
      <c r="KS6" s="16"/>
      <c r="MA6" t="str">
        <f t="shared" si="3"/>
        <v>DI-</v>
      </c>
    </row>
    <row r="7" spans="1:824" x14ac:dyDescent="0.25">
      <c r="A7" t="s">
        <v>2007</v>
      </c>
      <c r="B7" t="s">
        <v>2002</v>
      </c>
      <c r="C7" t="s">
        <v>498</v>
      </c>
      <c r="P7" t="s">
        <v>482</v>
      </c>
      <c r="T7" s="14" t="s">
        <v>2041</v>
      </c>
      <c r="U7">
        <v>1</v>
      </c>
      <c r="V7" t="s">
        <v>2048</v>
      </c>
      <c r="X7" t="str">
        <f>IF(COUNTIF(X$2:X6,X6)&gt;7,REPLACE(X6,LEN(X6),1,VALUE(RIGHT(X6,1))+1),X6)</f>
        <v>A3.1</v>
      </c>
      <c r="Y7" s="59">
        <f t="array" ref="Y7">IF(COUNTIFS($X$2:$X7,$X7)=1,"1",VALUE(SUBSTITUTE(INDEX(Y:Y,_xlfn.XMATCH($X7,$X$1:$X6,0,-1)),"A",""))+INDEX(Z:Z,_xlfn.XMATCH($X7,$X$1:$X6,0,-1))+1)</f>
        <v>6</v>
      </c>
      <c r="Z7">
        <f t="array" ref="Z7">SUM(IF(ISNUMBER(FIND("TmAi",$BE$1:$AAQ$1)),IF(IFERROR(ISODD(SUBSTITUTE($BE7:$AAQ7,"A","")),FALSE),IF(ISODD(SUBSTITUTE($BE7:$AAQ7,"A","")),1,0),0)))</f>
        <v>0</v>
      </c>
      <c r="AA7" t="str">
        <f t="shared" si="0"/>
        <v>11B</v>
      </c>
      <c r="AB7" t="str">
        <f t="shared" si="1"/>
        <v>12B</v>
      </c>
      <c r="AP7" t="s">
        <v>2043</v>
      </c>
      <c r="AS7" t="s">
        <v>396</v>
      </c>
      <c r="JZ7" s="27" t="str">
        <f t="shared" si="4"/>
        <v>XT1</v>
      </c>
      <c r="KC7" t="str">
        <f t="shared" si="5"/>
        <v>E2-AI1-11B</v>
      </c>
      <c r="KD7" t="str">
        <f t="shared" si="6"/>
        <v>E2-AI1-12B</v>
      </c>
      <c r="KI7">
        <f t="array" ref="KI7">IF(COUNTIFS($U$2:$U7,$U7)=1,1,INDEX(KI:KI,_xlfn.XMATCH(U7,U$1:U6,0,-1))+COUNT(KI6:KM6))</f>
        <v>16</v>
      </c>
      <c r="KJ7">
        <f t="shared" si="2"/>
        <v>17</v>
      </c>
      <c r="KK7">
        <f t="shared" si="2"/>
        <v>18</v>
      </c>
      <c r="KN7">
        <v>1</v>
      </c>
      <c r="KO7">
        <v>2</v>
      </c>
      <c r="KP7" s="27"/>
      <c r="KS7" s="16"/>
      <c r="MA7" t="str">
        <f t="shared" si="3"/>
        <v>DI-</v>
      </c>
    </row>
    <row r="8" spans="1:824" x14ac:dyDescent="0.25">
      <c r="A8" t="s">
        <v>2012</v>
      </c>
      <c r="B8" t="s">
        <v>2004</v>
      </c>
      <c r="C8" t="s">
        <v>537</v>
      </c>
      <c r="P8" t="s">
        <v>542</v>
      </c>
      <c r="T8" s="14" t="s">
        <v>2041</v>
      </c>
      <c r="U8">
        <v>1</v>
      </c>
      <c r="V8" t="s">
        <v>2049</v>
      </c>
      <c r="X8" t="s">
        <v>484</v>
      </c>
      <c r="Y8" s="60" t="str">
        <f t="array" ref="Y8">IF(COUNTIFS($X$2:$X8,$X8)=1,"1",VALUE(SUBSTITUTE(INDEX(Y:Y,_xlfn.XMATCH($X8,$X$1:$X7,0,-1)),"A",""))+INDEX(Z:Z,_xlfn.XMATCH($X8,$X$1:$X7,0,-1))+1)</f>
        <v>1</v>
      </c>
      <c r="Z8" s="59">
        <f t="array" ref="Z8">SUM(IF(ISNUMBER(FIND("TmAi",$BE$1:$AAQ$1)),IF(IFERROR(ISODD(SUBSTITUTE($BE8:$AAQ8,"A","")),FALSE),IF(ISODD(SUBSTITUTE($BE8:$AAQ8,"A","")),1,0),0)))</f>
        <v>0</v>
      </c>
      <c r="AA8" t="str">
        <f>CONCATENATE($Y8*2-1,"A")</f>
        <v>1A</v>
      </c>
      <c r="AB8" t="str">
        <f>CONCATENATE($Y8*2-1,"B")</f>
        <v>1B</v>
      </c>
      <c r="AP8" t="s">
        <v>2043</v>
      </c>
      <c r="AS8" t="s">
        <v>396</v>
      </c>
      <c r="JZ8" s="27" t="str">
        <f t="shared" si="4"/>
        <v>XT1</v>
      </c>
      <c r="KA8" t="str">
        <f>REPLACE($AA8,1,1,LEFT($AA8,1)+1)</f>
        <v>2A</v>
      </c>
      <c r="KB8" t="str">
        <f>REPLACE($AB8,1,1,LEFT($AB8,1)+1)</f>
        <v>2B</v>
      </c>
      <c r="KC8" t="str">
        <f t="shared" si="5"/>
        <v>E2-AI3-1A</v>
      </c>
      <c r="KD8" t="str">
        <f t="shared" si="6"/>
        <v>E2-AI3-1B</v>
      </c>
      <c r="KE8" t="str">
        <f>CONCATENATE($T8,"-AI",REPLACE($X8,1,3,""),"-",KA8)</f>
        <v>E2-AI3-2A</v>
      </c>
      <c r="KF8" t="str">
        <f>CONCATENATE($T8,"-AI",REPLACE($X8,1,3,""),"-",KB8)</f>
        <v>E2-AI3-2B</v>
      </c>
      <c r="KI8">
        <f t="array" ref="KI8">IF(COUNTIFS($U$2:$U8,$U8)=1,1,INDEX(KI:KI,_xlfn.XMATCH(U8,U$1:U7,0,-1))+COUNT(KI7:KM7))</f>
        <v>19</v>
      </c>
      <c r="KJ8">
        <f t="shared" ref="KJ8:KL9" si="7">KI8+1</f>
        <v>20</v>
      </c>
      <c r="KK8">
        <f t="shared" si="7"/>
        <v>21</v>
      </c>
      <c r="KL8">
        <f t="shared" si="7"/>
        <v>22</v>
      </c>
      <c r="KN8">
        <v>1</v>
      </c>
      <c r="KO8" s="16">
        <v>2</v>
      </c>
      <c r="KP8">
        <v>3</v>
      </c>
      <c r="KQ8">
        <v>4</v>
      </c>
      <c r="KS8" s="16"/>
      <c r="MA8" t="str">
        <f t="shared" si="3"/>
        <v>DI-</v>
      </c>
    </row>
    <row r="9" spans="1:824" x14ac:dyDescent="0.25">
      <c r="A9" t="s">
        <v>2013</v>
      </c>
      <c r="B9" t="s">
        <v>2005</v>
      </c>
      <c r="C9" t="s">
        <v>537</v>
      </c>
      <c r="P9" t="s">
        <v>542</v>
      </c>
      <c r="T9" s="14" t="s">
        <v>2041</v>
      </c>
      <c r="U9">
        <v>1</v>
      </c>
      <c r="V9" t="s">
        <v>2050</v>
      </c>
      <c r="X9" t="str">
        <f>IF(COUNTIF(X$2:X8,X8)&gt;7,REPLACE(X8,LEN(X8),1,VALUE(RIGHT(X8,1))+1),X8)</f>
        <v>A3.3</v>
      </c>
      <c r="Y9" s="59">
        <f t="array" ref="Y9">IF(COUNTIFS($X$2:$X9,$X9)=1,"1",VALUE(SUBSTITUTE(INDEX(Y:Y,_xlfn.XMATCH($X9,$X$1:$X8,0,-1)),"A",""))+INDEX(Z:Z,_xlfn.XMATCH($X9,$X$1:$X8,0,-1))+1)</f>
        <v>2</v>
      </c>
      <c r="Z9" s="59">
        <f t="array" ref="Z9">SUM(IF(ISNUMBER(FIND("TmAi",$BE$1:$AAQ$1)),IF(IFERROR(ISODD(SUBSTITUTE($BE9:$AAQ9,"A","")),FALSE),IF(ISODD(SUBSTITUTE($BE9:$AAQ9,"A","")),1,0),0)))</f>
        <v>0</v>
      </c>
      <c r="AA9" t="str">
        <f>CONCATENATE($Y9*2-1,"A")</f>
        <v>3A</v>
      </c>
      <c r="AB9" t="str">
        <f>CONCATENATE($Y9*2-1,"B")</f>
        <v>3B</v>
      </c>
      <c r="AP9" t="s">
        <v>2043</v>
      </c>
      <c r="AS9" t="s">
        <v>396</v>
      </c>
      <c r="JZ9" s="27" t="str">
        <f t="shared" si="4"/>
        <v>XT1</v>
      </c>
      <c r="KA9" t="str">
        <f>REPLACE(AA9,1,1,LEFT(AA9,1)+1)</f>
        <v>4A</v>
      </c>
      <c r="KB9" t="str">
        <f>REPLACE(AB9,1,1,LEFT(AB9,1)+1)</f>
        <v>4B</v>
      </c>
      <c r="KC9" t="str">
        <f t="shared" si="5"/>
        <v>E2-AI3-3A</v>
      </c>
      <c r="KD9" t="str">
        <f t="shared" si="6"/>
        <v>E2-AI3-3B</v>
      </c>
      <c r="KE9" t="str">
        <f>CONCATENATE($T9,"-AI",REPLACE($X9,1,3,""),"-",KA9)</f>
        <v>E2-AI3-4A</v>
      </c>
      <c r="KF9" t="str">
        <f>CONCATENATE($T9,"-AI",REPLACE($X9,1,3,""),"-",KB9)</f>
        <v>E2-AI3-4B</v>
      </c>
      <c r="KI9">
        <f t="array" ref="KI9">IF(COUNTIFS($U$2:$U9,$U9)=1,1,INDEX(KI:KI,_xlfn.XMATCH(U9,U$1:U8,0,-1))+COUNT(KI8:KM8))</f>
        <v>23</v>
      </c>
      <c r="KJ9">
        <f t="shared" si="7"/>
        <v>24</v>
      </c>
      <c r="KK9">
        <f t="shared" si="7"/>
        <v>25</v>
      </c>
      <c r="KL9">
        <f t="shared" si="7"/>
        <v>26</v>
      </c>
      <c r="KN9">
        <v>1</v>
      </c>
      <c r="KO9" s="16">
        <v>2</v>
      </c>
      <c r="KP9">
        <v>3</v>
      </c>
      <c r="KQ9">
        <v>4</v>
      </c>
      <c r="KS9" s="16"/>
      <c r="MA9" t="str">
        <f t="shared" si="3"/>
        <v>DI-</v>
      </c>
    </row>
    <row r="10" spans="1:824" x14ac:dyDescent="0.25">
      <c r="A10" t="s">
        <v>2054</v>
      </c>
      <c r="B10" t="s">
        <v>2057</v>
      </c>
      <c r="C10" t="s">
        <v>498</v>
      </c>
      <c r="P10" t="s">
        <v>482</v>
      </c>
      <c r="T10" s="14" t="s">
        <v>2041</v>
      </c>
      <c r="U10">
        <v>2</v>
      </c>
      <c r="V10" t="s">
        <v>2051</v>
      </c>
      <c r="X10" t="s">
        <v>1996</v>
      </c>
      <c r="Y10" s="60" t="str">
        <f t="array" ref="Y10">IF(COUNTIFS($X$2:$X10,$X10)=1,"1",VALUE(SUBSTITUTE(INDEX(Y:Y,_xlfn.XMATCH($X10,$X$1:$X9,0,-1)),"A",""))+INDEX(Z:Z,_xlfn.XMATCH($X10,$X$1:$X9,0,-1))+1)</f>
        <v>1</v>
      </c>
      <c r="Z10">
        <f t="array" ref="Z10">SUM(IF(ISNUMBER(FIND("TmAi",$BE$1:$AAQ$1)),IF(IFERROR(ISODD(SUBSTITUTE($BE10:$AAQ10,"A","")),FALSE),IF(ISODD(SUBSTITUTE($BE10:$AAQ10,"A","")),1,0),0)))</f>
        <v>0</v>
      </c>
      <c r="AA10" t="str">
        <f>CONCATENATE($Y10*2-1,"B")</f>
        <v>1B</v>
      </c>
      <c r="AB10" t="str">
        <f>CONCATENATE($Y10*2,"B")</f>
        <v>2B</v>
      </c>
      <c r="AP10" t="s">
        <v>2043</v>
      </c>
      <c r="AS10" t="s">
        <v>396</v>
      </c>
      <c r="JZ10" s="27" t="str">
        <f>CONCATENATE("XT",U10)</f>
        <v>XT2</v>
      </c>
      <c r="KC10" t="str">
        <f>CONCATENATE(T10,"-AI",REPLACE($X10,1,3,""),"-",AA10)</f>
        <v>E2-AI2-1B</v>
      </c>
      <c r="KD10" t="str">
        <f>CONCATENATE(T10,"-AI",REPLACE($X10,1,3,""),"-",AB10)</f>
        <v>E2-AI2-2B</v>
      </c>
      <c r="KI10">
        <f t="array" ref="KI10">IF(COUNTIFS($U$2:$U10,$U10)=1,1,INDEX(KI:KI,_xlfn.XMATCH(U10,U$1:U9,0,-1))+COUNT(KI9:KM9))</f>
        <v>1</v>
      </c>
      <c r="KJ10">
        <f t="shared" ref="KJ10:KK12" si="8">KI10+1</f>
        <v>2</v>
      </c>
      <c r="KK10">
        <f t="shared" si="8"/>
        <v>3</v>
      </c>
      <c r="KN10">
        <v>1</v>
      </c>
      <c r="KO10">
        <v>2</v>
      </c>
      <c r="KP10" s="27"/>
      <c r="KS10" s="16"/>
      <c r="MA10" t="str">
        <f t="shared" si="3"/>
        <v>DI-</v>
      </c>
    </row>
    <row r="11" spans="1:824" x14ac:dyDescent="0.25">
      <c r="A11" t="s">
        <v>2055</v>
      </c>
      <c r="B11" t="s">
        <v>2058</v>
      </c>
      <c r="C11" t="s">
        <v>498</v>
      </c>
      <c r="P11" t="s">
        <v>482</v>
      </c>
      <c r="T11" s="14" t="s">
        <v>2041</v>
      </c>
      <c r="U11">
        <v>2</v>
      </c>
      <c r="V11" t="s">
        <v>2052</v>
      </c>
      <c r="X11" t="str">
        <f>IF(COUNTIF(X$2:X10,X10)&gt;7,REPLACE(X10,LEN(X10),1,VALUE(RIGHT(X10,1))+1),X10)</f>
        <v>A3.2</v>
      </c>
      <c r="Y11" s="59">
        <f t="array" ref="Y11">IF(COUNTIFS($X$2:$X11,$X11)=1,"1",VALUE(SUBSTITUTE(INDEX(Y:Y,_xlfn.XMATCH($X11,$X$1:$X10,0,-1)),"A",""))+INDEX(Z:Z,_xlfn.XMATCH($X11,$X$1:$X10,0,-1))+1)</f>
        <v>2</v>
      </c>
      <c r="Z11">
        <f t="array" ref="Z11">SUM(IF(ISNUMBER(FIND("TmAi",$BE$1:$AAQ$1)),IF(IFERROR(ISODD(SUBSTITUTE($BE11:$AAQ11,"A","")),FALSE),IF(ISODD(SUBSTITUTE($BE11:$AAQ11,"A","")),1,0),0)))</f>
        <v>0</v>
      </c>
      <c r="AA11" t="str">
        <f>CONCATENATE($Y11*2-1,"B")</f>
        <v>3B</v>
      </c>
      <c r="AB11" t="str">
        <f>CONCATENATE($Y11*2,"B")</f>
        <v>4B</v>
      </c>
      <c r="AP11" t="s">
        <v>2043</v>
      </c>
      <c r="AS11" t="s">
        <v>396</v>
      </c>
      <c r="JZ11" s="27" t="str">
        <f>CONCATENATE("XT",U11)</f>
        <v>XT2</v>
      </c>
      <c r="KC11" t="str">
        <f>CONCATENATE(T11,"-AI",REPLACE($X11,1,3,""),"-",AA11)</f>
        <v>E2-AI2-3B</v>
      </c>
      <c r="KD11" t="str">
        <f>CONCATENATE(T11,"-AI",REPLACE($X11,1,3,""),"-",AB11)</f>
        <v>E2-AI2-4B</v>
      </c>
      <c r="KI11">
        <f t="array" ref="KI11">IF(COUNTIFS($U$2:$U11,$U11)=1,1,INDEX(KI:KI,_xlfn.XMATCH(U11,U$1:U10,0,-1))+COUNT(KI10:KM10))</f>
        <v>4</v>
      </c>
      <c r="KJ11">
        <f t="shared" si="8"/>
        <v>5</v>
      </c>
      <c r="KK11">
        <f t="shared" si="8"/>
        <v>6</v>
      </c>
      <c r="KN11">
        <v>1</v>
      </c>
      <c r="KO11">
        <v>2</v>
      </c>
      <c r="KP11" s="27"/>
      <c r="KS11" s="16"/>
      <c r="MA11" t="str">
        <f t="shared" si="3"/>
        <v>DI-</v>
      </c>
    </row>
    <row r="12" spans="1:824" x14ac:dyDescent="0.25">
      <c r="A12" t="s">
        <v>2056</v>
      </c>
      <c r="B12" t="s">
        <v>2059</v>
      </c>
      <c r="C12" t="s">
        <v>498</v>
      </c>
      <c r="P12" t="s">
        <v>482</v>
      </c>
      <c r="T12" s="14" t="s">
        <v>2041</v>
      </c>
      <c r="U12">
        <v>2</v>
      </c>
      <c r="V12" t="s">
        <v>2053</v>
      </c>
      <c r="X12" t="str">
        <f>IF(COUNTIF(X$2:X11,X11)&gt;7,REPLACE(X11,LEN(X11),1,VALUE(RIGHT(X11,1))+1),X11)</f>
        <v>A3.2</v>
      </c>
      <c r="Y12" s="59">
        <f t="array" ref="Y12">IF(COUNTIFS($X$2:$X12,$X12)=1,"1",VALUE(SUBSTITUTE(INDEX(Y:Y,_xlfn.XMATCH($X12,$X$1:$X11,0,-1)),"A",""))+INDEX(Z:Z,_xlfn.XMATCH($X12,$X$1:$X11,0,-1))+1)</f>
        <v>3</v>
      </c>
      <c r="Z12">
        <f t="array" ref="Z12">SUM(IF(ISNUMBER(FIND("TmAi",$BE$1:$AAQ$1)),IF(IFERROR(ISODD(SUBSTITUTE($BE12:$AAQ12,"A","")),FALSE),IF(ISODD(SUBSTITUTE($BE12:$AAQ12,"A","")),1,0),0)))</f>
        <v>0</v>
      </c>
      <c r="AA12" t="str">
        <f>CONCATENATE($Y12*2-1,"B")</f>
        <v>5B</v>
      </c>
      <c r="AB12" t="str">
        <f>CONCATENATE($Y12*2,"B")</f>
        <v>6B</v>
      </c>
      <c r="AP12" t="s">
        <v>2043</v>
      </c>
      <c r="AS12" t="s">
        <v>396</v>
      </c>
      <c r="JZ12" s="27" t="str">
        <f>CONCATENATE("XT",U12)</f>
        <v>XT2</v>
      </c>
      <c r="KC12" t="str">
        <f>CONCATENATE(T12,"-AI",REPLACE($X12,1,3,""),"-",AA12)</f>
        <v>E2-AI2-5B</v>
      </c>
      <c r="KD12" t="str">
        <f>CONCATENATE(T12,"-AI",REPLACE($X12,1,3,""),"-",AB12)</f>
        <v>E2-AI2-6B</v>
      </c>
      <c r="KI12">
        <f t="array" ref="KI12">IF(COUNTIFS($U$2:$U12,$U12)=1,1,INDEX(KI:KI,_xlfn.XMATCH(U12,U$1:U11,0,-1))+COUNT(KI11:KM11))</f>
        <v>7</v>
      </c>
      <c r="KJ12">
        <f t="shared" si="8"/>
        <v>8</v>
      </c>
      <c r="KK12">
        <f t="shared" si="8"/>
        <v>9</v>
      </c>
      <c r="KN12">
        <v>1</v>
      </c>
      <c r="KO12">
        <v>2</v>
      </c>
      <c r="KP12" s="27"/>
      <c r="KS12" s="16"/>
      <c r="MA12" t="str">
        <f t="shared" si="3"/>
        <v>DI-</v>
      </c>
    </row>
    <row r="13" spans="1:824" x14ac:dyDescent="0.25">
      <c r="A13" s="58" t="s">
        <v>2035</v>
      </c>
      <c r="B13" t="s">
        <v>2016</v>
      </c>
      <c r="P13" t="s">
        <v>2124</v>
      </c>
      <c r="T13" s="27" t="s">
        <v>2041</v>
      </c>
      <c r="U13">
        <v>3</v>
      </c>
      <c r="V13" t="s">
        <v>2060</v>
      </c>
      <c r="Y13" s="59"/>
      <c r="AC13" t="s">
        <v>131</v>
      </c>
      <c r="AD13" s="46" t="str">
        <f t="array" ref="AD13">IF(COUNTIFS(AC$2:AC13,AC13)=1,"1",VALUE(SUBSTITUTE(INDEX(AD:AD,_xlfn.XMATCH(AC13,AC$1:AC18,0,-1)),"A",""))+INDEX(AE:AE,_xlfn.XMATCH(AC13,AC$1:AC18,0,-1))+1)</f>
        <v>1</v>
      </c>
      <c r="AE13" s="46">
        <f t="array" ref="AE13">SUM(IF(ISNUMBER(FIND("TmDi",$BE$1:$AAQ$1)),IF(IFERROR(ISNUMBER(VALUE(SUBSTITUTE($BE13:$AAQ13,"B",""))),FALSE),IF(ISNUMBER(VALUE(SUBSTITUTE($BE13:$AAQ13,"B",""))),1,0),0)))</f>
        <v>3</v>
      </c>
      <c r="AF13" t="str">
        <f t="shared" ref="AF13:AF19" si="9">CONCATENATE("C",$AD13)</f>
        <v>C1</v>
      </c>
      <c r="AG13" t="str">
        <f t="shared" ref="AG13:AG19" si="10">CONCATENATE("B",$AD13)</f>
        <v>B1</v>
      </c>
      <c r="AH13" t="s">
        <v>132</v>
      </c>
      <c r="AI13" s="64" t="str">
        <f t="array" ref="AI13">IF(COUNTIFS(AH$2:AH13,AH13)=1,"1",VALUE(SUBSTITUTE(INDEX(AI:AI,_xlfn.XMATCH(AH13,AH$1:AH18,0,-1)),"A",""))+INDEX(AJ:AJ,_xlfn.XMATCH(AH13,AH$1:AH18,0,-1))+1)</f>
        <v>1</v>
      </c>
      <c r="AJ13" s="64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ref="AK13:AK26" si="11">CONCATENATE($AI13,"A")</f>
        <v>1A</v>
      </c>
      <c r="AL13" t="str">
        <f t="shared" ref="AL13:AL26" si="12">CONCATENATE($AI13,"B")</f>
        <v>1B</v>
      </c>
      <c r="AM13" t="s">
        <v>141</v>
      </c>
      <c r="AP13" t="s">
        <v>2043</v>
      </c>
      <c r="AQ13" t="s">
        <v>2061</v>
      </c>
      <c r="AT13" t="s">
        <v>139</v>
      </c>
      <c r="AU13" t="s">
        <v>140</v>
      </c>
      <c r="BE13" s="27" t="str">
        <f>CONCATENATE("XT",U13)</f>
        <v>XT3</v>
      </c>
      <c r="BF13" t="str">
        <f>CONCATENATE("C",REPLACE(AF13,1,1,"")+1)</f>
        <v>C2</v>
      </c>
      <c r="BG13" t="str">
        <f>CONCATENATE("B",REPLACE(AG13,1,1,"")+1)</f>
        <v>B2</v>
      </c>
      <c r="BH13" t="str">
        <f>CONCATENATE("C",REPLACE(BF13,1,1,"")+1)</f>
        <v>C3</v>
      </c>
      <c r="BI13" t="str">
        <f>CONCATENATE("B",REPLACE(BG13,1,1,"")+1)</f>
        <v>B3</v>
      </c>
      <c r="BJ13" t="str">
        <f>CONCATENATE("C",REPLACE(BH13,1,1,"")+1)</f>
        <v>C4</v>
      </c>
      <c r="BK13" t="str">
        <f>CONCATENATE("B",REPLACE(BI13,1,1,"")+1)</f>
        <v>B4</v>
      </c>
      <c r="BP13" t="str">
        <f>CONCATENATE(REPLACE(AK13,LEN(AK13),1,"")+1,"A")</f>
        <v>2A</v>
      </c>
      <c r="BQ13" t="str">
        <f>CONCATENATE(REPLACE(AL13,LEN(AL13),1,"")+1,"B")</f>
        <v>2B</v>
      </c>
      <c r="BR13" t="str">
        <f>CONCATENATE(REPLACE(BP13,LEN(BP13),1,"")+1,"A")</f>
        <v>3A</v>
      </c>
      <c r="BS13" t="str">
        <f>CONCATENATE(REPLACE(BQ13,LEN(BQ13),1,"")+1,"B")</f>
        <v>3B</v>
      </c>
      <c r="BT13" t="str">
        <f t="shared" ref="BT13:BU16" si="13">CONCATENATE("DI",REPLACE($AC13,1,3,""),"-",AF13)</f>
        <v>DI1-C1</v>
      </c>
      <c r="BU13" t="str">
        <f t="shared" si="13"/>
        <v>DI1-B1</v>
      </c>
      <c r="BV13" t="str">
        <f t="shared" ref="BV13:CE16" si="14">CONCATENATE("DI",REPLACE($AC13,1,3,""),"-",BF13)</f>
        <v>DI1-C2</v>
      </c>
      <c r="BW13" t="str">
        <f t="shared" si="14"/>
        <v>DI1-B2</v>
      </c>
      <c r="BX13" t="str">
        <f t="shared" si="14"/>
        <v>DI1-C3</v>
      </c>
      <c r="BY13" t="str">
        <f t="shared" si="14"/>
        <v>DI1-B3</v>
      </c>
      <c r="BZ13" t="str">
        <f t="shared" si="14"/>
        <v>DI1-C4</v>
      </c>
      <c r="CA13" t="str">
        <f t="shared" si="14"/>
        <v>DI1-B4</v>
      </c>
      <c r="CB13" t="str">
        <f t="shared" si="14"/>
        <v>DI1-</v>
      </c>
      <c r="CC13" t="str">
        <f t="shared" si="14"/>
        <v>DI1-</v>
      </c>
      <c r="CD13" t="str">
        <f t="shared" si="14"/>
        <v>DI1-</v>
      </c>
      <c r="CE13" t="str">
        <f t="shared" si="14"/>
        <v>DI1-</v>
      </c>
      <c r="CF13" t="str">
        <f t="shared" ref="CF13:CG16" si="15">CONCATENATE("DO",REPLACE($AH13,1,3,""),"-",AK13)</f>
        <v>DO1-1A</v>
      </c>
      <c r="CG13" t="str">
        <f t="shared" si="15"/>
        <v>DO1-1B</v>
      </c>
      <c r="CH13" t="str">
        <f t="shared" ref="CH13:CK16" si="16">CONCATENATE("DO",REPLACE($AH13,1,3,""),"-",BP13)</f>
        <v>DO1-2A</v>
      </c>
      <c r="CI13" t="str">
        <f t="shared" si="16"/>
        <v>DO1-2B</v>
      </c>
      <c r="CJ13" t="str">
        <f t="shared" si="16"/>
        <v>DO1-3A</v>
      </c>
      <c r="CK13" t="str">
        <f t="shared" si="16"/>
        <v>DO1-3B</v>
      </c>
      <c r="CL13" t="str">
        <f>CONCATENATE("K",$U13,"-10")</f>
        <v>K3-10</v>
      </c>
      <c r="CM13" t="str">
        <f>CONCATENATE("K",$U13,"-03")</f>
        <v>K3-03</v>
      </c>
      <c r="CN13" t="str">
        <f>CONCATENATE("K",$U13,"-04")</f>
        <v>K3-04</v>
      </c>
      <c r="CO13" t="str">
        <f>CONCATENATE("K",$U13,"-01")</f>
        <v>K3-01</v>
      </c>
      <c r="CP13" t="str">
        <f>CONCATENATE("K",$U13,"-08")</f>
        <v>K3-08</v>
      </c>
      <c r="CQ13" t="str">
        <f>CONCATENATE("K",$U13,"-02")</f>
        <v>K3-02</v>
      </c>
      <c r="CR13" t="str">
        <f>CONCATENATE("K",$U13,"-09")</f>
        <v>K3-09</v>
      </c>
      <c r="CS13" t="str">
        <f>CONCATENATE("K",$U13,"-05")</f>
        <v>K3-05</v>
      </c>
      <c r="CT13" t="str">
        <f>CONCATENATE("K",$U13,"-11")</f>
        <v>K3-11</v>
      </c>
      <c r="CU13" t="str">
        <f>CONCATENATE($T13,"-M",$U13,"-A9")</f>
        <v>E2-M3-A9</v>
      </c>
      <c r="CV13" t="str">
        <f>CONCATENATE($T13,"-M",$U13,"-A7")</f>
        <v>E2-M3-A7</v>
      </c>
      <c r="CW13" t="str">
        <f>CONCATENATE($T13,"-M",$U13,"-A8")</f>
        <v>E2-M3-A8</v>
      </c>
      <c r="CX13" t="str">
        <f>CONCATENATE($T13,"-M",$U13,"-A6")</f>
        <v>E2-M3-A6</v>
      </c>
      <c r="CY13" t="str">
        <f>CONCATENATE($T13,"-M",$U13,"-A30")</f>
        <v>E2-M3-A30</v>
      </c>
      <c r="CZ13" t="str">
        <f>CONCATENATE($T13,"-M",$U13,"-N")</f>
        <v>E2-M3-N</v>
      </c>
      <c r="DA13" t="str">
        <f>CONCATENATE($T13,"-A220-M",U13)</f>
        <v>E2-A220-M3</v>
      </c>
      <c r="DB13" t="str">
        <f>CONCATENATE($T13,"-M",$U13,"-XM01")</f>
        <v>E2-M3-XM01</v>
      </c>
      <c r="DC13" t="str">
        <f>CONCATENATE($T13,"-M",$U13,"-A1")</f>
        <v>E2-M3-A1</v>
      </c>
      <c r="DD13" t="str">
        <f>CONCATENATE($T13,"-M",$U13,"-A5")</f>
        <v>E2-M3-A5</v>
      </c>
      <c r="DE13" t="str">
        <f>CONCATENATE($T13,"-M",$U13,"-A11")</f>
        <v>E2-M3-A11</v>
      </c>
      <c r="DF13" t="str">
        <f>CONCATENATE($T13,"-M",$U13,"-A12")</f>
        <v>E2-M3-A12</v>
      </c>
      <c r="DG13" t="str">
        <f>CONCATENATE($T13,"-M",$U13,"-A19")</f>
        <v>E2-M3-A19</v>
      </c>
      <c r="DH13" t="str">
        <f>CONCATENATE($T13,"-M",$U13,"-A20")</f>
        <v>E2-M3-A20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15</v>
      </c>
      <c r="EM13">
        <v>16</v>
      </c>
      <c r="EN13">
        <v>16</v>
      </c>
      <c r="EO13">
        <v>22</v>
      </c>
      <c r="EP13">
        <v>23</v>
      </c>
      <c r="EQ13" s="16">
        <v>24</v>
      </c>
      <c r="MA13" t="str">
        <f t="shared" ref="MA13:MA38" si="17">CONCATENATE("DI",REPLACE($AC13,1,3,""),"-",$AG13)</f>
        <v>DI1-B1</v>
      </c>
    </row>
    <row r="14" spans="1:824" x14ac:dyDescent="0.25">
      <c r="A14" s="58" t="s">
        <v>2034</v>
      </c>
      <c r="B14" t="s">
        <v>2017</v>
      </c>
      <c r="P14" t="s">
        <v>2124</v>
      </c>
      <c r="T14" s="27" t="s">
        <v>2041</v>
      </c>
      <c r="U14">
        <v>4</v>
      </c>
      <c r="V14" t="s">
        <v>2062</v>
      </c>
      <c r="Y14" s="59"/>
      <c r="AC14" t="str">
        <f>IF(AD13+AE13&gt;31,REPLACE(AC13,LEN(AC13),1,VALUE(RIGHT(AC13,1))+1),AC13)</f>
        <v>A5.1</v>
      </c>
      <c r="AD14" s="46">
        <f t="array" ref="AD14">IF(COUNTIFS(AC$2:AC14,AC14)=1,"1",VALUE(SUBSTITUTE(INDEX(AD:AD,_xlfn.XMATCH(AC14,AC$1:AC13,0,-1)),"A",""))+INDEX(AE:AE,_xlfn.XMATCH(AC14,AC$1:AC13,0,-1))+1)</f>
        <v>5</v>
      </c>
      <c r="AE14" s="46">
        <f t="array" ref="AE14">SUM(IF(ISNUMBER(FIND("TmDi",$BE$1:$AAQ$1)),IF(IFERROR(ISNUMBER(VALUE(SUBSTITUTE($BE14:$AAQ14,"B",""))),FALSE),IF(ISNUMBER(VALUE(SUBSTITUTE($BE14:$AAQ14,"B",""))),1,0),0)))</f>
        <v>3</v>
      </c>
      <c r="AF14" t="str">
        <f t="shared" si="9"/>
        <v>C5</v>
      </c>
      <c r="AG14" t="str">
        <f t="shared" si="10"/>
        <v>B5</v>
      </c>
      <c r="AH14" t="str">
        <f t="shared" ref="AH14:AH22" si="18">IF(AI13+AJ13&gt;31,REPLACE(AH13,LEN(AH13),1,VALUE(RIGHT(AH13,1))+1),AH13)</f>
        <v>A6.1</v>
      </c>
      <c r="AI14" s="64">
        <f t="array" ref="AI14">IF(COUNTIFS(AH$2:AH14,AH14)=1,"1",VALUE(SUBSTITUTE(INDEX(AI:AI,_xlfn.XMATCH(AH14,AH$1:AH13,0,-1)),"A",""))+INDEX(AJ:AJ,_xlfn.XMATCH(AH14,AH$1:AH13,0,-1))+1)</f>
        <v>4</v>
      </c>
      <c r="AJ14" s="64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11"/>
        <v>4A</v>
      </c>
      <c r="AL14" t="str">
        <f t="shared" si="12"/>
        <v>4B</v>
      </c>
      <c r="AM14" t="s">
        <v>150</v>
      </c>
      <c r="AP14" t="s">
        <v>2043</v>
      </c>
      <c r="AQ14" t="s">
        <v>2061</v>
      </c>
      <c r="AT14" t="s">
        <v>139</v>
      </c>
      <c r="AU14" t="s">
        <v>140</v>
      </c>
      <c r="BE14" s="27" t="str">
        <f>CONCATENATE("XT",U14)</f>
        <v>XT4</v>
      </c>
      <c r="BF14" t="str">
        <f>CONCATENATE("C",REPLACE(AF14,1,1,"")+1)</f>
        <v>C6</v>
      </c>
      <c r="BG14" t="str">
        <f>CONCATENATE("B",REPLACE(AG14,1,1,"")+1)</f>
        <v>B6</v>
      </c>
      <c r="BH14" t="str">
        <f>CONCATENATE("C",REPLACE(BF14,1,1,"")+1)</f>
        <v>C7</v>
      </c>
      <c r="BI14" t="str">
        <f>CONCATENATE("B",REPLACE(BG14,1,1,"")+1)</f>
        <v>B7</v>
      </c>
      <c r="BJ14" t="str">
        <f>CONCATENATE("C",REPLACE(BH14,1,1,"")+1)</f>
        <v>C8</v>
      </c>
      <c r="BK14" t="str">
        <f>CONCATENATE("B",REPLACE(BI14,1,1,"")+1)</f>
        <v>B8</v>
      </c>
      <c r="BP14" t="str">
        <f>CONCATENATE(REPLACE(AK14,LEN(AK14),1,"")+1,"A")</f>
        <v>5A</v>
      </c>
      <c r="BQ14" t="str">
        <f>CONCATENATE(REPLACE(AL14,LEN(AL14),1,"")+1,"B")</f>
        <v>5B</v>
      </c>
      <c r="BR14" t="str">
        <f>CONCATENATE(REPLACE(BP14,LEN(BP14),1,"")+1,"A")</f>
        <v>6A</v>
      </c>
      <c r="BS14" t="str">
        <f>CONCATENATE(REPLACE(BQ14,LEN(BQ14),1,"")+1,"B")</f>
        <v>6B</v>
      </c>
      <c r="BT14" t="str">
        <f t="shared" si="13"/>
        <v>DI1-C5</v>
      </c>
      <c r="BU14" t="str">
        <f t="shared" si="13"/>
        <v>DI1-B5</v>
      </c>
      <c r="BV14" t="str">
        <f t="shared" si="14"/>
        <v>DI1-C6</v>
      </c>
      <c r="BW14" t="str">
        <f t="shared" si="14"/>
        <v>DI1-B6</v>
      </c>
      <c r="BX14" t="str">
        <f t="shared" si="14"/>
        <v>DI1-C7</v>
      </c>
      <c r="BY14" t="str">
        <f t="shared" si="14"/>
        <v>DI1-B7</v>
      </c>
      <c r="BZ14" t="str">
        <f t="shared" si="14"/>
        <v>DI1-C8</v>
      </c>
      <c r="CA14" t="str">
        <f t="shared" si="14"/>
        <v>DI1-B8</v>
      </c>
      <c r="CB14" t="str">
        <f t="shared" si="14"/>
        <v>DI1-</v>
      </c>
      <c r="CC14" t="str">
        <f t="shared" si="14"/>
        <v>DI1-</v>
      </c>
      <c r="CD14" t="str">
        <f t="shared" si="14"/>
        <v>DI1-</v>
      </c>
      <c r="CE14" t="str">
        <f t="shared" si="14"/>
        <v>DI1-</v>
      </c>
      <c r="CF14" t="str">
        <f t="shared" si="15"/>
        <v>DO1-4A</v>
      </c>
      <c r="CG14" t="str">
        <f t="shared" si="15"/>
        <v>DO1-4B</v>
      </c>
      <c r="CH14" t="str">
        <f t="shared" si="16"/>
        <v>DO1-5A</v>
      </c>
      <c r="CI14" t="str">
        <f t="shared" si="16"/>
        <v>DO1-5B</v>
      </c>
      <c r="CJ14" t="str">
        <f t="shared" si="16"/>
        <v>DO1-6A</v>
      </c>
      <c r="CK14" t="str">
        <f t="shared" si="16"/>
        <v>DO1-6B</v>
      </c>
      <c r="CL14" t="str">
        <f>CONCATENATE("K",$U14,"-10")</f>
        <v>K4-10</v>
      </c>
      <c r="CM14" t="str">
        <f>CONCATENATE("K",$U14,"-03")</f>
        <v>K4-03</v>
      </c>
      <c r="CN14" t="str">
        <f>CONCATENATE("K",$U14,"-04")</f>
        <v>K4-04</v>
      </c>
      <c r="CO14" t="str">
        <f>CONCATENATE("K",$U14,"-01")</f>
        <v>K4-01</v>
      </c>
      <c r="CP14" t="str">
        <f>CONCATENATE("K",$U14,"-08")</f>
        <v>K4-08</v>
      </c>
      <c r="CQ14" t="str">
        <f>CONCATENATE("K",$U14,"-02")</f>
        <v>K4-02</v>
      </c>
      <c r="CR14" t="str">
        <f>CONCATENATE("K",$U14,"-09")</f>
        <v>K4-09</v>
      </c>
      <c r="CS14" t="str">
        <f>CONCATENATE("K",$U14,"-05")</f>
        <v>K4-05</v>
      </c>
      <c r="CT14" t="str">
        <f>CONCATENATE("K",$U14,"-11")</f>
        <v>K4-11</v>
      </c>
      <c r="CU14" t="str">
        <f>CONCATENATE($T14,"-M",$U14,"-A9")</f>
        <v>E2-M4-A9</v>
      </c>
      <c r="CV14" t="str">
        <f>CONCATENATE($T14,"-M",$U14,"-A7")</f>
        <v>E2-M4-A7</v>
      </c>
      <c r="CW14" t="str">
        <f>CONCATENATE($T14,"-M",$U14,"-A8")</f>
        <v>E2-M4-A8</v>
      </c>
      <c r="CX14" t="str">
        <f>CONCATENATE($T14,"-M",$U14,"-A6")</f>
        <v>E2-M4-A6</v>
      </c>
      <c r="CY14" t="str">
        <f>CONCATENATE($T14,"-M",$U14,"-A30")</f>
        <v>E2-M4-A30</v>
      </c>
      <c r="CZ14" t="str">
        <f>CONCATENATE($T14,"-M",$U14,"-N")</f>
        <v>E2-M4-N</v>
      </c>
      <c r="DA14" t="str">
        <f>CONCATENATE($T14,"-A220-M",U14)</f>
        <v>E2-A220-M4</v>
      </c>
      <c r="DB14" t="str">
        <f>CONCATENATE($T14,"-M",$U14,"-XM01")</f>
        <v>E2-M4-XM01</v>
      </c>
      <c r="DC14" t="str">
        <f>CONCATENATE($T14,"-M",$U14,"-A1")</f>
        <v>E2-M4-A1</v>
      </c>
      <c r="DD14" t="str">
        <f>CONCATENATE($T14,"-M",$U14,"-A5")</f>
        <v>E2-M4-A5</v>
      </c>
      <c r="DE14" t="str">
        <f>CONCATENATE($T14,"-M",$U14,"-A11")</f>
        <v>E2-M4-A11</v>
      </c>
      <c r="DF14" t="str">
        <f>CONCATENATE($T14,"-M",$U14,"-A12")</f>
        <v>E2-M4-A12</v>
      </c>
      <c r="DG14" t="str">
        <f>CONCATENATE($T14,"-M",$U14,"-A19")</f>
        <v>E2-M4-A19</v>
      </c>
      <c r="DH14" t="str">
        <f>CONCATENATE($T14,"-M",$U14,"-A20")</f>
        <v>E2-M4-A20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15</v>
      </c>
      <c r="EM14">
        <v>16</v>
      </c>
      <c r="EN14">
        <v>16</v>
      </c>
      <c r="EO14">
        <v>22</v>
      </c>
      <c r="EP14">
        <v>23</v>
      </c>
      <c r="EQ14" s="16">
        <v>24</v>
      </c>
      <c r="MA14" t="str">
        <f t="shared" si="17"/>
        <v>DI1-B5</v>
      </c>
    </row>
    <row r="15" spans="1:824" x14ac:dyDescent="0.25">
      <c r="A15" s="58" t="s">
        <v>2033</v>
      </c>
      <c r="B15" t="s">
        <v>2018</v>
      </c>
      <c r="P15" t="s">
        <v>2124</v>
      </c>
      <c r="T15" s="27" t="s">
        <v>2041</v>
      </c>
      <c r="U15">
        <v>5</v>
      </c>
      <c r="V15" t="s">
        <v>2063</v>
      </c>
      <c r="Y15" s="59"/>
      <c r="AC15" t="str">
        <f>IF(AD14+AE14&gt;31,REPLACE(AC14,LEN(AC14),1,VALUE(RIGHT(AC14,1))+1),AC14)</f>
        <v>A5.1</v>
      </c>
      <c r="AD15" s="46">
        <f t="array" ref="AD15">IF(COUNTIFS(AC$2:AC15,AC15)=1,"1",VALUE(SUBSTITUTE(INDEX(AD:AD,_xlfn.XMATCH(AC15,AC$1:AC14,0,-1)),"A",""))+INDEX(AE:AE,_xlfn.XMATCH(AC15,AC$1:AC14,0,-1))+1)</f>
        <v>9</v>
      </c>
      <c r="AE15" s="46">
        <f t="array" ref="AE15">SUM(IF(ISNUMBER(FIND("TmDi",$BE$1:$AAQ$1)),IF(IFERROR(ISNUMBER(VALUE(SUBSTITUTE($BE15:$AAQ15,"B",""))),FALSE),IF(ISNUMBER(VALUE(SUBSTITUTE($BE15:$AAQ15,"B",""))),1,0),0)))</f>
        <v>3</v>
      </c>
      <c r="AF15" t="str">
        <f t="shared" si="9"/>
        <v>C9</v>
      </c>
      <c r="AG15" t="str">
        <f t="shared" si="10"/>
        <v>B9</v>
      </c>
      <c r="AH15" t="str">
        <f t="shared" si="18"/>
        <v>A6.1</v>
      </c>
      <c r="AI15" s="64">
        <f t="array" ref="AI15">IF(COUNTIFS(AH$2:AH15,AH15)=1,"1",VALUE(SUBSTITUTE(INDEX(AI:AI,_xlfn.XMATCH(AH15,AH$1:AH14,0,-1)),"A",""))+INDEX(AJ:AJ,_xlfn.XMATCH(AH15,AH$1:AH14,0,-1))+1)</f>
        <v>7</v>
      </c>
      <c r="AJ15" s="64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11"/>
        <v>7A</v>
      </c>
      <c r="AL15" t="str">
        <f t="shared" si="12"/>
        <v>7B</v>
      </c>
      <c r="AM15" t="s">
        <v>155</v>
      </c>
      <c r="AP15" t="s">
        <v>2043</v>
      </c>
      <c r="AQ15" t="s">
        <v>2061</v>
      </c>
      <c r="AT15" t="s">
        <v>139</v>
      </c>
      <c r="AU15" t="s">
        <v>140</v>
      </c>
      <c r="BE15" s="27" t="str">
        <f>CONCATENATE("XT",U15)</f>
        <v>XT5</v>
      </c>
      <c r="BF15" t="str">
        <f>CONCATENATE("C",REPLACE(AF15,1,1,"")+1)</f>
        <v>C10</v>
      </c>
      <c r="BG15" t="str">
        <f>CONCATENATE("B",REPLACE(AG15,1,1,"")+1)</f>
        <v>B10</v>
      </c>
      <c r="BH15" t="str">
        <f>CONCATENATE("C",REPLACE(BF15,1,1,"")+1)</f>
        <v>C11</v>
      </c>
      <c r="BI15" t="str">
        <f>CONCATENATE("B",REPLACE(BG15,1,1,"")+1)</f>
        <v>B11</v>
      </c>
      <c r="BJ15" t="str">
        <f>CONCATENATE("C",REPLACE(BH15,1,1,"")+1)</f>
        <v>C12</v>
      </c>
      <c r="BK15" t="str">
        <f>CONCATENATE("B",REPLACE(BI15,1,1,"")+1)</f>
        <v>B12</v>
      </c>
      <c r="BP15" t="str">
        <f>CONCATENATE(REPLACE(AK15,LEN(AK15),1,"")+1,"A")</f>
        <v>8A</v>
      </c>
      <c r="BQ15" t="str">
        <f>CONCATENATE(REPLACE(AL15,LEN(AL15),1,"")+1,"B")</f>
        <v>8B</v>
      </c>
      <c r="BR15" t="str">
        <f>CONCATENATE(REPLACE(BP15,LEN(BP15),1,"")+1,"A")</f>
        <v>9A</v>
      </c>
      <c r="BS15" t="str">
        <f>CONCATENATE(REPLACE(BQ15,LEN(BQ15),1,"")+1,"B")</f>
        <v>9B</v>
      </c>
      <c r="BT15" t="str">
        <f t="shared" si="13"/>
        <v>DI1-C9</v>
      </c>
      <c r="BU15" t="str">
        <f t="shared" si="13"/>
        <v>DI1-B9</v>
      </c>
      <c r="BV15" t="str">
        <f t="shared" si="14"/>
        <v>DI1-C10</v>
      </c>
      <c r="BW15" t="str">
        <f t="shared" si="14"/>
        <v>DI1-B10</v>
      </c>
      <c r="BX15" t="str">
        <f t="shared" si="14"/>
        <v>DI1-C11</v>
      </c>
      <c r="BY15" t="str">
        <f t="shared" si="14"/>
        <v>DI1-B11</v>
      </c>
      <c r="BZ15" t="str">
        <f t="shared" si="14"/>
        <v>DI1-C12</v>
      </c>
      <c r="CA15" t="str">
        <f t="shared" si="14"/>
        <v>DI1-B12</v>
      </c>
      <c r="CB15" t="str">
        <f t="shared" si="14"/>
        <v>DI1-</v>
      </c>
      <c r="CC15" t="str">
        <f t="shared" si="14"/>
        <v>DI1-</v>
      </c>
      <c r="CD15" t="str">
        <f t="shared" si="14"/>
        <v>DI1-</v>
      </c>
      <c r="CE15" t="str">
        <f t="shared" si="14"/>
        <v>DI1-</v>
      </c>
      <c r="CF15" t="str">
        <f t="shared" si="15"/>
        <v>DO1-7A</v>
      </c>
      <c r="CG15" t="str">
        <f t="shared" si="15"/>
        <v>DO1-7B</v>
      </c>
      <c r="CH15" t="str">
        <f t="shared" si="16"/>
        <v>DO1-8A</v>
      </c>
      <c r="CI15" t="str">
        <f t="shared" si="16"/>
        <v>DO1-8B</v>
      </c>
      <c r="CJ15" t="str">
        <f t="shared" si="16"/>
        <v>DO1-9A</v>
      </c>
      <c r="CK15" t="str">
        <f t="shared" si="16"/>
        <v>DO1-9B</v>
      </c>
      <c r="CL15" t="str">
        <f>CONCATENATE("K",$U15,"-10")</f>
        <v>K5-10</v>
      </c>
      <c r="CM15" t="str">
        <f>CONCATENATE("K",$U15,"-03")</f>
        <v>K5-03</v>
      </c>
      <c r="CN15" t="str">
        <f>CONCATENATE("K",$U15,"-04")</f>
        <v>K5-04</v>
      </c>
      <c r="CO15" t="str">
        <f>CONCATENATE("K",$U15,"-01")</f>
        <v>K5-01</v>
      </c>
      <c r="CP15" t="str">
        <f>CONCATENATE("K",$U15,"-08")</f>
        <v>K5-08</v>
      </c>
      <c r="CQ15" t="str">
        <f>CONCATENATE("K",$U15,"-02")</f>
        <v>K5-02</v>
      </c>
      <c r="CR15" t="str">
        <f>CONCATENATE("K",$U15,"-09")</f>
        <v>K5-09</v>
      </c>
      <c r="CS15" t="str">
        <f>CONCATENATE("K",$U15,"-05")</f>
        <v>K5-05</v>
      </c>
      <c r="CT15" t="str">
        <f>CONCATENATE("K",$U15,"-11")</f>
        <v>K5-11</v>
      </c>
      <c r="CU15" t="str">
        <f>CONCATENATE($T15,"-M",$U15,"-A9")</f>
        <v>E2-M5-A9</v>
      </c>
      <c r="CV15" t="str">
        <f>CONCATENATE($T15,"-M",$U15,"-A7")</f>
        <v>E2-M5-A7</v>
      </c>
      <c r="CW15" t="str">
        <f>CONCATENATE($T15,"-M",$U15,"-A8")</f>
        <v>E2-M5-A8</v>
      </c>
      <c r="CX15" t="str">
        <f>CONCATENATE($T15,"-M",$U15,"-A6")</f>
        <v>E2-M5-A6</v>
      </c>
      <c r="CY15" t="str">
        <f>CONCATENATE($T15,"-M",$U15,"-A30")</f>
        <v>E2-M5-A30</v>
      </c>
      <c r="CZ15" t="str">
        <f>CONCATENATE($T15,"-M",$U15,"-N")</f>
        <v>E2-M5-N</v>
      </c>
      <c r="DA15" t="str">
        <f>CONCATENATE($T15,"-A220-M",U15)</f>
        <v>E2-A220-M5</v>
      </c>
      <c r="DB15" t="str">
        <f>CONCATENATE($T15,"-M",$U15,"-XM01")</f>
        <v>E2-M5-XM01</v>
      </c>
      <c r="DC15" t="str">
        <f>CONCATENATE($T15,"-M",$U15,"-A1")</f>
        <v>E2-M5-A1</v>
      </c>
      <c r="DD15" t="str">
        <f>CONCATENATE($T15,"-M",$U15,"-A5")</f>
        <v>E2-M5-A5</v>
      </c>
      <c r="DE15" t="str">
        <f>CONCATENATE($T15,"-M",$U15,"-A11")</f>
        <v>E2-M5-A11</v>
      </c>
      <c r="DF15" t="str">
        <f>CONCATENATE($T15,"-M",$U15,"-A12")</f>
        <v>E2-M5-A12</v>
      </c>
      <c r="DG15" t="str">
        <f>CONCATENATE($T15,"-M",$U15,"-A19")</f>
        <v>E2-M5-A19</v>
      </c>
      <c r="DH15" t="str">
        <f>CONCATENATE($T15,"-M",$U15,"-A20")</f>
        <v>E2-M5-A20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6">
        <v>24</v>
      </c>
      <c r="MA15" t="str">
        <f t="shared" si="17"/>
        <v>DI1-B9</v>
      </c>
    </row>
    <row r="16" spans="1:824" ht="15.75" thickBot="1" x14ac:dyDescent="0.3">
      <c r="A16" s="58" t="s">
        <v>2032</v>
      </c>
      <c r="B16" t="s">
        <v>2019</v>
      </c>
      <c r="P16" t="s">
        <v>2124</v>
      </c>
      <c r="T16" s="27" t="s">
        <v>2041</v>
      </c>
      <c r="U16">
        <v>6</v>
      </c>
      <c r="V16" t="s">
        <v>2065</v>
      </c>
      <c r="Y16" s="59"/>
      <c r="AC16" t="str">
        <f>IF(AD15+AE15&gt;31,REPLACE(AC15,LEN(AC15),1,VALUE(RIGHT(AC15,1))+1),AC15)</f>
        <v>A5.1</v>
      </c>
      <c r="AD16" s="46">
        <f t="array" ref="AD16">IF(COUNTIFS(AC$2:AC16,AC16)=1,"1",VALUE(SUBSTITUTE(INDEX(AD:AD,_xlfn.XMATCH(AC16,AC$1:AC15,0,-1)),"A",""))+INDEX(AE:AE,_xlfn.XMATCH(AC16,AC$1:AC15,0,-1))+1)</f>
        <v>13</v>
      </c>
      <c r="AE16" s="46">
        <f t="array" ref="AE16">SUM(IF(ISNUMBER(FIND("TmDi",$BE$1:$AAQ$1)),IF(IFERROR(ISNUMBER(VALUE(SUBSTITUTE($BE16:$AAQ16,"B",""))),FALSE),IF(ISNUMBER(VALUE(SUBSTITUTE($BE16:$AAQ16,"B",""))),1,0),0)))</f>
        <v>3</v>
      </c>
      <c r="AF16" t="str">
        <f t="shared" si="9"/>
        <v>C13</v>
      </c>
      <c r="AG16" t="str">
        <f t="shared" si="10"/>
        <v>B13</v>
      </c>
      <c r="AH16" t="str">
        <f t="shared" si="18"/>
        <v>A6.1</v>
      </c>
      <c r="AI16" s="64">
        <f t="array" ref="AI16">IF(COUNTIFS(AH$2:AH16,AH16)=1,"1",VALUE(SUBSTITUTE(INDEX(AI:AI,_xlfn.XMATCH(AH16,AH$1:AH15,0,-1)),"A",""))+INDEX(AJ:AJ,_xlfn.XMATCH(AH16,AH$1:AH15,0,-1))+1)</f>
        <v>10</v>
      </c>
      <c r="AJ16" s="64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11"/>
        <v>10A</v>
      </c>
      <c r="AL16" t="str">
        <f t="shared" si="12"/>
        <v>10B</v>
      </c>
      <c r="AM16" t="s">
        <v>158</v>
      </c>
      <c r="AP16" t="s">
        <v>2043</v>
      </c>
      <c r="AQ16" t="s">
        <v>2061</v>
      </c>
      <c r="AT16" t="s">
        <v>139</v>
      </c>
      <c r="AU16" t="s">
        <v>140</v>
      </c>
      <c r="BE16" s="27" t="str">
        <f>CONCATENATE("XT",U16)</f>
        <v>XT6</v>
      </c>
      <c r="BF16" t="str">
        <f>CONCATENATE("C",REPLACE(AF16,1,1,"")+1)</f>
        <v>C14</v>
      </c>
      <c r="BG16" t="str">
        <f>CONCATENATE("B",REPLACE(AG16,1,1,"")+1)</f>
        <v>B14</v>
      </c>
      <c r="BH16" t="str">
        <f>CONCATENATE("C",REPLACE(BF16,1,1,"")+1)</f>
        <v>C15</v>
      </c>
      <c r="BI16" t="str">
        <f>CONCATENATE("B",REPLACE(BG16,1,1,"")+1)</f>
        <v>B15</v>
      </c>
      <c r="BJ16" t="str">
        <f>CONCATENATE("C",REPLACE(BH16,1,1,"")+1)</f>
        <v>C16</v>
      </c>
      <c r="BK16" t="str">
        <f>CONCATENATE("B",REPLACE(BI16,1,1,"")+1)</f>
        <v>B16</v>
      </c>
      <c r="BP16" t="str">
        <f>CONCATENATE(REPLACE(AK16,LEN(AK16),1,"")+1,"A")</f>
        <v>11A</v>
      </c>
      <c r="BQ16" t="str">
        <f>CONCATENATE(REPLACE(AL16,LEN(AL16),1,"")+1,"B")</f>
        <v>11B</v>
      </c>
      <c r="BR16" t="str">
        <f>CONCATENATE(REPLACE(BP16,LEN(BP16),1,"")+1,"A")</f>
        <v>12A</v>
      </c>
      <c r="BS16" t="str">
        <f>CONCATENATE(REPLACE(BQ16,LEN(BQ16),1,"")+1,"B")</f>
        <v>12B</v>
      </c>
      <c r="BT16" t="str">
        <f t="shared" si="13"/>
        <v>DI1-C13</v>
      </c>
      <c r="BU16" t="str">
        <f t="shared" si="13"/>
        <v>DI1-B13</v>
      </c>
      <c r="BV16" t="str">
        <f t="shared" si="14"/>
        <v>DI1-C14</v>
      </c>
      <c r="BW16" t="str">
        <f t="shared" si="14"/>
        <v>DI1-B14</v>
      </c>
      <c r="BX16" t="str">
        <f t="shared" si="14"/>
        <v>DI1-C15</v>
      </c>
      <c r="BY16" t="str">
        <f t="shared" si="14"/>
        <v>DI1-B15</v>
      </c>
      <c r="BZ16" t="str">
        <f t="shared" si="14"/>
        <v>DI1-C16</v>
      </c>
      <c r="CA16" t="str">
        <f t="shared" si="14"/>
        <v>DI1-B16</v>
      </c>
      <c r="CB16" t="str">
        <f t="shared" si="14"/>
        <v>DI1-</v>
      </c>
      <c r="CC16" t="str">
        <f t="shared" si="14"/>
        <v>DI1-</v>
      </c>
      <c r="CD16" t="str">
        <f t="shared" si="14"/>
        <v>DI1-</v>
      </c>
      <c r="CE16" t="str">
        <f t="shared" si="14"/>
        <v>DI1-</v>
      </c>
      <c r="CF16" t="str">
        <f t="shared" si="15"/>
        <v>DO1-10A</v>
      </c>
      <c r="CG16" t="str">
        <f t="shared" si="15"/>
        <v>DO1-10B</v>
      </c>
      <c r="CH16" t="str">
        <f t="shared" si="16"/>
        <v>DO1-11A</v>
      </c>
      <c r="CI16" t="str">
        <f t="shared" si="16"/>
        <v>DO1-11B</v>
      </c>
      <c r="CJ16" t="str">
        <f t="shared" si="16"/>
        <v>DO1-12A</v>
      </c>
      <c r="CK16" t="str">
        <f t="shared" si="16"/>
        <v>DO1-12B</v>
      </c>
      <c r="CL16" t="str">
        <f>CONCATENATE("K",$U16,"-10")</f>
        <v>K6-10</v>
      </c>
      <c r="CM16" t="str">
        <f>CONCATENATE("K",$U16,"-03")</f>
        <v>K6-03</v>
      </c>
      <c r="CN16" t="str">
        <f>CONCATENATE("K",$U16,"-04")</f>
        <v>K6-04</v>
      </c>
      <c r="CO16" t="str">
        <f>CONCATENATE("K",$U16,"-01")</f>
        <v>K6-01</v>
      </c>
      <c r="CP16" t="str">
        <f>CONCATENATE("K",$U16,"-08")</f>
        <v>K6-08</v>
      </c>
      <c r="CQ16" t="str">
        <f>CONCATENATE("K",$U16,"-02")</f>
        <v>K6-02</v>
      </c>
      <c r="CR16" t="str">
        <f>CONCATENATE("K",$U16,"-09")</f>
        <v>K6-09</v>
      </c>
      <c r="CS16" t="str">
        <f>CONCATENATE("K",$U16,"-05")</f>
        <v>K6-05</v>
      </c>
      <c r="CT16" t="str">
        <f>CONCATENATE("K",$U16,"-11")</f>
        <v>K6-11</v>
      </c>
      <c r="CU16" t="str">
        <f>CONCATENATE($T16,"-M",$U16,"-A9")</f>
        <v>E2-M6-A9</v>
      </c>
      <c r="CV16" t="str">
        <f>CONCATENATE($T16,"-M",$U16,"-A7")</f>
        <v>E2-M6-A7</v>
      </c>
      <c r="CW16" t="str">
        <f>CONCATENATE($T16,"-M",$U16,"-A8")</f>
        <v>E2-M6-A8</v>
      </c>
      <c r="CX16" t="str">
        <f>CONCATENATE($T16,"-M",$U16,"-A6")</f>
        <v>E2-M6-A6</v>
      </c>
      <c r="CY16" t="str">
        <f>CONCATENATE($T16,"-M",$U16,"-A30")</f>
        <v>E2-M6-A30</v>
      </c>
      <c r="CZ16" t="str">
        <f>CONCATENATE($T16,"-M",$U16,"-N")</f>
        <v>E2-M6-N</v>
      </c>
      <c r="DA16" t="str">
        <f>CONCATENATE($T16,"-A220-M",U16)</f>
        <v>E2-A220-M6</v>
      </c>
      <c r="DB16" t="str">
        <f>CONCATENATE($T16,"-M",$U16,"-XM01")</f>
        <v>E2-M6-XM01</v>
      </c>
      <c r="DC16" t="str">
        <f>CONCATENATE($T16,"-M",$U16,"-A1")</f>
        <v>E2-M6-A1</v>
      </c>
      <c r="DD16" t="str">
        <f>CONCATENATE($T16,"-M",$U16,"-A5")</f>
        <v>E2-M6-A5</v>
      </c>
      <c r="DE16" t="str">
        <f>CONCATENATE($T16,"-M",$U16,"-A11")</f>
        <v>E2-M6-A11</v>
      </c>
      <c r="DF16" t="str">
        <f>CONCATENATE($T16,"-M",$U16,"-A12")</f>
        <v>E2-M6-A12</v>
      </c>
      <c r="DG16" t="str">
        <f>CONCATENATE($T16,"-M",$U16,"-A19")</f>
        <v>E2-M6-A19</v>
      </c>
      <c r="DH16" t="str">
        <f>CONCATENATE($T16,"-M",$U16,"-A20")</f>
        <v>E2-M6-A20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6">
        <v>24</v>
      </c>
      <c r="MA16" t="str">
        <f t="shared" si="17"/>
        <v>DI1-B13</v>
      </c>
    </row>
    <row r="17" spans="1:615" x14ac:dyDescent="0.25">
      <c r="A17" s="58" t="s">
        <v>2037</v>
      </c>
      <c r="B17" t="s">
        <v>2014</v>
      </c>
      <c r="P17" t="s">
        <v>1785</v>
      </c>
      <c r="T17" s="14" t="s">
        <v>2041</v>
      </c>
      <c r="U17">
        <v>7</v>
      </c>
      <c r="V17" t="s">
        <v>2066</v>
      </c>
      <c r="W17" t="s">
        <v>2068</v>
      </c>
      <c r="X17" t="s">
        <v>1996</v>
      </c>
      <c r="Y17" s="59">
        <f t="array" ref="Y17">IF(COUNTIFS($X$2:$X17,$X17)=1,"1",VALUE(SUBSTITUTE(INDEX(Y:Y,_xlfn.XMATCH($X17,$X$1:$X16,0,-1)),"A",""))+INDEX(Z:Z,_xlfn.XMATCH($X17,$X$1:$X16,0,-1))+1)</f>
        <v>4</v>
      </c>
      <c r="Z17">
        <f t="array" ref="Z17">SUM(IF(ISNUMBER(FIND("TmAi",$BE$1:$AAQ$1)),IF(IFERROR(ISODD(SUBSTITUTE($BE17:$AAQ17,"A","")),FALSE),IF(ISODD(SUBSTITUTE($BE17:$AAQ17,"A","")),1,0),0)))</f>
        <v>0</v>
      </c>
      <c r="AA17" t="str">
        <f>CONCATENATE($Y17*2-1,"A")</f>
        <v>7A</v>
      </c>
      <c r="AB17" t="str">
        <f>CONCATENATE($Y17*2-1,"B")</f>
        <v>7B</v>
      </c>
      <c r="AC17" t="str">
        <f>IF(AD16+AE16&gt;31,REPLACE(AC16,LEN(AC16),1,VALUE(RIGHT(AC16,1))+1),AC16)</f>
        <v>A5.1</v>
      </c>
      <c r="AD17" s="46">
        <f t="array" ref="AD17">IF(COUNTIFS(AC$2:AC17,AC17)=1,"1",VALUE(SUBSTITUTE(INDEX(AD:AD,_xlfn.XMATCH(AC17,AC$1:AC16,0,-1)),"A",""))+INDEX(AE:AE,_xlfn.XMATCH(AC17,AC$1:AC16,0,-1))+1)</f>
        <v>17</v>
      </c>
      <c r="AE17" s="46">
        <f t="array" ref="AE17">SUM(IF(ISNUMBER(FIND("TmDi",$BE$1:$AAQ$1)),IF(IFERROR(ISNUMBER(VALUE(SUBSTITUTE($BE17:$AAQ17,"B",""))),FALSE),IF(ISNUMBER(VALUE(SUBSTITUTE($BE17:$AAQ17,"B",""))),1,0),0)))</f>
        <v>4</v>
      </c>
      <c r="AF17" t="str">
        <f t="shared" si="9"/>
        <v>C17</v>
      </c>
      <c r="AG17" t="str">
        <f t="shared" si="10"/>
        <v>B17</v>
      </c>
      <c r="AH17" t="str">
        <f t="shared" si="18"/>
        <v>A6.1</v>
      </c>
      <c r="AI17" s="64">
        <f t="array" ref="AI17">IF(COUNTIFS(AH$2:AH17,AH17)=1,"1",VALUE(SUBSTITUTE(INDEX(AI:AI,_xlfn.XMATCH(AH17,AH$1:AH16,0,-1)),"A",""))+INDEX(AJ:AJ,_xlfn.XMATCH(AH17,AH$1:AH16,0,-1))+1)</f>
        <v>13</v>
      </c>
      <c r="AJ17" s="64">
        <f t="array" ref="AJ17">SUM(IF(ISNUMBER(FIND("TmDo",$BE$1:$AAQ$1)),IF(IFERROR(ISNUMBER(VALUE(SUBSTITUTE($BE17:$AAQ17,"B",""))),FALSE),IF(ISNUMBER(VALUE(SUBSTITUTE($BE17:$AAQ17,"B",""))),1,0),0)))</f>
        <v>1</v>
      </c>
      <c r="AK17" t="str">
        <f t="shared" si="11"/>
        <v>13A</v>
      </c>
      <c r="AL17" t="str">
        <f t="shared" si="12"/>
        <v>13B</v>
      </c>
      <c r="AM17" t="s">
        <v>161</v>
      </c>
      <c r="AP17" t="s">
        <v>2043</v>
      </c>
      <c r="AQ17" t="s">
        <v>2061</v>
      </c>
      <c r="AS17" t="s">
        <v>396</v>
      </c>
      <c r="AT17" t="s">
        <v>139</v>
      </c>
      <c r="AU17" t="s">
        <v>140</v>
      </c>
      <c r="GT17" s="25" t="str">
        <f>CONCATENATE("XT",U17)</f>
        <v>XT7</v>
      </c>
      <c r="GU17" s="12" t="str">
        <f>CONCATENATE("C",REPLACE($AF17,1,1,"")+1)</f>
        <v>C18</v>
      </c>
      <c r="GV17" s="12" t="str">
        <f>CONCATENATE("B",REPLACE($AG17,1,1,"")+1)</f>
        <v>B18</v>
      </c>
      <c r="GW17" s="12" t="str">
        <f>CONCATENATE("C",REPLACE(GU17,1,1,"")+1)</f>
        <v>C19</v>
      </c>
      <c r="GX17" s="12" t="str">
        <f>CONCATENATE("B",REPLACE(GV17,1,1,"")+1)</f>
        <v>B19</v>
      </c>
      <c r="GY17" s="12" t="str">
        <f>CONCATENATE("C",REPLACE(GW17,1,1,"")+1)</f>
        <v>C20</v>
      </c>
      <c r="GZ17" s="12" t="str">
        <f>CONCATENATE("B",REPLACE(GX17,1,1,"")+1)</f>
        <v>B20</v>
      </c>
      <c r="HA17" s="12" t="str">
        <f>CONCATENATE("C",REPLACE(GY17,1,1,"")+1)</f>
        <v>C21</v>
      </c>
      <c r="HB17" s="12" t="str">
        <f>CONCATENATE("B",REPLACE(GZ17,1,1,"")+1)</f>
        <v>B21</v>
      </c>
      <c r="HC17" s="12"/>
      <c r="HD17" s="12"/>
      <c r="HE17" s="12" t="str">
        <f>CONCATENATE(REPLACE(AK17,LEN(AK17),1,"")+1,"A")</f>
        <v>14A</v>
      </c>
      <c r="HF17" s="12" t="str">
        <f>CONCATENATE(REPLACE(AL17,LEN(AL17),1,"")+1,"B")</f>
        <v>14B</v>
      </c>
      <c r="HG17" s="12" t="str">
        <f>CONCATENATE("AI",REPLACE($X17,1,3,""),"-",AA17)</f>
        <v>AI2-7A</v>
      </c>
      <c r="HH17" s="12" t="str">
        <f>CONCATENATE("AI",REPLACE($X17,1,3,""),"-",AB17)</f>
        <v>AI2-7B</v>
      </c>
      <c r="HI17" s="12" t="str">
        <f>CONCATENATE("DI",REPLACE($AC17,1,3,""),"-",AF17)</f>
        <v>DI1-C17</v>
      </c>
      <c r="HJ17" s="12" t="str">
        <f>CONCATENATE("DI",REPLACE($AC17,1,3,""),"-",AG17)</f>
        <v>DI1-B17</v>
      </c>
      <c r="HK17" s="12" t="str">
        <f t="shared" ref="HK17:HT18" si="19">CONCATENATE("DI",REPLACE($AC17,1,3,""),"-",GU17)</f>
        <v>DI1-C18</v>
      </c>
      <c r="HL17" s="12" t="str">
        <f t="shared" si="19"/>
        <v>DI1-B18</v>
      </c>
      <c r="HM17" s="12" t="str">
        <f t="shared" si="19"/>
        <v>DI1-C19</v>
      </c>
      <c r="HN17" s="12" t="str">
        <f t="shared" si="19"/>
        <v>DI1-B19</v>
      </c>
      <c r="HO17" s="12" t="str">
        <f t="shared" si="19"/>
        <v>DI1-C20</v>
      </c>
      <c r="HP17" s="12" t="str">
        <f t="shared" si="19"/>
        <v>DI1-B20</v>
      </c>
      <c r="HQ17" s="12" t="str">
        <f t="shared" si="19"/>
        <v>DI1-C21</v>
      </c>
      <c r="HR17" s="12" t="str">
        <f t="shared" si="19"/>
        <v>DI1-B21</v>
      </c>
      <c r="HS17" s="12" t="str">
        <f t="shared" si="19"/>
        <v>DI1-</v>
      </c>
      <c r="HT17" s="12" t="str">
        <f t="shared" si="19"/>
        <v>DI1-</v>
      </c>
      <c r="HU17" s="12" t="str">
        <f>CONCATENATE("DO",REPLACE($AH17,1,3,""),"-",AK17)</f>
        <v>DO1-13A</v>
      </c>
      <c r="HV17" s="12" t="str">
        <f>CONCATENATE("DO",REPLACE($AH17,1,3,""),"-",AL17)</f>
        <v>DO1-13B</v>
      </c>
      <c r="HW17" s="12" t="str">
        <f>CONCATENATE("DO",REPLACE($AH17,1,3,""),"-",HE17)</f>
        <v>DO1-14A</v>
      </c>
      <c r="HX17" s="12" t="str">
        <f>CONCATENATE("DO",REPLACE($AH17,1,3,""),"-",HF17)</f>
        <v>DO1-14B</v>
      </c>
      <c r="HY17" s="12" t="str">
        <f>CONCATENATE("K",$U17,"-01")</f>
        <v>K7-01</v>
      </c>
      <c r="HZ17" s="12" t="str">
        <f>CONCATENATE("K",$U17,"-02")</f>
        <v>K7-02</v>
      </c>
      <c r="IA17" s="12" t="str">
        <f>CONCATENATE("K",$U17,"-03")</f>
        <v>K7-03</v>
      </c>
      <c r="IB17" s="12" t="str">
        <f>CONCATENATE("K",$U17,"-04")</f>
        <v>K7-04</v>
      </c>
      <c r="IC17" s="12" t="str">
        <f>CONCATENATE("K",$U17,"-05")</f>
        <v>K7-05</v>
      </c>
      <c r="ID17" s="12" t="str">
        <f>CONCATENATE("K",$U17,"-06")</f>
        <v>K7-06</v>
      </c>
      <c r="IE17" s="12" t="str">
        <f>CONCATENATE("K",$U17,"-07")</f>
        <v>K7-07</v>
      </c>
      <c r="IF17" s="12" t="str">
        <f>CONCATENATE("K",$U17,"-08")</f>
        <v>K7-08</v>
      </c>
      <c r="IG17" s="12" t="str">
        <f>CONCATENATE($T17,"-M",$U17,"-AMS-12")</f>
        <v>E2-M7-AMS-12</v>
      </c>
      <c r="IH17" s="12" t="str">
        <f>CONCATENATE($T17,"-M",$U17,"-AMS-10")</f>
        <v>E2-M7-AMS-10</v>
      </c>
      <c r="II17" s="12" t="str">
        <f>CONCATENATE($T17,"-M",$U17,"-AMS-11")</f>
        <v>E2-M7-AMS-11</v>
      </c>
      <c r="IJ17" s="12" t="str">
        <f>CONCATENATE($T17,"-M",$U17,"-AMS-13")</f>
        <v>E2-M7-AMS-13</v>
      </c>
      <c r="IK17" s="12" t="str">
        <f>CONCATENATE($T17,"-M",$U17,"-AMS-9")</f>
        <v>E2-M7-AMS-9</v>
      </c>
      <c r="IL17" s="12" t="str">
        <f>CONCATENATE($T17,"-M",$U17,"-AMS-7")</f>
        <v>E2-M7-AMS-7</v>
      </c>
      <c r="IM17" s="12" t="str">
        <f>CONCATENATE($T17,"-M",$U17,"-AMS-18")</f>
        <v>E2-M7-AMS-18</v>
      </c>
      <c r="IN17" s="12" t="str">
        <f>CONCATENATE($T17,"-M",$U17,"-AMS-20")</f>
        <v>E2-M7-AMS-20</v>
      </c>
      <c r="IO17" s="12" t="str">
        <f>CONCATENATE($T17,"-M",$U17,"-AMS-17")</f>
        <v>E2-M7-AMS-17</v>
      </c>
      <c r="IP17" s="12" t="str">
        <f>CONCATENATE($T17,"-+24-M",$U17,)</f>
        <v>E2-+24-M7</v>
      </c>
      <c r="IQ17" s="12" t="str">
        <f>CONCATENATE($T17,"-M",$U17,"-XM01")</f>
        <v>E2-M7-XM01</v>
      </c>
      <c r="IR17" s="12" t="s">
        <v>142</v>
      </c>
      <c r="IS17" s="12" t="s">
        <v>143</v>
      </c>
      <c r="IT17" s="12">
        <v>11</v>
      </c>
      <c r="IU17" s="12">
        <v>14</v>
      </c>
      <c r="IV17" s="12" t="s">
        <v>413</v>
      </c>
      <c r="IW17" s="12" t="s">
        <v>414</v>
      </c>
      <c r="IX17" s="12">
        <v>1</v>
      </c>
      <c r="IY17" s="12">
        <v>2</v>
      </c>
      <c r="IZ17" s="12">
        <v>3</v>
      </c>
      <c r="JA17" s="12">
        <v>4</v>
      </c>
      <c r="JB17" s="12">
        <v>5</v>
      </c>
      <c r="JC17" s="12">
        <v>6</v>
      </c>
      <c r="JD17" s="12">
        <v>7</v>
      </c>
      <c r="JE17" s="12">
        <v>8</v>
      </c>
      <c r="JF17" s="12">
        <v>9</v>
      </c>
      <c r="JG17" s="12">
        <v>10</v>
      </c>
      <c r="JH17" s="12">
        <v>11</v>
      </c>
      <c r="JI17" s="12">
        <v>12</v>
      </c>
      <c r="JJ17" s="12">
        <v>13</v>
      </c>
      <c r="JK17" s="12">
        <v>14</v>
      </c>
      <c r="JL17" s="12">
        <v>17</v>
      </c>
      <c r="JM17" s="12">
        <v>15</v>
      </c>
      <c r="JN17" s="12">
        <v>18</v>
      </c>
      <c r="JO17" s="12">
        <v>11</v>
      </c>
      <c r="JP17" s="12">
        <v>9</v>
      </c>
      <c r="JQ17" s="12">
        <v>6</v>
      </c>
      <c r="JR17" s="12">
        <v>20</v>
      </c>
      <c r="JS17" s="12">
        <v>7</v>
      </c>
      <c r="JT17" s="12">
        <v>10</v>
      </c>
      <c r="JU17" s="12">
        <v>22</v>
      </c>
      <c r="JV17" s="12">
        <v>23</v>
      </c>
      <c r="JW17" s="12">
        <v>26</v>
      </c>
      <c r="JX17" s="12">
        <v>27</v>
      </c>
      <c r="JY17" s="13">
        <v>30</v>
      </c>
      <c r="MA17" t="str">
        <f t="shared" si="17"/>
        <v>DI1-B17</v>
      </c>
    </row>
    <row r="18" spans="1:615" ht="15.75" thickBot="1" x14ac:dyDescent="0.3">
      <c r="A18" s="58" t="s">
        <v>2036</v>
      </c>
      <c r="B18" t="s">
        <v>2015</v>
      </c>
      <c r="P18" t="s">
        <v>1785</v>
      </c>
      <c r="T18" s="14" t="s">
        <v>2041</v>
      </c>
      <c r="U18">
        <v>8</v>
      </c>
      <c r="V18" t="s">
        <v>2069</v>
      </c>
      <c r="W18" t="s">
        <v>2067</v>
      </c>
      <c r="X18" t="str">
        <f>IF(COUNTIF(X$2:X17,X17)&gt;7,REPLACE(X17,LEN(X17),1,VALUE(RIGHT(X17,1))+1),X17)</f>
        <v>A3.2</v>
      </c>
      <c r="Y18" s="59">
        <f t="array" ref="Y18">IF(COUNTIFS($X$2:$X18,$X18)=1,"1",VALUE(SUBSTITUTE(INDEX(Y:Y,_xlfn.XMATCH($X18,$X$1:$X17,0,-1)),"A",""))+INDEX(Z:Z,_xlfn.XMATCH($X18,$X$1:$X17,0,-1))+1)</f>
        <v>5</v>
      </c>
      <c r="Z18">
        <f t="array" ref="Z18">SUM(IF(ISNUMBER(FIND("TmAi",$BE$1:$AAQ$1)),IF(IFERROR(ISODD(SUBSTITUTE($BE18:$AAQ18,"A","")),FALSE),IF(ISODD(SUBSTITUTE($BE18:$AAQ18,"A","")),1,0),0)))</f>
        <v>0</v>
      </c>
      <c r="AA18" t="str">
        <f>CONCATENATE($Y18*2-1,"A")</f>
        <v>9A</v>
      </c>
      <c r="AB18" t="str">
        <f>CONCATENATE($Y18*2-1,"B")</f>
        <v>9B</v>
      </c>
      <c r="AC18" t="str">
        <f t="shared" ref="AC18:AC26" si="20">IF(AD17+AE17&gt;31,REPLACE(AC17,LEN(AC17),1,VALUE(RIGHT(AC17,1))+1),AC17)</f>
        <v>A5.1</v>
      </c>
      <c r="AD18" s="46">
        <f t="array" ref="AD18">IF(COUNTIFS(AC$2:AC18,AC18)=1,"1",VALUE(SUBSTITUTE(INDEX(AD:AD,_xlfn.XMATCH(AC18,AC$1:AC17,0,-1)),"A",""))+INDEX(AE:AE,_xlfn.XMATCH(AC18,AC$1:AC17,0,-1))+1)</f>
        <v>22</v>
      </c>
      <c r="AE18" s="46">
        <f t="array" ref="AE18">SUM(IF(ISNUMBER(FIND("TmDi",$BE$1:$AAQ$1)),IF(IFERROR(ISNUMBER(VALUE(SUBSTITUTE($BE18:$AAQ18,"B",""))),FALSE),IF(ISNUMBER(VALUE(SUBSTITUTE($BE18:$AAQ18,"B",""))),1,0),0)))</f>
        <v>4</v>
      </c>
      <c r="AF18" t="str">
        <f t="shared" si="9"/>
        <v>C22</v>
      </c>
      <c r="AG18" t="str">
        <f t="shared" si="10"/>
        <v>B22</v>
      </c>
      <c r="AH18" t="str">
        <f t="shared" si="18"/>
        <v>A6.1</v>
      </c>
      <c r="AI18" s="64">
        <f t="array" ref="AI18">IF(COUNTIFS(AH$2:AH18,AH18)=1,"1",VALUE(SUBSTITUTE(INDEX(AI:AI,_xlfn.XMATCH(AH18,AH$1:AH17,0,-1)),"A",""))+INDEX(AJ:AJ,_xlfn.XMATCH(AH18,AH$1:AH17,0,-1))+1)</f>
        <v>15</v>
      </c>
      <c r="AJ18" s="64">
        <f t="array" ref="AJ18">SUM(IF(ISNUMBER(FIND("TmDo",$BE$1:$AAQ$1)),IF(IFERROR(ISNUMBER(VALUE(SUBSTITUTE($BE18:$AAQ18,"B",""))),FALSE),IF(ISNUMBER(VALUE(SUBSTITUTE($BE18:$AAQ18,"B",""))),1,0),0)))</f>
        <v>1</v>
      </c>
      <c r="AK18" t="str">
        <f t="shared" si="11"/>
        <v>15A</v>
      </c>
      <c r="AL18" t="str">
        <f t="shared" si="12"/>
        <v>15B</v>
      </c>
      <c r="AM18" t="s">
        <v>163</v>
      </c>
      <c r="AP18" t="s">
        <v>2043</v>
      </c>
      <c r="AQ18" t="s">
        <v>2061</v>
      </c>
      <c r="AS18" t="s">
        <v>396</v>
      </c>
      <c r="AT18" t="s">
        <v>139</v>
      </c>
      <c r="AU18" t="s">
        <v>140</v>
      </c>
      <c r="GT18" s="28" t="str">
        <f>CONCATENATE("XT",U18)</f>
        <v>XT8</v>
      </c>
      <c r="GU18" s="19" t="str">
        <f>CONCATENATE("C",REPLACE(AF18,1,1,"")+1)</f>
        <v>C23</v>
      </c>
      <c r="GV18" s="19" t="str">
        <f>CONCATENATE("B",REPLACE(AG18,1,1,"")+1)</f>
        <v>B23</v>
      </c>
      <c r="GW18" s="19" t="str">
        <f>CONCATENATE("C",REPLACE(GU18,1,1,"")+1)</f>
        <v>C24</v>
      </c>
      <c r="GX18" s="19" t="str">
        <f>CONCATENATE("B",REPLACE(GV18,1,1,"")+1)</f>
        <v>B24</v>
      </c>
      <c r="GY18" s="19" t="str">
        <f>CONCATENATE("C",REPLACE(GW18,1,1,"")+1)</f>
        <v>C25</v>
      </c>
      <c r="GZ18" s="19" t="str">
        <f>CONCATENATE("B",REPLACE(GX18,1,1,"")+1)</f>
        <v>B25</v>
      </c>
      <c r="HA18" s="19" t="str">
        <f>CONCATENATE("C",REPLACE(GY18,1,1,"")+1)</f>
        <v>C26</v>
      </c>
      <c r="HB18" s="19" t="str">
        <f>CONCATENATE("B",REPLACE(GZ18,1,1,"")+1)</f>
        <v>B26</v>
      </c>
      <c r="HC18" s="19"/>
      <c r="HD18" s="19"/>
      <c r="HE18" s="19" t="str">
        <f>CONCATENATE(REPLACE(AK18,LEN(AK18),1,"")+1,"A")</f>
        <v>16A</v>
      </c>
      <c r="HF18" s="19" t="str">
        <f>CONCATENATE(REPLACE(AL18,LEN(AL18),1,"")+1,"B")</f>
        <v>16B</v>
      </c>
      <c r="HG18" s="19" t="str">
        <f>CONCATENATE("AI",REPLACE($X18,1,3,""),"-",AA18)</f>
        <v>AI2-9A</v>
      </c>
      <c r="HH18" s="19" t="str">
        <f>CONCATENATE("AI",REPLACE($X18,1,3,""),"-",AB18)</f>
        <v>AI2-9B</v>
      </c>
      <c r="HI18" s="19" t="str">
        <f>CONCATENATE("DI",REPLACE($AC18,1,3,""),"-",AF18)</f>
        <v>DI1-C22</v>
      </c>
      <c r="HJ18" s="19" t="str">
        <f>CONCATENATE("DI",REPLACE($AC18,1,3,""),"-",AG18)</f>
        <v>DI1-B22</v>
      </c>
      <c r="HK18" s="19" t="str">
        <f t="shared" si="19"/>
        <v>DI1-C23</v>
      </c>
      <c r="HL18" s="19" t="str">
        <f t="shared" si="19"/>
        <v>DI1-B23</v>
      </c>
      <c r="HM18" s="19" t="str">
        <f t="shared" si="19"/>
        <v>DI1-C24</v>
      </c>
      <c r="HN18" s="19" t="str">
        <f t="shared" si="19"/>
        <v>DI1-B24</v>
      </c>
      <c r="HO18" s="19" t="str">
        <f t="shared" si="19"/>
        <v>DI1-C25</v>
      </c>
      <c r="HP18" s="19" t="str">
        <f t="shared" si="19"/>
        <v>DI1-B25</v>
      </c>
      <c r="HQ18" s="19" t="str">
        <f t="shared" si="19"/>
        <v>DI1-C26</v>
      </c>
      <c r="HR18" s="19" t="str">
        <f t="shared" si="19"/>
        <v>DI1-B26</v>
      </c>
      <c r="HS18" s="19" t="str">
        <f t="shared" si="19"/>
        <v>DI1-</v>
      </c>
      <c r="HT18" s="19" t="str">
        <f t="shared" si="19"/>
        <v>DI1-</v>
      </c>
      <c r="HU18" s="19" t="str">
        <f>CONCATENATE("DO",REPLACE($AH18,1,3,""),"-",AK18)</f>
        <v>DO1-15A</v>
      </c>
      <c r="HV18" s="19" t="str">
        <f>CONCATENATE("DO",REPLACE($AH18,1,3,""),"-",AL18)</f>
        <v>DO1-15B</v>
      </c>
      <c r="HW18" s="19" t="str">
        <f>CONCATENATE("DO",REPLACE($AH18,1,3,""),"-",HE18)</f>
        <v>DO1-16A</v>
      </c>
      <c r="HX18" s="19" t="str">
        <f>CONCATENATE("DO",REPLACE($AH18,1,3,""),"-",HF18)</f>
        <v>DO1-16B</v>
      </c>
      <c r="HY18" s="19" t="str">
        <f>CONCATENATE("K",$U18,"-01")</f>
        <v>K8-01</v>
      </c>
      <c r="HZ18" s="19" t="str">
        <f>CONCATENATE("K",$U18,"-02")</f>
        <v>K8-02</v>
      </c>
      <c r="IA18" s="19" t="str">
        <f>CONCATENATE("K",$U18,"-03")</f>
        <v>K8-03</v>
      </c>
      <c r="IB18" s="19" t="str">
        <f>CONCATENATE("K",$U18,"-04")</f>
        <v>K8-04</v>
      </c>
      <c r="IC18" s="19" t="str">
        <f>CONCATENATE("K",$U18,"-05")</f>
        <v>K8-05</v>
      </c>
      <c r="ID18" s="19" t="str">
        <f>CONCATENATE("K",$U18,"-06")</f>
        <v>K8-06</v>
      </c>
      <c r="IE18" s="19" t="str">
        <f>CONCATENATE("K",$U18,"-07")</f>
        <v>K8-07</v>
      </c>
      <c r="IF18" s="19" t="str">
        <f>CONCATENATE("K",$U18,"-08")</f>
        <v>K8-08</v>
      </c>
      <c r="IG18" s="19" t="str">
        <f>CONCATENATE($T18,"-M",$U18,"-AMS-12")</f>
        <v>E2-M8-AMS-12</v>
      </c>
      <c r="IH18" s="19" t="str">
        <f>CONCATENATE($T18,"-M",$U18,"-AMS-10")</f>
        <v>E2-M8-AMS-10</v>
      </c>
      <c r="II18" s="19" t="str">
        <f>CONCATENATE($T18,"-M",$U18,"-AMS-11")</f>
        <v>E2-M8-AMS-11</v>
      </c>
      <c r="IJ18" s="19" t="str">
        <f>CONCATENATE($T18,"-M",$U18,"-AMS-13")</f>
        <v>E2-M8-AMS-13</v>
      </c>
      <c r="IK18" s="19" t="str">
        <f>CONCATENATE($T18,"-M",$U18,"-AMS-9")</f>
        <v>E2-M8-AMS-9</v>
      </c>
      <c r="IL18" s="19" t="str">
        <f>CONCATENATE($T18,"-M",$U18,"-AMS-7")</f>
        <v>E2-M8-AMS-7</v>
      </c>
      <c r="IM18" s="19" t="str">
        <f>CONCATENATE($T18,"-M",$U18,"-AMS-18")</f>
        <v>E2-M8-AMS-18</v>
      </c>
      <c r="IN18" s="19" t="str">
        <f>CONCATENATE($T18,"-M",$U18,"-AMS-20")</f>
        <v>E2-M8-AMS-20</v>
      </c>
      <c r="IO18" s="19" t="str">
        <f>CONCATENATE($T18,"-M",$U18,"-AMS-17")</f>
        <v>E2-M8-AMS-17</v>
      </c>
      <c r="IP18" s="19" t="str">
        <f>CONCATENATE($T18,"-+24-M",$U18,)</f>
        <v>E2-+24-M8</v>
      </c>
      <c r="IQ18" s="19" t="str">
        <f>CONCATENATE($T18,"-M",$U18,"-XM01")</f>
        <v>E2-M8-XM01</v>
      </c>
      <c r="IR18" s="19" t="s">
        <v>142</v>
      </c>
      <c r="IS18" s="19" t="s">
        <v>143</v>
      </c>
      <c r="IT18" s="19">
        <v>11</v>
      </c>
      <c r="IU18" s="19">
        <v>14</v>
      </c>
      <c r="IV18" s="19" t="s">
        <v>413</v>
      </c>
      <c r="IW18" s="19" t="s">
        <v>414</v>
      </c>
      <c r="IX18" s="19">
        <v>1</v>
      </c>
      <c r="IY18" s="19">
        <v>2</v>
      </c>
      <c r="IZ18" s="19">
        <v>3</v>
      </c>
      <c r="JA18" s="19">
        <v>4</v>
      </c>
      <c r="JB18" s="19">
        <v>5</v>
      </c>
      <c r="JC18" s="19">
        <v>6</v>
      </c>
      <c r="JD18" s="19">
        <v>7</v>
      </c>
      <c r="JE18" s="19">
        <v>8</v>
      </c>
      <c r="JF18" s="19">
        <v>9</v>
      </c>
      <c r="JG18" s="19">
        <v>10</v>
      </c>
      <c r="JH18" s="19">
        <v>11</v>
      </c>
      <c r="JI18" s="19">
        <v>12</v>
      </c>
      <c r="JJ18" s="19">
        <v>13</v>
      </c>
      <c r="JK18" s="19">
        <v>14</v>
      </c>
      <c r="JL18" s="19">
        <v>17</v>
      </c>
      <c r="JM18" s="19">
        <v>15</v>
      </c>
      <c r="JN18" s="19">
        <v>18</v>
      </c>
      <c r="JO18" s="19">
        <v>11</v>
      </c>
      <c r="JP18" s="19">
        <v>9</v>
      </c>
      <c r="JQ18" s="19">
        <v>6</v>
      </c>
      <c r="JR18" s="19">
        <v>20</v>
      </c>
      <c r="JS18" s="19">
        <v>7</v>
      </c>
      <c r="JT18" s="19">
        <v>10</v>
      </c>
      <c r="JU18" s="19">
        <v>22</v>
      </c>
      <c r="JV18" s="19">
        <v>23</v>
      </c>
      <c r="JW18" s="19">
        <v>26</v>
      </c>
      <c r="JX18" s="19">
        <v>27</v>
      </c>
      <c r="JY18" s="20">
        <v>30</v>
      </c>
      <c r="MA18" t="str">
        <f t="shared" si="17"/>
        <v>DI1-B22</v>
      </c>
    </row>
    <row r="19" spans="1:615" x14ac:dyDescent="0.25">
      <c r="A19" s="58" t="s">
        <v>2027</v>
      </c>
      <c r="B19" t="s">
        <v>2024</v>
      </c>
      <c r="P19" t="s">
        <v>2064</v>
      </c>
      <c r="Q19" s="1"/>
      <c r="S19" s="1" t="s">
        <v>130</v>
      </c>
      <c r="T19" s="14" t="s">
        <v>2041</v>
      </c>
      <c r="U19" s="57">
        <v>9</v>
      </c>
      <c r="V19" s="15" t="s">
        <v>2070</v>
      </c>
      <c r="W19" s="15"/>
      <c r="AC19" t="s">
        <v>261</v>
      </c>
      <c r="AD19" s="46" t="str">
        <f t="array" ref="AD19">IF(COUNTIFS(AC$2:AC19,AC19)=1,"1",VALUE(SUBSTITUTE(INDEX(AD:AD,_xlfn.XMATCH(AC19,AC$1:AC18,0,-1)),"A",""))+INDEX(AE:AE,_xlfn.XMATCH(AC19,AC$1:AC18,0,-1))+1)</f>
        <v>1</v>
      </c>
      <c r="AE19" s="46">
        <f t="array" ref="AE19">SUM(IF(ISNUMBER(FIND("TmDi",$BE$1:$AAQ$1)),IF(IFERROR(ISNUMBER(VALUE(SUBSTITUTE($BE19:$AAQ19,"B",""))),FALSE),IF(ISNUMBER(VALUE(SUBSTITUTE($BE19:$AAQ19,"B",""))),1,0),0)))</f>
        <v>5</v>
      </c>
      <c r="AF19" t="str">
        <f t="shared" si="9"/>
        <v>C1</v>
      </c>
      <c r="AG19" t="str">
        <f t="shared" si="10"/>
        <v>B1</v>
      </c>
      <c r="AH19" t="str">
        <f t="shared" si="18"/>
        <v>A6.1</v>
      </c>
      <c r="AI19" s="64">
        <f t="array" ref="AI19">IF(COUNTIFS(AH$2:AH19,AH19)=1,"1",VALUE(SUBSTITUTE(INDEX(AI:AI,_xlfn.XMATCH(AH19,AH$1:AH18,0,-1)),"A",""))+INDEX(AJ:AJ,_xlfn.XMATCH(AH19,AH$1:AH18,0,-1))+1)</f>
        <v>17</v>
      </c>
      <c r="AJ19" s="64">
        <f t="array" ref="AJ19">SUM(IF(ISNUMBER(FIND("TmDo",$BE$1:$AAQ$1)),IF(IFERROR(ISNUMBER(VALUE(SUBSTITUTE($BE19:$AAQ19,"B",""))),FALSE),IF(ISNUMBER(VALUE(SUBSTITUTE($BE19:$AAQ19,"B",""))),1,0),0)))</f>
        <v>2</v>
      </c>
      <c r="AK19" t="str">
        <f t="shared" si="11"/>
        <v>17A</v>
      </c>
      <c r="AL19" t="str">
        <f t="shared" si="12"/>
        <v>17B</v>
      </c>
      <c r="AM19" t="s">
        <v>166</v>
      </c>
      <c r="AP19" t="s">
        <v>2043</v>
      </c>
      <c r="AQ19" t="s">
        <v>2061</v>
      </c>
      <c r="AT19" t="s">
        <v>139</v>
      </c>
      <c r="AU19" t="s">
        <v>140</v>
      </c>
      <c r="BD19" s="16"/>
      <c r="BE19" t="str">
        <f t="shared" ref="BE19:BE25" si="21">CONCATENATE("XT",U19)</f>
        <v>XT9</v>
      </c>
      <c r="BF19" t="str">
        <f t="shared" ref="BF19:BF25" si="22">CONCATENATE("C",REPLACE(AF19,1,1,"")+1)</f>
        <v>C2</v>
      </c>
      <c r="BG19" t="str">
        <f t="shared" ref="BG19:BG25" si="23">CONCATENATE("B",REPLACE(AG19,1,1,"")+1)</f>
        <v>B2</v>
      </c>
      <c r="BH19" t="str">
        <f t="shared" ref="BH19:BH25" si="24">CONCATENATE("C",REPLACE(BF19,1,1,"")+1)</f>
        <v>C3</v>
      </c>
      <c r="BI19" t="str">
        <f t="shared" ref="BI19:BI25" si="25">CONCATENATE("B",REPLACE(BG19,1,1,"")+1)</f>
        <v>B3</v>
      </c>
      <c r="BJ19" t="str">
        <f t="shared" ref="BJ19:BJ25" si="26">CONCATENATE("C",REPLACE(BH19,1,1,"")+1)</f>
        <v>C4</v>
      </c>
      <c r="BK19" t="str">
        <f t="shared" ref="BK19:BK25" si="27">CONCATENATE("B",REPLACE(BI19,1,1,"")+1)</f>
        <v>B4</v>
      </c>
      <c r="BL19" t="str">
        <f>CONCATENATE("C",REPLACE(BJ19,1,1,"")+1)</f>
        <v>C5</v>
      </c>
      <c r="BM19" t="str">
        <f>CONCATENATE("B",REPLACE(BK19,1,1,"")+1)</f>
        <v>B5</v>
      </c>
      <c r="BN19" t="str">
        <f>CONCATENATE("C",REPLACE(BL19,1,1,"")+1)</f>
        <v>C6</v>
      </c>
      <c r="BO19" t="str">
        <f>CONCATENATE("B",REPLACE(BM19,1,1,"")+1)</f>
        <v>B6</v>
      </c>
      <c r="BP19" t="str">
        <f t="shared" ref="BP19:BP25" si="28">CONCATENATE(REPLACE(AK19,LEN(AK19),1,"")+1,"A")</f>
        <v>18A</v>
      </c>
      <c r="BQ19" t="str">
        <f t="shared" ref="BQ19:BQ25" si="29">CONCATENATE(REPLACE(AL19,LEN(AL19),1,"")+1,"B")</f>
        <v>18B</v>
      </c>
      <c r="BR19" t="str">
        <f t="shared" ref="BR19:BR25" si="30">CONCATENATE(REPLACE(BP19,LEN(BP19),1,"")+1,"A")</f>
        <v>19A</v>
      </c>
      <c r="BS19" t="str">
        <f t="shared" ref="BS19:BS25" si="31">CONCATENATE(REPLACE(BQ19,LEN(BQ19),1,"")+1,"B")</f>
        <v>19B</v>
      </c>
      <c r="BT19" t="str">
        <f t="shared" ref="BT19:BU25" si="32">CONCATENATE("DI",REPLACE($AC19,1,3,""),"-",AF19)</f>
        <v>DI2-C1</v>
      </c>
      <c r="BU19" t="str">
        <f t="shared" si="32"/>
        <v>DI2-B1</v>
      </c>
      <c r="BV19" t="str">
        <f t="shared" ref="BV19:CE25" si="33">CONCATENATE("DI",REPLACE($AC19,1,3,""),"-",BF19)</f>
        <v>DI2-C2</v>
      </c>
      <c r="BW19" t="str">
        <f t="shared" si="33"/>
        <v>DI2-B2</v>
      </c>
      <c r="BX19" t="str">
        <f t="shared" si="33"/>
        <v>DI2-C3</v>
      </c>
      <c r="BY19" t="str">
        <f t="shared" si="33"/>
        <v>DI2-B3</v>
      </c>
      <c r="BZ19" t="str">
        <f t="shared" si="33"/>
        <v>DI2-C4</v>
      </c>
      <c r="CA19" t="str">
        <f t="shared" si="33"/>
        <v>DI2-B4</v>
      </c>
      <c r="CB19" t="str">
        <f t="shared" si="33"/>
        <v>DI2-C5</v>
      </c>
      <c r="CC19" t="str">
        <f t="shared" si="33"/>
        <v>DI2-B5</v>
      </c>
      <c r="CD19" t="str">
        <f t="shared" si="33"/>
        <v>DI2-C6</v>
      </c>
      <c r="CE19" t="str">
        <f t="shared" si="33"/>
        <v>DI2-B6</v>
      </c>
      <c r="CF19" t="str">
        <f t="shared" ref="CF19:CG25" si="34">CONCATENATE("DO",REPLACE($AH19,1,3,""),"-",AK19)</f>
        <v>DO1-17A</v>
      </c>
      <c r="CG19" t="str">
        <f t="shared" si="34"/>
        <v>DO1-17B</v>
      </c>
      <c r="CH19" t="str">
        <f t="shared" ref="CH19:CK25" si="35">CONCATENATE("DO",REPLACE($AH19,1,3,""),"-",BP19)</f>
        <v>DO1-18A</v>
      </c>
      <c r="CI19" t="str">
        <f t="shared" si="35"/>
        <v>DO1-18B</v>
      </c>
      <c r="CJ19" t="str">
        <f t="shared" si="35"/>
        <v>DO1-19A</v>
      </c>
      <c r="CK19" t="str">
        <f t="shared" si="35"/>
        <v>DO1-19B</v>
      </c>
      <c r="CL19" t="str">
        <f>CONCATENATE("K",$U19,"-01")</f>
        <v>K9-01</v>
      </c>
      <c r="CM19" t="str">
        <f>CONCATENATE("K",$U19,"-02")</f>
        <v>K9-02</v>
      </c>
      <c r="CN19" t="str">
        <f>CONCATENATE("K",$U19,"-05")</f>
        <v>K9-05</v>
      </c>
      <c r="CO19" t="str">
        <f>CONCATENATE("K",$U19,"-06")</f>
        <v>K9-06</v>
      </c>
      <c r="CP19" t="str">
        <f>CONCATENATE("K",$U19,"-07")</f>
        <v>K9-07</v>
      </c>
      <c r="CQ19" t="str">
        <f>CONCATENATE("K",$U19,"-11")</f>
        <v>K9-11</v>
      </c>
      <c r="CR19" t="str">
        <f>CONCATENATE("K",$U19,"-10")</f>
        <v>K9-10</v>
      </c>
      <c r="CS19" t="str">
        <f>CONCATENATE("K",$U19,"-03")</f>
        <v>K9-03</v>
      </c>
      <c r="CT19" t="str">
        <f>CONCATENATE("K",$U19,"-04")</f>
        <v>K9-04</v>
      </c>
      <c r="CU19" t="str">
        <f t="shared" ref="CU19:CU25" si="36">CONCATENATE($T19,"-M",$U19,"-A9")</f>
        <v>E2-M9-A9</v>
      </c>
      <c r="CV19" t="str">
        <f>CONCATENATE($T19,"-M",$U19,"-A8")</f>
        <v>E2-M9-A8</v>
      </c>
      <c r="CW19" t="str">
        <f>CONCATENATE($T19,"-M",$U19,"-A7")</f>
        <v>E2-M9-A7</v>
      </c>
      <c r="CX19" t="str">
        <f t="shared" ref="CX19:CX25" si="37">CONCATENATE($T19,"-M",$U19,"-A6")</f>
        <v>E2-M9-A6</v>
      </c>
      <c r="CY19" t="str">
        <f t="shared" ref="CY19:CY25" si="38">CONCATENATE($T19,"-M",$U19,"-A30")</f>
        <v>E2-M9-A30</v>
      </c>
      <c r="CZ19" t="str">
        <f>CONCATENATE($T19,"-M",$U19,"-N")</f>
        <v>E2-M9-N</v>
      </c>
      <c r="DA19" t="str">
        <f t="shared" ref="DA19:DA25" si="39">CONCATENATE($T19,"-A220-M",U19)</f>
        <v>E2-A220-M9</v>
      </c>
      <c r="DB19" t="str">
        <f t="shared" ref="DB19:DB25" si="40">CONCATENATE($T19,"-M",$U19,"-XM01")</f>
        <v>E2-M9-XM01</v>
      </c>
      <c r="DC19" t="str">
        <f t="shared" ref="DC19:DC25" si="41">CONCATENATE($T19,"-M",$U19,"-A1")</f>
        <v>E2-M9-A1</v>
      </c>
      <c r="DD19" t="str">
        <f t="shared" ref="DD19:DD25" si="42">CONCATENATE($T19,"-M",$U19,"-A5")</f>
        <v>E2-M9-A5</v>
      </c>
      <c r="DE19" t="str">
        <f t="shared" ref="DE19:DE25" si="43">CONCATENATE($T19,"-M",$U19,"-A11")</f>
        <v>E2-M9-A11</v>
      </c>
      <c r="DF19" t="str">
        <f t="shared" ref="DF19:DF25" si="44">CONCATENATE($T19,"-M",$U19,"-A12")</f>
        <v>E2-M9-A12</v>
      </c>
      <c r="DG19" t="str">
        <f t="shared" ref="DG19:DG25" si="45">CONCATENATE($T19,"-M",$U19,"-A19")</f>
        <v>E2-M9-A19</v>
      </c>
      <c r="DH19" t="str">
        <f t="shared" ref="DH19:DH25" si="46">CONCATENATE($T19,"-M",$U19,"-A20")</f>
        <v>E2-M9-A20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  <c r="MA19" t="str">
        <f t="shared" si="17"/>
        <v>DI2-B1</v>
      </c>
    </row>
    <row r="20" spans="1:615" x14ac:dyDescent="0.25">
      <c r="A20" s="58" t="s">
        <v>2030</v>
      </c>
      <c r="B20" s="61" t="s">
        <v>2021</v>
      </c>
      <c r="P20" t="s">
        <v>2178</v>
      </c>
      <c r="T20" s="14" t="s">
        <v>2041</v>
      </c>
      <c r="U20">
        <v>10</v>
      </c>
      <c r="V20" t="s">
        <v>2085</v>
      </c>
      <c r="AC20" t="str">
        <f t="shared" si="20"/>
        <v>A5.2</v>
      </c>
      <c r="AD20" s="46">
        <f t="array" ref="AD20">IF(COUNTIFS(AC$2:AC20,AC20)=1,"1",VALUE(SUBSTITUTE(INDEX(AD:AD,_xlfn.XMATCH(AC20,AC$1:AC19,0,-1)),"A",""))+INDEX(AE:AE,_xlfn.XMATCH(AC20,AC$1:AC19,0,-1))+1)</f>
        <v>7</v>
      </c>
      <c r="AE20" s="46">
        <f t="array" ref="AE20">SUM(IF(ISNUMBER(FIND("TmDi",$BE$1:$AAQ$1)),IF(IFERROR(ISNUMBER(VALUE(SUBSTITUTE($BE20:$AAQ20,"B",""))),FALSE),IF(ISNUMBER(VALUE(SUBSTITUTE($BE20:$AAQ20,"B",""))),1,0),0)))</f>
        <v>4</v>
      </c>
      <c r="AF20" t="str">
        <f t="shared" ref="AF20:AF28" si="47">CONCATENATE("C",$AD20)</f>
        <v>C7</v>
      </c>
      <c r="AG20" t="str">
        <f t="shared" ref="AG20:AG28" si="48">CONCATENATE("B",$AD20)</f>
        <v>B7</v>
      </c>
      <c r="AH20" t="str">
        <f t="shared" si="18"/>
        <v>A6.1</v>
      </c>
      <c r="AI20" s="64">
        <f t="array" ref="AI20">IF(COUNTIFS(AH$2:AH20,AH20)=1,"1",VALUE(SUBSTITUTE(INDEX(AI:AI,_xlfn.XMATCH(AH20,AH$1:AH19,0,-1)),"A",""))+INDEX(AJ:AJ,_xlfn.XMATCH(AH20,AH$1:AH19,0,-1))+1)</f>
        <v>20</v>
      </c>
      <c r="AJ20" s="64">
        <f t="array" ref="AJ20">SUM(IF(ISNUMBER(FIND("TmDo",$BE$1:$AAQ$1)),IF(IFERROR(ISNUMBER(VALUE(SUBSTITUTE($BE20:$AAQ20,"B",""))),FALSE),IF(ISNUMBER(VALUE(SUBSTITUTE($BE20:$AAQ20,"B",""))),1,0),0)))</f>
        <v>2</v>
      </c>
      <c r="AK20" t="str">
        <f t="shared" si="11"/>
        <v>20A</v>
      </c>
      <c r="AL20" t="str">
        <f t="shared" si="12"/>
        <v>20B</v>
      </c>
      <c r="AM20" t="s">
        <v>169</v>
      </c>
      <c r="AP20" t="s">
        <v>2043</v>
      </c>
      <c r="AQ20" t="s">
        <v>2061</v>
      </c>
      <c r="AT20" t="s">
        <v>139</v>
      </c>
      <c r="AU20" t="s">
        <v>140</v>
      </c>
      <c r="BE20" t="str">
        <f t="shared" si="21"/>
        <v>XT10</v>
      </c>
      <c r="BF20" t="str">
        <f t="shared" si="22"/>
        <v>C8</v>
      </c>
      <c r="BG20" t="str">
        <f t="shared" si="23"/>
        <v>B8</v>
      </c>
      <c r="BH20" t="str">
        <f t="shared" si="24"/>
        <v>C9</v>
      </c>
      <c r="BI20" t="str">
        <f t="shared" si="25"/>
        <v>B9</v>
      </c>
      <c r="BJ20" t="str">
        <f t="shared" si="26"/>
        <v>C10</v>
      </c>
      <c r="BK20" t="str">
        <f t="shared" si="27"/>
        <v>B10</v>
      </c>
      <c r="BL20" t="str">
        <f>CONCATENATE("C",REPLACE(BJ20,1,1,"")+1)</f>
        <v>C11</v>
      </c>
      <c r="BM20" t="str">
        <f>CONCATENATE("B",REPLACE(BK20,1,1,"")+1)</f>
        <v>B11</v>
      </c>
      <c r="BP20" t="str">
        <f t="shared" si="28"/>
        <v>21A</v>
      </c>
      <c r="BQ20" t="str">
        <f t="shared" si="29"/>
        <v>21B</v>
      </c>
      <c r="BR20" t="str">
        <f t="shared" si="30"/>
        <v>22A</v>
      </c>
      <c r="BS20" t="str">
        <f t="shared" si="31"/>
        <v>22B</v>
      </c>
      <c r="BT20" t="str">
        <f t="shared" si="32"/>
        <v>DI2-C7</v>
      </c>
      <c r="BU20" t="str">
        <f t="shared" si="32"/>
        <v>DI2-B7</v>
      </c>
      <c r="BV20" t="str">
        <f t="shared" si="33"/>
        <v>DI2-C8</v>
      </c>
      <c r="BW20" t="str">
        <f t="shared" si="33"/>
        <v>DI2-B8</v>
      </c>
      <c r="BX20" t="str">
        <f t="shared" si="33"/>
        <v>DI2-C9</v>
      </c>
      <c r="BY20" t="str">
        <f t="shared" si="33"/>
        <v>DI2-B9</v>
      </c>
      <c r="BZ20" t="str">
        <f t="shared" si="33"/>
        <v>DI2-C10</v>
      </c>
      <c r="CA20" t="str">
        <f t="shared" si="33"/>
        <v>DI2-B10</v>
      </c>
      <c r="CB20" t="str">
        <f t="shared" si="33"/>
        <v>DI2-C11</v>
      </c>
      <c r="CC20" t="str">
        <f t="shared" si="33"/>
        <v>DI2-B11</v>
      </c>
      <c r="CD20" t="str">
        <f t="shared" si="33"/>
        <v>DI2-</v>
      </c>
      <c r="CE20" t="str">
        <f t="shared" si="33"/>
        <v>DI2-</v>
      </c>
      <c r="CF20" t="str">
        <f t="shared" si="34"/>
        <v>DO1-20A</v>
      </c>
      <c r="CG20" t="str">
        <f t="shared" si="34"/>
        <v>DO1-20B</v>
      </c>
      <c r="CH20" t="str">
        <f t="shared" si="35"/>
        <v>DO1-21A</v>
      </c>
      <c r="CI20" t="str">
        <f t="shared" si="35"/>
        <v>DO1-21B</v>
      </c>
      <c r="CJ20" t="str">
        <f t="shared" si="35"/>
        <v>DO1-22A</v>
      </c>
      <c r="CK20" t="str">
        <f t="shared" si="35"/>
        <v>DO1-22B</v>
      </c>
      <c r="CL20" t="str">
        <f t="shared" ref="CL20:CL25" si="49">CONCATENATE("K",$U20,"-10")</f>
        <v>K10-10</v>
      </c>
      <c r="CM20" t="str">
        <f t="shared" ref="CM20:CM25" si="50">CONCATENATE("K",$U20,"-03")</f>
        <v>K10-03</v>
      </c>
      <c r="CN20" t="str">
        <f t="shared" ref="CN20:CN25" si="51">CONCATENATE("K",$U20,"-04")</f>
        <v>K10-04</v>
      </c>
      <c r="CO20" t="str">
        <f t="shared" ref="CO20:CO25" si="52">CONCATENATE("K",$U20,"-01")</f>
        <v>K10-01</v>
      </c>
      <c r="CP20" t="str">
        <f t="shared" ref="CP20:CP25" si="53">CONCATENATE("K",$U20,"-08")</f>
        <v>K10-08</v>
      </c>
      <c r="CQ20" t="str">
        <f t="shared" ref="CQ20:CQ25" si="54">CONCATENATE("K",$U20,"-02")</f>
        <v>K10-02</v>
      </c>
      <c r="CR20" t="str">
        <f t="shared" ref="CR20:CR25" si="55">CONCATENATE("K",$U20,"-09")</f>
        <v>K10-09</v>
      </c>
      <c r="CS20" t="str">
        <f t="shared" ref="CS20:CS25" si="56">CONCATENATE("K",$U20,"-05")</f>
        <v>K10-05</v>
      </c>
      <c r="CT20" t="str">
        <f t="shared" ref="CT20:CT25" si="57">CONCATENATE("K",$U20,"-11")</f>
        <v>K10-11</v>
      </c>
      <c r="CU20" t="str">
        <f t="shared" si="36"/>
        <v>E2-M10-A9</v>
      </c>
      <c r="CV20" t="str">
        <f t="shared" ref="CV20:CV25" si="58">CONCATENATE($T20,"-M",$U20,"-A7")</f>
        <v>E2-M10-A7</v>
      </c>
      <c r="CW20" t="str">
        <f t="shared" ref="CW20:CW25" si="59">CONCATENATE($T20,"-M",$U20,"-A8")</f>
        <v>E2-M10-A8</v>
      </c>
      <c r="CX20" t="str">
        <f t="shared" si="37"/>
        <v>E2-M10-A6</v>
      </c>
      <c r="CY20" t="str">
        <f t="shared" si="38"/>
        <v>E2-M10-A30</v>
      </c>
      <c r="CZ20" t="str">
        <f t="shared" ref="CZ20:CZ25" si="60">CONCATENATE($T20,"-M",$U20,"-N")</f>
        <v>E2-M10-N</v>
      </c>
      <c r="DA20" t="str">
        <f t="shared" si="39"/>
        <v>E2-A220-M10</v>
      </c>
      <c r="DB20" t="str">
        <f t="shared" si="40"/>
        <v>E2-M10-XM01</v>
      </c>
      <c r="DC20" t="str">
        <f t="shared" si="41"/>
        <v>E2-M10-A1</v>
      </c>
      <c r="DD20" t="str">
        <f t="shared" si="42"/>
        <v>E2-M10-A5</v>
      </c>
      <c r="DE20" t="str">
        <f t="shared" si="43"/>
        <v>E2-M10-A11</v>
      </c>
      <c r="DF20" t="str">
        <f t="shared" si="44"/>
        <v>E2-M10-A12</v>
      </c>
      <c r="DG20" t="str">
        <f t="shared" si="45"/>
        <v>E2-M10-A19</v>
      </c>
      <c r="DH20" t="str">
        <f t="shared" si="46"/>
        <v>E2-M10-A20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X20">
        <v>8</v>
      </c>
      <c r="DY20">
        <v>9</v>
      </c>
      <c r="DZ20">
        <v>10</v>
      </c>
      <c r="EA20">
        <v>11</v>
      </c>
      <c r="EB20">
        <v>12</v>
      </c>
      <c r="EC20">
        <v>13</v>
      </c>
      <c r="ED20" t="s">
        <v>2179</v>
      </c>
      <c r="EE20" t="s">
        <v>2179</v>
      </c>
      <c r="EF20" t="s">
        <v>2179</v>
      </c>
      <c r="EG20" t="s">
        <v>2179</v>
      </c>
      <c r="EH20" t="s">
        <v>2179</v>
      </c>
      <c r="EI20" t="s">
        <v>2179</v>
      </c>
      <c r="EJ20" t="s">
        <v>2179</v>
      </c>
      <c r="EK20" t="s">
        <v>2179</v>
      </c>
      <c r="EL20" t="s">
        <v>2179</v>
      </c>
      <c r="EM20" t="s">
        <v>2179</v>
      </c>
      <c r="EN20" t="s">
        <v>2179</v>
      </c>
      <c r="EO20" t="s">
        <v>2179</v>
      </c>
      <c r="EP20" t="s">
        <v>2179</v>
      </c>
      <c r="EQ20" s="16" t="s">
        <v>2179</v>
      </c>
      <c r="MA20" t="str">
        <f t="shared" si="17"/>
        <v>DI2-B7</v>
      </c>
    </row>
    <row r="21" spans="1:615" x14ac:dyDescent="0.25">
      <c r="A21" s="58" t="s">
        <v>2029</v>
      </c>
      <c r="B21" s="61" t="s">
        <v>2022</v>
      </c>
      <c r="P21" t="s">
        <v>2178</v>
      </c>
      <c r="T21" s="14" t="s">
        <v>2041</v>
      </c>
      <c r="U21">
        <v>11</v>
      </c>
      <c r="V21" t="s">
        <v>2086</v>
      </c>
      <c r="AC21" t="str">
        <f t="shared" si="20"/>
        <v>A5.2</v>
      </c>
      <c r="AD21" s="46">
        <f t="array" ref="AD21">IF(COUNTIFS(AC$2:AC21,AC21)=1,"1",VALUE(SUBSTITUTE(INDEX(AD:AD,_xlfn.XMATCH(AC21,AC$1:AC20,0,-1)),"A",""))+INDEX(AE:AE,_xlfn.XMATCH(AC21,AC$1:AC20,0,-1))+1)</f>
        <v>12</v>
      </c>
      <c r="AE21" s="46">
        <f t="array" ref="AE21">SUM(IF(ISNUMBER(FIND("TmDi",$BE$1:$AAQ$1)),IF(IFERROR(ISNUMBER(VALUE(SUBSTITUTE($BE21:$AAQ21,"B",""))),FALSE),IF(ISNUMBER(VALUE(SUBSTITUTE($BE21:$AAQ21,"B",""))),1,0),0)))</f>
        <v>4</v>
      </c>
      <c r="AF21" t="str">
        <f t="shared" si="47"/>
        <v>C12</v>
      </c>
      <c r="AG21" t="str">
        <f t="shared" si="48"/>
        <v>B12</v>
      </c>
      <c r="AH21" t="str">
        <f t="shared" si="18"/>
        <v>A6.1</v>
      </c>
      <c r="AI21" s="64">
        <f t="array" ref="AI21">IF(COUNTIFS(AH$2:AH21,AH21)=1,"1",VALUE(SUBSTITUTE(INDEX(AI:AI,_xlfn.XMATCH(AH21,AH$1:AH20,0,-1)),"A",""))+INDEX(AJ:AJ,_xlfn.XMATCH(AH21,AH$1:AH20,0,-1))+1)</f>
        <v>23</v>
      </c>
      <c r="AJ21" s="64">
        <f t="array" ref="AJ21">SUM(IF(ISNUMBER(FIND("TmDo",$BE$1:$AAQ$1)),IF(IFERROR(ISNUMBER(VALUE(SUBSTITUTE($BE21:$AAQ21,"B",""))),FALSE),IF(ISNUMBER(VALUE(SUBSTITUTE($BE21:$AAQ21,"B",""))),1,0),0)))</f>
        <v>2</v>
      </c>
      <c r="AK21" t="str">
        <f t="shared" si="11"/>
        <v>23A</v>
      </c>
      <c r="AL21" t="str">
        <f t="shared" si="12"/>
        <v>23B</v>
      </c>
      <c r="AM21" t="s">
        <v>172</v>
      </c>
      <c r="AP21" t="s">
        <v>2043</v>
      </c>
      <c r="AQ21" t="s">
        <v>2061</v>
      </c>
      <c r="AT21" t="s">
        <v>139</v>
      </c>
      <c r="AU21" t="s">
        <v>140</v>
      </c>
      <c r="BE21" t="str">
        <f t="shared" si="21"/>
        <v>XT11</v>
      </c>
      <c r="BF21" t="str">
        <f t="shared" si="22"/>
        <v>C13</v>
      </c>
      <c r="BG21" t="str">
        <f t="shared" si="23"/>
        <v>B13</v>
      </c>
      <c r="BH21" t="str">
        <f t="shared" si="24"/>
        <v>C14</v>
      </c>
      <c r="BI21" t="str">
        <f t="shared" si="25"/>
        <v>B14</v>
      </c>
      <c r="BJ21" t="str">
        <f t="shared" si="26"/>
        <v>C15</v>
      </c>
      <c r="BK21" t="str">
        <f t="shared" si="27"/>
        <v>B15</v>
      </c>
      <c r="BL21" t="str">
        <f>CONCATENATE("C",REPLACE(BJ21,1,1,"")+1)</f>
        <v>C16</v>
      </c>
      <c r="BM21" t="str">
        <f>CONCATENATE("B",REPLACE(BK21,1,1,"")+1)</f>
        <v>B16</v>
      </c>
      <c r="BP21" t="str">
        <f t="shared" si="28"/>
        <v>24A</v>
      </c>
      <c r="BQ21" t="str">
        <f t="shared" si="29"/>
        <v>24B</v>
      </c>
      <c r="BR21" t="str">
        <f t="shared" si="30"/>
        <v>25A</v>
      </c>
      <c r="BS21" t="str">
        <f t="shared" si="31"/>
        <v>25B</v>
      </c>
      <c r="BT21" t="str">
        <f t="shared" si="32"/>
        <v>DI2-C12</v>
      </c>
      <c r="BU21" t="str">
        <f t="shared" si="32"/>
        <v>DI2-B12</v>
      </c>
      <c r="BV21" t="str">
        <f t="shared" si="33"/>
        <v>DI2-C13</v>
      </c>
      <c r="BW21" t="str">
        <f t="shared" si="33"/>
        <v>DI2-B13</v>
      </c>
      <c r="BX21" t="str">
        <f t="shared" si="33"/>
        <v>DI2-C14</v>
      </c>
      <c r="BY21" t="str">
        <f t="shared" si="33"/>
        <v>DI2-B14</v>
      </c>
      <c r="BZ21" t="str">
        <f t="shared" si="33"/>
        <v>DI2-C15</v>
      </c>
      <c r="CA21" t="str">
        <f t="shared" si="33"/>
        <v>DI2-B15</v>
      </c>
      <c r="CB21" t="str">
        <f t="shared" si="33"/>
        <v>DI2-C16</v>
      </c>
      <c r="CC21" t="str">
        <f t="shared" si="33"/>
        <v>DI2-B16</v>
      </c>
      <c r="CD21" t="str">
        <f t="shared" si="33"/>
        <v>DI2-</v>
      </c>
      <c r="CE21" t="str">
        <f t="shared" si="33"/>
        <v>DI2-</v>
      </c>
      <c r="CF21" t="str">
        <f t="shared" si="34"/>
        <v>DO1-23A</v>
      </c>
      <c r="CG21" t="str">
        <f t="shared" si="34"/>
        <v>DO1-23B</v>
      </c>
      <c r="CH21" t="str">
        <f t="shared" si="35"/>
        <v>DO1-24A</v>
      </c>
      <c r="CI21" t="str">
        <f t="shared" si="35"/>
        <v>DO1-24B</v>
      </c>
      <c r="CJ21" t="str">
        <f t="shared" si="35"/>
        <v>DO1-25A</v>
      </c>
      <c r="CK21" t="str">
        <f t="shared" si="35"/>
        <v>DO1-25B</v>
      </c>
      <c r="CL21" t="str">
        <f t="shared" si="49"/>
        <v>K11-10</v>
      </c>
      <c r="CM21" t="str">
        <f t="shared" si="50"/>
        <v>K11-03</v>
      </c>
      <c r="CN21" t="str">
        <f t="shared" si="51"/>
        <v>K11-04</v>
      </c>
      <c r="CO21" t="str">
        <f t="shared" si="52"/>
        <v>K11-01</v>
      </c>
      <c r="CP21" t="str">
        <f t="shared" si="53"/>
        <v>K11-08</v>
      </c>
      <c r="CQ21" t="str">
        <f t="shared" si="54"/>
        <v>K11-02</v>
      </c>
      <c r="CR21" t="str">
        <f t="shared" si="55"/>
        <v>K11-09</v>
      </c>
      <c r="CS21" t="str">
        <f t="shared" si="56"/>
        <v>K11-05</v>
      </c>
      <c r="CT21" t="str">
        <f t="shared" si="57"/>
        <v>K11-11</v>
      </c>
      <c r="CU21" t="str">
        <f t="shared" si="36"/>
        <v>E2-M11-A9</v>
      </c>
      <c r="CV21" t="str">
        <f t="shared" si="58"/>
        <v>E2-M11-A7</v>
      </c>
      <c r="CW21" t="str">
        <f t="shared" si="59"/>
        <v>E2-M11-A8</v>
      </c>
      <c r="CX21" t="str">
        <f t="shared" si="37"/>
        <v>E2-M11-A6</v>
      </c>
      <c r="CY21" t="str">
        <f t="shared" si="38"/>
        <v>E2-M11-A30</v>
      </c>
      <c r="CZ21" t="str">
        <f t="shared" si="60"/>
        <v>E2-M11-N</v>
      </c>
      <c r="DA21" t="str">
        <f t="shared" si="39"/>
        <v>E2-A220-M11</v>
      </c>
      <c r="DB21" t="str">
        <f t="shared" si="40"/>
        <v>E2-M11-XM01</v>
      </c>
      <c r="DC21" t="str">
        <f t="shared" si="41"/>
        <v>E2-M11-A1</v>
      </c>
      <c r="DD21" t="str">
        <f t="shared" si="42"/>
        <v>E2-M11-A5</v>
      </c>
      <c r="DE21" t="str">
        <f t="shared" si="43"/>
        <v>E2-M11-A11</v>
      </c>
      <c r="DF21" t="str">
        <f t="shared" si="44"/>
        <v>E2-M11-A12</v>
      </c>
      <c r="DG21" t="str">
        <f t="shared" si="45"/>
        <v>E2-M11-A19</v>
      </c>
      <c r="DH21" t="str">
        <f t="shared" si="46"/>
        <v>E2-M11-A20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tr">
        <f>DO20</f>
        <v>L6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X21">
        <v>8</v>
      </c>
      <c r="DY21">
        <v>9</v>
      </c>
      <c r="DZ21">
        <v>10</v>
      </c>
      <c r="EA21">
        <v>11</v>
      </c>
      <c r="EB21">
        <v>12</v>
      </c>
      <c r="EC21">
        <v>13</v>
      </c>
      <c r="ED21" t="s">
        <v>2179</v>
      </c>
      <c r="EE21" t="s">
        <v>2179</v>
      </c>
      <c r="EF21" t="s">
        <v>2179</v>
      </c>
      <c r="EG21" t="s">
        <v>2179</v>
      </c>
      <c r="EH21" t="s">
        <v>2179</v>
      </c>
      <c r="EI21" t="s">
        <v>2179</v>
      </c>
      <c r="EJ21" t="s">
        <v>2179</v>
      </c>
      <c r="EK21" t="s">
        <v>2179</v>
      </c>
      <c r="EL21" t="s">
        <v>2179</v>
      </c>
      <c r="EM21" t="s">
        <v>2179</v>
      </c>
      <c r="EN21" t="s">
        <v>2179</v>
      </c>
      <c r="EO21" t="s">
        <v>2179</v>
      </c>
      <c r="EP21" t="s">
        <v>2179</v>
      </c>
      <c r="EQ21" s="16" t="s">
        <v>2179</v>
      </c>
      <c r="MA21" t="str">
        <f t="shared" si="17"/>
        <v>DI2-B12</v>
      </c>
    </row>
    <row r="22" spans="1:615" x14ac:dyDescent="0.25">
      <c r="A22" s="58" t="s">
        <v>2028</v>
      </c>
      <c r="B22" s="61" t="s">
        <v>2023</v>
      </c>
      <c r="P22" t="s">
        <v>2178</v>
      </c>
      <c r="T22" s="14" t="s">
        <v>2041</v>
      </c>
      <c r="U22">
        <v>12</v>
      </c>
      <c r="V22" t="s">
        <v>2087</v>
      </c>
      <c r="AC22" t="str">
        <f t="shared" si="20"/>
        <v>A5.2</v>
      </c>
      <c r="AD22" s="46">
        <f t="array" ref="AD22">IF(COUNTIFS(AC$2:AC22,AC22)=1,"1",VALUE(SUBSTITUTE(INDEX(AD:AD,_xlfn.XMATCH(AC22,AC$1:AC21,0,-1)),"A",""))+INDEX(AE:AE,_xlfn.XMATCH(AC22,AC$1:AC21,0,-1))+1)</f>
        <v>17</v>
      </c>
      <c r="AE22" s="46">
        <f t="array" ref="AE22">SUM(IF(ISNUMBER(FIND("TmDi",$BE$1:$AAQ$1)),IF(IFERROR(ISNUMBER(VALUE(SUBSTITUTE($BE22:$AAQ22,"B",""))),FALSE),IF(ISNUMBER(VALUE(SUBSTITUTE($BE22:$AAQ22,"B",""))),1,0),0)))</f>
        <v>4</v>
      </c>
      <c r="AF22" t="str">
        <f t="shared" si="47"/>
        <v>C17</v>
      </c>
      <c r="AG22" t="str">
        <f t="shared" si="48"/>
        <v>B17</v>
      </c>
      <c r="AH22" t="str">
        <f t="shared" si="18"/>
        <v>A6.1</v>
      </c>
      <c r="AI22" s="64">
        <f t="array" ref="AI22">IF(COUNTIFS(AH$2:AH22,AH22)=1,"1",VALUE(SUBSTITUTE(INDEX(AI:AI,_xlfn.XMATCH(AH22,AH$1:AH21,0,-1)),"A",""))+INDEX(AJ:AJ,_xlfn.XMATCH(AH22,AH$1:AH21,0,-1))+1)</f>
        <v>26</v>
      </c>
      <c r="AJ22" s="64">
        <f t="array" ref="AJ22">SUM(IF(ISNUMBER(FIND("TmDo",$BE$1:$AAQ$1)),IF(IFERROR(ISNUMBER(VALUE(SUBSTITUTE($BE22:$AAQ22,"B",""))),FALSE),IF(ISNUMBER(VALUE(SUBSTITUTE($BE22:$AAQ22,"B",""))),1,0),0)))</f>
        <v>2</v>
      </c>
      <c r="AK22" t="str">
        <f t="shared" si="11"/>
        <v>26A</v>
      </c>
      <c r="AL22" t="str">
        <f t="shared" si="12"/>
        <v>26B</v>
      </c>
      <c r="AM22" t="s">
        <v>175</v>
      </c>
      <c r="AP22" t="s">
        <v>2043</v>
      </c>
      <c r="AQ22" t="s">
        <v>2061</v>
      </c>
      <c r="AT22" t="s">
        <v>139</v>
      </c>
      <c r="AU22" t="s">
        <v>140</v>
      </c>
      <c r="BE22" t="str">
        <f t="shared" si="21"/>
        <v>XT12</v>
      </c>
      <c r="BF22" t="str">
        <f t="shared" si="22"/>
        <v>C18</v>
      </c>
      <c r="BG22" t="str">
        <f t="shared" si="23"/>
        <v>B18</v>
      </c>
      <c r="BH22" t="str">
        <f t="shared" si="24"/>
        <v>C19</v>
      </c>
      <c r="BI22" t="str">
        <f t="shared" si="25"/>
        <v>B19</v>
      </c>
      <c r="BJ22" t="str">
        <f t="shared" si="26"/>
        <v>C20</v>
      </c>
      <c r="BK22" t="str">
        <f t="shared" si="27"/>
        <v>B20</v>
      </c>
      <c r="BL22" t="str">
        <f>CONCATENATE("C",REPLACE(BJ22,1,1,"")+1)</f>
        <v>C21</v>
      </c>
      <c r="BM22" t="str">
        <f>CONCATENATE("B",REPLACE(BK22,1,1,"")+1)</f>
        <v>B21</v>
      </c>
      <c r="BP22" t="str">
        <f t="shared" si="28"/>
        <v>27A</v>
      </c>
      <c r="BQ22" t="str">
        <f t="shared" si="29"/>
        <v>27B</v>
      </c>
      <c r="BR22" t="str">
        <f t="shared" si="30"/>
        <v>28A</v>
      </c>
      <c r="BS22" t="str">
        <f t="shared" si="31"/>
        <v>28B</v>
      </c>
      <c r="BT22" t="str">
        <f t="shared" si="32"/>
        <v>DI2-C17</v>
      </c>
      <c r="BU22" t="str">
        <f t="shared" si="32"/>
        <v>DI2-B17</v>
      </c>
      <c r="BV22" t="str">
        <f t="shared" si="33"/>
        <v>DI2-C18</v>
      </c>
      <c r="BW22" t="str">
        <f t="shared" si="33"/>
        <v>DI2-B18</v>
      </c>
      <c r="BX22" t="str">
        <f t="shared" si="33"/>
        <v>DI2-C19</v>
      </c>
      <c r="BY22" t="str">
        <f t="shared" si="33"/>
        <v>DI2-B19</v>
      </c>
      <c r="BZ22" t="str">
        <f t="shared" si="33"/>
        <v>DI2-C20</v>
      </c>
      <c r="CA22" t="str">
        <f t="shared" si="33"/>
        <v>DI2-B20</v>
      </c>
      <c r="CB22" t="str">
        <f t="shared" si="33"/>
        <v>DI2-C21</v>
      </c>
      <c r="CC22" t="str">
        <f t="shared" si="33"/>
        <v>DI2-B21</v>
      </c>
      <c r="CD22" t="str">
        <f t="shared" si="33"/>
        <v>DI2-</v>
      </c>
      <c r="CE22" t="str">
        <f t="shared" si="33"/>
        <v>DI2-</v>
      </c>
      <c r="CF22" t="str">
        <f t="shared" si="34"/>
        <v>DO1-26A</v>
      </c>
      <c r="CG22" t="str">
        <f t="shared" si="34"/>
        <v>DO1-26B</v>
      </c>
      <c r="CH22" t="str">
        <f t="shared" si="35"/>
        <v>DO1-27A</v>
      </c>
      <c r="CI22" t="str">
        <f t="shared" si="35"/>
        <v>DO1-27B</v>
      </c>
      <c r="CJ22" t="str">
        <f t="shared" si="35"/>
        <v>DO1-28A</v>
      </c>
      <c r="CK22" t="str">
        <f t="shared" si="35"/>
        <v>DO1-28B</v>
      </c>
      <c r="CL22" t="str">
        <f t="shared" si="49"/>
        <v>K12-10</v>
      </c>
      <c r="CM22" t="str">
        <f t="shared" si="50"/>
        <v>K12-03</v>
      </c>
      <c r="CN22" t="str">
        <f t="shared" si="51"/>
        <v>K12-04</v>
      </c>
      <c r="CO22" t="str">
        <f t="shared" si="52"/>
        <v>K12-01</v>
      </c>
      <c r="CP22" t="str">
        <f t="shared" si="53"/>
        <v>K12-08</v>
      </c>
      <c r="CQ22" t="str">
        <f t="shared" si="54"/>
        <v>K12-02</v>
      </c>
      <c r="CR22" t="str">
        <f t="shared" si="55"/>
        <v>K12-09</v>
      </c>
      <c r="CS22" t="str">
        <f t="shared" si="56"/>
        <v>K12-05</v>
      </c>
      <c r="CT22" t="str">
        <f t="shared" si="57"/>
        <v>K12-11</v>
      </c>
      <c r="CU22" t="str">
        <f t="shared" si="36"/>
        <v>E2-M12-A9</v>
      </c>
      <c r="CV22" t="str">
        <f t="shared" si="58"/>
        <v>E2-M12-A7</v>
      </c>
      <c r="CW22" t="str">
        <f t="shared" si="59"/>
        <v>E2-M12-A8</v>
      </c>
      <c r="CX22" t="str">
        <f t="shared" si="37"/>
        <v>E2-M12-A6</v>
      </c>
      <c r="CY22" t="str">
        <f t="shared" si="38"/>
        <v>E2-M12-A30</v>
      </c>
      <c r="CZ22" t="str">
        <f t="shared" si="60"/>
        <v>E2-M12-N</v>
      </c>
      <c r="DA22" t="str">
        <f t="shared" si="39"/>
        <v>E2-A220-M12</v>
      </c>
      <c r="DB22" t="str">
        <f t="shared" si="40"/>
        <v>E2-M12-XM01</v>
      </c>
      <c r="DC22" t="str">
        <f t="shared" si="41"/>
        <v>E2-M12-A1</v>
      </c>
      <c r="DD22" t="str">
        <f t="shared" si="42"/>
        <v>E2-M12-A5</v>
      </c>
      <c r="DE22" t="str">
        <f t="shared" si="43"/>
        <v>E2-M12-A11</v>
      </c>
      <c r="DF22" t="str">
        <f t="shared" si="44"/>
        <v>E2-M12-A12</v>
      </c>
      <c r="DG22" t="str">
        <f t="shared" si="45"/>
        <v>E2-M12-A19</v>
      </c>
      <c r="DH22" t="str">
        <f t="shared" si="46"/>
        <v>E2-M12-A20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tr">
        <f>DO21</f>
        <v>L6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X22">
        <v>8</v>
      </c>
      <c r="DY22">
        <v>9</v>
      </c>
      <c r="DZ22">
        <v>10</v>
      </c>
      <c r="EA22">
        <v>11</v>
      </c>
      <c r="EB22">
        <v>12</v>
      </c>
      <c r="EC22">
        <v>13</v>
      </c>
      <c r="ED22" t="s">
        <v>2179</v>
      </c>
      <c r="EE22" t="s">
        <v>2179</v>
      </c>
      <c r="EF22" t="s">
        <v>2179</v>
      </c>
      <c r="EG22" t="s">
        <v>2179</v>
      </c>
      <c r="EH22" t="s">
        <v>2179</v>
      </c>
      <c r="EI22" t="s">
        <v>2179</v>
      </c>
      <c r="EJ22" t="s">
        <v>2179</v>
      </c>
      <c r="EK22" t="s">
        <v>2179</v>
      </c>
      <c r="EL22" t="s">
        <v>2179</v>
      </c>
      <c r="EM22" t="s">
        <v>2179</v>
      </c>
      <c r="EN22" t="s">
        <v>2179</v>
      </c>
      <c r="EO22" t="s">
        <v>2179</v>
      </c>
      <c r="EP22" t="s">
        <v>2179</v>
      </c>
      <c r="EQ22" s="16" t="s">
        <v>2179</v>
      </c>
      <c r="MA22" t="str">
        <f t="shared" si="17"/>
        <v>DI2-B17</v>
      </c>
    </row>
    <row r="23" spans="1:615" x14ac:dyDescent="0.25">
      <c r="A23" s="58" t="s">
        <v>2031</v>
      </c>
      <c r="B23" s="61" t="s">
        <v>2020</v>
      </c>
      <c r="P23" t="s">
        <v>2178</v>
      </c>
      <c r="T23" s="14" t="s">
        <v>2041</v>
      </c>
      <c r="U23">
        <v>13</v>
      </c>
      <c r="V23" t="s">
        <v>2088</v>
      </c>
      <c r="AC23" t="str">
        <f t="shared" si="20"/>
        <v>A5.2</v>
      </c>
      <c r="AD23" s="46">
        <f t="array" ref="AD23">IF(COUNTIFS(AC$2:AC23,AC23)=1,"1",VALUE(SUBSTITUTE(INDEX(AD:AD,_xlfn.XMATCH(AC23,AC$1:AC22,0,-1)),"A",""))+INDEX(AE:AE,_xlfn.XMATCH(AC23,AC$1:AC22,0,-1))+1)</f>
        <v>22</v>
      </c>
      <c r="AE23" s="46">
        <f t="array" ref="AE23">SUM(IF(ISNUMBER(FIND("TmDi",$BE$1:$AAQ$1)),IF(IFERROR(ISNUMBER(VALUE(SUBSTITUTE($BE23:$AAQ23,"B",""))),FALSE),IF(ISNUMBER(VALUE(SUBSTITUTE($BE23:$AAQ23,"B",""))),1,0),0)))</f>
        <v>4</v>
      </c>
      <c r="AF23" t="str">
        <f t="shared" si="47"/>
        <v>C22</v>
      </c>
      <c r="AG23" t="str">
        <f t="shared" si="48"/>
        <v>B22</v>
      </c>
      <c r="AH23" t="str">
        <f>IF(AI22+AJ22&gt;27,REPLACE(AH22,LEN(AH22),1,VALUE(RIGHT(AH22,1))+1),AH22)</f>
        <v>A6.2</v>
      </c>
      <c r="AI23" s="64" t="str">
        <f t="array" ref="AI23">IF(COUNTIFS(AH$2:AH23,AH23)=1,"1",VALUE(SUBSTITUTE(INDEX(AI:AI,_xlfn.XMATCH(AH23,AH$1:AH22,0,-1)),"A",""))+INDEX(AJ:AJ,_xlfn.XMATCH(AH23,AH$1:AH22,0,-1))+1)</f>
        <v>1</v>
      </c>
      <c r="AJ23" s="64">
        <f t="array" ref="AJ23">SUM(IF(ISNUMBER(FIND("TmDo",$BE$1:$AAQ$1)),IF(IFERROR(ISNUMBER(VALUE(SUBSTITUTE($BE23:$AAQ23,"B",""))),FALSE),IF(ISNUMBER(VALUE(SUBSTITUTE($BE23:$AAQ23,"B",""))),1,0),0)))</f>
        <v>2</v>
      </c>
      <c r="AK23" t="str">
        <f t="shared" si="11"/>
        <v>1A</v>
      </c>
      <c r="AL23" t="str">
        <f t="shared" si="12"/>
        <v>1B</v>
      </c>
      <c r="AM23" t="s">
        <v>178</v>
      </c>
      <c r="AP23" t="s">
        <v>2043</v>
      </c>
      <c r="AQ23" t="s">
        <v>2061</v>
      </c>
      <c r="AT23" t="s">
        <v>139</v>
      </c>
      <c r="AU23" t="s">
        <v>140</v>
      </c>
      <c r="BE23" t="str">
        <f t="shared" si="21"/>
        <v>XT13</v>
      </c>
      <c r="BF23" t="str">
        <f t="shared" si="22"/>
        <v>C23</v>
      </c>
      <c r="BG23" t="str">
        <f t="shared" si="23"/>
        <v>B23</v>
      </c>
      <c r="BH23" t="str">
        <f t="shared" si="24"/>
        <v>C24</v>
      </c>
      <c r="BI23" t="str">
        <f t="shared" si="25"/>
        <v>B24</v>
      </c>
      <c r="BJ23" t="str">
        <f t="shared" si="26"/>
        <v>C25</v>
      </c>
      <c r="BK23" t="str">
        <f t="shared" si="27"/>
        <v>B25</v>
      </c>
      <c r="BL23" t="str">
        <f>CONCATENATE("C",REPLACE(BJ23,1,1,"")+1)</f>
        <v>C26</v>
      </c>
      <c r="BM23" t="str">
        <f>CONCATENATE("B",REPLACE(BK23,1,1,"")+1)</f>
        <v>B26</v>
      </c>
      <c r="BP23" t="str">
        <f t="shared" si="28"/>
        <v>2A</v>
      </c>
      <c r="BQ23" t="str">
        <f t="shared" si="29"/>
        <v>2B</v>
      </c>
      <c r="BR23" t="str">
        <f t="shared" si="30"/>
        <v>3A</v>
      </c>
      <c r="BS23" t="str">
        <f t="shared" si="31"/>
        <v>3B</v>
      </c>
      <c r="BT23" t="str">
        <f t="shared" si="32"/>
        <v>DI2-C22</v>
      </c>
      <c r="BU23" t="str">
        <f t="shared" si="32"/>
        <v>DI2-B22</v>
      </c>
      <c r="BV23" t="str">
        <f t="shared" si="33"/>
        <v>DI2-C23</v>
      </c>
      <c r="BW23" t="str">
        <f t="shared" si="33"/>
        <v>DI2-B23</v>
      </c>
      <c r="BX23" t="str">
        <f t="shared" si="33"/>
        <v>DI2-C24</v>
      </c>
      <c r="BY23" t="str">
        <f t="shared" si="33"/>
        <v>DI2-B24</v>
      </c>
      <c r="BZ23" t="str">
        <f t="shared" si="33"/>
        <v>DI2-C25</v>
      </c>
      <c r="CA23" t="str">
        <f t="shared" si="33"/>
        <v>DI2-B25</v>
      </c>
      <c r="CB23" t="str">
        <f t="shared" si="33"/>
        <v>DI2-C26</v>
      </c>
      <c r="CC23" t="str">
        <f t="shared" si="33"/>
        <v>DI2-B26</v>
      </c>
      <c r="CD23" t="str">
        <f t="shared" si="33"/>
        <v>DI2-</v>
      </c>
      <c r="CE23" t="str">
        <f t="shared" si="33"/>
        <v>DI2-</v>
      </c>
      <c r="CF23" t="str">
        <f t="shared" si="34"/>
        <v>DO2-1A</v>
      </c>
      <c r="CG23" t="str">
        <f t="shared" si="34"/>
        <v>DO2-1B</v>
      </c>
      <c r="CH23" t="str">
        <f t="shared" si="35"/>
        <v>DO2-2A</v>
      </c>
      <c r="CI23" t="str">
        <f t="shared" si="35"/>
        <v>DO2-2B</v>
      </c>
      <c r="CJ23" t="str">
        <f t="shared" si="35"/>
        <v>DO2-3A</v>
      </c>
      <c r="CK23" t="str">
        <f t="shared" si="35"/>
        <v>DO2-3B</v>
      </c>
      <c r="CL23" t="str">
        <f t="shared" si="49"/>
        <v>K13-10</v>
      </c>
      <c r="CM23" t="str">
        <f t="shared" si="50"/>
        <v>K13-03</v>
      </c>
      <c r="CN23" t="str">
        <f t="shared" si="51"/>
        <v>K13-04</v>
      </c>
      <c r="CO23" t="str">
        <f t="shared" si="52"/>
        <v>K13-01</v>
      </c>
      <c r="CP23" t="str">
        <f t="shared" si="53"/>
        <v>K13-08</v>
      </c>
      <c r="CQ23" t="str">
        <f t="shared" si="54"/>
        <v>K13-02</v>
      </c>
      <c r="CR23" t="str">
        <f t="shared" si="55"/>
        <v>K13-09</v>
      </c>
      <c r="CS23" t="str">
        <f t="shared" si="56"/>
        <v>K13-05</v>
      </c>
      <c r="CT23" t="str">
        <f t="shared" si="57"/>
        <v>K13-11</v>
      </c>
      <c r="CU23" t="str">
        <f t="shared" si="36"/>
        <v>E2-M13-A9</v>
      </c>
      <c r="CV23" t="str">
        <f t="shared" si="58"/>
        <v>E2-M13-A7</v>
      </c>
      <c r="CW23" t="str">
        <f t="shared" si="59"/>
        <v>E2-M13-A8</v>
      </c>
      <c r="CX23" t="str">
        <f t="shared" si="37"/>
        <v>E2-M13-A6</v>
      </c>
      <c r="CY23" t="str">
        <f t="shared" si="38"/>
        <v>E2-M13-A30</v>
      </c>
      <c r="CZ23" t="str">
        <f t="shared" si="60"/>
        <v>E2-M13-N</v>
      </c>
      <c r="DA23" t="str">
        <f t="shared" si="39"/>
        <v>E2-A220-M13</v>
      </c>
      <c r="DB23" t="str">
        <f t="shared" si="40"/>
        <v>E2-M13-XM01</v>
      </c>
      <c r="DC23" t="str">
        <f t="shared" si="41"/>
        <v>E2-M13-A1</v>
      </c>
      <c r="DD23" t="str">
        <f t="shared" si="42"/>
        <v>E2-M13-A5</v>
      </c>
      <c r="DE23" t="str">
        <f t="shared" si="43"/>
        <v>E2-M13-A11</v>
      </c>
      <c r="DF23" t="str">
        <f t="shared" si="44"/>
        <v>E2-M13-A12</v>
      </c>
      <c r="DG23" t="str">
        <f t="shared" si="45"/>
        <v>E2-M13-A19</v>
      </c>
      <c r="DH23" t="str">
        <f t="shared" si="46"/>
        <v>E2-M13-A20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tr">
        <f>DO22</f>
        <v>L6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X23">
        <v>8</v>
      </c>
      <c r="DY23">
        <v>9</v>
      </c>
      <c r="DZ23">
        <v>10</v>
      </c>
      <c r="EA23">
        <v>11</v>
      </c>
      <c r="EB23">
        <v>12</v>
      </c>
      <c r="EC23">
        <v>13</v>
      </c>
      <c r="ED23" t="s">
        <v>2179</v>
      </c>
      <c r="EE23" t="s">
        <v>2179</v>
      </c>
      <c r="EF23" t="s">
        <v>2179</v>
      </c>
      <c r="EG23" t="s">
        <v>2179</v>
      </c>
      <c r="EH23" t="s">
        <v>2179</v>
      </c>
      <c r="EI23" t="s">
        <v>2179</v>
      </c>
      <c r="EJ23" t="s">
        <v>2179</v>
      </c>
      <c r="EK23" t="s">
        <v>2179</v>
      </c>
      <c r="EL23" t="s">
        <v>2179</v>
      </c>
      <c r="EM23" t="s">
        <v>2179</v>
      </c>
      <c r="EN23" t="s">
        <v>2179</v>
      </c>
      <c r="EO23" t="s">
        <v>2179</v>
      </c>
      <c r="EP23" t="s">
        <v>2179</v>
      </c>
      <c r="EQ23" s="16" t="s">
        <v>2179</v>
      </c>
      <c r="MA23" t="str">
        <f t="shared" si="17"/>
        <v>DI2-B22</v>
      </c>
    </row>
    <row r="24" spans="1:615" x14ac:dyDescent="0.25">
      <c r="A24" s="58" t="s">
        <v>2072</v>
      </c>
      <c r="B24" s="61" t="s">
        <v>2071</v>
      </c>
      <c r="P24" t="s">
        <v>2124</v>
      </c>
      <c r="T24" s="14" t="s">
        <v>2041</v>
      </c>
      <c r="U24">
        <v>14</v>
      </c>
      <c r="V24" t="s">
        <v>2089</v>
      </c>
      <c r="AC24" t="str">
        <f t="shared" si="20"/>
        <v>A5.2</v>
      </c>
      <c r="AD24" s="46">
        <f t="array" ref="AD24">IF(COUNTIFS(AC$2:AC24,AC24)=1,"1",VALUE(SUBSTITUTE(INDEX(AD:AD,_xlfn.XMATCH(AC24,AC$1:AC23,0,-1)),"A",""))+INDEX(AE:AE,_xlfn.XMATCH(AC24,AC$1:AC23,0,-1))+1)</f>
        <v>27</v>
      </c>
      <c r="AE24" s="46">
        <f t="array" ref="AE24">SUM(IF(ISNUMBER(FIND("TmDi",$BE$1:$AAQ$1)),IF(IFERROR(ISNUMBER(VALUE(SUBSTITUTE($BE24:$AAQ24,"B",""))),FALSE),IF(ISNUMBER(VALUE(SUBSTITUTE($BE24:$AAQ24,"B",""))),1,0),0)))</f>
        <v>3</v>
      </c>
      <c r="AF24" t="str">
        <f t="shared" si="47"/>
        <v>C27</v>
      </c>
      <c r="AG24" t="str">
        <f t="shared" si="48"/>
        <v>B27</v>
      </c>
      <c r="AH24" t="str">
        <f>IF(AI23+AJ23&gt;27,REPLACE(AH23,LEN(AH23),1,VALUE(RIGHT(AH23,1))+1),AH23)</f>
        <v>A6.2</v>
      </c>
      <c r="AI24" s="64">
        <f t="array" ref="AI24">IF(COUNTIFS(AH$2:AH24,AH24)=1,"1",VALUE(SUBSTITUTE(INDEX(AI:AI,_xlfn.XMATCH(AH24,AH$1:AH23,0,-1)),"A",""))+INDEX(AJ:AJ,_xlfn.XMATCH(AH24,AH$1:AH23,0,-1))+1)</f>
        <v>4</v>
      </c>
      <c r="AJ24" s="64">
        <f t="array" ref="AJ24">SUM(IF(ISNUMBER(FIND("TmDo",$BE$1:$AAQ$1)),IF(IFERROR(ISNUMBER(VALUE(SUBSTITUTE($BE24:$AAQ24,"B",""))),FALSE),IF(ISNUMBER(VALUE(SUBSTITUTE($BE24:$AAQ24,"B",""))),1,0),0)))</f>
        <v>2</v>
      </c>
      <c r="AK24" t="str">
        <f t="shared" si="11"/>
        <v>4A</v>
      </c>
      <c r="AL24" t="str">
        <f t="shared" si="12"/>
        <v>4B</v>
      </c>
      <c r="AM24" t="s">
        <v>141</v>
      </c>
      <c r="AP24" t="s">
        <v>2043</v>
      </c>
      <c r="AQ24" t="s">
        <v>2094</v>
      </c>
      <c r="AT24" t="s">
        <v>139</v>
      </c>
      <c r="AU24" t="s">
        <v>140</v>
      </c>
      <c r="BE24" s="27" t="str">
        <f t="shared" si="21"/>
        <v>XT14</v>
      </c>
      <c r="BF24" t="str">
        <f t="shared" si="22"/>
        <v>C28</v>
      </c>
      <c r="BG24" t="str">
        <f t="shared" si="23"/>
        <v>B28</v>
      </c>
      <c r="BH24" t="str">
        <f t="shared" si="24"/>
        <v>C29</v>
      </c>
      <c r="BI24" t="str">
        <f t="shared" si="25"/>
        <v>B29</v>
      </c>
      <c r="BJ24" t="str">
        <f t="shared" si="26"/>
        <v>C30</v>
      </c>
      <c r="BK24" t="str">
        <f t="shared" si="27"/>
        <v>B30</v>
      </c>
      <c r="BP24" t="str">
        <f t="shared" si="28"/>
        <v>5A</v>
      </c>
      <c r="BQ24" t="str">
        <f t="shared" si="29"/>
        <v>5B</v>
      </c>
      <c r="BR24" t="str">
        <f t="shared" si="30"/>
        <v>6A</v>
      </c>
      <c r="BS24" t="str">
        <f t="shared" si="31"/>
        <v>6B</v>
      </c>
      <c r="BT24" t="str">
        <f t="shared" si="32"/>
        <v>DI2-C27</v>
      </c>
      <c r="BU24" t="str">
        <f t="shared" si="32"/>
        <v>DI2-B27</v>
      </c>
      <c r="BV24" t="str">
        <f t="shared" si="33"/>
        <v>DI2-C28</v>
      </c>
      <c r="BW24" t="str">
        <f t="shared" si="33"/>
        <v>DI2-B28</v>
      </c>
      <c r="BX24" t="str">
        <f t="shared" si="33"/>
        <v>DI2-C29</v>
      </c>
      <c r="BY24" t="str">
        <f t="shared" si="33"/>
        <v>DI2-B29</v>
      </c>
      <c r="BZ24" t="str">
        <f t="shared" si="33"/>
        <v>DI2-C30</v>
      </c>
      <c r="CA24" t="str">
        <f t="shared" si="33"/>
        <v>DI2-B30</v>
      </c>
      <c r="CB24" t="str">
        <f t="shared" si="33"/>
        <v>DI2-</v>
      </c>
      <c r="CC24" t="str">
        <f t="shared" si="33"/>
        <v>DI2-</v>
      </c>
      <c r="CD24" t="str">
        <f t="shared" si="33"/>
        <v>DI2-</v>
      </c>
      <c r="CE24" t="str">
        <f t="shared" si="33"/>
        <v>DI2-</v>
      </c>
      <c r="CF24" t="str">
        <f t="shared" si="34"/>
        <v>DO2-4A</v>
      </c>
      <c r="CG24" t="str">
        <f t="shared" si="34"/>
        <v>DO2-4B</v>
      </c>
      <c r="CH24" t="str">
        <f t="shared" si="35"/>
        <v>DO2-5A</v>
      </c>
      <c r="CI24" t="str">
        <f t="shared" si="35"/>
        <v>DO2-5B</v>
      </c>
      <c r="CJ24" t="str">
        <f t="shared" si="35"/>
        <v>DO2-6A</v>
      </c>
      <c r="CK24" t="str">
        <f t="shared" si="35"/>
        <v>DO2-6B</v>
      </c>
      <c r="CL24" t="str">
        <f t="shared" si="49"/>
        <v>K14-10</v>
      </c>
      <c r="CM24" t="str">
        <f t="shared" si="50"/>
        <v>K14-03</v>
      </c>
      <c r="CN24" t="str">
        <f t="shared" si="51"/>
        <v>K14-04</v>
      </c>
      <c r="CO24" t="str">
        <f t="shared" si="52"/>
        <v>K14-01</v>
      </c>
      <c r="CP24" t="str">
        <f t="shared" si="53"/>
        <v>K14-08</v>
      </c>
      <c r="CQ24" t="str">
        <f t="shared" si="54"/>
        <v>K14-02</v>
      </c>
      <c r="CR24" t="str">
        <f t="shared" si="55"/>
        <v>K14-09</v>
      </c>
      <c r="CS24" t="str">
        <f t="shared" si="56"/>
        <v>K14-05</v>
      </c>
      <c r="CT24" t="str">
        <f t="shared" si="57"/>
        <v>K14-11</v>
      </c>
      <c r="CU24" t="str">
        <f t="shared" si="36"/>
        <v>E2-M14-A9</v>
      </c>
      <c r="CV24" t="str">
        <f t="shared" si="58"/>
        <v>E2-M14-A7</v>
      </c>
      <c r="CW24" t="str">
        <f t="shared" si="59"/>
        <v>E2-M14-A8</v>
      </c>
      <c r="CX24" t="str">
        <f t="shared" si="37"/>
        <v>E2-M14-A6</v>
      </c>
      <c r="CY24" t="str">
        <f t="shared" si="38"/>
        <v>E2-M14-A30</v>
      </c>
      <c r="CZ24" t="str">
        <f t="shared" si="60"/>
        <v>E2-M14-N</v>
      </c>
      <c r="DA24" t="str">
        <f t="shared" si="39"/>
        <v>E2-A220-M14</v>
      </c>
      <c r="DB24" t="str">
        <f t="shared" si="40"/>
        <v>E2-M14-XM01</v>
      </c>
      <c r="DC24" t="str">
        <f t="shared" si="41"/>
        <v>E2-M14-A1</v>
      </c>
      <c r="DD24" t="str">
        <f t="shared" si="42"/>
        <v>E2-M14-A5</v>
      </c>
      <c r="DE24" t="str">
        <f t="shared" si="43"/>
        <v>E2-M14-A11</v>
      </c>
      <c r="DF24" t="str">
        <f t="shared" si="44"/>
        <v>E2-M14-A12</v>
      </c>
      <c r="DG24" t="str">
        <f t="shared" si="45"/>
        <v>E2-M14-A19</v>
      </c>
      <c r="DH24" t="str">
        <f t="shared" si="46"/>
        <v>E2-M14-A20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15</v>
      </c>
      <c r="EM24">
        <v>16</v>
      </c>
      <c r="EN24">
        <v>16</v>
      </c>
      <c r="EO24">
        <v>22</v>
      </c>
      <c r="EP24">
        <v>23</v>
      </c>
      <c r="EQ24" s="16">
        <v>24</v>
      </c>
      <c r="MA24" t="str">
        <f t="shared" si="17"/>
        <v>DI2-B27</v>
      </c>
    </row>
    <row r="25" spans="1:615" x14ac:dyDescent="0.25">
      <c r="A25" s="58" t="s">
        <v>2074</v>
      </c>
      <c r="B25" s="61" t="s">
        <v>2073</v>
      </c>
      <c r="P25" t="s">
        <v>2124</v>
      </c>
      <c r="T25" s="14" t="s">
        <v>2041</v>
      </c>
      <c r="U25">
        <v>15</v>
      </c>
      <c r="V25" t="s">
        <v>2090</v>
      </c>
      <c r="AC25" t="s">
        <v>262</v>
      </c>
      <c r="AD25" s="46" t="str">
        <f t="array" ref="AD25">IF(COUNTIFS(AC$2:AC25,AC25)=1,"1",VALUE(SUBSTITUTE(INDEX(AD:AD,_xlfn.XMATCH(AC25,AC$1:AC24,0,-1)),"A",""))+INDEX(AE:AE,_xlfn.XMATCH(AC25,AC$1:AC24,0,-1))+1)</f>
        <v>1</v>
      </c>
      <c r="AE25" s="46">
        <f t="array" ref="AE25">SUM(IF(ISNUMBER(FIND("TmDi",$BE$1:$AAQ$1)),IF(IFERROR(ISNUMBER(VALUE(SUBSTITUTE($BE25:$AAQ25,"B",""))),FALSE),IF(ISNUMBER(VALUE(SUBSTITUTE($BE25:$AAQ25,"B",""))),1,0),0)))</f>
        <v>3</v>
      </c>
      <c r="AF25" t="str">
        <f t="shared" si="47"/>
        <v>C1</v>
      </c>
      <c r="AG25" t="str">
        <f t="shared" si="48"/>
        <v>B1</v>
      </c>
      <c r="AH25" t="str">
        <f>IF(AI24+AJ24&gt;27,REPLACE(AH24,LEN(AH24),1,VALUE(RIGHT(AH24,1))+1),AH24)</f>
        <v>A6.2</v>
      </c>
      <c r="AI25" s="64">
        <f t="array" ref="AI25">IF(COUNTIFS(AH$2:AH25,AH25)=1,"1",VALUE(SUBSTITUTE(INDEX(AI:AI,_xlfn.XMATCH(AH25,AH$1:AH24,0,-1)),"A",""))+INDEX(AJ:AJ,_xlfn.XMATCH(AH25,AH$1:AH24,0,-1))+1)</f>
        <v>7</v>
      </c>
      <c r="AJ25" s="64">
        <f t="array" ref="AJ25">SUM(IF(ISNUMBER(FIND("TmDo",$BE$1:$AAQ$1)),IF(IFERROR(ISNUMBER(VALUE(SUBSTITUTE($BE25:$AAQ25,"B",""))),FALSE),IF(ISNUMBER(VALUE(SUBSTITUTE($BE25:$AAQ25,"B",""))),1,0),0)))</f>
        <v>2</v>
      </c>
      <c r="AK25" t="str">
        <f t="shared" si="11"/>
        <v>7A</v>
      </c>
      <c r="AL25" t="str">
        <f t="shared" si="12"/>
        <v>7B</v>
      </c>
      <c r="AM25" t="s">
        <v>150</v>
      </c>
      <c r="AP25" t="s">
        <v>2043</v>
      </c>
      <c r="AQ25" t="s">
        <v>2094</v>
      </c>
      <c r="AT25" t="s">
        <v>139</v>
      </c>
      <c r="AU25" t="s">
        <v>140</v>
      </c>
      <c r="BE25" s="27" t="str">
        <f t="shared" si="21"/>
        <v>XT15</v>
      </c>
      <c r="BF25" t="str">
        <f t="shared" si="22"/>
        <v>C2</v>
      </c>
      <c r="BG25" t="str">
        <f t="shared" si="23"/>
        <v>B2</v>
      </c>
      <c r="BH25" t="str">
        <f t="shared" si="24"/>
        <v>C3</v>
      </c>
      <c r="BI25" t="str">
        <f t="shared" si="25"/>
        <v>B3</v>
      </c>
      <c r="BJ25" t="str">
        <f t="shared" si="26"/>
        <v>C4</v>
      </c>
      <c r="BK25" t="str">
        <f t="shared" si="27"/>
        <v>B4</v>
      </c>
      <c r="BP25" t="str">
        <f t="shared" si="28"/>
        <v>8A</v>
      </c>
      <c r="BQ25" t="str">
        <f t="shared" si="29"/>
        <v>8B</v>
      </c>
      <c r="BR25" t="str">
        <f t="shared" si="30"/>
        <v>9A</v>
      </c>
      <c r="BS25" t="str">
        <f t="shared" si="31"/>
        <v>9B</v>
      </c>
      <c r="BT25" t="str">
        <f t="shared" si="32"/>
        <v>DI3-C1</v>
      </c>
      <c r="BU25" t="str">
        <f t="shared" si="32"/>
        <v>DI3-B1</v>
      </c>
      <c r="BV25" t="str">
        <f t="shared" si="33"/>
        <v>DI3-C2</v>
      </c>
      <c r="BW25" t="str">
        <f t="shared" si="33"/>
        <v>DI3-B2</v>
      </c>
      <c r="BX25" t="str">
        <f t="shared" si="33"/>
        <v>DI3-C3</v>
      </c>
      <c r="BY25" t="str">
        <f t="shared" si="33"/>
        <v>DI3-B3</v>
      </c>
      <c r="BZ25" t="str">
        <f t="shared" si="33"/>
        <v>DI3-C4</v>
      </c>
      <c r="CA25" t="str">
        <f t="shared" si="33"/>
        <v>DI3-B4</v>
      </c>
      <c r="CB25" t="str">
        <f t="shared" si="33"/>
        <v>DI3-</v>
      </c>
      <c r="CC25" t="str">
        <f t="shared" si="33"/>
        <v>DI3-</v>
      </c>
      <c r="CD25" t="str">
        <f t="shared" si="33"/>
        <v>DI3-</v>
      </c>
      <c r="CE25" t="str">
        <f t="shared" si="33"/>
        <v>DI3-</v>
      </c>
      <c r="CF25" t="str">
        <f t="shared" si="34"/>
        <v>DO2-7A</v>
      </c>
      <c r="CG25" t="str">
        <f t="shared" si="34"/>
        <v>DO2-7B</v>
      </c>
      <c r="CH25" t="str">
        <f t="shared" si="35"/>
        <v>DO2-8A</v>
      </c>
      <c r="CI25" t="str">
        <f t="shared" si="35"/>
        <v>DO2-8B</v>
      </c>
      <c r="CJ25" t="str">
        <f t="shared" si="35"/>
        <v>DO2-9A</v>
      </c>
      <c r="CK25" t="str">
        <f t="shared" si="35"/>
        <v>DO2-9B</v>
      </c>
      <c r="CL25" t="str">
        <f t="shared" si="49"/>
        <v>K15-10</v>
      </c>
      <c r="CM25" t="str">
        <f t="shared" si="50"/>
        <v>K15-03</v>
      </c>
      <c r="CN25" t="str">
        <f t="shared" si="51"/>
        <v>K15-04</v>
      </c>
      <c r="CO25" t="str">
        <f t="shared" si="52"/>
        <v>K15-01</v>
      </c>
      <c r="CP25" t="str">
        <f t="shared" si="53"/>
        <v>K15-08</v>
      </c>
      <c r="CQ25" t="str">
        <f t="shared" si="54"/>
        <v>K15-02</v>
      </c>
      <c r="CR25" t="str">
        <f t="shared" si="55"/>
        <v>K15-09</v>
      </c>
      <c r="CS25" t="str">
        <f t="shared" si="56"/>
        <v>K15-05</v>
      </c>
      <c r="CT25" t="str">
        <f t="shared" si="57"/>
        <v>K15-11</v>
      </c>
      <c r="CU25" t="str">
        <f t="shared" si="36"/>
        <v>E2-M15-A9</v>
      </c>
      <c r="CV25" t="str">
        <f t="shared" si="58"/>
        <v>E2-M15-A7</v>
      </c>
      <c r="CW25" t="str">
        <f t="shared" si="59"/>
        <v>E2-M15-A8</v>
      </c>
      <c r="CX25" t="str">
        <f t="shared" si="37"/>
        <v>E2-M15-A6</v>
      </c>
      <c r="CY25" t="str">
        <f t="shared" si="38"/>
        <v>E2-M15-A30</v>
      </c>
      <c r="CZ25" t="str">
        <f t="shared" si="60"/>
        <v>E2-M15-N</v>
      </c>
      <c r="DA25" t="str">
        <f t="shared" si="39"/>
        <v>E2-A220-M15</v>
      </c>
      <c r="DB25" t="str">
        <f t="shared" si="40"/>
        <v>E2-M15-XM01</v>
      </c>
      <c r="DC25" t="str">
        <f t="shared" si="41"/>
        <v>E2-M15-A1</v>
      </c>
      <c r="DD25" t="str">
        <f t="shared" si="42"/>
        <v>E2-M15-A5</v>
      </c>
      <c r="DE25" t="str">
        <f t="shared" si="43"/>
        <v>E2-M15-A11</v>
      </c>
      <c r="DF25" t="str">
        <f t="shared" si="44"/>
        <v>E2-M15-A12</v>
      </c>
      <c r="DG25" t="str">
        <f t="shared" si="45"/>
        <v>E2-M15-A19</v>
      </c>
      <c r="DH25" t="str">
        <f t="shared" si="46"/>
        <v>E2-M15-A20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15</v>
      </c>
      <c r="EM25">
        <v>16</v>
      </c>
      <c r="EN25">
        <v>16</v>
      </c>
      <c r="EO25">
        <v>22</v>
      </c>
      <c r="EP25">
        <v>23</v>
      </c>
      <c r="EQ25" s="16">
        <v>24</v>
      </c>
      <c r="MA25" t="str">
        <f t="shared" si="17"/>
        <v>DI3-B1</v>
      </c>
    </row>
    <row r="26" spans="1:615" x14ac:dyDescent="0.25">
      <c r="A26" s="58" t="s">
        <v>2076</v>
      </c>
      <c r="B26" s="61" t="s">
        <v>2075</v>
      </c>
      <c r="P26" t="s">
        <v>281</v>
      </c>
      <c r="T26" s="14" t="s">
        <v>2041</v>
      </c>
      <c r="U26">
        <v>16</v>
      </c>
      <c r="V26" t="s">
        <v>2091</v>
      </c>
      <c r="W26" t="s">
        <v>2092</v>
      </c>
      <c r="AC26" t="str">
        <f t="shared" si="20"/>
        <v>A5.3</v>
      </c>
      <c r="AD26" s="46">
        <f t="array" ref="AD26">IF(COUNTIFS(AC$2:AC26,AC26)=1,"1",VALUE(SUBSTITUTE(INDEX(AD:AD,_xlfn.XMATCH(AC26,AC$1:AC25,0,-1)),"A",""))+INDEX(AE:AE,_xlfn.XMATCH(AC26,AC$1:AC25,0,-1))+1)</f>
        <v>5</v>
      </c>
      <c r="AE26" s="46">
        <f t="array" ref="AE26">SUM(IF(ISNUMBER(FIND("TmDi",$BE$1:$AAQ$1)),IF(IFERROR(ISNUMBER(VALUE(SUBSTITUTE($BE26:$AAQ26,"B",""))),FALSE),IF(ISNUMBER(VALUE(SUBSTITUTE($BE26:$AAQ26,"B",""))),1,0),0)))</f>
        <v>2</v>
      </c>
      <c r="AF26" t="str">
        <f t="shared" si="47"/>
        <v>C5</v>
      </c>
      <c r="AG26" t="str">
        <f t="shared" si="48"/>
        <v>B5</v>
      </c>
      <c r="AH26" t="str">
        <f>IF(AI25+AJ25&gt;27,REPLACE(AH25,LEN(AH25),1,VALUE(RIGHT(AH25,1))+1),AH25)</f>
        <v>A6.2</v>
      </c>
      <c r="AI26" s="64">
        <f t="array" ref="AI26">IF(COUNTIFS(AH$2:AH26,AH26)=1,"1",VALUE(SUBSTITUTE(INDEX(AI:AI,_xlfn.XMATCH(AH26,AH$1:AH25,0,-1)),"A",""))+INDEX(AJ:AJ,_xlfn.XMATCH(AH26,AH$1:AH25,0,-1))+1)</f>
        <v>10</v>
      </c>
      <c r="AJ26" s="64">
        <f t="array" ref="AJ26">SUM(IF(ISNUMBER(FIND("TmDo",$BE$1:$AAQ$1)),IF(IFERROR(ISNUMBER(VALUE(SUBSTITUTE($BE26:$AAQ26,"B",""))),FALSE),IF(ISNUMBER(VALUE(SUBSTITUTE($BE26:$AAQ26,"B",""))),1,0),0)))</f>
        <v>1</v>
      </c>
      <c r="AK26" t="str">
        <f t="shared" si="11"/>
        <v>10A</v>
      </c>
      <c r="AL26" t="str">
        <f t="shared" si="12"/>
        <v>10B</v>
      </c>
      <c r="AM26" t="s">
        <v>155</v>
      </c>
      <c r="AP26" t="s">
        <v>2043</v>
      </c>
      <c r="AQ26" t="s">
        <v>2094</v>
      </c>
      <c r="AT26" t="s">
        <v>139</v>
      </c>
      <c r="AU26" t="s">
        <v>140</v>
      </c>
      <c r="ER26" s="27" t="str">
        <f>CONCATENATE("XT",U26)</f>
        <v>XT16</v>
      </c>
      <c r="ES26" t="str">
        <f>CONCATENATE("C",REPLACE(AF26,1,1,"")+1)</f>
        <v>C6</v>
      </c>
      <c r="ET26" t="str">
        <f>CONCATENATE("B",REPLACE(AG26,1,1,"")+1)</f>
        <v>B6</v>
      </c>
      <c r="EU26" t="str">
        <f>CONCATENATE("C",REPLACE(ES26,1,1,"")+1)</f>
        <v>C7</v>
      </c>
      <c r="EV26" t="str">
        <f>CONCATENATE("B",REPLACE(ET26,1,1,"")+1)</f>
        <v>B7</v>
      </c>
      <c r="EW26" t="str">
        <f>CONCATENATE(REPLACE(AK26,LEN(AK26),1,"")+1,"A")</f>
        <v>11A</v>
      </c>
      <c r="EX26" t="str">
        <f>CONCATENATE(REPLACE(AL26,LEN(AL26),1,"")+1,"B")</f>
        <v>11B</v>
      </c>
      <c r="EY26" t="str">
        <f>CONCATENATE("DI",REPLACE($AC26,1,3,""),"-",AF26)</f>
        <v>DI3-C5</v>
      </c>
      <c r="EZ26" t="str">
        <f>CONCATENATE("DI",REPLACE($AC26,1,3,""),"-",AG26)</f>
        <v>DI3-B5</v>
      </c>
      <c r="FA26" t="str">
        <f>CONCATENATE("DI",REPLACE($AC26,1,3,""),"-",ES26)</f>
        <v>DI3-C6</v>
      </c>
      <c r="FB26" t="str">
        <f>CONCATENATE("DI",REPLACE($AC26,1,3,""),"-",ET26)</f>
        <v>DI3-B6</v>
      </c>
      <c r="FC26" t="str">
        <f>CONCATENATE("DI",REPLACE($AC26,1,3,""),"-",EU26)</f>
        <v>DI3-C7</v>
      </c>
      <c r="FD26" t="str">
        <f>CONCATENATE("DI",REPLACE($AC26,1,3,""),"-",EV26)</f>
        <v>DI3-B7</v>
      </c>
      <c r="FE26" t="str">
        <f>CONCATENATE("DO",REPLACE($AH26,1,3,""),"-",AK26)</f>
        <v>DO2-10A</v>
      </c>
      <c r="FF26" t="str">
        <f>CONCATENATE("DO",REPLACE($AH26,1,3,""),"-",AL26)</f>
        <v>DO2-10B</v>
      </c>
      <c r="FG26" t="str">
        <f>CONCATENATE("DO",REPLACE($AH26,1,3,""),"-",EW26)</f>
        <v>DO2-11A</v>
      </c>
      <c r="FH26" t="str">
        <f>CONCATENATE("DO",REPLACE($AH26,1,3,""),"-",EX26)</f>
        <v>DO2-11B</v>
      </c>
      <c r="FI26" t="str">
        <f>CONCATENATE("K",$U26,"-03")</f>
        <v>K16-03</v>
      </c>
      <c r="FJ26" t="str">
        <f>CONCATENATE("K",$U26,"-04")</f>
        <v>K16-04</v>
      </c>
      <c r="FK26" t="str">
        <f>CONCATENATE("K",$U26,"-01")</f>
        <v>K16-01</v>
      </c>
      <c r="FL26" t="str">
        <f>CONCATENATE("K",$U26,"-02")</f>
        <v>K16-02</v>
      </c>
      <c r="FM26" t="str">
        <f>CONCATENATE("K",$U26,"-05")</f>
        <v>K16-05</v>
      </c>
      <c r="FN26" t="str">
        <f>CONCATENATE($T26,"-M",$U26,"-H1")</f>
        <v>E2-M16-H1</v>
      </c>
      <c r="FO26" t="str">
        <f>CONCATENATE($T26,"-M",$U26,"-A1")</f>
        <v>E2-M16-A1</v>
      </c>
      <c r="FP26" t="str">
        <f>CONCATENATE($T26,"-M",$U26,"-3")</f>
        <v>E2-M16-3</v>
      </c>
      <c r="FQ26" t="str">
        <f>CONCATENATE($T26,"-M",$U26,"-2")</f>
        <v>E2-M16-2</v>
      </c>
      <c r="FR26" t="str">
        <f>CONCATENATE($T26,"-M",$U26,"-16")</f>
        <v>E2-M16-16</v>
      </c>
      <c r="FS26" t="str">
        <f>CONCATENATE($T26,"-M",$U26,"-15")</f>
        <v>E2-M16-15</v>
      </c>
      <c r="FT26" t="str">
        <f>CONCATENATE($T26,"-A220-M",$U26,)</f>
        <v>E2-A220-M16</v>
      </c>
      <c r="FU26" t="str">
        <f>CONCATENATE($T26,"-M",$U26,"-XM01")</f>
        <v>E2-M16-XM01</v>
      </c>
      <c r="FV26" t="s">
        <v>142</v>
      </c>
      <c r="FW26" t="s">
        <v>143</v>
      </c>
      <c r="FX26">
        <v>11</v>
      </c>
      <c r="FY26">
        <v>14</v>
      </c>
      <c r="FZ26" t="s">
        <v>145</v>
      </c>
      <c r="GA26" t="s">
        <v>144</v>
      </c>
      <c r="GB26">
        <v>1</v>
      </c>
      <c r="GC26">
        <v>2</v>
      </c>
      <c r="GD26">
        <v>3</v>
      </c>
      <c r="GE26">
        <v>4</v>
      </c>
      <c r="GF26">
        <v>5</v>
      </c>
      <c r="GG26">
        <v>6</v>
      </c>
      <c r="GH26">
        <v>7</v>
      </c>
      <c r="GI26">
        <v>8</v>
      </c>
      <c r="GJ26">
        <v>9</v>
      </c>
      <c r="GK26">
        <v>1</v>
      </c>
      <c r="GL26">
        <v>2</v>
      </c>
      <c r="GM26">
        <v>3</v>
      </c>
      <c r="GN26">
        <v>4</v>
      </c>
      <c r="GO26">
        <v>5</v>
      </c>
      <c r="GP26">
        <v>1</v>
      </c>
      <c r="GQ26">
        <v>2</v>
      </c>
      <c r="GR26">
        <v>4</v>
      </c>
      <c r="GS26" s="16">
        <v>5</v>
      </c>
      <c r="MA26" t="str">
        <f t="shared" si="17"/>
        <v>DI3-B5</v>
      </c>
    </row>
    <row r="27" spans="1:615" ht="15.75" thickBot="1" x14ac:dyDescent="0.3">
      <c r="A27" s="58" t="s">
        <v>2025</v>
      </c>
      <c r="B27" s="61" t="s">
        <v>2000</v>
      </c>
      <c r="P27" t="s">
        <v>1378</v>
      </c>
      <c r="T27" s="14" t="s">
        <v>2041</v>
      </c>
      <c r="U27">
        <v>17</v>
      </c>
      <c r="V27" t="s">
        <v>2084</v>
      </c>
      <c r="AC27" t="str">
        <f>IF(AD26+AE26&gt;31,REPLACE(AC26,LEN(AC26),1,VALUE(RIGHT(AC26,1))+1),AC26)</f>
        <v>A5.3</v>
      </c>
      <c r="AD27" s="46">
        <f t="array" ref="AD27">IF(COUNTIFS(AC$2:AC27,AC27)=1,"1",VALUE(SUBSTITUTE(INDEX(AD:AD,_xlfn.XMATCH(AC27,AC$1:AC26,0,-1)),"A",""))+INDEX(AE:AE,_xlfn.XMATCH(AC27,AC$1:AC26,0,-1))+1)</f>
        <v>8</v>
      </c>
      <c r="AE27" s="46">
        <f t="array" ref="AE27">SUM(IF(ISNUMBER(FIND("TmDi",$BE$1:$AAQ$1)),IF(IFERROR(ISNUMBER(VALUE(SUBSTITUTE($BE27:$AAQ27,"B",""))),FALSE),IF(ISNUMBER(VALUE(SUBSTITUTE($BE27:$AAQ27,"B",""))),1,0),0)))</f>
        <v>0</v>
      </c>
      <c r="AF27" t="str">
        <f t="shared" si="47"/>
        <v>C8</v>
      </c>
      <c r="AG27" t="str">
        <f t="shared" si="48"/>
        <v>B8</v>
      </c>
      <c r="AP27" t="s">
        <v>2043</v>
      </c>
      <c r="AQ27" t="s">
        <v>2095</v>
      </c>
      <c r="AT27" t="s">
        <v>139</v>
      </c>
      <c r="AU27" t="s">
        <v>140</v>
      </c>
      <c r="MA27" t="str">
        <f t="shared" si="17"/>
        <v>DI3-B8</v>
      </c>
    </row>
    <row r="28" spans="1:615" ht="15.75" thickBot="1" x14ac:dyDescent="0.3">
      <c r="A28" s="58" t="s">
        <v>2026</v>
      </c>
      <c r="B28" t="s">
        <v>1997</v>
      </c>
      <c r="P28" t="s">
        <v>2097</v>
      </c>
      <c r="T28" s="14" t="s">
        <v>2041</v>
      </c>
      <c r="U28">
        <v>17</v>
      </c>
      <c r="V28" t="s">
        <v>2093</v>
      </c>
      <c r="AC28" t="str">
        <f>IF(AD27+AE27&gt;31,REPLACE(AC27,LEN(AC27),1,VALUE(RIGHT(AC27,1))+1),AC27)</f>
        <v>A5.3</v>
      </c>
      <c r="AD28" s="46">
        <f t="array" ref="AD28">IF(COUNTIFS(AC$2:AC28,AC28)=1,"1",VALUE(SUBSTITUTE(INDEX(AD:AD,_xlfn.XMATCH(AC28,AC$1:AC27,0,-1)),"A",""))+INDEX(AE:AE,_xlfn.XMATCH(AC28,AC$1:AC27,0,-1))+1)</f>
        <v>9</v>
      </c>
      <c r="AE28" s="46">
        <f t="array" ref="AE28">SUM(IF(ISNUMBER(FIND("TmDi",$BE$1:$AAQ$1)),IF(IFERROR(ISNUMBER(VALUE(SUBSTITUTE($BE28:$AAQ28,"B",""))),FALSE),IF(ISNUMBER(VALUE(SUBSTITUTE($BE28:$AAQ28,"B",""))),1,0),0)))</f>
        <v>1</v>
      </c>
      <c r="AF28" t="str">
        <f t="shared" si="47"/>
        <v>C9</v>
      </c>
      <c r="AG28" t="str">
        <f t="shared" si="48"/>
        <v>B9</v>
      </c>
      <c r="AP28" t="s">
        <v>2043</v>
      </c>
      <c r="AQ28" t="s">
        <v>2096</v>
      </c>
      <c r="AT28" t="s">
        <v>139</v>
      </c>
      <c r="AU28" t="s">
        <v>140</v>
      </c>
      <c r="MA28" t="str">
        <f t="shared" si="17"/>
        <v>DI3-B9</v>
      </c>
      <c r="VO28" s="39" t="s">
        <v>2101</v>
      </c>
      <c r="VP28" s="23" t="s">
        <v>2102</v>
      </c>
      <c r="VQ28" s="23" t="str">
        <f>CONCATENATE("XT",U28)</f>
        <v>XT17</v>
      </c>
      <c r="VR28" s="23">
        <v>4</v>
      </c>
      <c r="VS28" s="23">
        <f>VR28+1</f>
        <v>5</v>
      </c>
      <c r="VT28" s="23">
        <f>VS28+1</f>
        <v>6</v>
      </c>
      <c r="VU28" s="23">
        <f>VT28+1</f>
        <v>7</v>
      </c>
      <c r="VV28" s="23" t="str">
        <f>CONCATENATE("B",REPLACE($AF28,1,1,"")+1)</f>
        <v>B10</v>
      </c>
      <c r="VW28" s="23" t="str">
        <f>CONCATENATE("C",REPLACE($AG28,1,1,"")+1)</f>
        <v>C10</v>
      </c>
      <c r="VX28" s="23" t="str">
        <f>CONCATENATE("DI",REPLACE($AC28,1,3,""),"-",$AG28)</f>
        <v>DI3-B9</v>
      </c>
      <c r="VY28" s="23" t="str">
        <f>CONCATENATE("DI",REPLACE($AC28,1,3,""),"-",$AF28)</f>
        <v>DI3-C9</v>
      </c>
      <c r="VZ28" s="23" t="str">
        <f>CONCATENATE("DI",REPLACE($AC28,1,3,""),"-",VV28)</f>
        <v>DI3-B10</v>
      </c>
      <c r="WA28" s="23" t="str">
        <f>CONCATENATE("DI",REPLACE($AC28,1,3,""),"-",VW28)</f>
        <v>DI3-C10</v>
      </c>
      <c r="WB28" s="23" t="str">
        <f>CONCATENATE($T28,"-DI",REPLACE($AC28,1,3,""),"-",$AF28)</f>
        <v>E2-DI3-C9</v>
      </c>
      <c r="WC28" s="23" t="str">
        <f>CONCATENATE($T28,"-DI",REPLACE($AC28,1,3,""),"-",VW28)</f>
        <v>E2-DI3-C10</v>
      </c>
      <c r="WD28" s="23" t="s">
        <v>2105</v>
      </c>
      <c r="WE28" s="23" t="s">
        <v>2106</v>
      </c>
      <c r="WF28" s="23">
        <v>11</v>
      </c>
      <c r="WG28" s="23">
        <v>14</v>
      </c>
      <c r="WH28" s="23" t="s">
        <v>142</v>
      </c>
      <c r="WI28" s="23" t="s">
        <v>143</v>
      </c>
      <c r="WJ28" s="23" t="s">
        <v>414</v>
      </c>
      <c r="WK28" s="23" t="s">
        <v>413</v>
      </c>
      <c r="WL28" s="23">
        <v>21</v>
      </c>
      <c r="WM28" s="23">
        <v>24</v>
      </c>
      <c r="WN28" s="23">
        <v>21</v>
      </c>
      <c r="WO28" s="23">
        <v>24</v>
      </c>
      <c r="WP28" s="23" t="s">
        <v>2103</v>
      </c>
      <c r="WQ28" s="24" t="s">
        <v>2104</v>
      </c>
    </row>
    <row r="29" spans="1:615" ht="30.75" thickBot="1" x14ac:dyDescent="0.3">
      <c r="A29" t="s">
        <v>2077</v>
      </c>
      <c r="B29" t="s">
        <v>2078</v>
      </c>
      <c r="P29" t="s">
        <v>1939</v>
      </c>
      <c r="T29" s="27" t="s">
        <v>2041</v>
      </c>
      <c r="U29">
        <v>2</v>
      </c>
      <c r="V29" t="s">
        <v>2079</v>
      </c>
      <c r="AP29" t="s">
        <v>2043</v>
      </c>
      <c r="AQ29" t="s">
        <v>2080</v>
      </c>
      <c r="MA29" t="str">
        <f t="shared" si="17"/>
        <v>DI-</v>
      </c>
      <c r="TX29" s="62" t="s">
        <v>1947</v>
      </c>
      <c r="TY29" s="23" t="s">
        <v>1948</v>
      </c>
      <c r="TZ29" s="23" t="s">
        <v>1949</v>
      </c>
      <c r="UA29" s="23" t="s">
        <v>1950</v>
      </c>
      <c r="UB29" s="23" t="s">
        <v>1951</v>
      </c>
      <c r="UC29" s="23" t="s">
        <v>1952</v>
      </c>
      <c r="UD29" s="23" t="s">
        <v>1953</v>
      </c>
      <c r="UE29" s="23" t="s">
        <v>1954</v>
      </c>
      <c r="UF29" s="23" t="str">
        <f>CONCATENATE("XT",$U29)</f>
        <v>XT2</v>
      </c>
      <c r="UG29" s="23">
        <v>13</v>
      </c>
      <c r="UH29" s="23">
        <f>UG29+1</f>
        <v>14</v>
      </c>
      <c r="UI29" s="24">
        <f>UH29+1</f>
        <v>15</v>
      </c>
    </row>
    <row r="30" spans="1:615" ht="15.75" thickBot="1" x14ac:dyDescent="0.3">
      <c r="A30" t="s">
        <v>2081</v>
      </c>
      <c r="B30" t="s">
        <v>2078</v>
      </c>
      <c r="C30" t="s">
        <v>2083</v>
      </c>
      <c r="P30" t="s">
        <v>482</v>
      </c>
      <c r="T30" s="14" t="s">
        <v>2041</v>
      </c>
      <c r="U30">
        <v>2</v>
      </c>
      <c r="V30" t="s">
        <v>2082</v>
      </c>
      <c r="X30" t="s">
        <v>1996</v>
      </c>
      <c r="Y30" s="59">
        <f t="array" ref="Y30">IF(COUNTIFS($X$2:$X30,$X30)=1,"1",VALUE(SUBSTITUTE(INDEX(Y:Y,_xlfn.XMATCH($X30,$X$1:$X29,0,-1)),"A",""))+INDEX(Z:Z,_xlfn.XMATCH($X30,$X$1:$X29,0,-1))+1)</f>
        <v>6</v>
      </c>
      <c r="Z30">
        <f t="array" ref="Z30">SUM(IF(ISNUMBER(FIND("TmAi",$BE$1:$AAQ$1)),IF(IFERROR(ISODD(SUBSTITUTE($BE30:$AAQ30,"A","")),FALSE),IF(ISODD(SUBSTITUTE($BE30:$AAQ30,"A","")),1,0),0)))</f>
        <v>0</v>
      </c>
      <c r="AA30" t="str">
        <f>CONCATENATE($Y30*2-1,"B")</f>
        <v>11B</v>
      </c>
      <c r="AB30" t="str">
        <f>CONCATENATE($Y30*2,"B")</f>
        <v>12B</v>
      </c>
      <c r="AP30" t="s">
        <v>2043</v>
      </c>
      <c r="AS30" t="s">
        <v>396</v>
      </c>
      <c r="JZ30" s="28" t="str">
        <f>CONCATENATE("XT",U30)</f>
        <v>XT2</v>
      </c>
      <c r="KA30" s="19"/>
      <c r="KB30" s="19"/>
      <c r="KC30" s="19" t="str">
        <f>CONCATENATE($T30,"-AI",REPLACE($X30,1,3,""),"-",$AA30)</f>
        <v>E2-AI2-11B</v>
      </c>
      <c r="KD30" s="19" t="str">
        <f>CONCATENATE(T30,"-AI",REPLACE($X30,1,3,""),"-",AB30)</f>
        <v>E2-AI2-12B</v>
      </c>
      <c r="KE30" s="19"/>
      <c r="KF30" s="19"/>
      <c r="KG30" s="19"/>
      <c r="KH30" s="19"/>
      <c r="KI30" s="19">
        <v>1</v>
      </c>
      <c r="KJ30" s="19">
        <f>KI30+1</f>
        <v>2</v>
      </c>
      <c r="KK30" s="19">
        <f>KJ30+1</f>
        <v>3</v>
      </c>
      <c r="KL30" s="19"/>
      <c r="KM30" s="19"/>
      <c r="KN30" s="19">
        <v>1</v>
      </c>
      <c r="KO30" s="19">
        <v>2</v>
      </c>
      <c r="KP30" s="28"/>
      <c r="KQ30" s="19"/>
      <c r="KR30" s="19"/>
      <c r="KS30" s="20"/>
      <c r="MA30" t="str">
        <f t="shared" si="17"/>
        <v>DI-</v>
      </c>
    </row>
    <row r="31" spans="1:615" x14ac:dyDescent="0.25">
      <c r="A31" t="s">
        <v>2116</v>
      </c>
      <c r="B31" t="s">
        <v>2180</v>
      </c>
      <c r="P31" t="s">
        <v>1873</v>
      </c>
      <c r="T31" s="14" t="s">
        <v>2041</v>
      </c>
      <c r="AC31" t="s">
        <v>262</v>
      </c>
      <c r="AD31" s="46">
        <f t="array" ref="AD31">IF(COUNTIFS(AC$2:AC31,AC31)=1,"1",VALUE(SUBSTITUTE(INDEX(AD:AD,_xlfn.XMATCH(AC31,AC$1:AC30,0,-1)),"A",""))+INDEX(AE:AE,_xlfn.XMATCH(AC31,AC$1:AC30,0,-1))+1)</f>
        <v>11</v>
      </c>
      <c r="AE31" s="43">
        <f t="array" ref="AE31">SUM(IF(ISNUMBER(FIND("TmDi",$BE$1:$AAQ$1)),IF(IFERROR(ISNUMBER(VALUE(SUBSTITUTE($BE31:$AAQ31,"B",""))),FALSE),IF(ISNUMBER(VALUE(SUBSTITUTE($BE31:$AAQ31,"B",""))),1,0),0)))</f>
        <v>0</v>
      </c>
      <c r="AF31" t="str">
        <f t="shared" ref="AF31:AF38" si="61">CONCATENATE("C",$AD31)</f>
        <v>C11</v>
      </c>
      <c r="AG31" t="str">
        <f t="shared" ref="AG31:AG38" si="62">CONCATENATE("B",$AD31)</f>
        <v>B11</v>
      </c>
      <c r="AP31" t="s">
        <v>2043</v>
      </c>
      <c r="AT31" t="s">
        <v>854</v>
      </c>
      <c r="AU31" t="s">
        <v>1399</v>
      </c>
      <c r="LZ31" s="25" t="str">
        <f>CONCATENATE("DI",REPLACE($AC31,1,3,""),"-",$AF31)</f>
        <v>DI3-C11</v>
      </c>
      <c r="MA31" s="12" t="str">
        <f t="shared" si="17"/>
        <v>DI3-B11</v>
      </c>
      <c r="MB31" s="12" t="s">
        <v>1884</v>
      </c>
      <c r="MC31" s="12" t="s">
        <v>1883</v>
      </c>
      <c r="MD31" s="12">
        <v>11</v>
      </c>
      <c r="ME31" s="12">
        <v>14</v>
      </c>
      <c r="MF31" s="12" t="s">
        <v>142</v>
      </c>
      <c r="MG31" s="12" t="s">
        <v>143</v>
      </c>
      <c r="MH31" s="12" t="s">
        <v>488</v>
      </c>
      <c r="MI31" s="12" t="s">
        <v>487</v>
      </c>
      <c r="MJ31" s="12" t="s">
        <v>414</v>
      </c>
      <c r="MK31" s="12" t="s">
        <v>413</v>
      </c>
      <c r="ML31" s="12"/>
      <c r="MM31" s="12"/>
      <c r="MN31" s="12"/>
      <c r="MO31" s="12"/>
      <c r="MP31" s="12"/>
      <c r="MQ31" s="12"/>
      <c r="MR31" s="12">
        <v>1</v>
      </c>
      <c r="MS31" s="13">
        <v>2</v>
      </c>
      <c r="MT31" s="27"/>
    </row>
    <row r="32" spans="1:615" x14ac:dyDescent="0.25">
      <c r="A32" t="s">
        <v>2117</v>
      </c>
      <c r="B32" t="s">
        <v>2181</v>
      </c>
      <c r="P32" t="s">
        <v>1873</v>
      </c>
      <c r="T32" s="14" t="s">
        <v>2041</v>
      </c>
      <c r="AC32" t="str">
        <f t="shared" ref="AC32:AC38" si="63">IF(AD31+AE31&gt;31,REPLACE(AC31,LEN(AC31),1,VALUE(RIGHT(AC31,1))+1),AC31)</f>
        <v>A5.3</v>
      </c>
      <c r="AD32" s="43">
        <f t="array" ref="AD32">IF(COUNTIFS(AC$2:AC32,AC32)=1,"1",VALUE(SUBSTITUTE(INDEX(AD:AD,_xlfn.XMATCH(AC32,AC$1:AC31,0,-1)),"A",""))+INDEX(AE:AE,_xlfn.XMATCH(AC32,AC$1:AC31,0,-1))+1)</f>
        <v>12</v>
      </c>
      <c r="AE32" s="43">
        <f t="array" ref="AE32">SUM(IF(ISNUMBER(FIND("TmDi",$BE$1:$AAQ$1)),IF(IFERROR(ISNUMBER(VALUE(SUBSTITUTE($BE32:$AAQ32,"B",""))),FALSE),IF(ISNUMBER(VALUE(SUBSTITUTE($BE32:$AAQ32,"B",""))),1,0),0)))</f>
        <v>0</v>
      </c>
      <c r="AF32" t="str">
        <f t="shared" si="61"/>
        <v>C12</v>
      </c>
      <c r="AG32" t="str">
        <f t="shared" si="62"/>
        <v>B12</v>
      </c>
      <c r="AP32" t="s">
        <v>2043</v>
      </c>
      <c r="AT32" t="s">
        <v>854</v>
      </c>
      <c r="AU32" t="s">
        <v>1399</v>
      </c>
      <c r="LZ32" s="27" t="str">
        <f>CONCATENATE("DI",REPLACE($AC32,1,3,""),"-",$AF32)</f>
        <v>DI3-C12</v>
      </c>
      <c r="MA32" t="str">
        <f t="shared" si="17"/>
        <v>DI3-B12</v>
      </c>
      <c r="MB32" t="s">
        <v>1885</v>
      </c>
      <c r="MC32" t="s">
        <v>1886</v>
      </c>
      <c r="MD32">
        <f t="shared" ref="MD32:MK32" si="64">MD31</f>
        <v>11</v>
      </c>
      <c r="ME32">
        <f t="shared" si="64"/>
        <v>14</v>
      </c>
      <c r="MF32" t="str">
        <f t="shared" si="64"/>
        <v>A1</v>
      </c>
      <c r="MG32" t="str">
        <f t="shared" si="64"/>
        <v>A2</v>
      </c>
      <c r="MH32" t="str">
        <f t="shared" si="64"/>
        <v>0v3</v>
      </c>
      <c r="MI32" t="str">
        <f t="shared" si="64"/>
        <v>24v3</v>
      </c>
      <c r="MJ32" t="str">
        <f t="shared" si="64"/>
        <v>0v6</v>
      </c>
      <c r="MK32" t="str">
        <f t="shared" si="64"/>
        <v>24v6</v>
      </c>
      <c r="MR32">
        <f t="shared" ref="MR32:MS38" si="65">MR31</f>
        <v>1</v>
      </c>
      <c r="MS32" s="16">
        <f t="shared" si="65"/>
        <v>2</v>
      </c>
    </row>
    <row r="33" spans="1:357" x14ac:dyDescent="0.25">
      <c r="A33" t="s">
        <v>2118</v>
      </c>
      <c r="B33" t="s">
        <v>2182</v>
      </c>
      <c r="P33" t="s">
        <v>1873</v>
      </c>
      <c r="T33" s="14" t="s">
        <v>2041</v>
      </c>
      <c r="AC33" t="str">
        <f t="shared" si="63"/>
        <v>A5.3</v>
      </c>
      <c r="AD33" s="43">
        <f t="array" ref="AD33">IF(COUNTIFS(AC$2:AC33,AC33)=1,"1",VALUE(SUBSTITUTE(INDEX(AD:AD,_xlfn.XMATCH(AC33,AC$1:AC32,0,-1)),"A",""))+INDEX(AE:AE,_xlfn.XMATCH(AC33,AC$1:AC32,0,-1))+1)</f>
        <v>13</v>
      </c>
      <c r="AE33" s="43">
        <f t="array" ref="AE33">SUM(IF(ISNUMBER(FIND("TmDi",$BE$1:$AAQ$1)),IF(IFERROR(ISNUMBER(VALUE(SUBSTITUTE($BE33:$AAQ33,"B",""))),FALSE),IF(ISNUMBER(VALUE(SUBSTITUTE($BE33:$AAQ33,"B",""))),1,0),0)))</f>
        <v>0</v>
      </c>
      <c r="AF33" t="str">
        <f t="shared" si="61"/>
        <v>C13</v>
      </c>
      <c r="AG33" t="str">
        <f t="shared" si="62"/>
        <v>B13</v>
      </c>
      <c r="AP33" t="s">
        <v>2043</v>
      </c>
      <c r="AT33" t="s">
        <v>854</v>
      </c>
      <c r="AU33" t="s">
        <v>1399</v>
      </c>
      <c r="LZ33" s="27" t="str">
        <f t="shared" ref="LZ33:LZ38" si="66">CONCATENATE("DI",REPLACE($AC33,1,3,""),"-",$AF33)</f>
        <v>DI3-C13</v>
      </c>
      <c r="MA33" t="str">
        <f t="shared" si="17"/>
        <v>DI3-B13</v>
      </c>
      <c r="MB33" t="s">
        <v>1887</v>
      </c>
      <c r="MC33" t="s">
        <v>1888</v>
      </c>
      <c r="MD33">
        <f t="shared" ref="MD33:MK33" si="67">MD32</f>
        <v>11</v>
      </c>
      <c r="ME33">
        <f t="shared" si="67"/>
        <v>14</v>
      </c>
      <c r="MF33" t="str">
        <f t="shared" si="67"/>
        <v>A1</v>
      </c>
      <c r="MG33" t="str">
        <f t="shared" si="67"/>
        <v>A2</v>
      </c>
      <c r="MH33" t="str">
        <f t="shared" si="67"/>
        <v>0v3</v>
      </c>
      <c r="MI33" t="str">
        <f t="shared" si="67"/>
        <v>24v3</v>
      </c>
      <c r="MJ33" t="str">
        <f t="shared" si="67"/>
        <v>0v6</v>
      </c>
      <c r="MK33" t="str">
        <f t="shared" si="67"/>
        <v>24v6</v>
      </c>
      <c r="MR33">
        <f t="shared" si="65"/>
        <v>1</v>
      </c>
      <c r="MS33" s="16">
        <f t="shared" si="65"/>
        <v>2</v>
      </c>
    </row>
    <row r="34" spans="1:357" x14ac:dyDescent="0.25">
      <c r="A34" t="s">
        <v>2119</v>
      </c>
      <c r="B34" t="s">
        <v>2183</v>
      </c>
      <c r="P34" t="s">
        <v>1873</v>
      </c>
      <c r="T34" s="14" t="s">
        <v>2041</v>
      </c>
      <c r="AC34" t="str">
        <f t="shared" si="63"/>
        <v>A5.3</v>
      </c>
      <c r="AD34" s="43">
        <f t="array" ref="AD34">IF(COUNTIFS(AC$2:AC34,AC34)=1,"1",VALUE(SUBSTITUTE(INDEX(AD:AD,_xlfn.XMATCH(AC34,AC$1:AC33,0,-1)),"A",""))+INDEX(AE:AE,_xlfn.XMATCH(AC34,AC$1:AC33,0,-1))+1)</f>
        <v>14</v>
      </c>
      <c r="AE34" s="43">
        <f t="array" ref="AE34">SUM(IF(ISNUMBER(FIND("TmDi",$BE$1:$AAQ$1)),IF(IFERROR(ISNUMBER(VALUE(SUBSTITUTE($BE34:$AAQ34,"B",""))),FALSE),IF(ISNUMBER(VALUE(SUBSTITUTE($BE34:$AAQ34,"B",""))),1,0),0)))</f>
        <v>0</v>
      </c>
      <c r="AF34" t="str">
        <f t="shared" si="61"/>
        <v>C14</v>
      </c>
      <c r="AG34" t="str">
        <f t="shared" si="62"/>
        <v>B14</v>
      </c>
      <c r="AP34" t="s">
        <v>2043</v>
      </c>
      <c r="AT34" t="s">
        <v>854</v>
      </c>
      <c r="AU34" t="s">
        <v>1399</v>
      </c>
      <c r="LZ34" s="27" t="str">
        <f t="shared" si="66"/>
        <v>DI3-C14</v>
      </c>
      <c r="MA34" t="str">
        <f t="shared" si="17"/>
        <v>DI3-B14</v>
      </c>
      <c r="MB34" t="s">
        <v>1889</v>
      </c>
      <c r="MC34" t="s">
        <v>1890</v>
      </c>
      <c r="MD34">
        <f t="shared" ref="MD34:MK34" si="68">MD33</f>
        <v>11</v>
      </c>
      <c r="ME34">
        <f t="shared" si="68"/>
        <v>14</v>
      </c>
      <c r="MF34" t="str">
        <f t="shared" si="68"/>
        <v>A1</v>
      </c>
      <c r="MG34" t="str">
        <f t="shared" si="68"/>
        <v>A2</v>
      </c>
      <c r="MH34" t="str">
        <f t="shared" si="68"/>
        <v>0v3</v>
      </c>
      <c r="MI34" t="str">
        <f t="shared" si="68"/>
        <v>24v3</v>
      </c>
      <c r="MJ34" t="str">
        <f t="shared" si="68"/>
        <v>0v6</v>
      </c>
      <c r="MK34" t="str">
        <f t="shared" si="68"/>
        <v>24v6</v>
      </c>
      <c r="MR34">
        <f t="shared" si="65"/>
        <v>1</v>
      </c>
      <c r="MS34" s="16">
        <f t="shared" si="65"/>
        <v>2</v>
      </c>
    </row>
    <row r="35" spans="1:357" x14ac:dyDescent="0.25">
      <c r="A35" t="s">
        <v>2120</v>
      </c>
      <c r="B35" t="s">
        <v>2184</v>
      </c>
      <c r="P35" t="s">
        <v>1873</v>
      </c>
      <c r="T35" s="14" t="s">
        <v>2041</v>
      </c>
      <c r="AC35" t="str">
        <f t="shared" si="63"/>
        <v>A5.3</v>
      </c>
      <c r="AD35" s="43">
        <f t="array" ref="AD35">IF(COUNTIFS(AC$2:AC35,AC35)=1,"1",VALUE(SUBSTITUTE(INDEX(AD:AD,_xlfn.XMATCH(AC35,AC$1:AC34,0,-1)),"A",""))+INDEX(AE:AE,_xlfn.XMATCH(AC35,AC$1:AC34,0,-1))+1)</f>
        <v>15</v>
      </c>
      <c r="AE35" s="43">
        <f t="array" ref="AE35">SUM(IF(ISNUMBER(FIND("TmDi",$BE$1:$AAQ$1)),IF(IFERROR(ISNUMBER(VALUE(SUBSTITUTE($BE35:$AAQ35,"B",""))),FALSE),IF(ISNUMBER(VALUE(SUBSTITUTE($BE35:$AAQ35,"B",""))),1,0),0)))</f>
        <v>0</v>
      </c>
      <c r="AF35" t="str">
        <f t="shared" si="61"/>
        <v>C15</v>
      </c>
      <c r="AG35" t="str">
        <f t="shared" si="62"/>
        <v>B15</v>
      </c>
      <c r="AP35" t="s">
        <v>2043</v>
      </c>
      <c r="AT35" t="s">
        <v>854</v>
      </c>
      <c r="AU35" t="s">
        <v>1399</v>
      </c>
      <c r="LZ35" s="27" t="str">
        <f t="shared" si="66"/>
        <v>DI3-C15</v>
      </c>
      <c r="MA35" t="str">
        <f t="shared" si="17"/>
        <v>DI3-B15</v>
      </c>
      <c r="MB35" t="s">
        <v>1891</v>
      </c>
      <c r="MC35" t="s">
        <v>1892</v>
      </c>
      <c r="MD35">
        <f t="shared" ref="MD35:MK36" si="69">MD34</f>
        <v>11</v>
      </c>
      <c r="ME35">
        <f t="shared" si="69"/>
        <v>14</v>
      </c>
      <c r="MF35" t="str">
        <f t="shared" si="69"/>
        <v>A1</v>
      </c>
      <c r="MG35" t="str">
        <f t="shared" si="69"/>
        <v>A2</v>
      </c>
      <c r="MH35" t="str">
        <f t="shared" si="69"/>
        <v>0v3</v>
      </c>
      <c r="MI35" t="str">
        <f t="shared" si="69"/>
        <v>24v3</v>
      </c>
      <c r="MJ35" t="str">
        <f t="shared" si="69"/>
        <v>0v6</v>
      </c>
      <c r="MK35" t="str">
        <f t="shared" si="69"/>
        <v>24v6</v>
      </c>
      <c r="MR35">
        <f t="shared" si="65"/>
        <v>1</v>
      </c>
      <c r="MS35" s="16">
        <f t="shared" si="65"/>
        <v>2</v>
      </c>
    </row>
    <row r="36" spans="1:357" x14ac:dyDescent="0.25">
      <c r="A36" t="s">
        <v>2121</v>
      </c>
      <c r="B36" t="s">
        <v>2197</v>
      </c>
      <c r="P36" t="s">
        <v>1873</v>
      </c>
      <c r="T36" s="14" t="s">
        <v>2041</v>
      </c>
      <c r="AC36" t="str">
        <f t="shared" si="63"/>
        <v>A5.3</v>
      </c>
      <c r="AD36" s="43">
        <f t="array" ref="AD36">IF(COUNTIFS(AC$2:AC36,AC36)=1,"1",VALUE(SUBSTITUTE(INDEX(AD:AD,_xlfn.XMATCH(AC36,AC$1:AC35,0,-1)),"A",""))+INDEX(AE:AE,_xlfn.XMATCH(AC36,AC$1:AC35,0,-1))+1)</f>
        <v>16</v>
      </c>
      <c r="AE36" s="43">
        <f t="array" ref="AE36">SUM(IF(ISNUMBER(FIND("TmDi",$BE$1:$AAQ$1)),IF(IFERROR(ISNUMBER(VALUE(SUBSTITUTE($BE36:$AAQ36,"B",""))),FALSE),IF(ISNUMBER(VALUE(SUBSTITUTE($BE36:$AAQ36,"B",""))),1,0),0)))</f>
        <v>0</v>
      </c>
      <c r="AF36" t="str">
        <f t="shared" si="61"/>
        <v>C16</v>
      </c>
      <c r="AG36" t="str">
        <f t="shared" si="62"/>
        <v>B16</v>
      </c>
      <c r="AP36" t="s">
        <v>2043</v>
      </c>
      <c r="AT36" t="s">
        <v>854</v>
      </c>
      <c r="AU36" t="s">
        <v>1399</v>
      </c>
      <c r="LZ36" s="27" t="str">
        <f t="shared" si="66"/>
        <v>DI3-C16</v>
      </c>
      <c r="MA36" t="str">
        <f t="shared" si="17"/>
        <v>DI3-B16</v>
      </c>
      <c r="MB36" t="s">
        <v>1895</v>
      </c>
      <c r="MC36" t="s">
        <v>1896</v>
      </c>
      <c r="MD36">
        <f t="shared" si="69"/>
        <v>11</v>
      </c>
      <c r="ME36">
        <f t="shared" si="69"/>
        <v>14</v>
      </c>
      <c r="MF36" t="str">
        <f t="shared" si="69"/>
        <v>A1</v>
      </c>
      <c r="MG36" t="str">
        <f t="shared" si="69"/>
        <v>A2</v>
      </c>
      <c r="MH36" t="str">
        <f t="shared" si="69"/>
        <v>0v3</v>
      </c>
      <c r="MI36" t="str">
        <f t="shared" si="69"/>
        <v>24v3</v>
      </c>
      <c r="MJ36" t="str">
        <f t="shared" si="69"/>
        <v>0v6</v>
      </c>
      <c r="MK36" t="str">
        <f t="shared" si="69"/>
        <v>24v6</v>
      </c>
      <c r="MR36">
        <f t="shared" si="65"/>
        <v>1</v>
      </c>
      <c r="MS36" s="16">
        <f t="shared" si="65"/>
        <v>2</v>
      </c>
    </row>
    <row r="37" spans="1:357" x14ac:dyDescent="0.25">
      <c r="A37" t="s">
        <v>2122</v>
      </c>
      <c r="B37" t="s">
        <v>2185</v>
      </c>
      <c r="P37" t="s">
        <v>1873</v>
      </c>
      <c r="T37" s="14" t="s">
        <v>2041</v>
      </c>
      <c r="AC37" t="str">
        <f t="shared" si="63"/>
        <v>A5.3</v>
      </c>
      <c r="AD37" s="43">
        <f t="array" ref="AD37">IF(COUNTIFS(AC$2:AC37,AC37)=1,"1",VALUE(SUBSTITUTE(INDEX(AD:AD,_xlfn.XMATCH(AC37,AC$1:AC36,0,-1)),"A",""))+INDEX(AE:AE,_xlfn.XMATCH(AC37,AC$1:AC36,0,-1))+1)</f>
        <v>17</v>
      </c>
      <c r="AE37" s="43">
        <f t="array" ref="AE37">SUM(IF(ISNUMBER(FIND("TmDi",$BE$1:$AAQ$1)),IF(IFERROR(ISNUMBER(VALUE(SUBSTITUTE($BE37:$AAQ37,"B",""))),FALSE),IF(ISNUMBER(VALUE(SUBSTITUTE($BE37:$AAQ37,"B",""))),1,0),0)))</f>
        <v>0</v>
      </c>
      <c r="AF37" t="str">
        <f t="shared" si="61"/>
        <v>C17</v>
      </c>
      <c r="AG37" t="str">
        <f t="shared" si="62"/>
        <v>B17</v>
      </c>
      <c r="AP37" t="s">
        <v>2043</v>
      </c>
      <c r="AT37" t="s">
        <v>854</v>
      </c>
      <c r="AU37" t="s">
        <v>1399</v>
      </c>
      <c r="LZ37" s="27" t="str">
        <f t="shared" si="66"/>
        <v>DI3-C17</v>
      </c>
      <c r="MA37" t="str">
        <f t="shared" si="17"/>
        <v>DI3-B17</v>
      </c>
      <c r="MB37" t="s">
        <v>1897</v>
      </c>
      <c r="MC37" t="s">
        <v>1898</v>
      </c>
      <c r="MD37">
        <f t="shared" ref="MD37:MK37" si="70">MD36</f>
        <v>11</v>
      </c>
      <c r="ME37">
        <f t="shared" si="70"/>
        <v>14</v>
      </c>
      <c r="MF37" t="str">
        <f t="shared" si="70"/>
        <v>A1</v>
      </c>
      <c r="MG37" t="str">
        <f t="shared" si="70"/>
        <v>A2</v>
      </c>
      <c r="MH37" t="str">
        <f t="shared" si="70"/>
        <v>0v3</v>
      </c>
      <c r="MI37" t="str">
        <f t="shared" si="70"/>
        <v>24v3</v>
      </c>
      <c r="MJ37" t="str">
        <f t="shared" si="70"/>
        <v>0v6</v>
      </c>
      <c r="MK37" t="str">
        <f t="shared" si="70"/>
        <v>24v6</v>
      </c>
      <c r="MR37">
        <f t="shared" si="65"/>
        <v>1</v>
      </c>
      <c r="MS37" s="16">
        <f t="shared" si="65"/>
        <v>2</v>
      </c>
    </row>
    <row r="38" spans="1:357" s="19" customFormat="1" ht="15.75" thickBot="1" x14ac:dyDescent="0.3">
      <c r="A38" s="19" t="s">
        <v>2123</v>
      </c>
      <c r="B38" s="19" t="s">
        <v>2186</v>
      </c>
      <c r="P38" s="19" t="s">
        <v>1873</v>
      </c>
      <c r="T38" s="17" t="s">
        <v>2041</v>
      </c>
      <c r="AC38" s="19" t="str">
        <f t="shared" si="63"/>
        <v>A5.3</v>
      </c>
      <c r="AD38" s="44">
        <f t="array" ref="AD38">IF(COUNTIFS(AC$2:AC38,AC38)=1,"1",VALUE(SUBSTITUTE(INDEX(AD:AD,_xlfn.XMATCH(AC38,AC$1:AC37,0,-1)),"A",""))+INDEX(AE:AE,_xlfn.XMATCH(AC38,AC$1:AC37,0,-1))+1)</f>
        <v>18</v>
      </c>
      <c r="AE38" s="44">
        <f t="array" ref="AE38">SUM(IF(ISNUMBER(FIND("TmDi",$BE$1:$AAQ$1)),IF(IFERROR(ISNUMBER(VALUE(SUBSTITUTE($BE38:$AAQ38,"B",""))),FALSE),IF(ISNUMBER(VALUE(SUBSTITUTE($BE38:$AAQ38,"B",""))),1,0),0)))</f>
        <v>0</v>
      </c>
      <c r="AF38" s="19" t="str">
        <f t="shared" si="61"/>
        <v>C18</v>
      </c>
      <c r="AG38" s="19" t="str">
        <f t="shared" si="62"/>
        <v>B18</v>
      </c>
      <c r="AI38" s="65"/>
      <c r="AJ38" s="65"/>
      <c r="AP38" s="19" t="s">
        <v>2043</v>
      </c>
      <c r="AT38" s="19" t="s">
        <v>854</v>
      </c>
      <c r="AU38" s="19" t="s">
        <v>1399</v>
      </c>
      <c r="LZ38" s="28" t="str">
        <f t="shared" si="66"/>
        <v>DI3-C18</v>
      </c>
      <c r="MA38" s="19" t="str">
        <f t="shared" si="17"/>
        <v>DI3-B18</v>
      </c>
      <c r="MB38" s="19" t="s">
        <v>1899</v>
      </c>
      <c r="MC38" s="19" t="s">
        <v>1900</v>
      </c>
      <c r="MD38" s="19">
        <f t="shared" ref="MD38:MK38" si="71">MD37</f>
        <v>11</v>
      </c>
      <c r="ME38" s="19">
        <f t="shared" si="71"/>
        <v>14</v>
      </c>
      <c r="MF38" s="19" t="str">
        <f t="shared" si="71"/>
        <v>A1</v>
      </c>
      <c r="MG38" s="19" t="str">
        <f t="shared" si="71"/>
        <v>A2</v>
      </c>
      <c r="MH38" s="19" t="str">
        <f t="shared" si="71"/>
        <v>0v3</v>
      </c>
      <c r="MI38" s="19" t="str">
        <f t="shared" si="71"/>
        <v>24v3</v>
      </c>
      <c r="MJ38" s="19" t="str">
        <f t="shared" si="71"/>
        <v>0v6</v>
      </c>
      <c r="MK38" s="19" t="str">
        <f t="shared" si="71"/>
        <v>24v6</v>
      </c>
      <c r="MR38" s="19">
        <f t="shared" si="65"/>
        <v>1</v>
      </c>
      <c r="MS38" s="20">
        <f t="shared" si="65"/>
        <v>2</v>
      </c>
    </row>
  </sheetData>
  <autoFilter ref="P1:P38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E1564CCF-E01D-4C9E-B569-6B1B92673468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1C7BEA89-6DC4-4BEA-92F8-5B5DF10E39FC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9583F3EC-5BEA-40F0-84E2-F3CC3E976997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44DF7B87-5700-41FF-8AE1-F8B390353C90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1F25F94C-F4FB-41F2-9BB8-BC7BADAB8550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4569DD55-73D0-4056-A7C3-53ABB2D3F488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6625CA77-BCC9-4A8D-8149-D023A04A2A33}"/>
    </customSheetView>
  </customSheetViews>
  <phoneticPr fontId="4" type="noConversion"/>
  <conditionalFormatting sqref="Y1:Y1048576">
    <cfRule type="cellIs" dxfId="24" priority="8" operator="greaterThan">
      <formula>8</formula>
    </cfRule>
    <cfRule type="cellIs" dxfId="23" priority="40" operator="equal">
      <formula>"Y:Y+Z:Z&gt;8"</formula>
    </cfRule>
  </conditionalFormatting>
  <conditionalFormatting sqref="AD1 AD32:AD38">
    <cfRule type="cellIs" dxfId="22" priority="38" operator="equal">
      <formula>"Y:Y+Z:Z&gt;8"</formula>
    </cfRule>
  </conditionalFormatting>
  <conditionalFormatting sqref="AI1">
    <cfRule type="cellIs" dxfId="21" priority="35" operator="equal">
      <formula>"Y:Y+Z:Z&gt;8"</formula>
    </cfRule>
  </conditionalFormatting>
  <conditionalFormatting sqref="A29:A1048576 A1:A12">
    <cfRule type="duplicateValues" dxfId="20" priority="147"/>
  </conditionalFormatting>
  <conditionalFormatting sqref="B8:B9 B13:B26 B28 B31:B1048576 B1:B6">
    <cfRule type="duplicateValues" dxfId="19" priority="157"/>
  </conditionalFormatting>
  <conditionalFormatting sqref="A1">
    <cfRule type="duplicateValues" dxfId="2" priority="182"/>
  </conditionalFormatting>
  <conditionalFormatting sqref="V1:V1048576">
    <cfRule type="duplicateValues" dxfId="1" priority="196"/>
  </conditionalFormatting>
  <conditionalFormatting sqref="V1:W1048576">
    <cfRule type="duplicateValues" dxfId="0" priority="199"/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8" priority="11"/>
  </conditionalFormatting>
  <conditionalFormatting sqref="A221:A224 A1:A32 A226:A227 A283:A305 A307:A1048576">
    <cfRule type="duplicateValues" dxfId="17" priority="10"/>
  </conditionalFormatting>
  <conditionalFormatting sqref="A283:A285">
    <cfRule type="duplicateValues" dxfId="16" priority="1"/>
  </conditionalFormatting>
  <conditionalFormatting sqref="B1:B56 B221:B229 B267:B303 B307:B1048576">
    <cfRule type="duplicateValues" dxfId="15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4" priority="8"/>
  </conditionalFormatting>
  <conditionalFormatting sqref="V1:W230 V231 V232:W1048576">
    <cfRule type="duplicateValues" dxfId="13" priority="6"/>
  </conditionalFormatting>
  <conditionalFormatting sqref="Y1:Y1048576">
    <cfRule type="cellIs" dxfId="12" priority="7" operator="equal">
      <formula>"Y:Y+Z:Z&gt;8"</formula>
    </cfRule>
  </conditionalFormatting>
  <conditionalFormatting sqref="AD1">
    <cfRule type="cellIs" dxfId="11" priority="5" operator="equal">
      <formula>"Y:Y+Z:Z&gt;8"</formula>
    </cfRule>
  </conditionalFormatting>
  <conditionalFormatting sqref="AD267:AD294">
    <cfRule type="cellIs" dxfId="10" priority="4" operator="equal">
      <formula>"Y:Y+Z:Z&gt;8"</formula>
    </cfRule>
  </conditionalFormatting>
  <conditionalFormatting sqref="AI1">
    <cfRule type="cellIs" dxfId="9" priority="2" operator="equal">
      <formula>"Y:Y+Z:Z&gt;8"</formula>
    </cfRule>
  </conditionalFormatting>
  <conditionalFormatting sqref="AI267:AI285">
    <cfRule type="cellIs" dxfId="8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7" priority="5"/>
  </conditionalFormatting>
  <conditionalFormatting sqref="A221:A224 A1:A32 A226:A227 A235:A1048576">
    <cfRule type="duplicateValues" dxfId="6" priority="4"/>
  </conditionalFormatting>
  <conditionalFormatting sqref="B1:B56 B221:B229 B235:B1048576">
    <cfRule type="duplicateValues" dxfId="5" priority="3"/>
  </conditionalFormatting>
  <conditionalFormatting sqref="V1:V182 V187 V192 V197 V202 W183:W220 V221:V222 W223:W224 V225:V1048576">
    <cfRule type="duplicateValues" dxfId="4" priority="2"/>
  </conditionalFormatting>
  <conditionalFormatting sqref="Y1:Y1048576">
    <cfRule type="cellIs" dxfId="3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2107</v>
      </c>
      <c r="C27" t="s">
        <v>2191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2111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2108</v>
      </c>
      <c r="C29" t="s">
        <v>2115</v>
      </c>
      <c r="D29" t="s">
        <v>974</v>
      </c>
      <c r="E29" t="s">
        <v>1781</v>
      </c>
    </row>
    <row r="30" spans="1:5" x14ac:dyDescent="0.25">
      <c r="A30" t="s">
        <v>1918</v>
      </c>
      <c r="B30" t="s">
        <v>2112</v>
      </c>
      <c r="C30" t="s">
        <v>2115</v>
      </c>
      <c r="D30" t="s">
        <v>974</v>
      </c>
      <c r="E30" t="s">
        <v>1781</v>
      </c>
    </row>
    <row r="31" spans="1:5" x14ac:dyDescent="0.25">
      <c r="A31" t="s">
        <v>1919</v>
      </c>
      <c r="B31" t="s">
        <v>2109</v>
      </c>
      <c r="C31" t="s">
        <v>2115</v>
      </c>
      <c r="D31" t="s">
        <v>974</v>
      </c>
      <c r="E31" t="s">
        <v>1779</v>
      </c>
    </row>
    <row r="32" spans="1:5" x14ac:dyDescent="0.25">
      <c r="A32" t="s">
        <v>1919</v>
      </c>
      <c r="B32" t="s">
        <v>2113</v>
      </c>
      <c r="C32" t="s">
        <v>2115</v>
      </c>
      <c r="D32" t="s">
        <v>974</v>
      </c>
      <c r="E32" t="s">
        <v>1779</v>
      </c>
    </row>
    <row r="33" spans="1:5" x14ac:dyDescent="0.25">
      <c r="A33" t="s">
        <v>1920</v>
      </c>
      <c r="B33" t="s">
        <v>2110</v>
      </c>
      <c r="C33" t="s">
        <v>2115</v>
      </c>
      <c r="D33" t="s">
        <v>974</v>
      </c>
      <c r="E33" t="s">
        <v>1779</v>
      </c>
    </row>
    <row r="34" spans="1:5" x14ac:dyDescent="0.25">
      <c r="A34" t="s">
        <v>1920</v>
      </c>
      <c r="B34" t="s">
        <v>2114</v>
      </c>
      <c r="C34" t="s">
        <v>2115</v>
      </c>
      <c r="D34" t="s">
        <v>974</v>
      </c>
      <c r="E34" t="s">
        <v>1779</v>
      </c>
    </row>
    <row r="35" spans="1:5" x14ac:dyDescent="0.25">
      <c r="A35" t="s">
        <v>2192</v>
      </c>
      <c r="B35" t="s">
        <v>2189</v>
      </c>
      <c r="C35" t="s">
        <v>969</v>
      </c>
      <c r="D35" t="s">
        <v>974</v>
      </c>
    </row>
    <row r="36" spans="1:5" x14ac:dyDescent="0.25">
      <c r="A36" t="s">
        <v>2192</v>
      </c>
      <c r="B36" t="s">
        <v>2190</v>
      </c>
      <c r="C36" t="s">
        <v>969</v>
      </c>
      <c r="D36" t="s">
        <v>974</v>
      </c>
    </row>
    <row r="37" spans="1:5" x14ac:dyDescent="0.25">
      <c r="A37" t="s">
        <v>974</v>
      </c>
      <c r="B37" t="s">
        <v>2193</v>
      </c>
      <c r="C37" t="s">
        <v>969</v>
      </c>
      <c r="D37" t="s">
        <v>2195</v>
      </c>
    </row>
    <row r="38" spans="1:5" x14ac:dyDescent="0.25">
      <c r="A38" t="s">
        <v>974</v>
      </c>
      <c r="B38" t="s">
        <v>2194</v>
      </c>
      <c r="C38" t="s">
        <v>969</v>
      </c>
      <c r="D38" t="s">
        <v>2196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2025-12-03T20:10:01Z</dcterms:modified>
</cp:coreProperties>
</file>