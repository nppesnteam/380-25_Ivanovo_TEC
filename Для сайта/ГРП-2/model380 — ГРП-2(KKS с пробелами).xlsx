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8_{E61044A3-B0A5-40B8-9A05-E541DA1FB634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U26" i="1" l="1"/>
  <c r="FT26" i="1"/>
  <c r="FS26" i="1"/>
  <c r="FR26" i="1"/>
  <c r="FQ26" i="1"/>
  <c r="FP26" i="1"/>
  <c r="FO26" i="1"/>
  <c r="FN26" i="1"/>
  <c r="FM26" i="1"/>
  <c r="FL26" i="1"/>
  <c r="FK26" i="1"/>
  <c r="FJ26" i="1"/>
  <c r="FI26" i="1"/>
  <c r="ER26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BE25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BE24" i="1"/>
  <c r="DO21" i="1"/>
  <c r="DO22" i="1" s="1"/>
  <c r="DO23" i="1" s="1"/>
  <c r="BE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BE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BE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E13" i="1"/>
  <c r="CD13" i="1"/>
  <c r="CC13" i="1"/>
  <c r="CB13" i="1"/>
  <c r="BE13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BE14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BE15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BE16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BE20" i="1"/>
  <c r="MR32" i="1" l="1"/>
  <c r="MR33" i="1" s="1"/>
  <c r="MR34" i="1" s="1"/>
  <c r="MR35" i="1" s="1"/>
  <c r="MR36" i="1" s="1"/>
  <c r="MR37" i="1" s="1"/>
  <c r="MR38" i="1" s="1"/>
  <c r="MR39" i="1" s="1"/>
  <c r="MQ32" i="1"/>
  <c r="MQ33" i="1" s="1"/>
  <c r="MQ34" i="1" s="1"/>
  <c r="MQ35" i="1" s="1"/>
  <c r="MQ36" i="1" s="1"/>
  <c r="MQ37" i="1" s="1"/>
  <c r="MQ38" i="1" s="1"/>
  <c r="MQ39" i="1" s="1"/>
  <c r="MJ32" i="1"/>
  <c r="MJ33" i="1" s="1"/>
  <c r="MJ34" i="1" s="1"/>
  <c r="MJ35" i="1" s="1"/>
  <c r="MJ36" i="1" s="1"/>
  <c r="MJ37" i="1" s="1"/>
  <c r="MJ38" i="1" s="1"/>
  <c r="MJ39" i="1" s="1"/>
  <c r="MI32" i="1"/>
  <c r="MI33" i="1" s="1"/>
  <c r="MI34" i="1" s="1"/>
  <c r="MI35" i="1" s="1"/>
  <c r="MI36" i="1" s="1"/>
  <c r="MI37" i="1" s="1"/>
  <c r="MI38" i="1" s="1"/>
  <c r="MI39" i="1" s="1"/>
  <c r="MH32" i="1"/>
  <c r="MH33" i="1" s="1"/>
  <c r="MH34" i="1" s="1"/>
  <c r="MH35" i="1" s="1"/>
  <c r="MH36" i="1" s="1"/>
  <c r="MH37" i="1" s="1"/>
  <c r="MH38" i="1" s="1"/>
  <c r="MH39" i="1" s="1"/>
  <c r="MG32" i="1"/>
  <c r="MG33" i="1" s="1"/>
  <c r="MG34" i="1" s="1"/>
  <c r="MG35" i="1" s="1"/>
  <c r="MG36" i="1" s="1"/>
  <c r="MG37" i="1" s="1"/>
  <c r="MG38" i="1" s="1"/>
  <c r="MG39" i="1" s="1"/>
  <c r="MF32" i="1"/>
  <c r="MF33" i="1" s="1"/>
  <c r="MF34" i="1" s="1"/>
  <c r="MF35" i="1" s="1"/>
  <c r="MF36" i="1" s="1"/>
  <c r="MF37" i="1" s="1"/>
  <c r="MF38" i="1" s="1"/>
  <c r="MF39" i="1" s="1"/>
  <c r="ME32" i="1"/>
  <c r="ME33" i="1" s="1"/>
  <c r="ME34" i="1" s="1"/>
  <c r="ME35" i="1" s="1"/>
  <c r="ME36" i="1" s="1"/>
  <c r="ME37" i="1" s="1"/>
  <c r="ME38" i="1" s="1"/>
  <c r="ME39" i="1" s="1"/>
  <c r="MD32" i="1"/>
  <c r="MD33" i="1" s="1"/>
  <c r="MD34" i="1" s="1"/>
  <c r="MD35" i="1" s="1"/>
  <c r="MD36" i="1" s="1"/>
  <c r="MD37" i="1" s="1"/>
  <c r="MD38" i="1" s="1"/>
  <c r="MD39" i="1" s="1"/>
  <c r="MC32" i="1"/>
  <c r="MC33" i="1" s="1"/>
  <c r="MC34" i="1" s="1"/>
  <c r="MC35" i="1" s="1"/>
  <c r="MC36" i="1" s="1"/>
  <c r="MC37" i="1" s="1"/>
  <c r="MC38" i="1" s="1"/>
  <c r="MC39" i="1" s="1"/>
  <c r="AG31" i="1"/>
  <c r="AF31" i="1"/>
  <c r="LY31" i="1" s="1"/>
  <c r="AE31" i="1" s="1" a="1"/>
  <c r="AE31" i="1" s="1"/>
  <c r="AC32" i="1" s="1"/>
  <c r="VN28" i="1"/>
  <c r="VO28" i="1" s="1"/>
  <c r="VP28" i="1" s="1"/>
  <c r="AE27" i="1" a="1"/>
  <c r="AE27" i="1" s="1"/>
  <c r="VL28" i="1"/>
  <c r="KJ30" i="1" l="1"/>
  <c r="KK30" i="1" s="1"/>
  <c r="JZ30" i="1"/>
  <c r="UC29" i="1"/>
  <c r="UD29" i="1" s="1"/>
  <c r="UA29" i="1"/>
  <c r="CZ19" i="1"/>
  <c r="CW19" i="1"/>
  <c r="CV19" i="1"/>
  <c r="CT19" i="1"/>
  <c r="CS19" i="1"/>
  <c r="CR19" i="1"/>
  <c r="CQ19" i="1"/>
  <c r="CP19" i="1"/>
  <c r="CO19" i="1"/>
  <c r="CN19" i="1"/>
  <c r="CM19" i="1"/>
  <c r="CL19" i="1"/>
  <c r="DH19" i="1"/>
  <c r="DG19" i="1"/>
  <c r="DF19" i="1"/>
  <c r="DE19" i="1"/>
  <c r="DD19" i="1"/>
  <c r="DC19" i="1"/>
  <c r="DB19" i="1"/>
  <c r="DA19" i="1"/>
  <c r="CY19" i="1"/>
  <c r="CX19" i="1"/>
  <c r="CU19" i="1"/>
  <c r="BE19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GT18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GT17" i="1"/>
  <c r="AI13" i="1" a="1"/>
  <c r="AI13" i="1" s="1"/>
  <c r="JZ12" i="1"/>
  <c r="JZ11" i="1"/>
  <c r="JZ10" i="1"/>
  <c r="X3" i="1"/>
  <c r="JZ9" i="1"/>
  <c r="JZ8" i="1"/>
  <c r="JZ3" i="1"/>
  <c r="JZ4" i="1"/>
  <c r="JZ5" i="1"/>
  <c r="JZ6" i="1"/>
  <c r="JZ7" i="1"/>
  <c r="JZ2" i="1"/>
  <c r="AL13" i="1" l="1"/>
  <c r="AK13" i="1"/>
  <c r="BP13" i="1" l="1"/>
  <c r="CF13" i="1"/>
  <c r="CG13" i="1"/>
  <c r="BQ13" i="1"/>
  <c r="X7" i="1"/>
  <c r="CI13" i="1" l="1"/>
  <c r="BS13" i="1"/>
  <c r="CK13" i="1" s="1"/>
  <c r="CH13" i="1"/>
  <c r="BR13" i="1"/>
  <c r="CJ13" i="1" s="1"/>
  <c r="X9" i="1"/>
  <c r="X11" i="1" s="1"/>
  <c r="X12" i="1" l="1"/>
  <c r="X18" i="1" s="1"/>
  <c r="KJ2" i="1" l="1"/>
  <c r="KK2" i="1" l="1"/>
  <c r="KI3" i="1" a="1"/>
  <c r="KI3" i="1" s="1"/>
  <c r="KJ3" i="1" l="1"/>
  <c r="KK3" i="1" s="1"/>
  <c r="KI4" i="1" l="1" a="1"/>
  <c r="KI4" i="1" s="1"/>
  <c r="KJ4" i="1" s="1"/>
  <c r="KK4" i="1" s="1"/>
  <c r="KI5" i="1" l="1" a="1"/>
  <c r="KI5" i="1" s="1"/>
  <c r="KJ5" i="1" s="1"/>
  <c r="KK5" i="1" s="1"/>
  <c r="KI6" i="1" l="1" a="1"/>
  <c r="KI6" i="1" s="1"/>
  <c r="KJ6" i="1" l="1"/>
  <c r="KK6" i="1" s="1"/>
  <c r="KI7" i="1" l="1" a="1"/>
  <c r="KI7" i="1" s="1"/>
  <c r="KJ7" i="1" s="1"/>
  <c r="KK7" i="1" l="1"/>
  <c r="KI8" i="1" a="1"/>
  <c r="KI8" i="1" s="1"/>
  <c r="KJ8" i="1" s="1"/>
  <c r="KK8" i="1" s="1"/>
  <c r="KL8" i="1" s="1"/>
  <c r="KI9" i="1" l="1" a="1"/>
  <c r="KI9" i="1" s="1"/>
  <c r="KJ9" i="1" l="1"/>
  <c r="KK9" i="1" s="1"/>
  <c r="KL9" i="1" l="1"/>
  <c r="KI10" i="1" s="1" a="1"/>
  <c r="KI10" i="1" s="1"/>
  <c r="KJ10" i="1" s="1"/>
  <c r="KK10" i="1" s="1"/>
  <c r="KI11" i="1" l="1" a="1"/>
  <c r="KI11" i="1" s="1"/>
  <c r="KJ11" i="1" l="1"/>
  <c r="KK11" i="1" s="1"/>
  <c r="KI12" i="1" l="1" a="1"/>
  <c r="KI12" i="1" s="1"/>
  <c r="KJ12" i="1" s="1"/>
  <c r="KK12" i="1" s="1"/>
  <c r="AA2" i="1" l="1"/>
  <c r="KC2" i="1" s="1"/>
  <c r="Z2" i="1" s="1" a="1"/>
  <c r="Z2" i="1" s="1"/>
  <c r="Y3" i="1" s="1" a="1"/>
  <c r="Y3" i="1" s="1"/>
  <c r="AB2" i="1"/>
  <c r="KD2" i="1" s="1"/>
  <c r="AA3" i="1" l="1"/>
  <c r="KC3" i="1" s="1"/>
  <c r="Z3" i="1" s="1" a="1"/>
  <c r="Z3" i="1" s="1"/>
  <c r="Y4" i="1" s="1" a="1"/>
  <c r="Y4" i="1" s="1"/>
  <c r="AB3" i="1"/>
  <c r="KD3" i="1" s="1"/>
  <c r="AB4" i="1" l="1"/>
  <c r="KD4" i="1" s="1"/>
  <c r="AA4" i="1"/>
  <c r="KC4" i="1" s="1"/>
  <c r="Z4" i="1" s="1" a="1"/>
  <c r="Z4" i="1" s="1"/>
  <c r="Y5" i="1" s="1" a="1"/>
  <c r="Y5" i="1" s="1"/>
  <c r="AA5" i="1" l="1"/>
  <c r="KC5" i="1" s="1"/>
  <c r="Z5" i="1" s="1" a="1"/>
  <c r="Z5" i="1" s="1"/>
  <c r="Y6" i="1" s="1" a="1"/>
  <c r="Y6" i="1" s="1"/>
  <c r="AB5" i="1"/>
  <c r="KD5" i="1" s="1"/>
  <c r="AB6" i="1" l="1"/>
  <c r="KD6" i="1" s="1"/>
  <c r="AA6" i="1"/>
  <c r="KC6" i="1" s="1"/>
  <c r="Z6" i="1" s="1" a="1"/>
  <c r="Z6" i="1" s="1"/>
  <c r="Y7" i="1" s="1" a="1"/>
  <c r="Y7" i="1" s="1"/>
  <c r="AB7" i="1" l="1"/>
  <c r="KD7" i="1" s="1"/>
  <c r="AA7" i="1"/>
  <c r="KC7" i="1" s="1"/>
  <c r="Z7" i="1" s="1" a="1"/>
  <c r="Z7" i="1" s="1"/>
  <c r="Y8" i="1" s="1" a="1"/>
  <c r="Y8" i="1" s="1"/>
  <c r="Y10" i="1" l="1" a="1"/>
  <c r="Y10" i="1" s="1"/>
  <c r="AB8" i="1"/>
  <c r="AA8" i="1"/>
  <c r="AD13" i="1" a="1"/>
  <c r="AD13" i="1" s="1"/>
  <c r="AG13" i="1" s="1"/>
  <c r="AB10" i="1" l="1"/>
  <c r="KD10" i="1" s="1"/>
  <c r="AA10" i="1"/>
  <c r="KC10" i="1" s="1"/>
  <c r="Z10" i="1" s="1" a="1"/>
  <c r="Z10" i="1" s="1"/>
  <c r="Y11" i="1" s="1" a="1"/>
  <c r="Y11" i="1" s="1"/>
  <c r="KA8" i="1"/>
  <c r="KC8" i="1"/>
  <c r="KB8" i="1"/>
  <c r="KF8" i="1" s="1"/>
  <c r="KD8" i="1"/>
  <c r="BG13" i="1"/>
  <c r="BU13" i="1"/>
  <c r="AF13" i="1"/>
  <c r="AB11" i="1" l="1"/>
  <c r="KD11" i="1" s="1"/>
  <c r="AA11" i="1"/>
  <c r="KC11" i="1" s="1"/>
  <c r="Z11" i="1" s="1" a="1"/>
  <c r="Z11" i="1" s="1"/>
  <c r="Y12" i="1" s="1" a="1"/>
  <c r="Y12" i="1" s="1"/>
  <c r="Z8" i="1" a="1"/>
  <c r="Z8" i="1" s="1"/>
  <c r="Y9" i="1" s="1" a="1"/>
  <c r="Y9" i="1" s="1"/>
  <c r="KE8" i="1"/>
  <c r="BF13" i="1"/>
  <c r="BT13" i="1"/>
  <c r="BI13" i="1"/>
  <c r="BW13" i="1"/>
  <c r="AB12" i="1" l="1"/>
  <c r="KD12" i="1" s="1"/>
  <c r="AA12" i="1"/>
  <c r="KC12" i="1" s="1"/>
  <c r="Z12" i="1" s="1" a="1"/>
  <c r="Z12" i="1" s="1"/>
  <c r="AB9" i="1"/>
  <c r="AA9" i="1"/>
  <c r="BK13" i="1"/>
  <c r="CA13" i="1" s="1"/>
  <c r="BY13" i="1"/>
  <c r="BH13" i="1"/>
  <c r="BV13" i="1"/>
  <c r="KC9" i="1" l="1"/>
  <c r="KA9" i="1"/>
  <c r="KB9" i="1"/>
  <c r="KF9" i="1" s="1"/>
  <c r="KD9" i="1"/>
  <c r="BX13" i="1"/>
  <c r="BJ13" i="1"/>
  <c r="BZ13" i="1" s="1"/>
  <c r="AJ13" i="1" a="1"/>
  <c r="AJ13" i="1" s="1"/>
  <c r="AH14" i="1" s="1"/>
  <c r="AI14" i="1" s="1" a="1"/>
  <c r="AI14" i="1" s="1"/>
  <c r="AL14" i="1" s="1"/>
  <c r="AE13" i="1" a="1"/>
  <c r="AE13" i="1" s="1"/>
  <c r="AC14" i="1" s="1"/>
  <c r="Z9" i="1" l="1" a="1"/>
  <c r="Z9" i="1" s="1"/>
  <c r="KE9" i="1"/>
  <c r="AK14" i="1"/>
  <c r="BP14" i="1" s="1"/>
  <c r="CD14" i="1"/>
  <c r="CC14" i="1"/>
  <c r="CE14" i="1"/>
  <c r="CB14" i="1"/>
  <c r="AD14" i="1" a="1"/>
  <c r="AD14" i="1" s="1"/>
  <c r="BQ14" i="1"/>
  <c r="CG14" i="1"/>
  <c r="CF14" i="1" l="1"/>
  <c r="AF14" i="1"/>
  <c r="AG14" i="1"/>
  <c r="BR14" i="1"/>
  <c r="CJ14" i="1" s="1"/>
  <c r="CH14" i="1"/>
  <c r="BS14" i="1"/>
  <c r="CK14" i="1" s="1"/>
  <c r="CI14" i="1"/>
  <c r="BU14" i="1" l="1"/>
  <c r="BG14" i="1"/>
  <c r="BF14" i="1"/>
  <c r="BT14" i="1"/>
  <c r="BI14" i="1" l="1"/>
  <c r="BW14" i="1"/>
  <c r="BH14" i="1"/>
  <c r="BV14" i="1"/>
  <c r="BJ14" i="1" l="1"/>
  <c r="BZ14" i="1" s="1"/>
  <c r="AJ14" i="1" a="1"/>
  <c r="AJ14" i="1" s="1"/>
  <c r="AH15" i="1" s="1"/>
  <c r="BX14" i="1"/>
  <c r="AE14" i="1" a="1"/>
  <c r="AE14" i="1" s="1"/>
  <c r="AC15" i="1" s="1"/>
  <c r="BK14" i="1"/>
  <c r="CA14" i="1" s="1"/>
  <c r="BY14" i="1"/>
  <c r="AD15" i="1" l="1" a="1"/>
  <c r="AD15" i="1" s="1"/>
  <c r="CE15" i="1"/>
  <c r="CB15" i="1"/>
  <c r="CC15" i="1"/>
  <c r="CD15" i="1"/>
  <c r="AI15" i="1" a="1"/>
  <c r="AI15" i="1" s="1"/>
  <c r="AL15" i="1" l="1"/>
  <c r="AK15" i="1"/>
  <c r="AF15" i="1"/>
  <c r="AG15" i="1"/>
  <c r="Y17" i="1" a="1"/>
  <c r="Y17" i="1" s="1"/>
  <c r="BG15" i="1" l="1"/>
  <c r="BU15" i="1"/>
  <c r="BP15" i="1"/>
  <c r="CF15" i="1"/>
  <c r="BT15" i="1"/>
  <c r="BF15" i="1"/>
  <c r="BQ15" i="1"/>
  <c r="CG15" i="1"/>
  <c r="AB17" i="1"/>
  <c r="HH17" i="1" s="1"/>
  <c r="AA17" i="1"/>
  <c r="HG17" i="1" s="1"/>
  <c r="BV15" i="1" l="1"/>
  <c r="BH15" i="1"/>
  <c r="BS15" i="1"/>
  <c r="CK15" i="1" s="1"/>
  <c r="CI15" i="1"/>
  <c r="BR15" i="1"/>
  <c r="CJ15" i="1" s="1"/>
  <c r="CH15" i="1"/>
  <c r="BI15" i="1"/>
  <c r="BW15" i="1"/>
  <c r="BK15" i="1" l="1"/>
  <c r="CA15" i="1" s="1"/>
  <c r="BY15" i="1"/>
  <c r="AE15" i="1" a="1"/>
  <c r="AE15" i="1" s="1"/>
  <c r="AC16" i="1" s="1"/>
  <c r="BX15" i="1"/>
  <c r="AJ15" i="1" a="1"/>
  <c r="AJ15" i="1" s="1"/>
  <c r="AH16" i="1" s="1"/>
  <c r="AI16" i="1" s="1" a="1"/>
  <c r="AI16" i="1" s="1"/>
  <c r="AK16" i="1" s="1"/>
  <c r="BJ15" i="1"/>
  <c r="BZ15" i="1" s="1"/>
  <c r="AL16" i="1" l="1"/>
  <c r="BQ16" i="1" s="1"/>
  <c r="CC16" i="1"/>
  <c r="CB16" i="1"/>
  <c r="AD16" i="1" a="1"/>
  <c r="AD16" i="1" s="1"/>
  <c r="CE16" i="1"/>
  <c r="CD16" i="1"/>
  <c r="BP16" i="1"/>
  <c r="CF16" i="1"/>
  <c r="CG16" i="1" l="1"/>
  <c r="AF16" i="1"/>
  <c r="AG16" i="1"/>
  <c r="BR16" i="1"/>
  <c r="CJ16" i="1" s="1"/>
  <c r="CH16" i="1"/>
  <c r="BS16" i="1"/>
  <c r="CK16" i="1" s="1"/>
  <c r="CI16" i="1"/>
  <c r="BG16" i="1" l="1"/>
  <c r="BU16" i="1"/>
  <c r="BF16" i="1"/>
  <c r="BT16" i="1"/>
  <c r="BV16" i="1" l="1"/>
  <c r="BH16" i="1"/>
  <c r="BW16" i="1"/>
  <c r="BI16" i="1"/>
  <c r="BY16" i="1" l="1"/>
  <c r="BK16" i="1"/>
  <c r="CA16" i="1" s="1"/>
  <c r="BX16" i="1"/>
  <c r="AE16" i="1" a="1"/>
  <c r="AE16" i="1" s="1"/>
  <c r="AC17" i="1" s="1"/>
  <c r="BJ16" i="1"/>
  <c r="BZ16" i="1" s="1"/>
  <c r="AJ16" i="1" a="1"/>
  <c r="AJ16" i="1" s="1"/>
  <c r="AH17" i="1" s="1"/>
  <c r="AI17" i="1" l="1" a="1"/>
  <c r="AI17" i="1" s="1"/>
  <c r="HS17" i="1"/>
  <c r="AD17" i="1" a="1"/>
  <c r="AD17" i="1" s="1"/>
  <c r="HT17" i="1"/>
  <c r="AF17" i="1" l="1"/>
  <c r="AG17" i="1"/>
  <c r="AL17" i="1"/>
  <c r="AK17" i="1"/>
  <c r="HE17" i="1" l="1"/>
  <c r="HW17" i="1" s="1"/>
  <c r="HU17" i="1"/>
  <c r="HJ17" i="1"/>
  <c r="GV17" i="1"/>
  <c r="HF17" i="1"/>
  <c r="HX17" i="1" s="1"/>
  <c r="HV17" i="1"/>
  <c r="HI17" i="1"/>
  <c r="GU17" i="1"/>
  <c r="GW17" i="1" l="1"/>
  <c r="HK17" i="1"/>
  <c r="HL17" i="1"/>
  <c r="GX17" i="1"/>
  <c r="HN17" i="1" l="1"/>
  <c r="GZ17" i="1"/>
  <c r="GY17" i="1"/>
  <c r="HM17" i="1"/>
  <c r="AJ17" i="1" l="1" a="1"/>
  <c r="AJ17" i="1" s="1"/>
  <c r="AH18" i="1" s="1"/>
  <c r="AE17" i="1" a="1"/>
  <c r="AE17" i="1" s="1"/>
  <c r="AC18" i="1" s="1"/>
  <c r="HO17" i="1"/>
  <c r="HA17" i="1"/>
  <c r="HQ17" i="1" s="1"/>
  <c r="Z17" i="1" a="1"/>
  <c r="Z17" i="1" s="1"/>
  <c r="Y18" i="1" s="1" a="1"/>
  <c r="Y18" i="1" s="1"/>
  <c r="HB17" i="1"/>
  <c r="HR17" i="1" s="1"/>
  <c r="HP17" i="1"/>
  <c r="AA18" i="1" l="1"/>
  <c r="HG18" i="1" s="1"/>
  <c r="AB18" i="1"/>
  <c r="HH18" i="1" s="1"/>
  <c r="AD19" i="1" a="1"/>
  <c r="AD19" i="1" s="1"/>
  <c r="HT18" i="1"/>
  <c r="HS18" i="1"/>
  <c r="AD18" i="1" a="1"/>
  <c r="AD18" i="1" s="1"/>
  <c r="AI18" i="1" a="1"/>
  <c r="AI18" i="1" s="1"/>
  <c r="AK18" i="1" l="1"/>
  <c r="AL18" i="1"/>
  <c r="AF18" i="1"/>
  <c r="AG18" i="1"/>
  <c r="AF19" i="1"/>
  <c r="AG19" i="1"/>
  <c r="BU19" i="1" l="1"/>
  <c r="BG19" i="1"/>
  <c r="BF19" i="1"/>
  <c r="BT19" i="1"/>
  <c r="HJ18" i="1"/>
  <c r="GV18" i="1"/>
  <c r="HI18" i="1"/>
  <c r="GU18" i="1"/>
  <c r="HF18" i="1"/>
  <c r="HX18" i="1" s="1"/>
  <c r="HV18" i="1"/>
  <c r="HE18" i="1"/>
  <c r="HW18" i="1" s="1"/>
  <c r="HU18" i="1"/>
  <c r="GX18" i="1" l="1"/>
  <c r="HL18" i="1"/>
  <c r="GW18" i="1"/>
  <c r="HK18" i="1"/>
  <c r="BH19" i="1"/>
  <c r="BV19" i="1"/>
  <c r="BI19" i="1"/>
  <c r="BW19" i="1"/>
  <c r="BK19" i="1" l="1"/>
  <c r="BY19" i="1"/>
  <c r="BX19" i="1"/>
  <c r="BJ19" i="1"/>
  <c r="HM18" i="1"/>
  <c r="GY18" i="1"/>
  <c r="GZ18" i="1"/>
  <c r="HN18" i="1"/>
  <c r="HP18" i="1" l="1"/>
  <c r="HB18" i="1"/>
  <c r="HR18" i="1" s="1"/>
  <c r="AJ18" i="1" a="1"/>
  <c r="AJ18" i="1" s="1"/>
  <c r="AH19" i="1" s="1"/>
  <c r="AI19" i="1" s="1" a="1"/>
  <c r="AI19" i="1" s="1"/>
  <c r="AK19" i="1" s="1"/>
  <c r="Z18" i="1" a="1"/>
  <c r="Z18" i="1" s="1"/>
  <c r="Y30" i="1" s="1" a="1"/>
  <c r="Y30" i="1" s="1"/>
  <c r="HO18" i="1"/>
  <c r="HA18" i="1"/>
  <c r="HQ18" i="1" s="1"/>
  <c r="AE18" i="1" s="1" a="1"/>
  <c r="AE18" i="1" s="1"/>
  <c r="BL19" i="1"/>
  <c r="BZ19" i="1"/>
  <c r="BM19" i="1"/>
  <c r="CA19" i="1"/>
  <c r="AL19" i="1" l="1"/>
  <c r="BQ19" i="1" s="1"/>
  <c r="BN19" i="1"/>
  <c r="CD19" i="1" s="1"/>
  <c r="CB19" i="1"/>
  <c r="AA30" i="1"/>
  <c r="KC30" i="1" s="1"/>
  <c r="Z30" i="1" s="1" a="1"/>
  <c r="Z30" i="1" s="1"/>
  <c r="AB30" i="1"/>
  <c r="KD30" i="1" s="1"/>
  <c r="CC19" i="1"/>
  <c r="BO19" i="1"/>
  <c r="CE19" i="1" s="1"/>
  <c r="BP19" i="1"/>
  <c r="CF19" i="1"/>
  <c r="CG19" i="1" l="1"/>
  <c r="BR19" i="1"/>
  <c r="CJ19" i="1" s="1"/>
  <c r="CH19" i="1"/>
  <c r="AJ19" i="1" a="1"/>
  <c r="AJ19" i="1" s="1"/>
  <c r="AH20" i="1" s="1"/>
  <c r="AI20" i="1" s="1" a="1"/>
  <c r="AI20" i="1" s="1"/>
  <c r="AK20" i="1" s="1"/>
  <c r="BP20" i="1" s="1"/>
  <c r="AE19" i="1" a="1"/>
  <c r="AE19" i="1" s="1"/>
  <c r="AC20" i="1" s="1"/>
  <c r="AD20" i="1" s="1" a="1"/>
  <c r="AD20" i="1" s="1"/>
  <c r="AG20" i="1" s="1"/>
  <c r="BS19" i="1"/>
  <c r="CK19" i="1" s="1"/>
  <c r="CI19" i="1"/>
  <c r="AF20" i="1" l="1"/>
  <c r="BF20" i="1" s="1"/>
  <c r="CF20" i="1"/>
  <c r="AL20" i="1"/>
  <c r="BQ20" i="1" s="1"/>
  <c r="BG20" i="1"/>
  <c r="BU20" i="1"/>
  <c r="BR20" i="1"/>
  <c r="CJ20" i="1" s="1"/>
  <c r="CH20" i="1"/>
  <c r="CG20" i="1" l="1"/>
  <c r="BT20" i="1"/>
  <c r="BI20" i="1"/>
  <c r="BW20" i="1"/>
  <c r="BH20" i="1"/>
  <c r="BV20" i="1"/>
  <c r="BS20" i="1"/>
  <c r="CK20" i="1" s="1"/>
  <c r="CI20" i="1"/>
  <c r="BJ20" i="1" l="1"/>
  <c r="BX20" i="1"/>
  <c r="BK20" i="1"/>
  <c r="BY20" i="1"/>
  <c r="BM20" i="1" l="1"/>
  <c r="CA20" i="1"/>
  <c r="BL20" i="1"/>
  <c r="BZ20" i="1"/>
  <c r="CB20" i="1" l="1"/>
  <c r="CE20" i="1"/>
  <c r="CC20" i="1"/>
  <c r="CD20" i="1" l="1"/>
  <c r="AE20" i="1" a="1"/>
  <c r="AE20" i="1" s="1"/>
  <c r="AC21" i="1" s="1"/>
  <c r="AJ20" i="1" a="1"/>
  <c r="AJ20" i="1" s="1"/>
  <c r="AH21" i="1" s="1"/>
  <c r="AI21" i="1" l="1" a="1"/>
  <c r="AI21" i="1" s="1"/>
  <c r="AK21" i="1" s="1"/>
  <c r="BP21" i="1" s="1"/>
  <c r="BR21" i="1" s="1"/>
  <c r="CJ21" i="1" s="1"/>
  <c r="AD21" i="1" a="1"/>
  <c r="AD21" i="1" s="1"/>
  <c r="AG21" i="1" s="1"/>
  <c r="CE21" i="1"/>
  <c r="CD21" i="1"/>
  <c r="AL21" i="1" l="1"/>
  <c r="BQ21" i="1" s="1"/>
  <c r="BS21" i="1" s="1"/>
  <c r="CK21" i="1" s="1"/>
  <c r="BG21" i="1"/>
  <c r="BU21" i="1"/>
  <c r="CH21" i="1"/>
  <c r="AF21" i="1"/>
  <c r="CF21" i="1"/>
  <c r="CG21" i="1" l="1"/>
  <c r="CI21" i="1"/>
  <c r="BF21" i="1"/>
  <c r="BT21" i="1"/>
  <c r="BI21" i="1"/>
  <c r="BW21" i="1"/>
  <c r="BK21" i="1" l="1"/>
  <c r="BY21" i="1"/>
  <c r="BH21" i="1"/>
  <c r="BV21" i="1"/>
  <c r="BJ21" i="1" l="1"/>
  <c r="BX21" i="1"/>
  <c r="BM21" i="1"/>
  <c r="CC21" i="1" s="1"/>
  <c r="CA21" i="1"/>
  <c r="BL21" i="1" l="1"/>
  <c r="CB21" i="1" s="1"/>
  <c r="BZ21" i="1"/>
  <c r="AJ21" i="1" a="1"/>
  <c r="AJ21" i="1" s="1"/>
  <c r="AH22" i="1" s="1"/>
  <c r="AE21" i="1" a="1"/>
  <c r="AE21" i="1" s="1"/>
  <c r="AC22" i="1" s="1"/>
  <c r="AD22" i="1" l="1" a="1"/>
  <c r="AD22" i="1" s="1"/>
  <c r="CD22" i="1"/>
  <c r="CE22" i="1"/>
  <c r="AI22" i="1" a="1"/>
  <c r="AI22" i="1" s="1"/>
  <c r="AL22" i="1" l="1"/>
  <c r="AK22" i="1"/>
  <c r="AG22" i="1"/>
  <c r="AF22" i="1"/>
  <c r="BG22" i="1" l="1"/>
  <c r="BU22" i="1"/>
  <c r="BF22" i="1"/>
  <c r="BT22" i="1"/>
  <c r="BQ22" i="1"/>
  <c r="CG22" i="1"/>
  <c r="BP22" i="1"/>
  <c r="CF22" i="1"/>
  <c r="BH22" i="1" l="1"/>
  <c r="BV22" i="1"/>
  <c r="BR22" i="1"/>
  <c r="CJ22" i="1" s="1"/>
  <c r="CH22" i="1"/>
  <c r="BS22" i="1"/>
  <c r="CK22" i="1" s="1"/>
  <c r="CI22" i="1"/>
  <c r="BI22" i="1"/>
  <c r="BW22" i="1"/>
  <c r="BK22" i="1" l="1"/>
  <c r="BY22" i="1"/>
  <c r="BJ22" i="1"/>
  <c r="BX22" i="1"/>
  <c r="BL22" i="1" l="1"/>
  <c r="CB22" i="1" s="1"/>
  <c r="BZ22" i="1"/>
  <c r="AE22" i="1" a="1"/>
  <c r="AE22" i="1" s="1"/>
  <c r="AC23" i="1" s="1"/>
  <c r="AJ22" i="1" a="1"/>
  <c r="AJ22" i="1" s="1"/>
  <c r="AH23" i="1" s="1"/>
  <c r="BM22" i="1"/>
  <c r="CC22" i="1" s="1"/>
  <c r="CA22" i="1"/>
  <c r="AI23" i="1" l="1" a="1"/>
  <c r="AI23" i="1" s="1"/>
  <c r="AD23" i="1" a="1"/>
  <c r="AD23" i="1" s="1"/>
  <c r="CE23" i="1"/>
  <c r="CD23" i="1"/>
  <c r="AF23" i="1" l="1"/>
  <c r="AG23" i="1"/>
  <c r="AL23" i="1"/>
  <c r="AK23" i="1"/>
  <c r="BP23" i="1" l="1"/>
  <c r="CF23" i="1"/>
  <c r="BQ23" i="1"/>
  <c r="CG23" i="1"/>
  <c r="BG23" i="1"/>
  <c r="BU23" i="1"/>
  <c r="BF23" i="1"/>
  <c r="BT23" i="1"/>
  <c r="BH23" i="1" l="1"/>
  <c r="BV23" i="1"/>
  <c r="BI23" i="1"/>
  <c r="BW23" i="1"/>
  <c r="BS23" i="1"/>
  <c r="CK23" i="1" s="1"/>
  <c r="CI23" i="1"/>
  <c r="BR23" i="1"/>
  <c r="CJ23" i="1" s="1"/>
  <c r="CH23" i="1"/>
  <c r="BK23" i="1" l="1"/>
  <c r="BY23" i="1"/>
  <c r="BJ23" i="1"/>
  <c r="BX23" i="1"/>
  <c r="BL23" i="1" l="1"/>
  <c r="CB23" i="1" s="1"/>
  <c r="BZ23" i="1"/>
  <c r="AJ23" i="1" a="1"/>
  <c r="AJ23" i="1" s="1"/>
  <c r="AE23" i="1" a="1"/>
  <c r="AE23" i="1" s="1"/>
  <c r="AC24" i="1" s="1"/>
  <c r="BM23" i="1"/>
  <c r="CC23" i="1" s="1"/>
  <c r="CA23" i="1"/>
  <c r="CB24" i="1" l="1"/>
  <c r="CE24" i="1"/>
  <c r="CD24" i="1"/>
  <c r="CC24" i="1"/>
  <c r="AH24" i="1"/>
  <c r="AD24" i="1" a="1"/>
  <c r="AD24" i="1" s="1"/>
  <c r="AI24" i="1" l="1" a="1"/>
  <c r="AI24" i="1" s="1"/>
  <c r="AK24" i="1" s="1"/>
  <c r="AG24" i="1"/>
  <c r="AF24" i="1"/>
  <c r="BP24" i="1" l="1"/>
  <c r="CF24" i="1"/>
  <c r="BG24" i="1"/>
  <c r="BU24" i="1"/>
  <c r="AL24" i="1"/>
  <c r="BF24" i="1"/>
  <c r="BT24" i="1"/>
  <c r="BH24" i="1" l="1"/>
  <c r="BV24" i="1"/>
  <c r="BQ24" i="1"/>
  <c r="CG24" i="1"/>
  <c r="BI24" i="1"/>
  <c r="BW24" i="1"/>
  <c r="BR24" i="1"/>
  <c r="CJ24" i="1" s="1"/>
  <c r="CH24" i="1"/>
  <c r="BK24" i="1" l="1"/>
  <c r="CA24" i="1" s="1"/>
  <c r="BY24" i="1"/>
  <c r="BS24" i="1"/>
  <c r="CK24" i="1" s="1"/>
  <c r="CI24" i="1"/>
  <c r="BJ24" i="1"/>
  <c r="BX24" i="1"/>
  <c r="BZ24" i="1" l="1"/>
  <c r="AE24" i="1" a="1"/>
  <c r="AE24" i="1" s="1"/>
  <c r="AC25" i="1" s="1"/>
  <c r="AJ24" i="1" a="1"/>
  <c r="AJ24" i="1" s="1"/>
  <c r="AH25" i="1" s="1"/>
  <c r="AI25" i="1" l="1" a="1"/>
  <c r="AI25" i="1" s="1"/>
  <c r="AL25" i="1" s="1"/>
  <c r="AD25" i="1" a="1"/>
  <c r="AD25" i="1" s="1"/>
  <c r="CE25" i="1"/>
  <c r="CD25" i="1"/>
  <c r="CC25" i="1"/>
  <c r="CB25" i="1"/>
  <c r="BQ25" i="1" l="1"/>
  <c r="CG25" i="1"/>
  <c r="AF25" i="1"/>
  <c r="AG25" i="1"/>
  <c r="AK25" i="1"/>
  <c r="BP25" i="1" l="1"/>
  <c r="CF25" i="1"/>
  <c r="BG25" i="1"/>
  <c r="BU25" i="1"/>
  <c r="BF25" i="1"/>
  <c r="BT25" i="1"/>
  <c r="BS25" i="1"/>
  <c r="CK25" i="1" s="1"/>
  <c r="CI25" i="1"/>
  <c r="BH25" i="1" l="1"/>
  <c r="BV25" i="1"/>
  <c r="BI25" i="1"/>
  <c r="BW25" i="1"/>
  <c r="BR25" i="1"/>
  <c r="CJ25" i="1" s="1"/>
  <c r="CH25" i="1"/>
  <c r="BK25" i="1" l="1"/>
  <c r="CA25" i="1" s="1"/>
  <c r="BY25" i="1"/>
  <c r="BJ25" i="1"/>
  <c r="BX25" i="1"/>
  <c r="BZ25" i="1" l="1"/>
  <c r="AE25" i="1" a="1"/>
  <c r="AE25" i="1" s="1"/>
  <c r="AC26" i="1" s="1"/>
  <c r="AJ25" i="1" a="1"/>
  <c r="AJ25" i="1" s="1"/>
  <c r="AH26" i="1" s="1"/>
  <c r="AI26" i="1" l="1" a="1"/>
  <c r="AI26" i="1" s="1"/>
  <c r="AL26" i="1" s="1"/>
  <c r="AD26" i="1" a="1"/>
  <c r="AD26" i="1" s="1"/>
  <c r="EX26" i="1" l="1"/>
  <c r="FH26" i="1" s="1"/>
  <c r="FF26" i="1"/>
  <c r="AK26" i="1"/>
  <c r="AF26" i="1"/>
  <c r="AG26" i="1"/>
  <c r="ET26" i="1" l="1"/>
  <c r="EZ26" i="1"/>
  <c r="ES26" i="1"/>
  <c r="EY26" i="1"/>
  <c r="EW26" i="1"/>
  <c r="FG26" i="1" s="1"/>
  <c r="FE26" i="1"/>
  <c r="EU26" i="1" l="1"/>
  <c r="FC26" i="1" s="1"/>
  <c r="AE26" i="1" a="1"/>
  <c r="AE26" i="1" s="1"/>
  <c r="AC27" i="1" s="1"/>
  <c r="AD27" i="1" s="1" a="1"/>
  <c r="AD27" i="1" s="1"/>
  <c r="AC28" i="1" s="1"/>
  <c r="AJ26" i="1" a="1"/>
  <c r="AJ26" i="1" s="1"/>
  <c r="FA26" i="1"/>
  <c r="EV26" i="1"/>
  <c r="FD26" i="1" s="1"/>
  <c r="FB26" i="1"/>
  <c r="AF27" i="1" l="1"/>
  <c r="AG27" i="1"/>
  <c r="AD28" i="1" a="1"/>
  <c r="AD28" i="1" s="1"/>
  <c r="AD32" i="1" a="1"/>
  <c r="AD32" i="1" s="1"/>
  <c r="AF32" i="1" l="1"/>
  <c r="LY32" i="1" s="1"/>
  <c r="AE32" i="1" s="1" a="1"/>
  <c r="AE32" i="1" s="1"/>
  <c r="AC33" i="1" s="1"/>
  <c r="AD33" i="1" s="1" a="1"/>
  <c r="AD33" i="1" s="1"/>
  <c r="AG32" i="1"/>
  <c r="AG28" i="1"/>
  <c r="AF28" i="1"/>
  <c r="VR28" i="1" l="1"/>
  <c r="VS28" i="1"/>
  <c r="VQ28" i="1"/>
  <c r="VU28" i="1" s="1"/>
  <c r="VW28" i="1"/>
  <c r="VT28" i="1"/>
  <c r="AG33" i="1"/>
  <c r="AF33" i="1"/>
  <c r="LY33" i="1" s="1"/>
  <c r="AE33" i="1" s="1" a="1"/>
  <c r="AE33" i="1" s="1"/>
  <c r="AC34" i="1" s="1"/>
  <c r="AD34" i="1" s="1" a="1"/>
  <c r="AD34" i="1" s="1"/>
  <c r="AF34" i="1" l="1"/>
  <c r="LY34" i="1" s="1"/>
  <c r="AE34" i="1" s="1" a="1"/>
  <c r="AE34" i="1" s="1"/>
  <c r="AC35" i="1" s="1"/>
  <c r="AD35" i="1" s="1" a="1"/>
  <c r="AD35" i="1" s="1"/>
  <c r="AG34" i="1"/>
  <c r="VV28" i="1"/>
  <c r="AE28" i="1" s="1" a="1"/>
  <c r="AE28" i="1" s="1"/>
  <c r="VX28" i="1"/>
  <c r="AG35" i="1" l="1"/>
  <c r="AF35" i="1"/>
  <c r="LY35" i="1" s="1"/>
  <c r="AE35" i="1" s="1" a="1"/>
  <c r="AE35" i="1" s="1"/>
  <c r="AC36" i="1" s="1"/>
  <c r="AD36" i="1" s="1" a="1"/>
  <c r="AD36" i="1" s="1"/>
  <c r="AF36" i="1" l="1"/>
  <c r="LY36" i="1" s="1"/>
  <c r="AE36" i="1" s="1" a="1"/>
  <c r="AE36" i="1" s="1"/>
  <c r="AC37" i="1" s="1"/>
  <c r="AD37" i="1" s="1" a="1"/>
  <c r="AD37" i="1" s="1"/>
  <c r="AG36" i="1"/>
  <c r="AG37" i="1" l="1"/>
  <c r="AF37" i="1"/>
  <c r="LY37" i="1" s="1"/>
  <c r="AE37" i="1" s="1" a="1"/>
  <c r="AE37" i="1" s="1"/>
  <c r="AC38" i="1" s="1"/>
  <c r="AD38" i="1" s="1" a="1"/>
  <c r="AD38" i="1" s="1"/>
  <c r="AF38" i="1" l="1"/>
  <c r="LY38" i="1" s="1"/>
  <c r="AE38" i="1" s="1" a="1"/>
  <c r="AE38" i="1" s="1"/>
  <c r="AC39" i="1" s="1"/>
  <c r="AD39" i="1" s="1" a="1"/>
  <c r="AD39" i="1" s="1"/>
  <c r="AG38" i="1"/>
  <c r="AF39" i="1" l="1"/>
  <c r="LY39" i="1" s="1"/>
  <c r="AE39" i="1" s="1" a="1"/>
  <c r="AE39" i="1" s="1"/>
  <c r="AG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tc={F37083B4-0267-40B3-943E-8E106B59FD56}</author>
    <author>tc={1E085EFA-2D4C-49AF-8DF0-637CB800E501}</author>
  </authors>
  <commentList>
    <comment ref="B20" authorId="0" shapeId="0" xr:uid="{F37083B4-0267-40B3-943E-8E106B59FD5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</text>
    </comment>
    <comment ref="B27" authorId="1" shapeId="0" xr:uid="{1E085EFA-2D4C-49AF-8DF0-637CB800E50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<sst xmlns="http://schemas.openxmlformats.org/spreadsheetml/2006/main" count="1478" uniqueCount="619">
  <si>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</si>
  <si>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</si>
  <si>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</si>
  <si>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</si>
  <si>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</si>
  <si>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</si>
  <si>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</si>
  <si>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</si>
  <si>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</si>
  <si>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</si>
  <si>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</si>
  <si>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</si>
  <si>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</si>
  <si>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</si>
  <si>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</si>
  <si>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</si>
  <si>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</si>
  <si>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</si>
  <si>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</si>
  <si>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</si>
  <si>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</si>
  <si>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</si>
  <si>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</si>
  <si>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</si>
  <si>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</si>
  <si>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</si>
  <si>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</si>
  <si>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</si>
  <si>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</si>
  <si>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</si>
  <si>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</si>
  <si>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</si>
  <si>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</si>
  <si>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</si>
  <si>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</si>
  <si>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</si>
  <si>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</si>
  <si>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</si>
  <si>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</si>
  <si>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</si>
  <si>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</si>
  <si>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</si>
  <si>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</si>
  <si>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</si>
  <si>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</si>
  <si>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</si>
  <si>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</si>
  <si>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</si>
  <si>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</si>
  <si>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</si>
  <si>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</si>
  <si>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</si>
  <si>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</si>
  <si>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</si>
  <si>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</si>
  <si>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</si>
  <si>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</si>
  <si>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</si>
  <si>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</si>
  <si>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</si>
  <si>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</si>
  <si>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</si>
  <si>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</si>
  <si>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</si>
  <si>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</si>
  <si>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</si>
  <si>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</si>
  <si>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</si>
  <si>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</si>
  <si>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</si>
  <si>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</si>
  <si>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</si>
  <si>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</si>
  <si>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</si>
  <si>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</si>
  <si>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</si>
  <si>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</si>
  <si>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</si>
  <si>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</si>
  <si>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</si>
  <si>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</si>
  <si>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</si>
  <si>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</si>
  <si>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</si>
  <si>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</si>
  <si>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</si>
  <si>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</si>
  <si>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</si>
  <si>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</si>
  <si>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</si>
  <si>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</si>
  <si>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</si>
  <si>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</si>
  <si>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</si>
  <si>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</si>
  <si>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</si>
  <si>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</si>
  <si>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</si>
  <si>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</si>
  <si>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</si>
  <si>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</si>
  <si>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</si>
  <si>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</si>
  <si>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</si>
  <si>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</si>
  <si>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</si>
  <si>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</si>
  <si>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</si>
  <si>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</si>
  <si>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</si>
  <si>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</si>
  <si>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</si>
  <si>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</si>
  <si>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</si>
  <si>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</si>
  <si>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</si>
  <si>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</si>
  <si>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</si>
  <si>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</si>
  <si>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</si>
  <si>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</si>
  <si>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</si>
  <si>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</si>
  <si>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</si>
  <si>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</si>
  <si>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</si>
  <si>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ГС</t>
  </si>
  <si>
    <t>A5.1</t>
  </si>
  <si>
    <t>A6.1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</si>
  <si>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</si>
  <si>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</si>
  <si>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</si>
  <si>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</si>
  <si>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</si>
  <si>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</si>
  <si>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</si>
  <si>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</si>
  <si>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</si>
  <si>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</si>
  <si>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</si>
  <si>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</si>
  <si>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</si>
  <si>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</si>
  <si>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</si>
  <si>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</si>
  <si>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</si>
  <si>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A5.2</t>
  </si>
  <si>
    <t>se0003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</si>
  <si>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</si>
  <si>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</si>
  <si>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</si>
  <si>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</si>
  <si>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</si>
  <si>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</si>
  <si>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</si>
  <si>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</si>
  <si>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</si>
  <si>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</si>
  <si>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</si>
  <si>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</si>
  <si>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</si>
  <si>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</si>
  <si>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</si>
  <si>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</si>
  <si>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</si>
  <si>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</si>
  <si>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</si>
  <si>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</si>
  <si>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</si>
  <si>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</si>
  <si>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</si>
  <si>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</si>
  <si>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</si>
  <si>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</si>
  <si>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</si>
  <si>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</si>
  <si>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</si>
  <si>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</si>
  <si>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</si>
  <si>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</si>
  <si>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</si>
  <si>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</si>
  <si>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</si>
  <si>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</si>
  <si>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</si>
  <si>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</si>
  <si>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</si>
  <si>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</si>
  <si>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WcpKlDoA</t>
  </si>
  <si>
    <t>se0005</t>
  </si>
  <si>
    <t>A3.3</t>
  </si>
  <si>
    <t>24v3</t>
  </si>
  <si>
    <t>0v3</t>
  </si>
  <si>
    <t>T1+</t>
  </si>
  <si>
    <t>T2+</t>
  </si>
  <si>
    <t>T1-</t>
  </si>
  <si>
    <t>АИР-20/М2-Н</t>
  </si>
  <si>
    <t>4-x пров R</t>
  </si>
  <si>
    <t>se0007</t>
  </si>
  <si>
    <t>Xid1</t>
  </si>
  <si>
    <t>Xid2</t>
  </si>
  <si>
    <t>T2-</t>
  </si>
  <si>
    <t>WcpAi2-</t>
  </si>
  <si>
    <t>WcpAi2+</t>
  </si>
  <si>
    <t>TmAi2-</t>
  </si>
  <si>
    <t>TmAi2+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</si>
  <si>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</si>
  <si>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</si>
  <si>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</si>
  <si>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</si>
  <si>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</si>
  <si>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</si>
  <si>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</si>
  <si>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</si>
  <si>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</si>
  <si>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</si>
  <si>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</si>
  <si>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</si>
  <si>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</si>
  <si>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</si>
  <si>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</si>
  <si>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</si>
  <si>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</si>
  <si>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</si>
  <si>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</si>
  <si>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</si>
  <si>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</si>
  <si>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</si>
  <si>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</si>
  <si>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</si>
  <si>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</si>
  <si>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</si>
  <si>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</si>
  <si>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</si>
  <si>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</si>
  <si>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</si>
  <si>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</si>
  <si>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</si>
  <si>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</si>
  <si>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</si>
  <si>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</si>
  <si>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</si>
  <si>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</si>
  <si>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</si>
  <si>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</si>
  <si>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</si>
  <si>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</si>
  <si>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</si>
  <si>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</si>
  <si>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</si>
  <si>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</si>
  <si>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</si>
  <si>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</si>
  <si>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</si>
  <si>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</si>
  <si>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</si>
  <si>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</si>
  <si>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</si>
  <si>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</si>
  <si>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</si>
  <si>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</si>
  <si>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</si>
  <si>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</si>
  <si>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</si>
  <si>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</si>
  <si>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</si>
  <si>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</si>
  <si>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</si>
  <si>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</si>
  <si>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</si>
  <si>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</si>
  <si>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</si>
  <si>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</si>
  <si>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</si>
  <si>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</si>
  <si>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</si>
  <si>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</si>
  <si>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</si>
  <si>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</si>
  <si>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</si>
  <si>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</si>
  <si>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</si>
  <si>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</si>
  <si>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</si>
  <si>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</si>
  <si>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</si>
  <si>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</si>
  <si>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</si>
  <si>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</si>
  <si>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</si>
  <si>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</si>
  <si>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</si>
  <si>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</si>
  <si>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</si>
  <si>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</si>
  <si>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</si>
  <si>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</si>
  <si>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</si>
  <si>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</si>
  <si>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</si>
  <si>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</si>
  <si>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</si>
  <si>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</si>
  <si>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</si>
  <si>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</si>
  <si>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</si>
  <si>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</si>
  <si>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</si>
  <si>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</si>
  <si>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</si>
  <si>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</si>
  <si>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</si>
  <si>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</si>
  <si>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</si>
  <si>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</si>
  <si>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</si>
  <si>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</si>
  <si>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</si>
  <si>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</si>
  <si>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</si>
  <si>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</si>
  <si>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</si>
  <si>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</si>
  <si>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</si>
  <si>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</si>
  <si>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</si>
  <si>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</si>
  <si>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</si>
  <si>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</si>
  <si>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</si>
  <si>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</si>
  <si>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</si>
  <si>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</si>
  <si>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</si>
  <si>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</si>
  <si>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</si>
  <si>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</si>
  <si>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</si>
  <si>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</si>
  <si>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</si>
  <si>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</si>
  <si>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</si>
  <si>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</si>
  <si>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</si>
  <si>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</si>
  <si>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</si>
  <si>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id1</t>
  </si>
  <si>
    <t>role1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</si>
  <si>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</si>
  <si>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</si>
  <si>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</si>
  <si>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</si>
  <si>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</si>
  <si>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</si>
  <si>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</si>
  <si>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</si>
  <si>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</si>
  <si>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</si>
  <si>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</si>
  <si>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</si>
  <si>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</si>
  <si>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</si>
  <si>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</si>
  <si>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</si>
  <si>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se0021</t>
  </si>
  <si>
    <t>№chanDi</t>
  </si>
  <si>
    <t>DiCount</t>
  </si>
  <si>
    <t>№chanDo</t>
  </si>
  <si>
    <t>DoCount</t>
  </si>
  <si>
    <t>se0023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</si>
  <si>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</si>
  <si>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</si>
  <si>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</si>
  <si>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</si>
  <si>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</si>
  <si>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</si>
  <si>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</si>
  <si>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</si>
  <si>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</si>
  <si>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</si>
  <si>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</si>
  <si>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</si>
  <si>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</si>
  <si>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</si>
  <si>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</si>
  <si>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</si>
  <si>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</si>
  <si>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</si>
  <si>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</si>
  <si>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</si>
  <si>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</si>
  <si>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</si>
  <si>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</si>
  <si>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</si>
  <si>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</si>
  <si>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</si>
  <si>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</si>
  <si>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</si>
  <si>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</si>
  <si>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</si>
  <si>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</si>
  <si>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</si>
  <si>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</si>
  <si>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</si>
  <si>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</si>
  <si>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</si>
  <si>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</si>
  <si>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</si>
  <si>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</si>
  <si>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</si>
  <si>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</si>
  <si>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</si>
  <si>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</si>
  <si>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</si>
  <si>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</si>
  <si>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</si>
  <si>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</si>
  <si>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</si>
  <si>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</si>
  <si>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</si>
  <si>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TmComSG</t>
  </si>
  <si>
    <t>WppL</t>
  </si>
  <si>
    <t>WppDi1</t>
  </si>
  <si>
    <t>WppDi2</t>
  </si>
  <si>
    <t>WppL2</t>
  </si>
  <si>
    <t>A3.2</t>
  </si>
  <si>
    <t>Сигнализатор газов СТМ-10</t>
  </si>
  <si>
    <t>Desc1</t>
  </si>
  <si>
    <t>Desc2</t>
  </si>
  <si>
    <t>Неисправность шкафа сборки задвижек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</si>
  <si>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</si>
  <si>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</si>
  <si>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</si>
  <si>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</si>
  <si>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</si>
  <si>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</si>
  <si>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</si>
  <si>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</si>
  <si>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</si>
  <si>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</si>
  <si>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</si>
  <si>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</si>
  <si>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</si>
  <si>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</si>
  <si>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</si>
  <si>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</si>
  <si>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</si>
  <si>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</si>
  <si>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</si>
  <si>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</si>
  <si>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</si>
  <si>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</si>
  <si>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</si>
  <si>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</si>
  <si>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</si>
  <si>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</si>
  <si>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</si>
  <si>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</si>
  <si>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</si>
  <si>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</si>
  <si>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</si>
  <si>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</si>
  <si>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</si>
  <si>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</si>
  <si>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</si>
  <si>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</si>
  <si>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</si>
  <si>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E2-23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</si>
  <si>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</si>
  <si>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</si>
  <si>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</si>
  <si>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</si>
  <si>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</si>
  <si>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</si>
  <si>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</si>
  <si>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</si>
  <si>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</si>
  <si>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Затвор со стороны газопровода на ГРП-1</t>
  </si>
  <si>
    <t>Регулятор давления газа</t>
  </si>
  <si>
    <t>Расход газа</t>
  </si>
  <si>
    <t>E2-15</t>
  </si>
  <si>
    <t>Шкаф учета газа ШУГ (E2CFQ01)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</si>
  <si>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</si>
  <si>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</si>
  <si>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</si>
  <si>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</si>
  <si>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</si>
  <si>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</si>
  <si>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</si>
  <si>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</si>
  <si>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</si>
  <si>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</si>
  <si>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</si>
  <si>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</si>
  <si>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</si>
  <si>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</si>
  <si>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</si>
  <si>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</si>
  <si>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</si>
  <si>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</si>
  <si>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</si>
  <si>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</si>
  <si>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</si>
  <si>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</si>
  <si>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</si>
  <si>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</si>
  <si>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</si>
  <si>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</si>
  <si>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</si>
  <si>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</si>
  <si>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</si>
  <si>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</si>
  <si>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</si>
  <si>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</si>
  <si>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</si>
  <si>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</si>
  <si>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se0033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</si>
  <si>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</si>
  <si>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</si>
  <si>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</si>
  <si>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</si>
  <si>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</si>
  <si>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</si>
  <si>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</si>
  <si>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</si>
  <si>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</si>
  <si>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</si>
  <si>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</si>
  <si>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</si>
  <si>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</si>
  <si>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</si>
  <si>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</si>
  <si>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</si>
  <si>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</si>
  <si>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</si>
  <si>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</si>
  <si>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</si>
  <si>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</si>
  <si>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</si>
  <si>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</si>
  <si>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</si>
  <si>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</si>
  <si>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</si>
  <si>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</si>
  <si>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</si>
  <si>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</si>
  <si>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</si>
  <si>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</si>
  <si>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</si>
  <si>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</si>
  <si>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</si>
  <si>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</si>
  <si>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</si>
  <si>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</si>
  <si>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</si>
  <si>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</si>
  <si>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</si>
  <si>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</si>
  <si>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</si>
  <si>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</si>
  <si>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</si>
  <si>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</si>
  <si>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</si>
  <si>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</si>
  <si>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</si>
  <si>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</si>
  <si>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</si>
  <si>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</si>
  <si>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</si>
  <si>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</si>
  <si>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se0037</t>
  </si>
  <si>
    <t>?</t>
  </si>
  <si>
    <t>Питание ввода №1 в норме (ГРП-2)</t>
  </si>
  <si>
    <t>Питание ввода №2 в норме (ГРП-2)</t>
  </si>
  <si>
    <t>Ввод 1 включен (ГРП-2)</t>
  </si>
  <si>
    <t>Ввод 2 включен (ГРП-2)</t>
  </si>
  <si>
    <t>Питание ИБП в норме (ГРП-2)</t>
  </si>
  <si>
    <t>Питание цепей внешних сигналов включено (ГРП-2)</t>
  </si>
  <si>
    <t>Питание цепей внутренних сигналов включено (ГРП-2)</t>
  </si>
  <si>
    <t>Питание датчиков 220В включено (ГРП-2)</t>
  </si>
  <si>
    <t>Дверь шкафа открыта (ГРП-2)</t>
  </si>
  <si>
    <t>E2EKA01 CP001</t>
  </si>
  <si>
    <t>E2EKG01 CP001</t>
  </si>
  <si>
    <t>E2EKG01 CP002</t>
  </si>
  <si>
    <t>E2EKG01 CP003</t>
  </si>
  <si>
    <t>E2EKD01 CP001</t>
  </si>
  <si>
    <t>E2EKD02 CP001</t>
  </si>
  <si>
    <t>E2EKA01 CT101</t>
  </si>
  <si>
    <t>E2EKG01 CT101</t>
  </si>
  <si>
    <t>E2EKA02 СР001</t>
  </si>
  <si>
    <t>E2EKA02 СР002</t>
  </si>
  <si>
    <t>E2EKA02 СР003</t>
  </si>
  <si>
    <t>E2EKD01 AA001</t>
  </si>
  <si>
    <t>E2EKD01 AA002</t>
  </si>
  <si>
    <t>E2EKD02 AA001</t>
  </si>
  <si>
    <t>E2EKD02 AA002</t>
  </si>
  <si>
    <t>E2EKD01 AA801</t>
  </si>
  <si>
    <t>E2EKD02 AA801</t>
  </si>
  <si>
    <t>E2EKG12 AA001</t>
  </si>
  <si>
    <t>E2EKA01 AA001</t>
  </si>
  <si>
    <t>E2EKG11 AA001</t>
  </si>
  <si>
    <t>E2EKG11 AA002</t>
  </si>
  <si>
    <t>E2EKG02 AA001</t>
  </si>
  <si>
    <t>E2EKA02 AA001</t>
  </si>
  <si>
    <t>E2EKA02 AA002</t>
  </si>
  <si>
    <t>E2EKA02 AA801</t>
  </si>
  <si>
    <t>E2CDA01 GH001</t>
  </si>
  <si>
    <t>E2UEN01 CQ001</t>
  </si>
  <si>
    <t>E2EKA02 FF001</t>
  </si>
  <si>
    <t>E2EKA02 СF001</t>
  </si>
  <si>
    <t>E2CJU01 GH001</t>
  </si>
  <si>
    <t>E2CJU01 GH002</t>
  </si>
  <si>
    <t>E2CJU01 GH003</t>
  </si>
  <si>
    <t>E2CJU01 GH004</t>
  </si>
  <si>
    <t>E2CJU01 GH005</t>
  </si>
  <si>
    <t>E2CJU01 GH006</t>
  </si>
  <si>
    <t>E2CJU01 GH007</t>
  </si>
  <si>
    <t>E2CJU01 GH008</t>
  </si>
  <si>
    <t>E2CJU01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</si>
</sst>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0" borderId="1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27" dT="2025-07-03T10:31:53.28" personId="{1BBA9C37-440F-4406-BC90-B03034B3364F}" id="{1E085EFA-2D4C-49AF-8DF0-637CB800E501}">
    <text>нужна схема шкафа Ш-1 ГРП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39"/>
  <sheetViews>
    <sheetView tabSelected="1" zoomScale="85" zoomScaleNormal="85" workbookViewId="0">
      <pane ySplit="1" topLeftCell="A2" activePane="bottomLeft" state="frozen"/>
      <selection pane="bottomLeft" activeCell="X17" sqref="X17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2" bestFit="1" customWidth="1"/>
    <col min="36" max="36" width="8.7109375" style="42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151</v>
      </c>
      <c r="W1" s="5" t="s">
        <v>150</v>
      </c>
      <c r="X1" s="6" t="s">
        <v>170</v>
      </c>
      <c r="Y1" s="3" t="s">
        <v>354</v>
      </c>
      <c r="Z1" s="3" t="s">
        <v>355</v>
      </c>
      <c r="AA1" s="3" t="s">
        <v>171</v>
      </c>
      <c r="AB1" s="3" t="s">
        <v>172</v>
      </c>
      <c r="AC1" s="6" t="s">
        <v>21</v>
      </c>
      <c r="AD1" s="3" t="s">
        <v>365</v>
      </c>
      <c r="AE1" s="3" t="s">
        <v>366</v>
      </c>
      <c r="AF1" s="3" t="s">
        <v>23</v>
      </c>
      <c r="AG1" s="3" t="s">
        <v>24</v>
      </c>
      <c r="AH1" s="6" t="s">
        <v>22</v>
      </c>
      <c r="AI1" s="41" t="s">
        <v>367</v>
      </c>
      <c r="AJ1" s="41" t="s">
        <v>368</v>
      </c>
      <c r="AK1" s="3" t="s">
        <v>25</v>
      </c>
      <c r="AL1" s="3" t="s">
        <v>26</v>
      </c>
      <c r="AM1" s="6" t="s">
        <v>31</v>
      </c>
      <c r="AN1" s="6" t="s">
        <v>148</v>
      </c>
      <c r="AO1" s="6" t="s">
        <v>149</v>
      </c>
      <c r="AP1" s="6" t="s">
        <v>27</v>
      </c>
      <c r="AQ1" s="6" t="s">
        <v>28</v>
      </c>
      <c r="AR1" s="6" t="s">
        <v>160</v>
      </c>
      <c r="AS1" s="6" t="s">
        <v>168</v>
      </c>
      <c r="AT1" s="6" t="s">
        <v>29</v>
      </c>
      <c r="AU1" s="6" t="s">
        <v>30</v>
      </c>
      <c r="AV1" s="19" t="s">
        <v>32</v>
      </c>
      <c r="AW1" s="19" t="s">
        <v>33</v>
      </c>
      <c r="AX1" s="19" t="s">
        <v>34</v>
      </c>
      <c r="AY1" s="19" t="s">
        <v>162</v>
      </c>
      <c r="AZ1" s="19" t="s">
        <v>163</v>
      </c>
      <c r="BA1" s="19" t="s">
        <v>164</v>
      </c>
      <c r="BB1" s="19" t="s">
        <v>165</v>
      </c>
      <c r="BC1" s="19" t="s">
        <v>166</v>
      </c>
      <c r="BD1" s="19" t="s">
        <v>167</v>
      </c>
      <c r="BE1" s="3" t="s">
        <v>35</v>
      </c>
      <c r="BF1" s="3" t="s">
        <v>36</v>
      </c>
      <c r="BG1" s="3" t="s">
        <v>37</v>
      </c>
      <c r="BH1" s="3" t="s">
        <v>38</v>
      </c>
      <c r="BI1" s="3" t="s">
        <v>39</v>
      </c>
      <c r="BJ1" s="3" t="s">
        <v>40</v>
      </c>
      <c r="BK1" s="3" t="s">
        <v>41</v>
      </c>
      <c r="BL1" s="3" t="s">
        <v>42</v>
      </c>
      <c r="BM1" s="3" t="s">
        <v>43</v>
      </c>
      <c r="BN1" s="3" t="s">
        <v>44</v>
      </c>
      <c r="BO1" s="3" t="s">
        <v>45</v>
      </c>
      <c r="BP1" s="3" t="s">
        <v>46</v>
      </c>
      <c r="BQ1" s="3" t="s">
        <v>47</v>
      </c>
      <c r="BR1" s="3" t="s">
        <v>48</v>
      </c>
      <c r="BS1" s="3" t="s">
        <v>49</v>
      </c>
      <c r="BT1" s="3" t="s">
        <v>50</v>
      </c>
      <c r="BU1" s="3" t="s">
        <v>51</v>
      </c>
      <c r="BV1" s="3" t="s">
        <v>52</v>
      </c>
      <c r="BW1" s="3" t="s">
        <v>53</v>
      </c>
      <c r="BX1" s="3" t="s">
        <v>54</v>
      </c>
      <c r="BY1" s="3" t="s">
        <v>55</v>
      </c>
      <c r="BZ1" s="3" t="s">
        <v>56</v>
      </c>
      <c r="CA1" s="3" t="s">
        <v>57</v>
      </c>
      <c r="CB1" s="3" t="s">
        <v>58</v>
      </c>
      <c r="CC1" s="3" t="s">
        <v>59</v>
      </c>
      <c r="CD1" s="3" t="s">
        <v>60</v>
      </c>
      <c r="CE1" s="3" t="s">
        <v>61</v>
      </c>
      <c r="CF1" s="3" t="s">
        <v>62</v>
      </c>
      <c r="CG1" s="3" t="s">
        <v>63</v>
      </c>
      <c r="CH1" s="3" t="s">
        <v>64</v>
      </c>
      <c r="CI1" s="3" t="s">
        <v>65</v>
      </c>
      <c r="CJ1" s="3" t="s">
        <v>66</v>
      </c>
      <c r="CK1" s="3" t="s">
        <v>67</v>
      </c>
      <c r="CL1" s="3" t="s">
        <v>73</v>
      </c>
      <c r="CM1" s="3" t="s">
        <v>74</v>
      </c>
      <c r="CN1" s="3" t="s">
        <v>75</v>
      </c>
      <c r="CO1" s="3" t="s">
        <v>76</v>
      </c>
      <c r="CP1" s="3" t="s">
        <v>77</v>
      </c>
      <c r="CQ1" s="3" t="s">
        <v>78</v>
      </c>
      <c r="CR1" s="3" t="s">
        <v>79</v>
      </c>
      <c r="CS1" s="3" t="s">
        <v>80</v>
      </c>
      <c r="CT1" s="3" t="s">
        <v>81</v>
      </c>
      <c r="CU1" s="3" t="s">
        <v>82</v>
      </c>
      <c r="CV1" s="3" t="s">
        <v>83</v>
      </c>
      <c r="CW1" s="3" t="s">
        <v>84</v>
      </c>
      <c r="CX1" s="3" t="s">
        <v>85</v>
      </c>
      <c r="CY1" s="3" t="s">
        <v>86</v>
      </c>
      <c r="CZ1" s="3" t="s">
        <v>87</v>
      </c>
      <c r="DA1" s="3" t="s">
        <v>88</v>
      </c>
      <c r="DB1" s="3" t="s">
        <v>89</v>
      </c>
      <c r="DC1" s="3" t="s">
        <v>90</v>
      </c>
      <c r="DD1" s="3" t="s">
        <v>91</v>
      </c>
      <c r="DE1" s="3" t="s">
        <v>92</v>
      </c>
      <c r="DF1" s="3" t="s">
        <v>93</v>
      </c>
      <c r="DG1" s="3" t="s">
        <v>94</v>
      </c>
      <c r="DH1" s="3" t="s">
        <v>95</v>
      </c>
      <c r="DI1" s="3" t="s">
        <v>68</v>
      </c>
      <c r="DJ1" s="3" t="s">
        <v>69</v>
      </c>
      <c r="DK1" s="3" t="s">
        <v>70</v>
      </c>
      <c r="DL1" s="3" t="s">
        <v>71</v>
      </c>
      <c r="DM1" s="3" t="s">
        <v>72</v>
      </c>
      <c r="DN1" s="3" t="s">
        <v>96</v>
      </c>
      <c r="DO1" s="3" t="s">
        <v>97</v>
      </c>
      <c r="DP1" s="3" t="s">
        <v>98</v>
      </c>
      <c r="DQ1" s="3" t="s">
        <v>99</v>
      </c>
      <c r="DR1" s="3" t="s">
        <v>100</v>
      </c>
      <c r="DS1" s="3" t="s">
        <v>101</v>
      </c>
      <c r="DT1" s="3" t="s">
        <v>102</v>
      </c>
      <c r="DU1" s="3" t="s">
        <v>103</v>
      </c>
      <c r="DV1" s="3" t="s">
        <v>104</v>
      </c>
      <c r="DW1" s="3" t="s">
        <v>105</v>
      </c>
      <c r="DX1" s="3" t="s">
        <v>106</v>
      </c>
      <c r="DY1" s="3" t="s">
        <v>107</v>
      </c>
      <c r="DZ1" s="3" t="s">
        <v>108</v>
      </c>
      <c r="EA1" s="3" t="s">
        <v>109</v>
      </c>
      <c r="EB1" s="3" t="s">
        <v>110</v>
      </c>
      <c r="EC1" s="3" t="s">
        <v>111</v>
      </c>
      <c r="ED1" s="3" t="s">
        <v>112</v>
      </c>
      <c r="EE1" s="3" t="s">
        <v>113</v>
      </c>
      <c r="EF1" s="3" t="s">
        <v>114</v>
      </c>
      <c r="EG1" s="3" t="s">
        <v>115</v>
      </c>
      <c r="EH1" s="3" t="s">
        <v>116</v>
      </c>
      <c r="EI1" s="3" t="s">
        <v>117</v>
      </c>
      <c r="EJ1" s="3" t="s">
        <v>118</v>
      </c>
      <c r="EK1" s="3" t="s">
        <v>119</v>
      </c>
      <c r="EL1" s="3" t="s">
        <v>120</v>
      </c>
      <c r="EM1" s="3" t="s">
        <v>121</v>
      </c>
      <c r="EN1" s="3" t="s">
        <v>122</v>
      </c>
      <c r="EO1" s="3" t="s">
        <v>123</v>
      </c>
      <c r="EP1" s="3" t="s">
        <v>124</v>
      </c>
      <c r="EQ1" s="7" t="s">
        <v>125</v>
      </c>
      <c r="ER1" s="3" t="s">
        <v>35</v>
      </c>
      <c r="ES1" s="3" t="s">
        <v>36</v>
      </c>
      <c r="ET1" s="3" t="s">
        <v>37</v>
      </c>
      <c r="EU1" s="3" t="s">
        <v>38</v>
      </c>
      <c r="EV1" s="3" t="s">
        <v>39</v>
      </c>
      <c r="EW1" s="3" t="s">
        <v>46</v>
      </c>
      <c r="EX1" s="3" t="s">
        <v>47</v>
      </c>
      <c r="EY1" s="3" t="s">
        <v>50</v>
      </c>
      <c r="EZ1" s="3" t="s">
        <v>51</v>
      </c>
      <c r="FA1" s="3" t="s">
        <v>52</v>
      </c>
      <c r="FB1" s="3" t="s">
        <v>53</v>
      </c>
      <c r="FC1" s="3" t="s">
        <v>54</v>
      </c>
      <c r="FD1" s="3" t="s">
        <v>55</v>
      </c>
      <c r="FE1" s="3" t="s">
        <v>62</v>
      </c>
      <c r="FF1" s="3" t="s">
        <v>63</v>
      </c>
      <c r="FG1" s="3" t="s">
        <v>64</v>
      </c>
      <c r="FH1" s="3" t="s">
        <v>65</v>
      </c>
      <c r="FI1" s="3" t="s">
        <v>73</v>
      </c>
      <c r="FJ1" s="3" t="s">
        <v>74</v>
      </c>
      <c r="FK1" s="3" t="s">
        <v>75</v>
      </c>
      <c r="FL1" s="3" t="s">
        <v>76</v>
      </c>
      <c r="FM1" s="3" t="s">
        <v>77</v>
      </c>
      <c r="FN1" s="3" t="s">
        <v>152</v>
      </c>
      <c r="FO1" s="3" t="s">
        <v>161</v>
      </c>
      <c r="FP1" s="3" t="s">
        <v>82</v>
      </c>
      <c r="FQ1" s="3" t="s">
        <v>83</v>
      </c>
      <c r="FR1" s="3" t="s">
        <v>84</v>
      </c>
      <c r="FS1" s="3" t="s">
        <v>85</v>
      </c>
      <c r="FT1" s="3" t="s">
        <v>86</v>
      </c>
      <c r="FU1" s="3" t="s">
        <v>87</v>
      </c>
      <c r="FV1" s="3" t="s">
        <v>68</v>
      </c>
      <c r="FW1" s="3" t="s">
        <v>69</v>
      </c>
      <c r="FX1" s="3" t="s">
        <v>70</v>
      </c>
      <c r="FY1" s="3" t="s">
        <v>71</v>
      </c>
      <c r="FZ1" s="3" t="s">
        <v>97</v>
      </c>
      <c r="GA1" s="3" t="s">
        <v>96</v>
      </c>
      <c r="GB1" s="3" t="s">
        <v>98</v>
      </c>
      <c r="GC1" s="3" t="s">
        <v>99</v>
      </c>
      <c r="GD1" s="3" t="s">
        <v>100</v>
      </c>
      <c r="GE1" s="3" t="s">
        <v>101</v>
      </c>
      <c r="GF1" s="3" t="s">
        <v>102</v>
      </c>
      <c r="GG1" s="3" t="s">
        <v>103</v>
      </c>
      <c r="GH1" s="3" t="s">
        <v>104</v>
      </c>
      <c r="GI1" s="3" t="s">
        <v>105</v>
      </c>
      <c r="GJ1" s="3" t="s">
        <v>106</v>
      </c>
      <c r="GK1" s="3" t="s">
        <v>153</v>
      </c>
      <c r="GL1" s="3" t="s">
        <v>154</v>
      </c>
      <c r="GM1" s="3" t="s">
        <v>155</v>
      </c>
      <c r="GN1" s="3" t="s">
        <v>156</v>
      </c>
      <c r="GO1" s="3" t="s">
        <v>157</v>
      </c>
      <c r="GP1" s="3" t="s">
        <v>122</v>
      </c>
      <c r="GQ1" s="3" t="s">
        <v>123</v>
      </c>
      <c r="GR1" s="3" t="s">
        <v>158</v>
      </c>
      <c r="GS1" s="23" t="s">
        <v>159</v>
      </c>
      <c r="GT1" s="2" t="s">
        <v>35</v>
      </c>
      <c r="GU1" s="3" t="s">
        <v>36</v>
      </c>
      <c r="GV1" s="3" t="s">
        <v>37</v>
      </c>
      <c r="GW1" s="3" t="s">
        <v>38</v>
      </c>
      <c r="GX1" s="3" t="s">
        <v>39</v>
      </c>
      <c r="GY1" s="3" t="s">
        <v>40</v>
      </c>
      <c r="GZ1" s="3" t="s">
        <v>41</v>
      </c>
      <c r="HA1" s="3" t="s">
        <v>42</v>
      </c>
      <c r="HB1" s="3" t="s">
        <v>43</v>
      </c>
      <c r="HC1" s="3" t="s">
        <v>44</v>
      </c>
      <c r="HD1" s="3" t="s">
        <v>45</v>
      </c>
      <c r="HE1" s="3" t="s">
        <v>46</v>
      </c>
      <c r="HF1" s="3" t="s">
        <v>47</v>
      </c>
      <c r="HG1" s="3" t="s">
        <v>174</v>
      </c>
      <c r="HH1" s="3" t="s">
        <v>175</v>
      </c>
      <c r="HI1" s="3" t="s">
        <v>50</v>
      </c>
      <c r="HJ1" s="3" t="s">
        <v>51</v>
      </c>
      <c r="HK1" s="3" t="s">
        <v>52</v>
      </c>
      <c r="HL1" s="3" t="s">
        <v>53</v>
      </c>
      <c r="HM1" s="3" t="s">
        <v>54</v>
      </c>
      <c r="HN1" s="3" t="s">
        <v>55</v>
      </c>
      <c r="HO1" s="3" t="s">
        <v>56</v>
      </c>
      <c r="HP1" s="3" t="s">
        <v>57</v>
      </c>
      <c r="HQ1" s="3" t="s">
        <v>58</v>
      </c>
      <c r="HR1" s="3" t="s">
        <v>59</v>
      </c>
      <c r="HS1" s="3" t="s">
        <v>60</v>
      </c>
      <c r="HT1" s="3" t="s">
        <v>61</v>
      </c>
      <c r="HU1" s="3" t="s">
        <v>62</v>
      </c>
      <c r="HV1" s="3" t="s">
        <v>63</v>
      </c>
      <c r="HW1" s="3" t="s">
        <v>64</v>
      </c>
      <c r="HX1" s="3" t="s">
        <v>65</v>
      </c>
      <c r="HY1" s="3" t="s">
        <v>73</v>
      </c>
      <c r="HZ1" s="3" t="s">
        <v>74</v>
      </c>
      <c r="IA1" s="3" t="s">
        <v>75</v>
      </c>
      <c r="IB1" s="3" t="s">
        <v>76</v>
      </c>
      <c r="IC1" s="3" t="s">
        <v>77</v>
      </c>
      <c r="ID1" s="3" t="s">
        <v>78</v>
      </c>
      <c r="IE1" s="3" t="s">
        <v>79</v>
      </c>
      <c r="IF1" s="3" t="s">
        <v>80</v>
      </c>
      <c r="IG1" s="3" t="s">
        <v>176</v>
      </c>
      <c r="IH1" s="3" t="s">
        <v>188</v>
      </c>
      <c r="II1" s="3" t="s">
        <v>177</v>
      </c>
      <c r="IJ1" s="3" t="s">
        <v>178</v>
      </c>
      <c r="IK1" s="3" t="s">
        <v>179</v>
      </c>
      <c r="IL1" s="3" t="s">
        <v>180</v>
      </c>
      <c r="IM1" s="3" t="s">
        <v>181</v>
      </c>
      <c r="IN1" s="3" t="s">
        <v>182</v>
      </c>
      <c r="IO1" s="3" t="s">
        <v>183</v>
      </c>
      <c r="IP1" s="3" t="s">
        <v>92</v>
      </c>
      <c r="IQ1" s="3" t="s">
        <v>93</v>
      </c>
      <c r="IR1" s="3" t="s">
        <v>68</v>
      </c>
      <c r="IS1" s="3" t="s">
        <v>69</v>
      </c>
      <c r="IT1" s="3" t="s">
        <v>70</v>
      </c>
      <c r="IU1" s="3" t="s">
        <v>71</v>
      </c>
      <c r="IV1" s="3" t="s">
        <v>184</v>
      </c>
      <c r="IW1" s="3" t="s">
        <v>185</v>
      </c>
      <c r="IX1" s="3" t="s">
        <v>98</v>
      </c>
      <c r="IY1" s="3" t="s">
        <v>99</v>
      </c>
      <c r="IZ1" s="3" t="s">
        <v>100</v>
      </c>
      <c r="JA1" s="3" t="s">
        <v>101</v>
      </c>
      <c r="JB1" s="3" t="s">
        <v>102</v>
      </c>
      <c r="JC1" s="3" t="s">
        <v>103</v>
      </c>
      <c r="JD1" s="3" t="s">
        <v>104</v>
      </c>
      <c r="JE1" s="3" t="s">
        <v>105</v>
      </c>
      <c r="JF1" s="3" t="s">
        <v>106</v>
      </c>
      <c r="JG1" s="3" t="s">
        <v>107</v>
      </c>
      <c r="JH1" s="3" t="s">
        <v>108</v>
      </c>
      <c r="JI1" s="3" t="s">
        <v>109</v>
      </c>
      <c r="JJ1" s="3" t="s">
        <v>110</v>
      </c>
      <c r="JK1" s="3" t="s">
        <v>111</v>
      </c>
      <c r="JL1" s="3" t="s">
        <v>112</v>
      </c>
      <c r="JM1" s="3" t="s">
        <v>113</v>
      </c>
      <c r="JN1" s="3" t="s">
        <v>114</v>
      </c>
      <c r="JO1" s="3" t="s">
        <v>115</v>
      </c>
      <c r="JP1" s="3" t="s">
        <v>116</v>
      </c>
      <c r="JQ1" s="3" t="s">
        <v>117</v>
      </c>
      <c r="JR1" s="3" t="s">
        <v>118</v>
      </c>
      <c r="JS1" s="3" t="s">
        <v>119</v>
      </c>
      <c r="JT1" s="3" t="s">
        <v>120</v>
      </c>
      <c r="JU1" s="3" t="s">
        <v>121</v>
      </c>
      <c r="JV1" s="3" t="s">
        <v>122</v>
      </c>
      <c r="JW1" s="3" t="s">
        <v>123</v>
      </c>
      <c r="JX1" s="3" t="s">
        <v>124</v>
      </c>
      <c r="JY1" s="7" t="s">
        <v>125</v>
      </c>
      <c r="JZ1" s="16" t="s">
        <v>35</v>
      </c>
      <c r="KA1" s="16" t="s">
        <v>204</v>
      </c>
      <c r="KB1" s="16" t="s">
        <v>205</v>
      </c>
      <c r="KC1" s="24" t="s">
        <v>174</v>
      </c>
      <c r="KD1" s="3" t="s">
        <v>175</v>
      </c>
      <c r="KE1" s="24" t="s">
        <v>202</v>
      </c>
      <c r="KF1" s="3" t="s">
        <v>203</v>
      </c>
      <c r="KG1" s="3" t="s">
        <v>185</v>
      </c>
      <c r="KH1" s="3" t="s">
        <v>184</v>
      </c>
      <c r="KI1" s="3" t="s">
        <v>98</v>
      </c>
      <c r="KJ1" s="3" t="s">
        <v>99</v>
      </c>
      <c r="KK1" s="3" t="s">
        <v>100</v>
      </c>
      <c r="KL1" s="3" t="s">
        <v>101</v>
      </c>
      <c r="KM1" s="3" t="s">
        <v>102</v>
      </c>
      <c r="KN1" s="22" t="s">
        <v>193</v>
      </c>
      <c r="KO1" s="25" t="s">
        <v>195</v>
      </c>
      <c r="KP1" s="22" t="s">
        <v>194</v>
      </c>
      <c r="KQ1" s="25" t="s">
        <v>201</v>
      </c>
      <c r="KR1" s="14" t="s">
        <v>199</v>
      </c>
      <c r="KS1" s="14" t="s">
        <v>200</v>
      </c>
      <c r="KT1" s="2" t="s">
        <v>35</v>
      </c>
      <c r="KU1" s="3" t="s">
        <v>207</v>
      </c>
      <c r="KV1" s="3" t="s">
        <v>177</v>
      </c>
      <c r="KW1" s="3" t="s">
        <v>73</v>
      </c>
      <c r="KX1" s="3" t="s">
        <v>70</v>
      </c>
      <c r="KY1" s="3" t="s">
        <v>71</v>
      </c>
      <c r="KZ1" s="3" t="s">
        <v>68</v>
      </c>
      <c r="LA1" s="3" t="s">
        <v>69</v>
      </c>
      <c r="LB1" s="3" t="s">
        <v>208</v>
      </c>
      <c r="LC1" s="3" t="s">
        <v>209</v>
      </c>
      <c r="LD1" s="3" t="s">
        <v>210</v>
      </c>
      <c r="LE1" s="3" t="s">
        <v>211</v>
      </c>
      <c r="LF1" s="3" t="s">
        <v>98</v>
      </c>
      <c r="LG1" s="3" t="s">
        <v>99</v>
      </c>
      <c r="LH1" s="3" t="s">
        <v>100</v>
      </c>
      <c r="LI1" s="3" t="s">
        <v>212</v>
      </c>
      <c r="LJ1" s="3" t="s">
        <v>213</v>
      </c>
      <c r="LK1" s="3" t="s">
        <v>214</v>
      </c>
      <c r="LL1" s="3" t="s">
        <v>215</v>
      </c>
      <c r="LM1" s="7" t="s">
        <v>216</v>
      </c>
      <c r="LN1" s="28" t="s">
        <v>35</v>
      </c>
      <c r="LO1" s="24" t="s">
        <v>174</v>
      </c>
      <c r="LP1" s="3" t="s">
        <v>175</v>
      </c>
      <c r="LQ1" s="3" t="s">
        <v>98</v>
      </c>
      <c r="LR1" s="3" t="s">
        <v>99</v>
      </c>
      <c r="LS1" s="3" t="s">
        <v>100</v>
      </c>
      <c r="LT1" s="26" t="s">
        <v>31</v>
      </c>
      <c r="LU1" s="22" t="s">
        <v>112</v>
      </c>
      <c r="LV1" s="27" t="s">
        <v>113</v>
      </c>
      <c r="LW1" s="14" t="s">
        <v>114</v>
      </c>
      <c r="LX1" s="2" t="s">
        <v>35</v>
      </c>
      <c r="LY1" s="3" t="s">
        <v>51</v>
      </c>
      <c r="LZ1" s="3" t="s">
        <v>50</v>
      </c>
      <c r="MA1" s="3" t="s">
        <v>177</v>
      </c>
      <c r="MB1" s="3" t="s">
        <v>73</v>
      </c>
      <c r="MC1" s="3" t="s">
        <v>70</v>
      </c>
      <c r="MD1" s="3" t="s">
        <v>71</v>
      </c>
      <c r="ME1" s="3" t="s">
        <v>68</v>
      </c>
      <c r="MF1" s="3" t="s">
        <v>69</v>
      </c>
      <c r="MG1" s="3" t="s">
        <v>208</v>
      </c>
      <c r="MH1" s="3" t="s">
        <v>209</v>
      </c>
      <c r="MI1" s="3" t="s">
        <v>210</v>
      </c>
      <c r="MJ1" s="3" t="s">
        <v>211</v>
      </c>
      <c r="MK1" s="3" t="s">
        <v>98</v>
      </c>
      <c r="ML1" s="3" t="s">
        <v>99</v>
      </c>
      <c r="MM1" s="3" t="s">
        <v>100</v>
      </c>
      <c r="MN1" s="3" t="s">
        <v>101</v>
      </c>
      <c r="MO1" s="3" t="s">
        <v>212</v>
      </c>
      <c r="MP1" s="3" t="s">
        <v>213</v>
      </c>
      <c r="MQ1" s="3" t="s">
        <v>214</v>
      </c>
      <c r="MR1" s="3" t="s">
        <v>215</v>
      </c>
      <c r="MS1" s="7" t="s">
        <v>216</v>
      </c>
      <c r="MT1" s="29" t="s">
        <v>223</v>
      </c>
      <c r="MU1" s="26" t="s">
        <v>224</v>
      </c>
      <c r="MV1" s="30" t="s">
        <v>225</v>
      </c>
      <c r="MW1" s="30" t="s">
        <v>226</v>
      </c>
      <c r="MX1" s="30" t="s">
        <v>227</v>
      </c>
      <c r="MY1" s="30" t="s">
        <v>35</v>
      </c>
      <c r="MZ1" s="30" t="s">
        <v>37</v>
      </c>
      <c r="NA1" s="30" t="s">
        <v>36</v>
      </c>
      <c r="NB1" s="30" t="s">
        <v>39</v>
      </c>
      <c r="NC1" s="30" t="s">
        <v>38</v>
      </c>
      <c r="ND1" s="30" t="s">
        <v>41</v>
      </c>
      <c r="NE1" s="30" t="s">
        <v>40</v>
      </c>
      <c r="NF1" s="30" t="s">
        <v>204</v>
      </c>
      <c r="NG1" s="30" t="s">
        <v>205</v>
      </c>
      <c r="NH1" s="3" t="s">
        <v>207</v>
      </c>
      <c r="NI1" s="3" t="s">
        <v>217</v>
      </c>
      <c r="NJ1" s="3" t="s">
        <v>218</v>
      </c>
      <c r="NK1" s="3" t="s">
        <v>219</v>
      </c>
      <c r="NL1" s="3" t="s">
        <v>220</v>
      </c>
      <c r="NM1" s="3" t="s">
        <v>221</v>
      </c>
      <c r="NN1" s="3" t="s">
        <v>222</v>
      </c>
      <c r="NO1" s="3" t="s">
        <v>177</v>
      </c>
      <c r="NP1" s="3" t="s">
        <v>178</v>
      </c>
      <c r="NQ1" s="3" t="s">
        <v>179</v>
      </c>
      <c r="NR1" s="3" t="s">
        <v>180</v>
      </c>
      <c r="NS1" s="3" t="s">
        <v>73</v>
      </c>
      <c r="NT1" s="3" t="s">
        <v>74</v>
      </c>
      <c r="NU1" s="3" t="s">
        <v>75</v>
      </c>
      <c r="NV1" s="3" t="s">
        <v>76</v>
      </c>
      <c r="NW1" s="3" t="s">
        <v>70</v>
      </c>
      <c r="NX1" s="3" t="s">
        <v>71</v>
      </c>
      <c r="NY1" s="3" t="s">
        <v>68</v>
      </c>
      <c r="NZ1" s="3" t="s">
        <v>69</v>
      </c>
      <c r="OA1" s="3" t="s">
        <v>208</v>
      </c>
      <c r="OB1" s="3" t="s">
        <v>209</v>
      </c>
      <c r="OC1" s="3" t="s">
        <v>210</v>
      </c>
      <c r="OD1" s="7" t="s">
        <v>211</v>
      </c>
      <c r="OE1" s="3" t="s">
        <v>228</v>
      </c>
      <c r="OF1" s="7" t="s">
        <v>229</v>
      </c>
      <c r="OG1" s="16" t="s">
        <v>35</v>
      </c>
      <c r="OH1" s="16" t="s">
        <v>223</v>
      </c>
      <c r="OI1" s="16" t="s">
        <v>224</v>
      </c>
      <c r="OJ1" s="16" t="s">
        <v>279</v>
      </c>
      <c r="OK1" s="16" t="s">
        <v>280</v>
      </c>
      <c r="OL1" s="16" t="s">
        <v>204</v>
      </c>
      <c r="OM1" s="16" t="s">
        <v>205</v>
      </c>
      <c r="ON1" s="16" t="s">
        <v>271</v>
      </c>
      <c r="OO1" s="16" t="s">
        <v>272</v>
      </c>
      <c r="OP1" s="16" t="s">
        <v>273</v>
      </c>
      <c r="OQ1" s="16" t="s">
        <v>274</v>
      </c>
      <c r="OR1" s="16" t="s">
        <v>281</v>
      </c>
      <c r="OS1" s="16" t="s">
        <v>282</v>
      </c>
      <c r="OT1" s="16" t="s">
        <v>283</v>
      </c>
      <c r="OU1" s="16" t="s">
        <v>284</v>
      </c>
      <c r="OV1" s="24" t="s">
        <v>174</v>
      </c>
      <c r="OW1" s="3" t="s">
        <v>175</v>
      </c>
      <c r="OX1" s="24" t="s">
        <v>202</v>
      </c>
      <c r="OY1" s="3" t="s">
        <v>203</v>
      </c>
      <c r="OZ1" s="24" t="s">
        <v>275</v>
      </c>
      <c r="PA1" s="3" t="s">
        <v>276</v>
      </c>
      <c r="PB1" s="24" t="s">
        <v>277</v>
      </c>
      <c r="PC1" s="3" t="s">
        <v>278</v>
      </c>
      <c r="PD1" s="24" t="s">
        <v>285</v>
      </c>
      <c r="PE1" s="3" t="s">
        <v>286</v>
      </c>
      <c r="PF1" s="24" t="s">
        <v>287</v>
      </c>
      <c r="PG1" s="3" t="s">
        <v>288</v>
      </c>
      <c r="PH1" s="3" t="s">
        <v>98</v>
      </c>
      <c r="PI1" s="3" t="s">
        <v>99</v>
      </c>
      <c r="PJ1" s="3" t="s">
        <v>100</v>
      </c>
      <c r="PK1" s="3" t="s">
        <v>101</v>
      </c>
      <c r="PL1" s="3" t="s">
        <v>102</v>
      </c>
      <c r="PM1" s="3" t="s">
        <v>103</v>
      </c>
      <c r="PN1" s="3" t="s">
        <v>104</v>
      </c>
      <c r="PO1" s="3" t="s">
        <v>105</v>
      </c>
      <c r="PP1" s="3" t="s">
        <v>106</v>
      </c>
      <c r="PQ1" s="22" t="s">
        <v>153</v>
      </c>
      <c r="PR1" s="22" t="s">
        <v>154</v>
      </c>
      <c r="PS1" s="22" t="s">
        <v>155</v>
      </c>
      <c r="PT1" s="22" t="s">
        <v>156</v>
      </c>
      <c r="PU1" s="22" t="s">
        <v>157</v>
      </c>
      <c r="PV1" s="22" t="s">
        <v>270</v>
      </c>
      <c r="PW1" s="22" t="s">
        <v>289</v>
      </c>
      <c r="PX1" s="22" t="s">
        <v>290</v>
      </c>
      <c r="PY1" s="22" t="s">
        <v>291</v>
      </c>
      <c r="PZ1" s="31" t="s">
        <v>292</v>
      </c>
      <c r="QA1" s="31" t="s">
        <v>205</v>
      </c>
      <c r="QB1" s="31" t="s">
        <v>204</v>
      </c>
      <c r="QC1" s="31" t="s">
        <v>272</v>
      </c>
      <c r="QD1" s="31" t="s">
        <v>271</v>
      </c>
      <c r="QE1" s="31" t="s">
        <v>274</v>
      </c>
      <c r="QF1" s="31" t="s">
        <v>273</v>
      </c>
      <c r="QG1" s="31" t="s">
        <v>282</v>
      </c>
      <c r="QH1" s="31" t="s">
        <v>281</v>
      </c>
      <c r="QI1" s="31" t="s">
        <v>284</v>
      </c>
      <c r="QJ1" s="31" t="s">
        <v>283</v>
      </c>
      <c r="QK1" s="31" t="s">
        <v>293</v>
      </c>
      <c r="QL1" s="31" t="s">
        <v>294</v>
      </c>
      <c r="QM1" s="31" t="s">
        <v>295</v>
      </c>
      <c r="QN1" s="31" t="s">
        <v>296</v>
      </c>
      <c r="QO1" s="31" t="s">
        <v>297</v>
      </c>
      <c r="QP1" s="31" t="s">
        <v>298</v>
      </c>
      <c r="QQ1" s="31" t="s">
        <v>299</v>
      </c>
      <c r="QR1" s="31" t="s">
        <v>300</v>
      </c>
      <c r="QS1" s="31" t="s">
        <v>301</v>
      </c>
      <c r="QT1" s="31" t="s">
        <v>302</v>
      </c>
      <c r="QU1" s="31" t="s">
        <v>303</v>
      </c>
      <c r="QV1" s="31" t="s">
        <v>304</v>
      </c>
      <c r="QW1" s="31" t="s">
        <v>175</v>
      </c>
      <c r="QX1" s="31" t="s">
        <v>174</v>
      </c>
      <c r="QY1" s="31" t="s">
        <v>203</v>
      </c>
      <c r="QZ1" s="31" t="s">
        <v>202</v>
      </c>
      <c r="RA1" s="31" t="s">
        <v>276</v>
      </c>
      <c r="RB1" s="31" t="s">
        <v>275</v>
      </c>
      <c r="RC1" s="31" t="s">
        <v>278</v>
      </c>
      <c r="RD1" s="31" t="s">
        <v>277</v>
      </c>
      <c r="RE1" s="31" t="s">
        <v>286</v>
      </c>
      <c r="RF1" s="31" t="s">
        <v>285</v>
      </c>
      <c r="RG1" s="31" t="s">
        <v>288</v>
      </c>
      <c r="RH1" s="31" t="s">
        <v>287</v>
      </c>
      <c r="RI1" s="31" t="s">
        <v>305</v>
      </c>
      <c r="RJ1" s="31" t="s">
        <v>306</v>
      </c>
      <c r="RK1" s="31" t="s">
        <v>307</v>
      </c>
      <c r="RL1" s="31" t="s">
        <v>308</v>
      </c>
      <c r="RM1" s="31" t="s">
        <v>309</v>
      </c>
      <c r="RN1" s="31" t="s">
        <v>310</v>
      </c>
      <c r="RO1" s="31" t="s">
        <v>311</v>
      </c>
      <c r="RP1" s="31" t="s">
        <v>312</v>
      </c>
      <c r="RQ1" s="31" t="s">
        <v>313</v>
      </c>
      <c r="RR1" s="31" t="s">
        <v>314</v>
      </c>
      <c r="RS1" s="31" t="s">
        <v>315</v>
      </c>
      <c r="RT1" s="31" t="s">
        <v>316</v>
      </c>
      <c r="RU1" s="31" t="s">
        <v>35</v>
      </c>
      <c r="RV1" s="31" t="s">
        <v>98</v>
      </c>
      <c r="RW1" s="31" t="s">
        <v>99</v>
      </c>
      <c r="RX1" s="31" t="s">
        <v>100</v>
      </c>
      <c r="RY1" s="31" t="s">
        <v>101</v>
      </c>
      <c r="RZ1" s="31" t="s">
        <v>102</v>
      </c>
      <c r="SA1" s="31" t="s">
        <v>103</v>
      </c>
      <c r="SB1" s="31" t="s">
        <v>104</v>
      </c>
      <c r="SC1" s="31" t="s">
        <v>105</v>
      </c>
      <c r="SD1" s="31" t="s">
        <v>106</v>
      </c>
      <c r="SE1" s="31" t="s">
        <v>107</v>
      </c>
      <c r="SF1" s="31" t="s">
        <v>108</v>
      </c>
      <c r="SG1" s="31" t="s">
        <v>109</v>
      </c>
      <c r="SH1" s="31" t="s">
        <v>110</v>
      </c>
      <c r="SI1" s="31" t="s">
        <v>111</v>
      </c>
      <c r="SJ1" s="31" t="s">
        <v>317</v>
      </c>
      <c r="SK1" s="31" t="s">
        <v>318</v>
      </c>
      <c r="SL1" s="31" t="s">
        <v>319</v>
      </c>
      <c r="SM1" s="31" t="s">
        <v>320</v>
      </c>
      <c r="SN1" s="31" t="s">
        <v>321</v>
      </c>
      <c r="SO1" s="31" t="s">
        <v>322</v>
      </c>
      <c r="SP1" s="31" t="s">
        <v>323</v>
      </c>
      <c r="SQ1" s="31" t="s">
        <v>324</v>
      </c>
      <c r="SR1" s="31" t="s">
        <v>325</v>
      </c>
      <c r="SS1" s="31" t="s">
        <v>326</v>
      </c>
      <c r="ST1" s="31" t="s">
        <v>327</v>
      </c>
      <c r="SU1" s="31" t="s">
        <v>346</v>
      </c>
      <c r="SV1" s="31" t="s">
        <v>223</v>
      </c>
      <c r="SW1" s="31" t="s">
        <v>279</v>
      </c>
      <c r="SX1" s="31" t="s">
        <v>328</v>
      </c>
      <c r="SY1" s="31" t="s">
        <v>329</v>
      </c>
      <c r="SZ1" s="31" t="s">
        <v>330</v>
      </c>
      <c r="TA1" s="31" t="s">
        <v>331</v>
      </c>
      <c r="TB1" s="31" t="s">
        <v>332</v>
      </c>
      <c r="TC1" s="31" t="s">
        <v>333</v>
      </c>
      <c r="TD1" s="31" t="s">
        <v>334</v>
      </c>
      <c r="TE1" s="31" t="s">
        <v>335</v>
      </c>
      <c r="TF1" s="31" t="s">
        <v>336</v>
      </c>
      <c r="TG1" s="31" t="s">
        <v>347</v>
      </c>
      <c r="TH1" s="31" t="s">
        <v>224</v>
      </c>
      <c r="TI1" s="31" t="s">
        <v>280</v>
      </c>
      <c r="TJ1" s="31" t="s">
        <v>337</v>
      </c>
      <c r="TK1" s="31" t="s">
        <v>338</v>
      </c>
      <c r="TL1" s="31" t="s">
        <v>339</v>
      </c>
      <c r="TM1" s="31" t="s">
        <v>340</v>
      </c>
      <c r="TN1" s="31" t="s">
        <v>341</v>
      </c>
      <c r="TO1" s="31" t="s">
        <v>342</v>
      </c>
      <c r="TP1" s="31" t="s">
        <v>343</v>
      </c>
      <c r="TQ1" s="31" t="s">
        <v>344</v>
      </c>
      <c r="TR1" s="35" t="s">
        <v>345</v>
      </c>
      <c r="TS1" s="28" t="s">
        <v>405</v>
      </c>
      <c r="TT1" s="16" t="s">
        <v>406</v>
      </c>
      <c r="TU1" s="16" t="s">
        <v>407</v>
      </c>
      <c r="TV1" s="16" t="s">
        <v>420</v>
      </c>
      <c r="TW1" s="16" t="s">
        <v>408</v>
      </c>
      <c r="TX1" s="16" t="s">
        <v>409</v>
      </c>
      <c r="TY1" s="16" t="s">
        <v>410</v>
      </c>
      <c r="TZ1" s="16" t="s">
        <v>411</v>
      </c>
      <c r="UA1" s="16" t="s">
        <v>35</v>
      </c>
      <c r="UB1" s="16" t="s">
        <v>98</v>
      </c>
      <c r="UC1" s="16" t="s">
        <v>99</v>
      </c>
      <c r="UD1" s="16" t="s">
        <v>100</v>
      </c>
      <c r="UE1" s="16" t="s">
        <v>31</v>
      </c>
      <c r="UF1" s="16" t="s">
        <v>112</v>
      </c>
      <c r="UG1" s="16" t="s">
        <v>113</v>
      </c>
      <c r="UH1" s="17" t="s">
        <v>114</v>
      </c>
      <c r="UI1" s="28" t="s">
        <v>35</v>
      </c>
      <c r="UJ1" s="16" t="s">
        <v>223</v>
      </c>
      <c r="UK1" s="16" t="s">
        <v>224</v>
      </c>
      <c r="UL1" s="16" t="s">
        <v>37</v>
      </c>
      <c r="UM1" s="16" t="s">
        <v>36</v>
      </c>
      <c r="UN1" s="16" t="s">
        <v>51</v>
      </c>
      <c r="UO1" s="16" t="s">
        <v>50</v>
      </c>
      <c r="UP1" s="16" t="s">
        <v>53</v>
      </c>
      <c r="UQ1" s="16" t="s">
        <v>52</v>
      </c>
      <c r="UR1" s="16" t="s">
        <v>73</v>
      </c>
      <c r="US1" s="16" t="s">
        <v>74</v>
      </c>
      <c r="UT1" s="16" t="s">
        <v>70</v>
      </c>
      <c r="UU1" s="16" t="s">
        <v>71</v>
      </c>
      <c r="UV1" s="16" t="s">
        <v>68</v>
      </c>
      <c r="UW1" s="16" t="s">
        <v>69</v>
      </c>
      <c r="UX1" s="16" t="s">
        <v>98</v>
      </c>
      <c r="UY1" s="16" t="s">
        <v>99</v>
      </c>
      <c r="UZ1" s="16" t="s">
        <v>100</v>
      </c>
      <c r="VA1" s="16" t="s">
        <v>101</v>
      </c>
      <c r="VB1" s="16" t="s">
        <v>421</v>
      </c>
      <c r="VC1" s="16" t="s">
        <v>424</v>
      </c>
      <c r="VD1" s="16" t="s">
        <v>422</v>
      </c>
      <c r="VE1" s="16" t="s">
        <v>423</v>
      </c>
      <c r="VF1" s="16" t="s">
        <v>112</v>
      </c>
      <c r="VG1" s="16" t="s">
        <v>113</v>
      </c>
      <c r="VH1" s="17" t="s">
        <v>114</v>
      </c>
      <c r="VI1" s="21" t="s">
        <v>134</v>
      </c>
      <c r="VJ1" s="14" t="s">
        <v>427</v>
      </c>
      <c r="VK1" s="15" t="s">
        <v>428</v>
      </c>
      <c r="VL1" s="2" t="s">
        <v>35</v>
      </c>
      <c r="VM1" s="24" t="s">
        <v>98</v>
      </c>
      <c r="VN1" s="24" t="s">
        <v>99</v>
      </c>
      <c r="VO1" s="24" t="s">
        <v>100</v>
      </c>
      <c r="VP1" s="24" t="s">
        <v>101</v>
      </c>
      <c r="VQ1" s="24" t="s">
        <v>37</v>
      </c>
      <c r="VR1" s="24" t="s">
        <v>36</v>
      </c>
      <c r="VS1" s="3" t="s">
        <v>51</v>
      </c>
      <c r="VT1" s="3" t="s">
        <v>50</v>
      </c>
      <c r="VU1" s="3" t="s">
        <v>53</v>
      </c>
      <c r="VV1" s="3" t="s">
        <v>52</v>
      </c>
      <c r="VW1" s="3" t="s">
        <v>177</v>
      </c>
      <c r="VX1" s="3" t="s">
        <v>178</v>
      </c>
      <c r="VY1" s="3" t="s">
        <v>73</v>
      </c>
      <c r="VZ1" s="3" t="s">
        <v>74</v>
      </c>
      <c r="WA1" s="3" t="s">
        <v>70</v>
      </c>
      <c r="WB1" s="3" t="s">
        <v>71</v>
      </c>
      <c r="WC1" s="3" t="s">
        <v>68</v>
      </c>
      <c r="WD1" s="3" t="s">
        <v>69</v>
      </c>
      <c r="WE1" s="3" t="s">
        <v>210</v>
      </c>
      <c r="WF1" s="3" t="s">
        <v>211</v>
      </c>
      <c r="WG1" s="3" t="s">
        <v>214</v>
      </c>
      <c r="WH1" s="3" t="s">
        <v>215</v>
      </c>
      <c r="WI1" s="23" t="s">
        <v>216</v>
      </c>
      <c r="WJ1" s="16" t="s">
        <v>498</v>
      </c>
      <c r="WK1" s="14" t="s">
        <v>499</v>
      </c>
      <c r="WL1" s="15" t="s">
        <v>500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317</v>
      </c>
      <c r="XC1" t="s">
        <v>318</v>
      </c>
      <c r="XD1" t="s">
        <v>319</v>
      </c>
      <c r="XE1" t="s">
        <v>320</v>
      </c>
      <c r="XF1" t="s">
        <v>321</v>
      </c>
      <c r="XG1" t="s">
        <v>322</v>
      </c>
      <c r="XH1" t="s">
        <v>46</v>
      </c>
      <c r="XI1" t="s">
        <v>47</v>
      </c>
      <c r="XJ1" t="s">
        <v>48</v>
      </c>
      <c r="XK1" t="s">
        <v>49</v>
      </c>
      <c r="XL1" t="s">
        <v>526</v>
      </c>
      <c r="XM1" t="s">
        <v>525</v>
      </c>
      <c r="XN1" t="s">
        <v>527</v>
      </c>
      <c r="XO1" t="s">
        <v>524</v>
      </c>
      <c r="XP1" t="s">
        <v>528</v>
      </c>
      <c r="XQ1" t="s">
        <v>523</v>
      </c>
      <c r="XR1" t="s">
        <v>529</v>
      </c>
      <c r="XS1" t="s">
        <v>522</v>
      </c>
      <c r="XT1" t="s">
        <v>530</v>
      </c>
      <c r="XU1" t="s">
        <v>521</v>
      </c>
      <c r="XV1" t="s">
        <v>520</v>
      </c>
      <c r="XW1" t="s">
        <v>519</v>
      </c>
      <c r="XX1" t="s">
        <v>518</v>
      </c>
      <c r="XY1" t="s">
        <v>517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532</v>
      </c>
      <c r="YG1" t="s">
        <v>531</v>
      </c>
      <c r="YH1" t="s">
        <v>534</v>
      </c>
      <c r="YI1" t="s">
        <v>533</v>
      </c>
      <c r="YJ1" t="s">
        <v>536</v>
      </c>
      <c r="YK1" t="s">
        <v>535</v>
      </c>
      <c r="YL1" t="s">
        <v>538</v>
      </c>
      <c r="YM1" t="s">
        <v>537</v>
      </c>
      <c r="YN1" t="s">
        <v>540</v>
      </c>
      <c r="YO1" t="s">
        <v>539</v>
      </c>
      <c r="YP1" t="s">
        <v>542</v>
      </c>
      <c r="YQ1" t="s">
        <v>541</v>
      </c>
      <c r="YR1" t="s">
        <v>543</v>
      </c>
      <c r="YS1" t="s">
        <v>544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545</v>
      </c>
      <c r="ZD1" t="s">
        <v>546</v>
      </c>
      <c r="ZE1" t="s">
        <v>82</v>
      </c>
      <c r="ZF1" t="s">
        <v>547</v>
      </c>
      <c r="ZG1" t="s">
        <v>83</v>
      </c>
      <c r="ZH1" t="s">
        <v>548</v>
      </c>
      <c r="ZI1" t="s">
        <v>84</v>
      </c>
      <c r="ZJ1" t="s">
        <v>549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550</v>
      </c>
      <c r="ZW1" t="s">
        <v>551</v>
      </c>
      <c r="ZX1" t="s">
        <v>427</v>
      </c>
      <c r="ZY1" t="s">
        <v>428</v>
      </c>
      <c r="ZZ1" t="s">
        <v>552</v>
      </c>
      <c r="AAA1" t="s">
        <v>553</v>
      </c>
      <c r="AAB1" t="s">
        <v>554</v>
      </c>
      <c r="AAC1" t="s">
        <v>555</v>
      </c>
      <c r="AAD1" t="s">
        <v>556</v>
      </c>
      <c r="AAE1" t="s">
        <v>557</v>
      </c>
      <c r="AAF1" t="s">
        <v>558</v>
      </c>
      <c r="AAG1" t="s">
        <v>559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560</v>
      </c>
      <c r="AAX1" t="s">
        <v>561</v>
      </c>
      <c r="AAY1" t="s">
        <v>562</v>
      </c>
      <c r="AAZ1" t="s">
        <v>563</v>
      </c>
      <c r="ABA1" t="s">
        <v>564</v>
      </c>
      <c r="ABB1" s="12" t="s">
        <v>565</v>
      </c>
      <c r="ABC1" s="14" t="s">
        <v>427</v>
      </c>
      <c r="ABD1" s="15" t="s">
        <v>428</v>
      </c>
      <c r="ABE1" s="14" t="s">
        <v>552</v>
      </c>
      <c r="ABF1" s="14" t="s">
        <v>553</v>
      </c>
      <c r="ABG1" s="2" t="s">
        <v>35</v>
      </c>
      <c r="ABH1" s="24" t="s">
        <v>98</v>
      </c>
      <c r="ABI1" s="24" t="s">
        <v>99</v>
      </c>
      <c r="ABJ1" s="24" t="s">
        <v>100</v>
      </c>
      <c r="ABK1" s="24" t="s">
        <v>101</v>
      </c>
      <c r="ABL1" s="24" t="s">
        <v>102</v>
      </c>
      <c r="ABM1" s="24" t="s">
        <v>103</v>
      </c>
      <c r="ABN1" s="24" t="s">
        <v>104</v>
      </c>
      <c r="ABO1" s="24" t="s">
        <v>105</v>
      </c>
      <c r="ABP1" s="24" t="s">
        <v>37</v>
      </c>
      <c r="ABQ1" s="24" t="s">
        <v>36</v>
      </c>
      <c r="ABR1" s="24" t="s">
        <v>39</v>
      </c>
      <c r="ABS1" s="24" t="s">
        <v>38</v>
      </c>
      <c r="ABT1" s="24" t="s">
        <v>41</v>
      </c>
      <c r="ABU1" s="24" t="s">
        <v>40</v>
      </c>
      <c r="ABV1" s="3" t="s">
        <v>51</v>
      </c>
      <c r="ABW1" s="3" t="s">
        <v>50</v>
      </c>
      <c r="ABX1" s="3" t="s">
        <v>53</v>
      </c>
      <c r="ABY1" s="3" t="s">
        <v>52</v>
      </c>
      <c r="ABZ1" s="3" t="s">
        <v>55</v>
      </c>
      <c r="ACA1" s="3" t="s">
        <v>54</v>
      </c>
      <c r="ACB1" s="3" t="s">
        <v>57</v>
      </c>
      <c r="ACC1" s="3" t="s">
        <v>56</v>
      </c>
      <c r="ACD1" s="3" t="s">
        <v>177</v>
      </c>
      <c r="ACE1" s="3" t="s">
        <v>178</v>
      </c>
      <c r="ACF1" s="3" t="s">
        <v>179</v>
      </c>
      <c r="ACG1" s="3" t="s">
        <v>180</v>
      </c>
      <c r="ACH1" s="3" t="s">
        <v>181</v>
      </c>
      <c r="ACI1" s="3" t="s">
        <v>182</v>
      </c>
      <c r="ACJ1" s="3" t="s">
        <v>183</v>
      </c>
      <c r="ACK1" s="3" t="s">
        <v>566</v>
      </c>
      <c r="ACL1" s="3" t="s">
        <v>73</v>
      </c>
      <c r="ACM1" s="3" t="s">
        <v>74</v>
      </c>
      <c r="ACN1" s="3" t="s">
        <v>75</v>
      </c>
      <c r="ACO1" s="3" t="s">
        <v>76</v>
      </c>
      <c r="ACP1" s="3" t="s">
        <v>68</v>
      </c>
      <c r="ACQ1" s="3" t="s">
        <v>69</v>
      </c>
      <c r="ACR1" s="3" t="s">
        <v>70</v>
      </c>
      <c r="ACS1" s="3" t="s">
        <v>71</v>
      </c>
      <c r="ACT1" s="3" t="s">
        <v>210</v>
      </c>
      <c r="ACU1" s="3" t="s">
        <v>211</v>
      </c>
      <c r="ACV1" s="3" t="s">
        <v>31</v>
      </c>
      <c r="ACW1" s="3" t="s">
        <v>112</v>
      </c>
      <c r="ACX1" s="3" t="s">
        <v>113</v>
      </c>
      <c r="ACY1" s="3" t="s">
        <v>114</v>
      </c>
      <c r="ACZ1" s="3" t="s">
        <v>115</v>
      </c>
      <c r="ADA1" s="3" t="s">
        <v>116</v>
      </c>
      <c r="ADB1" s="3" t="s">
        <v>117</v>
      </c>
      <c r="ADC1" s="3" t="s">
        <v>118</v>
      </c>
      <c r="ADD1" s="3" t="s">
        <v>119</v>
      </c>
      <c r="ADE1" s="31" t="s">
        <v>35</v>
      </c>
      <c r="ADF1" s="31" t="s">
        <v>98</v>
      </c>
      <c r="ADG1" s="31" t="s">
        <v>99</v>
      </c>
      <c r="ADH1" s="31" t="s">
        <v>100</v>
      </c>
      <c r="ADI1" s="31" t="s">
        <v>101</v>
      </c>
      <c r="ADJ1" s="31" t="s">
        <v>205</v>
      </c>
      <c r="ADK1" s="31" t="s">
        <v>204</v>
      </c>
      <c r="ADL1" s="31" t="s">
        <v>220</v>
      </c>
      <c r="ADM1" s="31" t="s">
        <v>221</v>
      </c>
      <c r="ADN1" s="31" t="s">
        <v>222</v>
      </c>
      <c r="ADO1" s="31" t="s">
        <v>214</v>
      </c>
      <c r="ADP1" s="31" t="s">
        <v>215</v>
      </c>
      <c r="ADQ1" s="31" t="s">
        <v>216</v>
      </c>
      <c r="ADR1" s="31" t="s">
        <v>567</v>
      </c>
      <c r="ADS1" s="31" t="s">
        <v>568</v>
      </c>
      <c r="ADT1" s="31" t="s">
        <v>569</v>
      </c>
      <c r="ADU1" s="31" t="s">
        <v>223</v>
      </c>
      <c r="ADV1" s="31" t="s">
        <v>224</v>
      </c>
    </row>
    <row r="2" spans="1:802" x14ac:dyDescent="0.25">
      <c r="A2" t="s">
        <v>581</v>
      </c>
      <c r="B2" t="s">
        <v>432</v>
      </c>
      <c r="C2" t="s">
        <v>196</v>
      </c>
      <c r="P2" t="s">
        <v>189</v>
      </c>
      <c r="T2" s="10" t="s">
        <v>449</v>
      </c>
      <c r="U2">
        <v>1</v>
      </c>
      <c r="V2" t="s">
        <v>450</v>
      </c>
      <c r="X2" t="s">
        <v>173</v>
      </c>
      <c r="Y2" s="37">
        <v>1</v>
      </c>
      <c r="Z2" s="37" cm="1">
        <f t="array" ref="Z2">SUM(IF(ISNUMBER(FIND("TmAi",$BE$1:$AAL$1)),IF(IFERROR(ISODD(SUBSTITUTE($BE2:$AAL2,"A","")),FALSE),IF(ISODD(SUBSTITUTE($BE2:$AAL2,"A","")),1,0),0)))</f>
        <v>0</v>
      </c>
      <c r="AA2" t="str">
        <f>CONCATENATE($Y2*2-1,"B")</f>
        <v>1B</v>
      </c>
      <c r="AB2" t="str">
        <f>CONCATENATE($Y2*2,"B")</f>
        <v>2B</v>
      </c>
      <c r="AP2" t="s">
        <v>451</v>
      </c>
      <c r="AS2" t="s">
        <v>169</v>
      </c>
      <c r="JZ2" s="18" t="str">
        <f t="shared" ref="JZ2" si="0">CONCATENATE("XT",U2)</f>
        <v>XT1</v>
      </c>
      <c r="KA2" s="8"/>
      <c r="KB2" s="8"/>
      <c r="KC2" s="8" t="str">
        <f t="shared" ref="KC2" si="1">CONCATENATE(T2,"-AI",REPLACE($X2,1,3,""),"-",AA2)</f>
        <v>E2-AI1-1B</v>
      </c>
      <c r="KD2" s="8" t="str">
        <f t="shared" ref="KD2" si="2">CONCATENATE(T2,"-AI",REPLACE($X2,1,3,""),"-",AB2)</f>
        <v>E2-AI1-2B</v>
      </c>
      <c r="KE2" s="8"/>
      <c r="KF2" s="8"/>
      <c r="KG2" s="8"/>
      <c r="KH2" s="8"/>
      <c r="KI2" s="8">
        <v>1</v>
      </c>
      <c r="KJ2" s="8">
        <f>KI2+1</f>
        <v>2</v>
      </c>
      <c r="KK2" s="8">
        <f>KJ2+1</f>
        <v>3</v>
      </c>
      <c r="KL2" s="8"/>
      <c r="KM2" s="8"/>
      <c r="KN2" s="8">
        <v>1</v>
      </c>
      <c r="KO2" s="9">
        <v>2</v>
      </c>
      <c r="KP2" s="8"/>
      <c r="KQ2" s="8"/>
      <c r="KR2" s="8"/>
      <c r="KS2" s="9"/>
    </row>
    <row r="3" spans="1:802" x14ac:dyDescent="0.25">
      <c r="A3" t="s">
        <v>582</v>
      </c>
      <c r="B3" t="s">
        <v>446</v>
      </c>
      <c r="C3" t="s">
        <v>196</v>
      </c>
      <c r="P3" t="s">
        <v>189</v>
      </c>
      <c r="T3" s="10" t="s">
        <v>449</v>
      </c>
      <c r="U3">
        <v>1</v>
      </c>
      <c r="V3" t="s">
        <v>452</v>
      </c>
      <c r="X3" t="str">
        <f>IF(COUNTIF(X$2:X2,X2)&gt;7,REPLACE(X2,LEN(X2),1,VALUE(RIGHT(X2,1))+1),X2)</f>
        <v>A3.1</v>
      </c>
      <c r="Y3" s="37" cm="1">
        <f t="array" ref="Y3">IF(COUNTIFS($X$2:$X3,$X3)=1,"1",VALUE(SUBSTITUTE(INDEX(Y:Y,_xlfn.XMATCH($X3,$X$1:$X2,0,-1)),"A",""))+INDEX(Z:Z,_xlfn.XMATCH($X3,$X$1:$X2,0,-1))+1)</f>
        <v>2</v>
      </c>
      <c r="Z3" cm="1">
        <f t="array" ref="Z3">SUM(IF(ISNUMBER(FIND("TmAi",$BE$1:$AAL$1)),IF(IFERROR(ISODD(SUBSTITUTE($BE3:$AAL3,"A","")),FALSE),IF(ISODD(SUBSTITUTE($BE3:$AAL3,"A","")),1,0),0)))</f>
        <v>0</v>
      </c>
      <c r="AA3" t="str">
        <f t="shared" ref="AA3:AA7" si="3">CONCATENATE($Y3*2-1,"B")</f>
        <v>3B</v>
      </c>
      <c r="AB3" t="str">
        <f t="shared" ref="AB3:AB7" si="4">CONCATENATE($Y3*2,"B")</f>
        <v>4B</v>
      </c>
      <c r="AP3" t="s">
        <v>451</v>
      </c>
      <c r="AS3" t="s">
        <v>169</v>
      </c>
      <c r="JZ3" s="20" t="str">
        <f t="shared" ref="JZ3:JZ9" si="5">CONCATENATE("XT",U3)</f>
        <v>XT1</v>
      </c>
      <c r="KC3" t="str">
        <f t="shared" ref="KC3:KC9" si="6">CONCATENATE(T3,"-AI",REPLACE($X3,1,3,""),"-",AA3)</f>
        <v>E2-AI1-3B</v>
      </c>
      <c r="KD3" t="str">
        <f t="shared" ref="KD3:KD9" si="7">CONCATENATE(T3,"-AI",REPLACE($X3,1,3,""),"-",AB3)</f>
        <v>E2-AI1-4B</v>
      </c>
      <c r="KI3" cm="1">
        <f t="array" ref="KI3">IF(COUNTIFS($U$2:$U3,$U3)=1,1,INDEX(KI:KI,_xlfn.XMATCH(U3,U$1:U2,0,-1))+COUNT(KI2:KM2))</f>
        <v>4</v>
      </c>
      <c r="KJ3">
        <f t="shared" ref="KJ3:KK3" si="8">KI3+1</f>
        <v>5</v>
      </c>
      <c r="KK3">
        <f t="shared" si="8"/>
        <v>6</v>
      </c>
      <c r="KN3">
        <v>1</v>
      </c>
      <c r="KO3">
        <v>2</v>
      </c>
      <c r="KP3" s="20"/>
      <c r="KS3" s="12"/>
    </row>
    <row r="4" spans="1:802" x14ac:dyDescent="0.25">
      <c r="A4" t="s">
        <v>583</v>
      </c>
      <c r="B4" t="s">
        <v>447</v>
      </c>
      <c r="C4" t="s">
        <v>196</v>
      </c>
      <c r="P4" t="s">
        <v>189</v>
      </c>
      <c r="T4" s="10" t="s">
        <v>449</v>
      </c>
      <c r="U4">
        <v>1</v>
      </c>
      <c r="V4" t="s">
        <v>453</v>
      </c>
      <c r="X4" t="s">
        <v>425</v>
      </c>
      <c r="Y4" s="37" t="str" cm="1">
        <f t="array" ref="Y4">IF(COUNTIFS($X$2:$X4,$X4)=1,"1",VALUE(SUBSTITUTE(INDEX(Y:Y,_xlfn.XMATCH($X4,$X$1:$X3,0,-1)),"A",""))+INDEX(Z:Z,_xlfn.XMATCH($X4,$X$1:$X3,0,-1))+1)</f>
        <v>1</v>
      </c>
      <c r="Z4" cm="1">
        <f t="array" ref="Z4">SUM(IF(ISNUMBER(FIND("TmAi",$BE$1:$AAL$1)),IF(IFERROR(ISODD(SUBSTITUTE($BE4:$AAL4,"A","")),FALSE),IF(ISODD(SUBSTITUTE($BE4:$AAL4,"A","")),1,0),0)))</f>
        <v>0</v>
      </c>
      <c r="AA4" t="str">
        <f t="shared" si="3"/>
        <v>1B</v>
      </c>
      <c r="AB4" t="str">
        <f t="shared" si="4"/>
        <v>2B</v>
      </c>
      <c r="AP4" t="s">
        <v>451</v>
      </c>
      <c r="AS4" t="s">
        <v>169</v>
      </c>
      <c r="JZ4" s="20" t="str">
        <f t="shared" si="5"/>
        <v>XT1</v>
      </c>
      <c r="KC4" t="str">
        <f t="shared" si="6"/>
        <v>E2-AI2-1B</v>
      </c>
      <c r="KD4" t="str">
        <f t="shared" si="7"/>
        <v>E2-AI2-2B</v>
      </c>
      <c r="KI4" cm="1">
        <f t="array" ref="KI4">IF(COUNTIFS($U$2:$U4,$U4)=1,1,INDEX(KI:KI,_xlfn.XMATCH(U4,U$1:U3,0,-1))+COUNT(KI3:KM3))</f>
        <v>7</v>
      </c>
      <c r="KJ4">
        <f t="shared" ref="KJ4:KK4" si="9">KI4+1</f>
        <v>8</v>
      </c>
      <c r="KK4">
        <f t="shared" si="9"/>
        <v>9</v>
      </c>
      <c r="KN4">
        <v>1</v>
      </c>
      <c r="KO4">
        <v>2</v>
      </c>
      <c r="KP4" s="20"/>
      <c r="KS4" s="12"/>
    </row>
    <row r="5" spans="1:802" x14ac:dyDescent="0.25">
      <c r="A5" t="s">
        <v>584</v>
      </c>
      <c r="B5" t="s">
        <v>448</v>
      </c>
      <c r="C5" t="s">
        <v>196</v>
      </c>
      <c r="P5" t="s">
        <v>189</v>
      </c>
      <c r="T5" s="10" t="s">
        <v>449</v>
      </c>
      <c r="U5">
        <v>1</v>
      </c>
      <c r="V5" t="s">
        <v>454</v>
      </c>
      <c r="X5" t="s">
        <v>190</v>
      </c>
      <c r="Y5" s="37" t="str" cm="1">
        <f t="array" ref="Y5">IF(COUNTIFS($X$2:$X5,$X5)=1,"1",VALUE(SUBSTITUTE(INDEX(Y:Y,_xlfn.XMATCH($X5,$X$1:$X4,0,-1)),"A",""))+INDEX(Z:Z,_xlfn.XMATCH($X5,$X$1:$X4,0,-1))+1)</f>
        <v>1</v>
      </c>
      <c r="Z5" cm="1">
        <f t="array" ref="Z5">SUM(IF(ISNUMBER(FIND("TmAi",$BE$1:$AAL$1)),IF(IFERROR(ISODD(SUBSTITUTE($BE5:$AAL5,"A","")),FALSE),IF(ISODD(SUBSTITUTE($BE5:$AAL5,"A","")),1,0),0)))</f>
        <v>0</v>
      </c>
      <c r="AA5" t="str">
        <f t="shared" si="3"/>
        <v>1B</v>
      </c>
      <c r="AB5" t="str">
        <f t="shared" si="4"/>
        <v>2B</v>
      </c>
      <c r="AP5" t="s">
        <v>451</v>
      </c>
      <c r="AS5" t="s">
        <v>169</v>
      </c>
      <c r="JZ5" s="20" t="str">
        <f t="shared" si="5"/>
        <v>XT1</v>
      </c>
      <c r="KC5" t="str">
        <f t="shared" si="6"/>
        <v>E2-AI3-1B</v>
      </c>
      <c r="KD5" t="str">
        <f t="shared" si="7"/>
        <v>E2-AI3-2B</v>
      </c>
      <c r="KI5" cm="1">
        <f t="array" ref="KI5">IF(COUNTIFS($U$2:$U5,$U5)=1,1,INDEX(KI:KI,_xlfn.XMATCH(U5,U$1:U4,0,-1))+COUNT(KI4:KM4))</f>
        <v>10</v>
      </c>
      <c r="KJ5">
        <f t="shared" ref="KJ5:KK5" si="10">KI5+1</f>
        <v>11</v>
      </c>
      <c r="KK5">
        <f t="shared" si="10"/>
        <v>12</v>
      </c>
      <c r="KN5">
        <v>1</v>
      </c>
      <c r="KO5">
        <v>2</v>
      </c>
      <c r="KP5" s="20"/>
      <c r="KS5" s="12"/>
    </row>
    <row r="6" spans="1:802" x14ac:dyDescent="0.25">
      <c r="A6" t="s">
        <v>585</v>
      </c>
      <c r="B6" t="s">
        <v>430</v>
      </c>
      <c r="C6" t="s">
        <v>196</v>
      </c>
      <c r="P6" t="s">
        <v>189</v>
      </c>
      <c r="T6" s="10" t="s">
        <v>449</v>
      </c>
      <c r="U6">
        <v>1</v>
      </c>
      <c r="V6" t="s">
        <v>455</v>
      </c>
      <c r="X6" t="s">
        <v>173</v>
      </c>
      <c r="Y6" s="37" cm="1">
        <f t="array" ref="Y6">IF(COUNTIFS($X$2:$X6,$X6)=1,"1",VALUE(SUBSTITUTE(INDEX(Y:Y,_xlfn.XMATCH($X6,$X$1:$X5,0,-1)),"A",""))+INDEX(Z:Z,_xlfn.XMATCH($X6,$X$1:$X5,0,-1))+1)</f>
        <v>3</v>
      </c>
      <c r="Z6" cm="1">
        <f t="array" ref="Z6">SUM(IF(ISNUMBER(FIND("TmAi",$BE$1:$AAL$1)),IF(IFERROR(ISODD(SUBSTITUTE($BE6:$AAL6,"A","")),FALSE),IF(ISODD(SUBSTITUTE($BE6:$AAL6,"A","")),1,0),0)))</f>
        <v>0</v>
      </c>
      <c r="AA6" t="str">
        <f t="shared" si="3"/>
        <v>5B</v>
      </c>
      <c r="AB6" t="str">
        <f t="shared" si="4"/>
        <v>6B</v>
      </c>
      <c r="AP6" t="s">
        <v>451</v>
      </c>
      <c r="AS6" t="s">
        <v>169</v>
      </c>
      <c r="JZ6" s="20" t="str">
        <f t="shared" si="5"/>
        <v>XT1</v>
      </c>
      <c r="KC6" t="str">
        <f t="shared" si="6"/>
        <v>E2-AI1-5B</v>
      </c>
      <c r="KD6" t="str">
        <f t="shared" si="7"/>
        <v>E2-AI1-6B</v>
      </c>
      <c r="KI6" cm="1">
        <f t="array" ref="KI6">IF(COUNTIFS($U$2:$U6,$U6)=1,1,INDEX(KI:KI,_xlfn.XMATCH(U6,U$1:U5,0,-1))+COUNT(KI5:KM5))</f>
        <v>13</v>
      </c>
      <c r="KJ6">
        <f t="shared" ref="KJ6:KK6" si="11">KI6+1</f>
        <v>14</v>
      </c>
      <c r="KK6">
        <f t="shared" si="11"/>
        <v>15</v>
      </c>
      <c r="KN6">
        <v>1</v>
      </c>
      <c r="KO6">
        <v>2</v>
      </c>
      <c r="KP6" s="20"/>
      <c r="KS6" s="12"/>
    </row>
    <row r="7" spans="1:802" x14ac:dyDescent="0.25">
      <c r="A7" t="s">
        <v>586</v>
      </c>
      <c r="B7" t="s">
        <v>431</v>
      </c>
      <c r="C7" t="s">
        <v>196</v>
      </c>
      <c r="P7" t="s">
        <v>189</v>
      </c>
      <c r="T7" s="10" t="s">
        <v>449</v>
      </c>
      <c r="U7">
        <v>1</v>
      </c>
      <c r="V7" t="s">
        <v>456</v>
      </c>
      <c r="X7" t="str">
        <f>IF(COUNTIF(X$2:X6,X6)&gt;7,REPLACE(X6,LEN(X6),1,VALUE(RIGHT(X6,1))+1),X6)</f>
        <v>A3.1</v>
      </c>
      <c r="Y7" s="37" cm="1">
        <f t="array" ref="Y7">IF(COUNTIFS($X$2:$X7,$X7)=1,"1",VALUE(SUBSTITUTE(INDEX(Y:Y,_xlfn.XMATCH($X7,$X$1:$X6,0,-1)),"A",""))+INDEX(Z:Z,_xlfn.XMATCH($X7,$X$1:$X6,0,-1))+1)</f>
        <v>4</v>
      </c>
      <c r="Z7" cm="1">
        <f t="array" ref="Z7">SUM(IF(ISNUMBER(FIND("TmAi",$BE$1:$AAL$1)),IF(IFERROR(ISODD(SUBSTITUTE($BE7:$AAL7,"A","")),FALSE),IF(ISODD(SUBSTITUTE($BE7:$AAL7,"A","")),1,0),0)))</f>
        <v>0</v>
      </c>
      <c r="AA7" t="str">
        <f t="shared" si="3"/>
        <v>7B</v>
      </c>
      <c r="AB7" t="str">
        <f t="shared" si="4"/>
        <v>8B</v>
      </c>
      <c r="AP7" t="s">
        <v>451</v>
      </c>
      <c r="AS7" t="s">
        <v>169</v>
      </c>
      <c r="JZ7" s="20" t="str">
        <f t="shared" si="5"/>
        <v>XT1</v>
      </c>
      <c r="KC7" t="str">
        <f t="shared" si="6"/>
        <v>E2-AI1-7B</v>
      </c>
      <c r="KD7" t="str">
        <f t="shared" si="7"/>
        <v>E2-AI1-8B</v>
      </c>
      <c r="KI7" cm="1">
        <f t="array" ref="KI7">IF(COUNTIFS($U$2:$U7,$U7)=1,1,INDEX(KI:KI,_xlfn.XMATCH(U7,U$1:U6,0,-1))+COUNT(KI6:KM6))</f>
        <v>16</v>
      </c>
      <c r="KJ7">
        <f t="shared" ref="KJ7:KK7" si="12">KI7+1</f>
        <v>17</v>
      </c>
      <c r="KK7">
        <f t="shared" si="12"/>
        <v>18</v>
      </c>
      <c r="KN7">
        <v>1</v>
      </c>
      <c r="KO7">
        <v>2</v>
      </c>
      <c r="KP7" s="20"/>
      <c r="KS7" s="12"/>
    </row>
    <row r="8" spans="1:802" x14ac:dyDescent="0.25">
      <c r="A8" t="s">
        <v>587</v>
      </c>
      <c r="B8" t="s">
        <v>433</v>
      </c>
      <c r="C8" t="s">
        <v>197</v>
      </c>
      <c r="P8" t="s">
        <v>198</v>
      </c>
      <c r="T8" s="10" t="s">
        <v>449</v>
      </c>
      <c r="U8">
        <v>1</v>
      </c>
      <c r="V8" t="s">
        <v>457</v>
      </c>
      <c r="X8" t="s">
        <v>425</v>
      </c>
      <c r="Y8" s="38" cm="1">
        <f t="array" ref="Y8">IF(COUNTIFS($X$2:$X8,$X8)=1,"1",VALUE(SUBSTITUTE(INDEX(Y:Y,_xlfn.XMATCH($X8,$X$1:$X7,0,-1)),"A",""))+INDEX(Z:Z,_xlfn.XMATCH($X8,$X$1:$X7,0,-1))+1)</f>
        <v>2</v>
      </c>
      <c r="Z8" s="37" cm="1">
        <f t="array" ref="Z8">SUM(IF(ISNUMBER(FIND("TmAi",$BE$1:$AAL$1)),IF(IFERROR(ISODD(SUBSTITUTE($BE8:$AAL8,"A","")),FALSE),IF(ISODD(SUBSTITUTE($BE8:$AAL8,"A","")),1,0),0)))</f>
        <v>0</v>
      </c>
      <c r="AA8" t="str">
        <f>CONCATENATE($Y8*2-1,"A")</f>
        <v>3A</v>
      </c>
      <c r="AB8" t="str">
        <f>CONCATENATE($Y8*2-1,"B")</f>
        <v>3B</v>
      </c>
      <c r="AP8" t="s">
        <v>451</v>
      </c>
      <c r="AS8" t="s">
        <v>169</v>
      </c>
      <c r="JZ8" s="20" t="str">
        <f t="shared" si="5"/>
        <v>XT1</v>
      </c>
      <c r="KA8" t="str">
        <f>REPLACE($AA8,1,1,LEFT($AA8,1)+1)</f>
        <v>4A</v>
      </c>
      <c r="KB8" t="str">
        <f>REPLACE($AB8,1,1,LEFT($AB8,1)+1)</f>
        <v>4B</v>
      </c>
      <c r="KC8" t="str">
        <f t="shared" si="6"/>
        <v>E2-AI2-3A</v>
      </c>
      <c r="KD8" t="str">
        <f t="shared" si="7"/>
        <v>E2-AI2-3B</v>
      </c>
      <c r="KE8" t="str">
        <f>CONCATENATE($T8,"-AI",REPLACE($X8,1,3,""),"-",KA8)</f>
        <v>E2-AI2-4A</v>
      </c>
      <c r="KF8" t="str">
        <f>CONCATENATE($T8,"-AI",REPLACE($X8,1,3,""),"-",KB8)</f>
        <v>E2-AI2-4B</v>
      </c>
      <c r="KI8" cm="1">
        <f t="array" ref="KI8">IF(COUNTIFS($U$2:$U8,$U8)=1,1,INDEX(KI:KI,_xlfn.XMATCH(U8,U$1:U7,0,-1))+COUNT(KI7:KM7))</f>
        <v>19</v>
      </c>
      <c r="KJ8">
        <f t="shared" ref="KJ8:KL9" si="13">KI8+1</f>
        <v>20</v>
      </c>
      <c r="KK8">
        <f t="shared" si="13"/>
        <v>21</v>
      </c>
      <c r="KL8">
        <f t="shared" si="13"/>
        <v>22</v>
      </c>
      <c r="KN8">
        <v>1</v>
      </c>
      <c r="KO8" s="12">
        <v>2</v>
      </c>
      <c r="KP8">
        <v>3</v>
      </c>
      <c r="KQ8">
        <v>4</v>
      </c>
      <c r="KS8" s="12"/>
    </row>
    <row r="9" spans="1:802" x14ac:dyDescent="0.25">
      <c r="A9" t="s">
        <v>588</v>
      </c>
      <c r="B9" t="s">
        <v>434</v>
      </c>
      <c r="C9" t="s">
        <v>197</v>
      </c>
      <c r="P9" t="s">
        <v>198</v>
      </c>
      <c r="T9" s="10" t="s">
        <v>449</v>
      </c>
      <c r="U9">
        <v>1</v>
      </c>
      <c r="V9" t="s">
        <v>458</v>
      </c>
      <c r="X9" t="str">
        <f>IF(COUNTIF(X$2:X8,X8)&gt;7,REPLACE(X8,LEN(X8),1,VALUE(RIGHT(X8,1))+1),X8)</f>
        <v>A3.2</v>
      </c>
      <c r="Y9" s="37" cm="1">
        <f t="array" ref="Y9">IF(COUNTIFS($X$2:$X9,$X9)=1,"1",VALUE(SUBSTITUTE(INDEX(Y:Y,_xlfn.XMATCH($X9,$X$1:$X8,0,-1)),"A",""))+INDEX(Z:Z,_xlfn.XMATCH($X9,$X$1:$X8,0,-1))+1)</f>
        <v>3</v>
      </c>
      <c r="Z9" s="37" cm="1">
        <f t="array" ref="Z9">SUM(IF(ISNUMBER(FIND("TmAi",$BE$1:$AAL$1)),IF(IFERROR(ISODD(SUBSTITUTE($BE9:$AAL9,"A","")),FALSE),IF(ISODD(SUBSTITUTE($BE9:$AAL9,"A","")),1,0),0)))</f>
        <v>0</v>
      </c>
      <c r="AA9" t="str">
        <f>CONCATENATE($Y9*2-1,"A")</f>
        <v>5A</v>
      </c>
      <c r="AB9" t="str">
        <f>CONCATENATE($Y9*2-1,"B")</f>
        <v>5B</v>
      </c>
      <c r="AP9" t="s">
        <v>451</v>
      </c>
      <c r="AS9" t="s">
        <v>169</v>
      </c>
      <c r="JZ9" s="20" t="str">
        <f t="shared" si="5"/>
        <v>XT1</v>
      </c>
      <c r="KA9" t="str">
        <f>REPLACE(AA9,1,1,LEFT(AA9,1)+1)</f>
        <v>6A</v>
      </c>
      <c r="KB9" t="str">
        <f>REPLACE(AB9,1,1,LEFT(AB9,1)+1)</f>
        <v>6B</v>
      </c>
      <c r="KC9" t="str">
        <f t="shared" si="6"/>
        <v>E2-AI2-5A</v>
      </c>
      <c r="KD9" t="str">
        <f t="shared" si="7"/>
        <v>E2-AI2-5B</v>
      </c>
      <c r="KE9" t="str">
        <f>CONCATENATE($T9,"-AI",REPLACE($X9,1,3,""),"-",KA9)</f>
        <v>E2-AI2-6A</v>
      </c>
      <c r="KF9" t="str">
        <f>CONCATENATE($T9,"-AI",REPLACE($X9,1,3,""),"-",KB9)</f>
        <v>E2-AI2-6B</v>
      </c>
      <c r="KI9" cm="1">
        <f t="array" ref="KI9">IF(COUNTIFS($U$2:$U9,$U9)=1,1,INDEX(KI:KI,_xlfn.XMATCH(U9,U$1:U8,0,-1))+COUNT(KI8:KM8))</f>
        <v>23</v>
      </c>
      <c r="KJ9">
        <f t="shared" si="13"/>
        <v>24</v>
      </c>
      <c r="KK9">
        <f t="shared" si="13"/>
        <v>25</v>
      </c>
      <c r="KL9">
        <f t="shared" si="13"/>
        <v>26</v>
      </c>
      <c r="KN9">
        <v>1</v>
      </c>
      <c r="KO9" s="12">
        <v>2</v>
      </c>
      <c r="KP9">
        <v>3</v>
      </c>
      <c r="KQ9">
        <v>4</v>
      </c>
      <c r="KS9" s="12"/>
    </row>
    <row r="10" spans="1:802" x14ac:dyDescent="0.25">
      <c r="A10" t="s">
        <v>589</v>
      </c>
      <c r="B10" t="s">
        <v>462</v>
      </c>
      <c r="C10" t="s">
        <v>196</v>
      </c>
      <c r="P10" t="s">
        <v>189</v>
      </c>
      <c r="T10" s="10" t="s">
        <v>449</v>
      </c>
      <c r="U10">
        <v>2</v>
      </c>
      <c r="V10" t="s">
        <v>459</v>
      </c>
      <c r="X10" t="s">
        <v>190</v>
      </c>
      <c r="Y10" s="38" cm="1">
        <f t="array" ref="Y10">IF(COUNTIFS($X$2:$X10,$X10)=1,"1",VALUE(SUBSTITUTE(INDEX(Y:Y,_xlfn.XMATCH($X10,$X$1:$X9,0,-1)),"A",""))+INDEX(Z:Z,_xlfn.XMATCH($X10,$X$1:$X9,0,-1))+1)</f>
        <v>2</v>
      </c>
      <c r="Z10" cm="1">
        <f t="array" ref="Z10">SUM(IF(ISNUMBER(FIND("TmAi",$BE$1:$AAL$1)),IF(IFERROR(ISODD(SUBSTITUTE($BE10:$AAL10,"A","")),FALSE),IF(ISODD(SUBSTITUTE($BE10:$AAL10,"A","")),1,0),0)))</f>
        <v>0</v>
      </c>
      <c r="AA10" t="str">
        <f t="shared" ref="AA10:AA12" si="14">CONCATENATE($Y10*2-1,"B")</f>
        <v>3B</v>
      </c>
      <c r="AB10" t="str">
        <f t="shared" ref="AB10:AB12" si="15">CONCATENATE($Y10*2,"B")</f>
        <v>4B</v>
      </c>
      <c r="AP10" t="s">
        <v>451</v>
      </c>
      <c r="AS10" t="s">
        <v>169</v>
      </c>
      <c r="JZ10" s="20" t="str">
        <f t="shared" ref="JZ10:JZ12" si="16">CONCATENATE("XT",U10)</f>
        <v>XT2</v>
      </c>
      <c r="KC10" t="str">
        <f t="shared" ref="KC10:KC12" si="17">CONCATENATE(T10,"-AI",REPLACE($X10,1,3,""),"-",AA10)</f>
        <v>E2-AI3-3B</v>
      </c>
      <c r="KD10" t="str">
        <f t="shared" ref="KD10:KD12" si="18">CONCATENATE(T10,"-AI",REPLACE($X10,1,3,""),"-",AB10)</f>
        <v>E2-AI3-4B</v>
      </c>
      <c r="KI10" cm="1">
        <f t="array" ref="KI10">IF(COUNTIFS($U$2:$U10,$U10)=1,1,INDEX(KI:KI,_xlfn.XMATCH(U10,U$1:U9,0,-1))+COUNT(KI9:KM9))</f>
        <v>1</v>
      </c>
      <c r="KJ10">
        <f t="shared" ref="KJ10:KK10" si="19">KI10+1</f>
        <v>2</v>
      </c>
      <c r="KK10">
        <f t="shared" si="19"/>
        <v>3</v>
      </c>
      <c r="KN10">
        <v>1</v>
      </c>
      <c r="KO10">
        <v>2</v>
      </c>
      <c r="KP10" s="20"/>
      <c r="KS10" s="12"/>
    </row>
    <row r="11" spans="1:802" x14ac:dyDescent="0.25">
      <c r="A11" t="s">
        <v>590</v>
      </c>
      <c r="B11" t="s">
        <v>463</v>
      </c>
      <c r="C11" t="s">
        <v>196</v>
      </c>
      <c r="P11" t="s">
        <v>189</v>
      </c>
      <c r="T11" s="10" t="s">
        <v>449</v>
      </c>
      <c r="U11">
        <v>2</v>
      </c>
      <c r="V11" t="s">
        <v>460</v>
      </c>
      <c r="X11" t="str">
        <f>IF(COUNTIF(X$2:X10,X10)&gt;7,REPLACE(X10,LEN(X10),1,VALUE(RIGHT(X10,1))+1),X10)</f>
        <v>A3.3</v>
      </c>
      <c r="Y11" s="37" cm="1">
        <f t="array" ref="Y11">IF(COUNTIFS($X$2:$X11,$X11)=1,"1",VALUE(SUBSTITUTE(INDEX(Y:Y,_xlfn.XMATCH($X11,$X$1:$X10,0,-1)),"A",""))+INDEX(Z:Z,_xlfn.XMATCH($X11,$X$1:$X10,0,-1))+1)</f>
        <v>3</v>
      </c>
      <c r="Z11" cm="1">
        <f t="array" ref="Z11">SUM(IF(ISNUMBER(FIND("TmAi",$BE$1:$AAL$1)),IF(IFERROR(ISODD(SUBSTITUTE($BE11:$AAL11,"A","")),FALSE),IF(ISODD(SUBSTITUTE($BE11:$AAL11,"A","")),1,0),0)))</f>
        <v>0</v>
      </c>
      <c r="AA11" t="str">
        <f t="shared" si="14"/>
        <v>5B</v>
      </c>
      <c r="AB11" t="str">
        <f t="shared" si="15"/>
        <v>6B</v>
      </c>
      <c r="AP11" t="s">
        <v>451</v>
      </c>
      <c r="AS11" t="s">
        <v>169</v>
      </c>
      <c r="JZ11" s="20" t="str">
        <f t="shared" si="16"/>
        <v>XT2</v>
      </c>
      <c r="KC11" t="str">
        <f t="shared" si="17"/>
        <v>E2-AI3-5B</v>
      </c>
      <c r="KD11" t="str">
        <f t="shared" si="18"/>
        <v>E2-AI3-6B</v>
      </c>
      <c r="KI11" cm="1">
        <f t="array" ref="KI11">IF(COUNTIFS($U$2:$U11,$U11)=1,1,INDEX(KI:KI,_xlfn.XMATCH(U11,U$1:U10,0,-1))+COUNT(KI10:KM10))</f>
        <v>4</v>
      </c>
      <c r="KJ11">
        <f t="shared" ref="KJ11:KK11" si="20">KI11+1</f>
        <v>5</v>
      </c>
      <c r="KK11">
        <f t="shared" si="20"/>
        <v>6</v>
      </c>
      <c r="KN11">
        <v>1</v>
      </c>
      <c r="KO11">
        <v>2</v>
      </c>
      <c r="KP11" s="20"/>
      <c r="KS11" s="12"/>
    </row>
    <row r="12" spans="1:802" x14ac:dyDescent="0.25">
      <c r="A12" t="s">
        <v>591</v>
      </c>
      <c r="B12" t="s">
        <v>464</v>
      </c>
      <c r="C12" t="s">
        <v>196</v>
      </c>
      <c r="P12" t="s">
        <v>189</v>
      </c>
      <c r="T12" s="10" t="s">
        <v>449</v>
      </c>
      <c r="U12">
        <v>2</v>
      </c>
      <c r="V12" t="s">
        <v>461</v>
      </c>
      <c r="X12" t="str">
        <f>IF(COUNTIF(X$2:X11,X11)&gt;7,REPLACE(X11,LEN(X11),1,VALUE(RIGHT(X11,1))+1),X11)</f>
        <v>A3.3</v>
      </c>
      <c r="Y12" s="37" cm="1">
        <f t="array" ref="Y12">IF(COUNTIFS($X$2:$X12,$X12)=1,"1",VALUE(SUBSTITUTE(INDEX(Y:Y,_xlfn.XMATCH($X12,$X$1:$X11,0,-1)),"A",""))+INDEX(Z:Z,_xlfn.XMATCH($X12,$X$1:$X11,0,-1))+1)</f>
        <v>4</v>
      </c>
      <c r="Z12" cm="1">
        <f t="array" ref="Z12">SUM(IF(ISNUMBER(FIND("TmAi",$BE$1:$AAL$1)),IF(IFERROR(ISODD(SUBSTITUTE($BE12:$AAL12,"A","")),FALSE),IF(ISODD(SUBSTITUTE($BE12:$AAL12,"A","")),1,0),0)))</f>
        <v>0</v>
      </c>
      <c r="AA12" t="str">
        <f t="shared" si="14"/>
        <v>7B</v>
      </c>
      <c r="AB12" t="str">
        <f t="shared" si="15"/>
        <v>8B</v>
      </c>
      <c r="AP12" t="s">
        <v>451</v>
      </c>
      <c r="AS12" t="s">
        <v>169</v>
      </c>
      <c r="JZ12" s="20" t="str">
        <f t="shared" si="16"/>
        <v>XT2</v>
      </c>
      <c r="KC12" t="str">
        <f t="shared" si="17"/>
        <v>E2-AI3-7B</v>
      </c>
      <c r="KD12" t="str">
        <f t="shared" si="18"/>
        <v>E2-AI3-8B</v>
      </c>
      <c r="KI12" cm="1">
        <f t="array" ref="KI12">IF(COUNTIFS($U$2:$U12,$U12)=1,1,INDEX(KI:KI,_xlfn.XMATCH(U12,U$1:U11,0,-1))+COUNT(KI11:KM11))</f>
        <v>7</v>
      </c>
      <c r="KJ12">
        <f t="shared" ref="KJ12:KK12" si="21">KI12+1</f>
        <v>8</v>
      </c>
      <c r="KK12">
        <f t="shared" si="21"/>
        <v>9</v>
      </c>
      <c r="KN12">
        <v>1</v>
      </c>
      <c r="KO12">
        <v>2</v>
      </c>
      <c r="KP12" s="20"/>
      <c r="KS12" s="12"/>
    </row>
    <row r="13" spans="1:802" x14ac:dyDescent="0.25">
      <c r="A13" s="44" t="s">
        <v>592</v>
      </c>
      <c r="B13" t="s">
        <v>437</v>
      </c>
      <c r="P13" t="s">
        <v>516</v>
      </c>
      <c r="T13" s="20" t="s">
        <v>449</v>
      </c>
      <c r="U13">
        <v>3</v>
      </c>
      <c r="V13" t="s">
        <v>465</v>
      </c>
      <c r="Y13" s="37"/>
      <c r="AC13" t="s">
        <v>127</v>
      </c>
      <c r="AD13" s="34" t="str" cm="1">
        <f t="array" ref="AD13">IF(COUNTIFS(AC$2:AC13,AC13)=1,"1",VALUE(SUBSTITUTE(INDEX(AD:AD,_xlfn.XMATCH(AC13,AC$1:AC18,0,-1)),"A",""))+INDEX(AE:AE,_xlfn.XMATCH(AC13,AC$1:AC18,0,-1))+1)</f>
        <v>1</v>
      </c>
      <c r="AE13" s="34" cm="1">
        <f t="array" ref="AE13">SUM(IF(ISNUMBER(FIND("TmDi",$BE$1:$AAL$1)),IF(IFERROR(ISNUMBER(VALUE(SUBSTITUTE($BE13:$AAL13,"B",""))),FALSE),IF(ISNUMBER(VALUE(SUBSTITUTE($BE13:$AAL13,"B",""))),1,0),0)))</f>
        <v>3</v>
      </c>
      <c r="AF13" t="str">
        <f t="shared" ref="AF13:AF16" si="22">CONCATENATE("C",$AD13)</f>
        <v>C1</v>
      </c>
      <c r="AG13" t="str">
        <f t="shared" ref="AG13:AG16" si="23">CONCATENATE("B",$AD13)</f>
        <v>B1</v>
      </c>
      <c r="AH13" t="s">
        <v>128</v>
      </c>
      <c r="AI13" s="42" t="str" cm="1">
        <f t="array" ref="AI13">IF(COUNTIFS(AH$2:AH13,AH13)=1,"1",VALUE(SUBSTITUTE(INDEX(AI:AI,_xlfn.XMATCH(AH13,AH$1:AH18,0,-1)),"A",""))+INDEX(AJ:AJ,_xlfn.XMATCH(AH13,AH$1:AH18,0,-1))+1)</f>
        <v>1</v>
      </c>
      <c r="AJ13" s="42" cm="1">
        <f t="array" ref="AJ13">SUM(IF(ISNUMBER(FIND("TmDo",$BE$1:$AAL$1)),IF(IFERROR(ISNUMBER(VALUE(SUBSTITUTE($BE13:$AAL13,"B",""))),FALSE),IF(ISNUMBER(VALUE(SUBSTITUTE($BE13:$AAL13,"B",""))),1,0),0)))</f>
        <v>2</v>
      </c>
      <c r="AK13" t="str">
        <f t="shared" ref="AK13:AK26" si="24">CONCATENATE($AI13,"A")</f>
        <v>1A</v>
      </c>
      <c r="AL13" t="str">
        <f t="shared" ref="AL13:AL26" si="25">CONCATENATE($AI13,"B")</f>
        <v>1B</v>
      </c>
      <c r="AM13" t="s">
        <v>131</v>
      </c>
      <c r="AP13" t="s">
        <v>451</v>
      </c>
      <c r="AQ13" t="s">
        <v>466</v>
      </c>
      <c r="AT13" t="s">
        <v>129</v>
      </c>
      <c r="AU13" t="s">
        <v>130</v>
      </c>
      <c r="BE13" s="20" t="str">
        <f t="shared" ref="BE13" si="26">CONCATENATE("XT",U13)</f>
        <v>XT3</v>
      </c>
      <c r="BF13" t="str">
        <f t="shared" ref="BF13" si="27">CONCATENATE("C",REPLACE(AF13,1,1,"")+1)</f>
        <v>C2</v>
      </c>
      <c r="BG13" t="str">
        <f t="shared" ref="BG13" si="28">CONCATENATE("B",REPLACE(AG13,1,1,"")+1)</f>
        <v>B2</v>
      </c>
      <c r="BH13" t="str">
        <f t="shared" ref="BH13" si="29">CONCATENATE("C",REPLACE(BF13,1,1,"")+1)</f>
        <v>C3</v>
      </c>
      <c r="BI13" t="str">
        <f t="shared" ref="BI13" si="30">CONCATENATE("B",REPLACE(BG13,1,1,"")+1)</f>
        <v>B3</v>
      </c>
      <c r="BJ13" t="str">
        <f t="shared" ref="BJ13" si="31">CONCATENATE("C",REPLACE(BH13,1,1,"")+1)</f>
        <v>C4</v>
      </c>
      <c r="BK13" t="str">
        <f t="shared" ref="BK13" si="32">CONCATENATE("B",REPLACE(BI13,1,1,"")+1)</f>
        <v>B4</v>
      </c>
      <c r="BP13" t="str">
        <f t="shared" ref="BP13" si="33">CONCATENATE(REPLACE(AK13,LEN(AK13),1,"")+1,"A")</f>
        <v>2A</v>
      </c>
      <c r="BQ13" t="str">
        <f t="shared" ref="BQ13" si="34">CONCATENATE(REPLACE(AL13,LEN(AL13),1,"")+1,"B")</f>
        <v>2B</v>
      </c>
      <c r="BR13" t="str">
        <f t="shared" ref="BR13" si="35">CONCATENATE(REPLACE(BP13,LEN(BP13),1,"")+1,"A")</f>
        <v>3A</v>
      </c>
      <c r="BS13" t="str">
        <f t="shared" ref="BS13" si="36">CONCATENATE(REPLACE(BQ13,LEN(BQ13),1,"")+1,"B")</f>
        <v>3B</v>
      </c>
      <c r="BT13" t="str">
        <f t="shared" ref="BT13" si="37">CONCATENATE("DI",REPLACE($AC13,1,3,""),"-",AF13)</f>
        <v>DI1-C1</v>
      </c>
      <c r="BU13" t="str">
        <f t="shared" ref="BU13" si="38">CONCATENATE("DI",REPLACE($AC13,1,3,""),"-",AG13)</f>
        <v>DI1-B1</v>
      </c>
      <c r="BV13" t="str">
        <f t="shared" ref="BV13" si="39">CONCATENATE("DI",REPLACE($AC13,1,3,""),"-",BF13)</f>
        <v>DI1-C2</v>
      </c>
      <c r="BW13" t="str">
        <f t="shared" ref="BW13" si="40">CONCATENATE("DI",REPLACE($AC13,1,3,""),"-",BG13)</f>
        <v>DI1-B2</v>
      </c>
      <c r="BX13" t="str">
        <f t="shared" ref="BX13" si="41">CONCATENATE("DI",REPLACE($AC13,1,3,""),"-",BH13)</f>
        <v>DI1-C3</v>
      </c>
      <c r="BY13" t="str">
        <f t="shared" ref="BY13" si="42">CONCATENATE("DI",REPLACE($AC13,1,3,""),"-",BI13)</f>
        <v>DI1-B3</v>
      </c>
      <c r="BZ13" t="str">
        <f t="shared" ref="BZ13" si="43">CONCATENATE("DI",REPLACE($AC13,1,3,""),"-",BJ13)</f>
        <v>DI1-C4</v>
      </c>
      <c r="CA13" t="str">
        <f t="shared" ref="CA13" si="44">CONCATENATE("DI",REPLACE($AC13,1,3,""),"-",BK13)</f>
        <v>DI1-B4</v>
      </c>
      <c r="CB13" t="str">
        <f t="shared" ref="CB13" si="45">CONCATENATE("DI",REPLACE($AC13,1,3,""),"-",BL13)</f>
        <v>DI1-</v>
      </c>
      <c r="CC13" t="str">
        <f t="shared" ref="CC13" si="46">CONCATENATE("DI",REPLACE($AC13,1,3,""),"-",BM13)</f>
        <v>DI1-</v>
      </c>
      <c r="CD13" t="str">
        <f t="shared" ref="CD13" si="47">CONCATENATE("DI",REPLACE($AC13,1,3,""),"-",BN13)</f>
        <v>DI1-</v>
      </c>
      <c r="CE13" t="str">
        <f t="shared" ref="CE13" si="48">CONCATENATE("DI",REPLACE($AC13,1,3,""),"-",BO13)</f>
        <v>DI1-</v>
      </c>
      <c r="CF13" t="str">
        <f t="shared" ref="CF13" si="49">CONCATENATE("DO",REPLACE($AH13,1,3,""),"-",AK13)</f>
        <v>DO1-1A</v>
      </c>
      <c r="CG13" t="str">
        <f t="shared" ref="CG13" si="50">CONCATENATE("DO",REPLACE($AH13,1,3,""),"-",AL13)</f>
        <v>DO1-1B</v>
      </c>
      <c r="CH13" t="str">
        <f t="shared" ref="CH13" si="51">CONCATENATE("DO",REPLACE($AH13,1,3,""),"-",BP13)</f>
        <v>DO1-2A</v>
      </c>
      <c r="CI13" t="str">
        <f t="shared" ref="CI13" si="52">CONCATENATE("DO",REPLACE($AH13,1,3,""),"-",BQ13)</f>
        <v>DO1-2B</v>
      </c>
      <c r="CJ13" t="str">
        <f t="shared" ref="CJ13" si="53">CONCATENATE("DO",REPLACE($AH13,1,3,""),"-",BR13)</f>
        <v>DO1-3A</v>
      </c>
      <c r="CK13" t="str">
        <f t="shared" ref="CK13" si="54">CONCATENATE("DO",REPLACE($AH13,1,3,""),"-",BS13)</f>
        <v>DO1-3B</v>
      </c>
      <c r="CL13" t="str">
        <f t="shared" ref="CL13" si="55">CONCATENATE("K",$U13,"-10")</f>
        <v>K3-10</v>
      </c>
      <c r="CM13" t="str">
        <f t="shared" ref="CM13" si="56">CONCATENATE("K",$U13,"-03")</f>
        <v>K3-03</v>
      </c>
      <c r="CN13" t="str">
        <f t="shared" ref="CN13" si="57">CONCATENATE("K",$U13,"-04")</f>
        <v>K3-04</v>
      </c>
      <c r="CO13" t="str">
        <f t="shared" ref="CO13" si="58">CONCATENATE("K",$U13,"-01")</f>
        <v>K3-01</v>
      </c>
      <c r="CP13" t="str">
        <f t="shared" ref="CP13" si="59">CONCATENATE("K",$U13,"-08")</f>
        <v>K3-08</v>
      </c>
      <c r="CQ13" t="str">
        <f t="shared" ref="CQ13" si="60">CONCATENATE("K",$U13,"-02")</f>
        <v>K3-02</v>
      </c>
      <c r="CR13" t="str">
        <f t="shared" ref="CR13" si="61">CONCATENATE("K",$U13,"-09")</f>
        <v>K3-09</v>
      </c>
      <c r="CS13" t="str">
        <f t="shared" ref="CS13" si="62">CONCATENATE("K",$U13,"-05")</f>
        <v>K3-05</v>
      </c>
      <c r="CT13" t="str">
        <f t="shared" ref="CT13" si="63">CONCATENATE("K",$U13,"-11")</f>
        <v>K3-11</v>
      </c>
      <c r="CU13" t="str">
        <f t="shared" ref="CU13" si="64">CONCATENATE($T13,"-M",$U13,"-A9")</f>
        <v>E2-M3-A9</v>
      </c>
      <c r="CV13" t="str">
        <f t="shared" ref="CV13" si="65">CONCATENATE($T13,"-M",$U13,"-A7")</f>
        <v>E2-M3-A7</v>
      </c>
      <c r="CW13" t="str">
        <f t="shared" ref="CW13" si="66">CONCATENATE($T13,"-M",$U13,"-A8")</f>
        <v>E2-M3-A8</v>
      </c>
      <c r="CX13" t="str">
        <f t="shared" ref="CX13" si="67">CONCATENATE($T13,"-M",$U13,"-A6")</f>
        <v>E2-M3-A6</v>
      </c>
      <c r="CY13" t="str">
        <f t="shared" ref="CY13" si="68">CONCATENATE($T13,"-M",$U13,"-A30")</f>
        <v>E2-M3-A30</v>
      </c>
      <c r="CZ13" t="str">
        <f t="shared" ref="CZ13" si="69">CONCATENATE($T13,"-M",$U13,"-N")</f>
        <v>E2-M3-N</v>
      </c>
      <c r="DA13" t="str">
        <f t="shared" ref="DA13" si="70">CONCATENATE($T13,"-A220-M",U13)</f>
        <v>E2-A220-M3</v>
      </c>
      <c r="DB13" t="str">
        <f t="shared" ref="DB13" si="71">CONCATENATE($T13,"-M",$U13,"-XM01")</f>
        <v>E2-M3-XM01</v>
      </c>
      <c r="DC13" t="str">
        <f t="shared" ref="DC13" si="72">CONCATENATE($T13,"-M",$U13,"-A1")</f>
        <v>E2-M3-A1</v>
      </c>
      <c r="DD13" t="str">
        <f t="shared" ref="DD13" si="73">CONCATENATE($T13,"-M",$U13,"-A5")</f>
        <v>E2-M3-A5</v>
      </c>
      <c r="DE13" t="str">
        <f t="shared" ref="DE13" si="74">CONCATENATE($T13,"-M",$U13,"-A11")</f>
        <v>E2-M3-A11</v>
      </c>
      <c r="DF13" t="str">
        <f t="shared" ref="DF13" si="75">CONCATENATE($T13,"-M",$U13,"-A12")</f>
        <v>E2-M3-A12</v>
      </c>
      <c r="DG13" t="str">
        <f>CONCATENATE($T13,"-M",$U13,"-A19")</f>
        <v>E2-M3-A19</v>
      </c>
      <c r="DH13" t="str">
        <f>CONCATENATE($T13,"-M",$U13,"-A20")</f>
        <v>E2-M3-A20</v>
      </c>
      <c r="DI13" t="s">
        <v>132</v>
      </c>
      <c r="DJ13" t="s">
        <v>133</v>
      </c>
      <c r="DK13">
        <v>11</v>
      </c>
      <c r="DL13">
        <v>14</v>
      </c>
      <c r="DM13">
        <v>12</v>
      </c>
      <c r="DN13" t="s">
        <v>134</v>
      </c>
      <c r="DO13" t="s">
        <v>135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15</v>
      </c>
      <c r="EM13">
        <v>16</v>
      </c>
      <c r="EN13">
        <v>16</v>
      </c>
      <c r="EO13">
        <v>22</v>
      </c>
      <c r="EP13">
        <v>23</v>
      </c>
      <c r="EQ13" s="12">
        <v>24</v>
      </c>
    </row>
    <row r="14" spans="1:802" x14ac:dyDescent="0.25">
      <c r="A14" s="44" t="s">
        <v>593</v>
      </c>
      <c r="B14" t="s">
        <v>438</v>
      </c>
      <c r="P14" t="s">
        <v>516</v>
      </c>
      <c r="T14" s="20" t="s">
        <v>449</v>
      </c>
      <c r="U14">
        <v>4</v>
      </c>
      <c r="V14" t="s">
        <v>467</v>
      </c>
      <c r="Y14" s="37"/>
      <c r="AC14" t="str">
        <f t="shared" ref="AC14:AC17" si="76">IF(AD13+AE13&gt;31,REPLACE(AC13,LEN(AC13),1,VALUE(RIGHT(AC13,1))+1),AC13)</f>
        <v>A5.1</v>
      </c>
      <c r="AD14" s="34" cm="1">
        <f t="array" ref="AD14">IF(COUNTIFS(AC$2:AC14,AC14)=1,"1",VALUE(SUBSTITUTE(INDEX(AD:AD,_xlfn.XMATCH(AC14,AC$1:AC13,0,-1)),"A",""))+INDEX(AE:AE,_xlfn.XMATCH(AC14,AC$1:AC13,0,-1))+1)</f>
        <v>5</v>
      </c>
      <c r="AE14" s="34" cm="1">
        <f t="array" ref="AE14">SUM(IF(ISNUMBER(FIND("TmDi",$BE$1:$AAL$1)),IF(IFERROR(ISNUMBER(VALUE(SUBSTITUTE($BE14:$AAL14,"B",""))),FALSE),IF(ISNUMBER(VALUE(SUBSTITUTE($BE14:$AAL14,"B",""))),1,0),0)))</f>
        <v>3</v>
      </c>
      <c r="AF14" t="str">
        <f t="shared" si="22"/>
        <v>C5</v>
      </c>
      <c r="AG14" t="str">
        <f t="shared" si="23"/>
        <v>B5</v>
      </c>
      <c r="AH14" t="str">
        <f t="shared" ref="AH14:AH17" si="77">IF(AI13+AJ13&gt;31,REPLACE(AH13,LEN(AH13),1,VALUE(RIGHT(AH13,1))+1),AH13)</f>
        <v>A6.1</v>
      </c>
      <c r="AI14" s="42" cm="1">
        <f t="array" ref="AI14">IF(COUNTIFS(AH$2:AH14,AH14)=1,"1",VALUE(SUBSTITUTE(INDEX(AI:AI,_xlfn.XMATCH(AH14,AH$1:AH13,0,-1)),"A",""))+INDEX(AJ:AJ,_xlfn.XMATCH(AH14,AH$1:AH13,0,-1))+1)</f>
        <v>4</v>
      </c>
      <c r="AJ14" s="42" cm="1">
        <f t="array" ref="AJ14">SUM(IF(ISNUMBER(FIND("TmDo",$BE$1:$AAL$1)),IF(IFERROR(ISNUMBER(VALUE(SUBSTITUTE($BE14:$AAL14,"B",""))),FALSE),IF(ISNUMBER(VALUE(SUBSTITUTE($BE14:$AAL14,"B",""))),1,0),0)))</f>
        <v>2</v>
      </c>
      <c r="AK14" t="str">
        <f t="shared" si="24"/>
        <v>4A</v>
      </c>
      <c r="AL14" t="str">
        <f t="shared" si="25"/>
        <v>4B</v>
      </c>
      <c r="AM14" t="s">
        <v>136</v>
      </c>
      <c r="AP14" t="s">
        <v>451</v>
      </c>
      <c r="AQ14" t="s">
        <v>466</v>
      </c>
      <c r="AT14" t="s">
        <v>129</v>
      </c>
      <c r="AU14" t="s">
        <v>130</v>
      </c>
      <c r="BE14" s="20" t="str">
        <f t="shared" ref="BE14" si="78">CONCATENATE("XT",U14)</f>
        <v>XT4</v>
      </c>
      <c r="BF14" t="str">
        <f t="shared" ref="BF14" si="79">CONCATENATE("C",REPLACE(AF14,1,1,"")+1)</f>
        <v>C6</v>
      </c>
      <c r="BG14" t="str">
        <f t="shared" ref="BG14" si="80">CONCATENATE("B",REPLACE(AG14,1,1,"")+1)</f>
        <v>B6</v>
      </c>
      <c r="BH14" t="str">
        <f t="shared" ref="BH14" si="81">CONCATENATE("C",REPLACE(BF14,1,1,"")+1)</f>
        <v>C7</v>
      </c>
      <c r="BI14" t="str">
        <f t="shared" ref="BI14" si="82">CONCATENATE("B",REPLACE(BG14,1,1,"")+1)</f>
        <v>B7</v>
      </c>
      <c r="BJ14" t="str">
        <f t="shared" ref="BJ14" si="83">CONCATENATE("C",REPLACE(BH14,1,1,"")+1)</f>
        <v>C8</v>
      </c>
      <c r="BK14" t="str">
        <f t="shared" ref="BK14" si="84">CONCATENATE("B",REPLACE(BI14,1,1,"")+1)</f>
        <v>B8</v>
      </c>
      <c r="BP14" t="str">
        <f t="shared" ref="BP14" si="85">CONCATENATE(REPLACE(AK14,LEN(AK14),1,"")+1,"A")</f>
        <v>5A</v>
      </c>
      <c r="BQ14" t="str">
        <f t="shared" ref="BQ14" si="86">CONCATENATE(REPLACE(AL14,LEN(AL14),1,"")+1,"B")</f>
        <v>5B</v>
      </c>
      <c r="BR14" t="str">
        <f t="shared" ref="BR14" si="87">CONCATENATE(REPLACE(BP14,LEN(BP14),1,"")+1,"A")</f>
        <v>6A</v>
      </c>
      <c r="BS14" t="str">
        <f t="shared" ref="BS14" si="88">CONCATENATE(REPLACE(BQ14,LEN(BQ14),1,"")+1,"B")</f>
        <v>6B</v>
      </c>
      <c r="BT14" t="str">
        <f t="shared" ref="BT14" si="89">CONCATENATE("DI",REPLACE($AC14,1,3,""),"-",AF14)</f>
        <v>DI1-C5</v>
      </c>
      <c r="BU14" t="str">
        <f t="shared" ref="BU14" si="90">CONCATENATE("DI",REPLACE($AC14,1,3,""),"-",AG14)</f>
        <v>DI1-B5</v>
      </c>
      <c r="BV14" t="str">
        <f t="shared" ref="BV14" si="91">CONCATENATE("DI",REPLACE($AC14,1,3,""),"-",BF14)</f>
        <v>DI1-C6</v>
      </c>
      <c r="BW14" t="str">
        <f t="shared" ref="BW14" si="92">CONCATENATE("DI",REPLACE($AC14,1,3,""),"-",BG14)</f>
        <v>DI1-B6</v>
      </c>
      <c r="BX14" t="str">
        <f t="shared" ref="BX14" si="93">CONCATENATE("DI",REPLACE($AC14,1,3,""),"-",BH14)</f>
        <v>DI1-C7</v>
      </c>
      <c r="BY14" t="str">
        <f t="shared" ref="BY14" si="94">CONCATENATE("DI",REPLACE($AC14,1,3,""),"-",BI14)</f>
        <v>DI1-B7</v>
      </c>
      <c r="BZ14" t="str">
        <f t="shared" ref="BZ14" si="95">CONCATENATE("DI",REPLACE($AC14,1,3,""),"-",BJ14)</f>
        <v>DI1-C8</v>
      </c>
      <c r="CA14" t="str">
        <f t="shared" ref="CA14" si="96">CONCATENATE("DI",REPLACE($AC14,1,3,""),"-",BK14)</f>
        <v>DI1-B8</v>
      </c>
      <c r="CB14" t="str">
        <f t="shared" ref="CB14" si="97">CONCATENATE("DI",REPLACE($AC14,1,3,""),"-",BL14)</f>
        <v>DI1-</v>
      </c>
      <c r="CC14" t="str">
        <f t="shared" ref="CC14" si="98">CONCATENATE("DI",REPLACE($AC14,1,3,""),"-",BM14)</f>
        <v>DI1-</v>
      </c>
      <c r="CD14" t="str">
        <f t="shared" ref="CD14" si="99">CONCATENATE("DI",REPLACE($AC14,1,3,""),"-",BN14)</f>
        <v>DI1-</v>
      </c>
      <c r="CE14" t="str">
        <f t="shared" ref="CE14" si="100">CONCATENATE("DI",REPLACE($AC14,1,3,""),"-",BO14)</f>
        <v>DI1-</v>
      </c>
      <c r="CF14" t="str">
        <f t="shared" ref="CF14" si="101">CONCATENATE("DO",REPLACE($AH14,1,3,""),"-",AK14)</f>
        <v>DO1-4A</v>
      </c>
      <c r="CG14" t="str">
        <f t="shared" ref="CG14" si="102">CONCATENATE("DO",REPLACE($AH14,1,3,""),"-",AL14)</f>
        <v>DO1-4B</v>
      </c>
      <c r="CH14" t="str">
        <f t="shared" ref="CH14" si="103">CONCATENATE("DO",REPLACE($AH14,1,3,""),"-",BP14)</f>
        <v>DO1-5A</v>
      </c>
      <c r="CI14" t="str">
        <f t="shared" ref="CI14" si="104">CONCATENATE("DO",REPLACE($AH14,1,3,""),"-",BQ14)</f>
        <v>DO1-5B</v>
      </c>
      <c r="CJ14" t="str">
        <f t="shared" ref="CJ14" si="105">CONCATENATE("DO",REPLACE($AH14,1,3,""),"-",BR14)</f>
        <v>DO1-6A</v>
      </c>
      <c r="CK14" t="str">
        <f t="shared" ref="CK14" si="106">CONCATENATE("DO",REPLACE($AH14,1,3,""),"-",BS14)</f>
        <v>DO1-6B</v>
      </c>
      <c r="CL14" t="str">
        <f t="shared" ref="CL14:CL16" si="107">CONCATENATE("K",$U14,"-10")</f>
        <v>K4-10</v>
      </c>
      <c r="CM14" t="str">
        <f t="shared" ref="CM14:CM16" si="108">CONCATENATE("K",$U14,"-03")</f>
        <v>K4-03</v>
      </c>
      <c r="CN14" t="str">
        <f t="shared" ref="CN14:CN16" si="109">CONCATENATE("K",$U14,"-04")</f>
        <v>K4-04</v>
      </c>
      <c r="CO14" t="str">
        <f t="shared" ref="CO14:CO16" si="110">CONCATENATE("K",$U14,"-01")</f>
        <v>K4-01</v>
      </c>
      <c r="CP14" t="str">
        <f t="shared" ref="CP14:CP16" si="111">CONCATENATE("K",$U14,"-08")</f>
        <v>K4-08</v>
      </c>
      <c r="CQ14" t="str">
        <f t="shared" ref="CQ14:CQ16" si="112">CONCATENATE("K",$U14,"-02")</f>
        <v>K4-02</v>
      </c>
      <c r="CR14" t="str">
        <f t="shared" ref="CR14:CR16" si="113">CONCATENATE("K",$U14,"-09")</f>
        <v>K4-09</v>
      </c>
      <c r="CS14" t="str">
        <f t="shared" ref="CS14:CS16" si="114">CONCATENATE("K",$U14,"-05")</f>
        <v>K4-05</v>
      </c>
      <c r="CT14" t="str">
        <f t="shared" ref="CT14:CT16" si="115">CONCATENATE("K",$U14,"-11")</f>
        <v>K4-11</v>
      </c>
      <c r="CU14" t="str">
        <f t="shared" ref="CU14:CU16" si="116">CONCATENATE($T14,"-M",$U14,"-A9")</f>
        <v>E2-M4-A9</v>
      </c>
      <c r="CV14" t="str">
        <f t="shared" ref="CV14:CV16" si="117">CONCATENATE($T14,"-M",$U14,"-A7")</f>
        <v>E2-M4-A7</v>
      </c>
      <c r="CW14" t="str">
        <f t="shared" ref="CW14:CW16" si="118">CONCATENATE($T14,"-M",$U14,"-A8")</f>
        <v>E2-M4-A8</v>
      </c>
      <c r="CX14" t="str">
        <f t="shared" ref="CX14:CX16" si="119">CONCATENATE($T14,"-M",$U14,"-A6")</f>
        <v>E2-M4-A6</v>
      </c>
      <c r="CY14" t="str">
        <f t="shared" ref="CY14:CY16" si="120">CONCATENATE($T14,"-M",$U14,"-A30")</f>
        <v>E2-M4-A30</v>
      </c>
      <c r="CZ14" t="str">
        <f t="shared" ref="CZ14" si="121">CONCATENATE($T14,"-M",$U14,"-N")</f>
        <v>E2-M4-N</v>
      </c>
      <c r="DA14" t="str">
        <f t="shared" ref="DA14" si="122">CONCATENATE($T14,"-A220-M",U14)</f>
        <v>E2-A220-M4</v>
      </c>
      <c r="DB14" t="str">
        <f t="shared" ref="DB14:DB16" si="123">CONCATENATE($T14,"-M",$U14,"-XM01")</f>
        <v>E2-M4-XM01</v>
      </c>
      <c r="DC14" t="str">
        <f t="shared" ref="DC14:DC16" si="124">CONCATENATE($T14,"-M",$U14,"-A1")</f>
        <v>E2-M4-A1</v>
      </c>
      <c r="DD14" t="str">
        <f t="shared" ref="DD14:DD16" si="125">CONCATENATE($T14,"-M",$U14,"-A5")</f>
        <v>E2-M4-A5</v>
      </c>
      <c r="DE14" t="str">
        <f t="shared" ref="DE14:DE16" si="126">CONCATENATE($T14,"-M",$U14,"-A11")</f>
        <v>E2-M4-A11</v>
      </c>
      <c r="DF14" t="str">
        <f t="shared" ref="DF14:DF16" si="127">CONCATENATE($T14,"-M",$U14,"-A12")</f>
        <v>E2-M4-A12</v>
      </c>
      <c r="DG14" t="str">
        <f>CONCATENATE($T14,"-M",$U14,"-A19")</f>
        <v>E2-M4-A19</v>
      </c>
      <c r="DH14" t="str">
        <f>CONCATENATE($T14,"-M",$U14,"-A20")</f>
        <v>E2-M4-A20</v>
      </c>
      <c r="DI14" t="s">
        <v>132</v>
      </c>
      <c r="DJ14" t="s">
        <v>133</v>
      </c>
      <c r="DK14">
        <v>11</v>
      </c>
      <c r="DL14">
        <v>14</v>
      </c>
      <c r="DM14">
        <v>12</v>
      </c>
      <c r="DN14" t="s">
        <v>134</v>
      </c>
      <c r="DO14" t="s">
        <v>135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15</v>
      </c>
      <c r="EM14">
        <v>16</v>
      </c>
      <c r="EN14">
        <v>16</v>
      </c>
      <c r="EO14">
        <v>22</v>
      </c>
      <c r="EP14">
        <v>23</v>
      </c>
      <c r="EQ14" s="12">
        <v>24</v>
      </c>
    </row>
    <row r="15" spans="1:802" x14ac:dyDescent="0.25">
      <c r="A15" s="44" t="s">
        <v>594</v>
      </c>
      <c r="B15" t="s">
        <v>439</v>
      </c>
      <c r="P15" t="s">
        <v>516</v>
      </c>
      <c r="T15" s="20" t="s">
        <v>449</v>
      </c>
      <c r="U15">
        <v>5</v>
      </c>
      <c r="V15" t="s">
        <v>468</v>
      </c>
      <c r="Y15" s="37"/>
      <c r="AC15" t="str">
        <f t="shared" si="76"/>
        <v>A5.1</v>
      </c>
      <c r="AD15" s="34" cm="1">
        <f t="array" ref="AD15">IF(COUNTIFS(AC$2:AC15,AC15)=1,"1",VALUE(SUBSTITUTE(INDEX(AD:AD,_xlfn.XMATCH(AC15,AC$1:AC14,0,-1)),"A",""))+INDEX(AE:AE,_xlfn.XMATCH(AC15,AC$1:AC14,0,-1))+1)</f>
        <v>9</v>
      </c>
      <c r="AE15" s="34" cm="1">
        <f t="array" ref="AE15">SUM(IF(ISNUMBER(FIND("TmDi",$BE$1:$AAL$1)),IF(IFERROR(ISNUMBER(VALUE(SUBSTITUTE($BE15:$AAL15,"B",""))),FALSE),IF(ISNUMBER(VALUE(SUBSTITUTE($BE15:$AAL15,"B",""))),1,0),0)))</f>
        <v>3</v>
      </c>
      <c r="AF15" t="str">
        <f t="shared" si="22"/>
        <v>C9</v>
      </c>
      <c r="AG15" t="str">
        <f t="shared" si="23"/>
        <v>B9</v>
      </c>
      <c r="AH15" t="str">
        <f t="shared" si="77"/>
        <v>A6.1</v>
      </c>
      <c r="AI15" s="42" cm="1">
        <f t="array" ref="AI15">IF(COUNTIFS(AH$2:AH15,AH15)=1,"1",VALUE(SUBSTITUTE(INDEX(AI:AI,_xlfn.XMATCH(AH15,AH$1:AH14,0,-1)),"A",""))+INDEX(AJ:AJ,_xlfn.XMATCH(AH15,AH$1:AH14,0,-1))+1)</f>
        <v>7</v>
      </c>
      <c r="AJ15" s="42" cm="1">
        <f t="array" ref="AJ15">SUM(IF(ISNUMBER(FIND("TmDo",$BE$1:$AAL$1)),IF(IFERROR(ISNUMBER(VALUE(SUBSTITUTE($BE15:$AAL15,"B",""))),FALSE),IF(ISNUMBER(VALUE(SUBSTITUTE($BE15:$AAL15,"B",""))),1,0),0)))</f>
        <v>2</v>
      </c>
      <c r="AK15" t="str">
        <f t="shared" si="24"/>
        <v>7A</v>
      </c>
      <c r="AL15" t="str">
        <f t="shared" si="25"/>
        <v>7B</v>
      </c>
      <c r="AM15" t="s">
        <v>137</v>
      </c>
      <c r="AP15" t="s">
        <v>451</v>
      </c>
      <c r="AQ15" t="s">
        <v>466</v>
      </c>
      <c r="AT15" t="s">
        <v>129</v>
      </c>
      <c r="AU15" t="s">
        <v>130</v>
      </c>
      <c r="BE15" s="20" t="str">
        <f t="shared" ref="BE15:BE16" si="128">CONCATENATE("XT",U15)</f>
        <v>XT5</v>
      </c>
      <c r="BF15" t="str">
        <f t="shared" ref="BF15:BF16" si="129">CONCATENATE("C",REPLACE(AF15,1,1,"")+1)</f>
        <v>C10</v>
      </c>
      <c r="BG15" t="str">
        <f t="shared" ref="BG15:BG16" si="130">CONCATENATE("B",REPLACE(AG15,1,1,"")+1)</f>
        <v>B10</v>
      </c>
      <c r="BH15" t="str">
        <f t="shared" ref="BH15:BH16" si="131">CONCATENATE("C",REPLACE(BF15,1,1,"")+1)</f>
        <v>C11</v>
      </c>
      <c r="BI15" t="str">
        <f t="shared" ref="BI15:BI16" si="132">CONCATENATE("B",REPLACE(BG15,1,1,"")+1)</f>
        <v>B11</v>
      </c>
      <c r="BJ15" t="str">
        <f t="shared" ref="BJ15:BJ16" si="133">CONCATENATE("C",REPLACE(BH15,1,1,"")+1)</f>
        <v>C12</v>
      </c>
      <c r="BK15" t="str">
        <f t="shared" ref="BK15:BK16" si="134">CONCATENATE("B",REPLACE(BI15,1,1,"")+1)</f>
        <v>B12</v>
      </c>
      <c r="BP15" t="str">
        <f t="shared" ref="BP15" si="135">CONCATENATE(REPLACE(AK15,LEN(AK15),1,"")+1,"A")</f>
        <v>8A</v>
      </c>
      <c r="BQ15" t="str">
        <f t="shared" ref="BQ15" si="136">CONCATENATE(REPLACE(AL15,LEN(AL15),1,"")+1,"B")</f>
        <v>8B</v>
      </c>
      <c r="BR15" t="str">
        <f t="shared" ref="BR15" si="137">CONCATENATE(REPLACE(BP15,LEN(BP15),1,"")+1,"A")</f>
        <v>9A</v>
      </c>
      <c r="BS15" t="str">
        <f t="shared" ref="BS15" si="138">CONCATENATE(REPLACE(BQ15,LEN(BQ15),1,"")+1,"B")</f>
        <v>9B</v>
      </c>
      <c r="BT15" t="str">
        <f t="shared" ref="BT15:BT16" si="139">CONCATENATE("DI",REPLACE($AC15,1,3,""),"-",AF15)</f>
        <v>DI1-C9</v>
      </c>
      <c r="BU15" t="str">
        <f t="shared" ref="BU15:BU16" si="140">CONCATENATE("DI",REPLACE($AC15,1,3,""),"-",AG15)</f>
        <v>DI1-B9</v>
      </c>
      <c r="BV15" t="str">
        <f t="shared" ref="BV15:BV16" si="141">CONCATENATE("DI",REPLACE($AC15,1,3,""),"-",BF15)</f>
        <v>DI1-C10</v>
      </c>
      <c r="BW15" t="str">
        <f t="shared" ref="BW15:BW16" si="142">CONCATENATE("DI",REPLACE($AC15,1,3,""),"-",BG15)</f>
        <v>DI1-B10</v>
      </c>
      <c r="BX15" t="str">
        <f t="shared" ref="BX15:BX16" si="143">CONCATENATE("DI",REPLACE($AC15,1,3,""),"-",BH15)</f>
        <v>DI1-C11</v>
      </c>
      <c r="BY15" t="str">
        <f t="shared" ref="BY15:BY16" si="144">CONCATENATE("DI",REPLACE($AC15,1,3,""),"-",BI15)</f>
        <v>DI1-B11</v>
      </c>
      <c r="BZ15" t="str">
        <f t="shared" ref="BZ15:BZ16" si="145">CONCATENATE("DI",REPLACE($AC15,1,3,""),"-",BJ15)</f>
        <v>DI1-C12</v>
      </c>
      <c r="CA15" t="str">
        <f t="shared" ref="CA15:CA16" si="146">CONCATENATE("DI",REPLACE($AC15,1,3,""),"-",BK15)</f>
        <v>DI1-B12</v>
      </c>
      <c r="CB15" t="str">
        <f t="shared" ref="CB15:CB16" si="147">CONCATENATE("DI",REPLACE($AC15,1,3,""),"-",BL15)</f>
        <v>DI1-</v>
      </c>
      <c r="CC15" t="str">
        <f t="shared" ref="CC15:CC16" si="148">CONCATENATE("DI",REPLACE($AC15,1,3,""),"-",BM15)</f>
        <v>DI1-</v>
      </c>
      <c r="CD15" t="str">
        <f t="shared" ref="CD15:CD16" si="149">CONCATENATE("DI",REPLACE($AC15,1,3,""),"-",BN15)</f>
        <v>DI1-</v>
      </c>
      <c r="CE15" t="str">
        <f t="shared" ref="CE15:CE16" si="150">CONCATENATE("DI",REPLACE($AC15,1,3,""),"-",BO15)</f>
        <v>DI1-</v>
      </c>
      <c r="CF15" t="str">
        <f t="shared" ref="CF15:CF16" si="151">CONCATENATE("DO",REPLACE($AH15,1,3,""),"-",AK15)</f>
        <v>DO1-7A</v>
      </c>
      <c r="CG15" t="str">
        <f t="shared" ref="CG15:CG16" si="152">CONCATENATE("DO",REPLACE($AH15,1,3,""),"-",AL15)</f>
        <v>DO1-7B</v>
      </c>
      <c r="CH15" t="str">
        <f t="shared" ref="CH15:CH16" si="153">CONCATENATE("DO",REPLACE($AH15,1,3,""),"-",BP15)</f>
        <v>DO1-8A</v>
      </c>
      <c r="CI15" t="str">
        <f t="shared" ref="CI15:CI16" si="154">CONCATENATE("DO",REPLACE($AH15,1,3,""),"-",BQ15)</f>
        <v>DO1-8B</v>
      </c>
      <c r="CJ15" t="str">
        <f t="shared" ref="CJ15:CJ16" si="155">CONCATENATE("DO",REPLACE($AH15,1,3,""),"-",BR15)</f>
        <v>DO1-9A</v>
      </c>
      <c r="CK15" t="str">
        <f t="shared" ref="CK15:CK16" si="156">CONCATENATE("DO",REPLACE($AH15,1,3,""),"-",BS15)</f>
        <v>DO1-9B</v>
      </c>
      <c r="CL15" t="str">
        <f t="shared" si="107"/>
        <v>K5-10</v>
      </c>
      <c r="CM15" t="str">
        <f t="shared" si="108"/>
        <v>K5-03</v>
      </c>
      <c r="CN15" t="str">
        <f t="shared" si="109"/>
        <v>K5-04</v>
      </c>
      <c r="CO15" t="str">
        <f t="shared" si="110"/>
        <v>K5-01</v>
      </c>
      <c r="CP15" t="str">
        <f t="shared" si="111"/>
        <v>K5-08</v>
      </c>
      <c r="CQ15" t="str">
        <f t="shared" si="112"/>
        <v>K5-02</v>
      </c>
      <c r="CR15" t="str">
        <f t="shared" si="113"/>
        <v>K5-09</v>
      </c>
      <c r="CS15" t="str">
        <f t="shared" si="114"/>
        <v>K5-05</v>
      </c>
      <c r="CT15" t="str">
        <f t="shared" si="115"/>
        <v>K5-11</v>
      </c>
      <c r="CU15" t="str">
        <f t="shared" si="116"/>
        <v>E2-M5-A9</v>
      </c>
      <c r="CV15" t="str">
        <f t="shared" si="117"/>
        <v>E2-M5-A7</v>
      </c>
      <c r="CW15" t="str">
        <f t="shared" si="118"/>
        <v>E2-M5-A8</v>
      </c>
      <c r="CX15" t="str">
        <f t="shared" si="119"/>
        <v>E2-M5-A6</v>
      </c>
      <c r="CY15" t="str">
        <f t="shared" si="120"/>
        <v>E2-M5-A30</v>
      </c>
      <c r="CZ15" t="str">
        <f t="shared" ref="CZ15:CZ16" si="157">CONCATENATE($T15,"-M",$U15,"-N")</f>
        <v>E2-M5-N</v>
      </c>
      <c r="DA15" t="str">
        <f t="shared" ref="DA15:DA16" si="158">CONCATENATE($T15,"-A220-M",U15)</f>
        <v>E2-A220-M5</v>
      </c>
      <c r="DB15" t="str">
        <f t="shared" si="123"/>
        <v>E2-M5-XM01</v>
      </c>
      <c r="DC15" t="str">
        <f t="shared" si="124"/>
        <v>E2-M5-A1</v>
      </c>
      <c r="DD15" t="str">
        <f t="shared" si="125"/>
        <v>E2-M5-A5</v>
      </c>
      <c r="DE15" t="str">
        <f t="shared" si="126"/>
        <v>E2-M5-A11</v>
      </c>
      <c r="DF15" t="str">
        <f t="shared" si="127"/>
        <v>E2-M5-A12</v>
      </c>
      <c r="DG15" t="str">
        <f>CONCATENATE($T15,"-M",$U15,"-A19")</f>
        <v>E2-M5-A19</v>
      </c>
      <c r="DH15" t="str">
        <f>CONCATENATE($T15,"-M",$U15,"-A20")</f>
        <v>E2-M5-A20</v>
      </c>
      <c r="DI15" t="s">
        <v>132</v>
      </c>
      <c r="DJ15" t="s">
        <v>133</v>
      </c>
      <c r="DK15">
        <v>11</v>
      </c>
      <c r="DL15">
        <v>14</v>
      </c>
      <c r="DM15">
        <v>12</v>
      </c>
      <c r="DN15" t="s">
        <v>134</v>
      </c>
      <c r="DO15" t="s">
        <v>135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2">
        <v>24</v>
      </c>
    </row>
    <row r="16" spans="1:802" ht="15.75" thickBot="1" x14ac:dyDescent="0.3">
      <c r="A16" s="44" t="s">
        <v>595</v>
      </c>
      <c r="B16" t="s">
        <v>440</v>
      </c>
      <c r="P16" t="s">
        <v>516</v>
      </c>
      <c r="T16" s="20" t="s">
        <v>449</v>
      </c>
      <c r="U16">
        <v>6</v>
      </c>
      <c r="V16" t="s">
        <v>470</v>
      </c>
      <c r="Y16" s="37"/>
      <c r="AC16" t="str">
        <f t="shared" si="76"/>
        <v>A5.1</v>
      </c>
      <c r="AD16" s="34" cm="1">
        <f t="array" ref="AD16">IF(COUNTIFS(AC$2:AC16,AC16)=1,"1",VALUE(SUBSTITUTE(INDEX(AD:AD,_xlfn.XMATCH(AC16,AC$1:AC15,0,-1)),"A",""))+INDEX(AE:AE,_xlfn.XMATCH(AC16,AC$1:AC15,0,-1))+1)</f>
        <v>13</v>
      </c>
      <c r="AE16" s="34" cm="1">
        <f t="array" ref="AE16">SUM(IF(ISNUMBER(FIND("TmDi",$BE$1:$AAL$1)),IF(IFERROR(ISNUMBER(VALUE(SUBSTITUTE($BE16:$AAL16,"B",""))),FALSE),IF(ISNUMBER(VALUE(SUBSTITUTE($BE16:$AAL16,"B",""))),1,0),0)))</f>
        <v>3</v>
      </c>
      <c r="AF16" t="str">
        <f t="shared" si="22"/>
        <v>C13</v>
      </c>
      <c r="AG16" t="str">
        <f t="shared" si="23"/>
        <v>B13</v>
      </c>
      <c r="AH16" t="str">
        <f t="shared" si="77"/>
        <v>A6.1</v>
      </c>
      <c r="AI16" s="42" cm="1">
        <f t="array" ref="AI16">IF(COUNTIFS(AH$2:AH16,AH16)=1,"1",VALUE(SUBSTITUTE(INDEX(AI:AI,_xlfn.XMATCH(AH16,AH$1:AH15,0,-1)),"A",""))+INDEX(AJ:AJ,_xlfn.XMATCH(AH16,AH$1:AH15,0,-1))+1)</f>
        <v>10</v>
      </c>
      <c r="AJ16" s="42" cm="1">
        <f t="array" ref="AJ16">SUM(IF(ISNUMBER(FIND("TmDo",$BE$1:$AAL$1)),IF(IFERROR(ISNUMBER(VALUE(SUBSTITUTE($BE16:$AAL16,"B",""))),FALSE),IF(ISNUMBER(VALUE(SUBSTITUTE($BE16:$AAL16,"B",""))),1,0),0)))</f>
        <v>2</v>
      </c>
      <c r="AK16" t="str">
        <f t="shared" si="24"/>
        <v>10A</v>
      </c>
      <c r="AL16" t="str">
        <f t="shared" si="25"/>
        <v>10B</v>
      </c>
      <c r="AM16" t="s">
        <v>138</v>
      </c>
      <c r="AP16" t="s">
        <v>451</v>
      </c>
      <c r="AQ16" t="s">
        <v>466</v>
      </c>
      <c r="AT16" t="s">
        <v>129</v>
      </c>
      <c r="AU16" t="s">
        <v>130</v>
      </c>
      <c r="BE16" s="20" t="str">
        <f t="shared" si="128"/>
        <v>XT6</v>
      </c>
      <c r="BF16" t="str">
        <f t="shared" si="129"/>
        <v>C14</v>
      </c>
      <c r="BG16" t="str">
        <f t="shared" si="130"/>
        <v>B14</v>
      </c>
      <c r="BH16" t="str">
        <f t="shared" si="131"/>
        <v>C15</v>
      </c>
      <c r="BI16" t="str">
        <f t="shared" si="132"/>
        <v>B15</v>
      </c>
      <c r="BJ16" t="str">
        <f t="shared" si="133"/>
        <v>C16</v>
      </c>
      <c r="BK16" t="str">
        <f t="shared" si="134"/>
        <v>B16</v>
      </c>
      <c r="BP16" t="str">
        <f t="shared" ref="BP16" si="159">CONCATENATE(REPLACE(AK16,LEN(AK16),1,"")+1,"A")</f>
        <v>11A</v>
      </c>
      <c r="BQ16" t="str">
        <f t="shared" ref="BQ16" si="160">CONCATENATE(REPLACE(AL16,LEN(AL16),1,"")+1,"B")</f>
        <v>11B</v>
      </c>
      <c r="BR16" t="str">
        <f t="shared" ref="BR16" si="161">CONCATENATE(REPLACE(BP16,LEN(BP16),1,"")+1,"A")</f>
        <v>12A</v>
      </c>
      <c r="BS16" t="str">
        <f t="shared" ref="BS16" si="162">CONCATENATE(REPLACE(BQ16,LEN(BQ16),1,"")+1,"B")</f>
        <v>12B</v>
      </c>
      <c r="BT16" t="str">
        <f t="shared" si="139"/>
        <v>DI1-C13</v>
      </c>
      <c r="BU16" t="str">
        <f t="shared" si="140"/>
        <v>DI1-B13</v>
      </c>
      <c r="BV16" t="str">
        <f t="shared" si="141"/>
        <v>DI1-C14</v>
      </c>
      <c r="BW16" t="str">
        <f t="shared" si="142"/>
        <v>DI1-B14</v>
      </c>
      <c r="BX16" t="str">
        <f t="shared" si="143"/>
        <v>DI1-C15</v>
      </c>
      <c r="BY16" t="str">
        <f t="shared" si="144"/>
        <v>DI1-B15</v>
      </c>
      <c r="BZ16" t="str">
        <f t="shared" si="145"/>
        <v>DI1-C16</v>
      </c>
      <c r="CA16" t="str">
        <f t="shared" si="146"/>
        <v>DI1-B16</v>
      </c>
      <c r="CB16" t="str">
        <f t="shared" si="147"/>
        <v>DI1-</v>
      </c>
      <c r="CC16" t="str">
        <f t="shared" si="148"/>
        <v>DI1-</v>
      </c>
      <c r="CD16" t="str">
        <f t="shared" si="149"/>
        <v>DI1-</v>
      </c>
      <c r="CE16" t="str">
        <f t="shared" si="150"/>
        <v>DI1-</v>
      </c>
      <c r="CF16" t="str">
        <f t="shared" si="151"/>
        <v>DO1-10A</v>
      </c>
      <c r="CG16" t="str">
        <f t="shared" si="152"/>
        <v>DO1-10B</v>
      </c>
      <c r="CH16" t="str">
        <f t="shared" si="153"/>
        <v>DO1-11A</v>
      </c>
      <c r="CI16" t="str">
        <f t="shared" si="154"/>
        <v>DO1-11B</v>
      </c>
      <c r="CJ16" t="str">
        <f t="shared" si="155"/>
        <v>DO1-12A</v>
      </c>
      <c r="CK16" t="str">
        <f t="shared" si="156"/>
        <v>DO1-12B</v>
      </c>
      <c r="CL16" t="str">
        <f t="shared" si="107"/>
        <v>K6-10</v>
      </c>
      <c r="CM16" t="str">
        <f t="shared" si="108"/>
        <v>K6-03</v>
      </c>
      <c r="CN16" t="str">
        <f t="shared" si="109"/>
        <v>K6-04</v>
      </c>
      <c r="CO16" t="str">
        <f t="shared" si="110"/>
        <v>K6-01</v>
      </c>
      <c r="CP16" t="str">
        <f t="shared" si="111"/>
        <v>K6-08</v>
      </c>
      <c r="CQ16" t="str">
        <f t="shared" si="112"/>
        <v>K6-02</v>
      </c>
      <c r="CR16" t="str">
        <f t="shared" si="113"/>
        <v>K6-09</v>
      </c>
      <c r="CS16" t="str">
        <f t="shared" si="114"/>
        <v>K6-05</v>
      </c>
      <c r="CT16" t="str">
        <f t="shared" si="115"/>
        <v>K6-11</v>
      </c>
      <c r="CU16" t="str">
        <f t="shared" si="116"/>
        <v>E2-M6-A9</v>
      </c>
      <c r="CV16" t="str">
        <f t="shared" si="117"/>
        <v>E2-M6-A7</v>
      </c>
      <c r="CW16" t="str">
        <f t="shared" si="118"/>
        <v>E2-M6-A8</v>
      </c>
      <c r="CX16" t="str">
        <f t="shared" si="119"/>
        <v>E2-M6-A6</v>
      </c>
      <c r="CY16" t="str">
        <f t="shared" si="120"/>
        <v>E2-M6-A30</v>
      </c>
      <c r="CZ16" t="str">
        <f t="shared" si="157"/>
        <v>E2-M6-N</v>
      </c>
      <c r="DA16" t="str">
        <f t="shared" si="158"/>
        <v>E2-A220-M6</v>
      </c>
      <c r="DB16" t="str">
        <f t="shared" si="123"/>
        <v>E2-M6-XM01</v>
      </c>
      <c r="DC16" t="str">
        <f t="shared" si="124"/>
        <v>E2-M6-A1</v>
      </c>
      <c r="DD16" t="str">
        <f t="shared" si="125"/>
        <v>E2-M6-A5</v>
      </c>
      <c r="DE16" t="str">
        <f t="shared" si="126"/>
        <v>E2-M6-A11</v>
      </c>
      <c r="DF16" t="str">
        <f t="shared" si="127"/>
        <v>E2-M6-A12</v>
      </c>
      <c r="DG16" t="str">
        <f>CONCATENATE($T16,"-M",$U16,"-A19")</f>
        <v>E2-M6-A19</v>
      </c>
      <c r="DH16" t="str">
        <f>CONCATENATE($T16,"-M",$U16,"-A20")</f>
        <v>E2-M6-A20</v>
      </c>
      <c r="DI16" t="s">
        <v>132</v>
      </c>
      <c r="DJ16" t="s">
        <v>133</v>
      </c>
      <c r="DK16">
        <v>11</v>
      </c>
      <c r="DL16">
        <v>14</v>
      </c>
      <c r="DM16">
        <v>12</v>
      </c>
      <c r="DN16" t="s">
        <v>134</v>
      </c>
      <c r="DO16" t="s">
        <v>135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2">
        <v>24</v>
      </c>
    </row>
    <row r="17" spans="1:610" x14ac:dyDescent="0.25">
      <c r="A17" s="44" t="s">
        <v>596</v>
      </c>
      <c r="B17" t="s">
        <v>435</v>
      </c>
      <c r="P17" t="s">
        <v>364</v>
      </c>
      <c r="T17" s="10" t="s">
        <v>449</v>
      </c>
      <c r="U17">
        <v>7</v>
      </c>
      <c r="V17" t="s">
        <v>471</v>
      </c>
      <c r="W17" t="s">
        <v>473</v>
      </c>
      <c r="X17" t="s">
        <v>190</v>
      </c>
      <c r="Y17" s="37" cm="1">
        <f t="array" ref="Y17">IF(COUNTIFS($X$2:$X17,$X17)=1,"1",VALUE(SUBSTITUTE(INDEX(Y:Y,_xlfn.XMATCH($X17,$X$1:$X16,0,-1)),"A",""))+INDEX(Z:Z,_xlfn.XMATCH($X17,$X$1:$X16,0,-1))+1)</f>
        <v>5</v>
      </c>
      <c r="Z17" cm="1">
        <f t="array" ref="Z17">SUM(IF(ISNUMBER(FIND("TmAi",$BE$1:$AAL$1)),IF(IFERROR(ISODD(SUBSTITUTE($BE17:$AAL17,"A","")),FALSE),IF(ISODD(SUBSTITUTE($BE17:$AAL17,"A","")),1,0),0)))</f>
        <v>0</v>
      </c>
      <c r="AA17" t="str">
        <f>CONCATENATE($Y17*2-1,"A")</f>
        <v>9A</v>
      </c>
      <c r="AB17" t="str">
        <f>CONCATENATE($Y17*2-1,"B")</f>
        <v>9B</v>
      </c>
      <c r="AC17" t="str">
        <f t="shared" si="76"/>
        <v>A5.1</v>
      </c>
      <c r="AD17" s="34" cm="1">
        <f t="array" ref="AD17">IF(COUNTIFS(AC$2:AC17,AC17)=1,"1",VALUE(SUBSTITUTE(INDEX(AD:AD,_xlfn.XMATCH(AC17,AC$1:AC16,0,-1)),"A",""))+INDEX(AE:AE,_xlfn.XMATCH(AC17,AC$1:AC16,0,-1))+1)</f>
        <v>17</v>
      </c>
      <c r="AE17" s="34" cm="1">
        <f t="array" ref="AE17">SUM(IF(ISNUMBER(FIND("TmDi",$BE$1:$AAL$1)),IF(IFERROR(ISNUMBER(VALUE(SUBSTITUTE($BE17:$AAL17,"B",""))),FALSE),IF(ISNUMBER(VALUE(SUBSTITUTE($BE17:$AAL17,"B",""))),1,0),0)))</f>
        <v>4</v>
      </c>
      <c r="AF17" t="str">
        <f>CONCATENATE("C",$AD17)</f>
        <v>C17</v>
      </c>
      <c r="AG17" t="str">
        <f>CONCATENATE("B",$AD17)</f>
        <v>B17</v>
      </c>
      <c r="AH17" t="str">
        <f t="shared" si="77"/>
        <v>A6.1</v>
      </c>
      <c r="AI17" s="42" cm="1">
        <f t="array" ref="AI17">IF(COUNTIFS(AH$2:AH17,AH17)=1,"1",VALUE(SUBSTITUTE(INDEX(AI:AI,_xlfn.XMATCH(AH17,AH$1:AH16,0,-1)),"A",""))+INDEX(AJ:AJ,_xlfn.XMATCH(AH17,AH$1:AH16,0,-1))+1)</f>
        <v>13</v>
      </c>
      <c r="AJ17" s="42" cm="1">
        <f t="array" ref="AJ17">SUM(IF(ISNUMBER(FIND("TmDo",$BE$1:$AAL$1)),IF(IFERROR(ISNUMBER(VALUE(SUBSTITUTE($BE17:$AAL17,"B",""))),FALSE),IF(ISNUMBER(VALUE(SUBSTITUTE($BE17:$AAL17,"B",""))),1,0),0)))</f>
        <v>1</v>
      </c>
      <c r="AK17" t="str">
        <f t="shared" si="24"/>
        <v>13A</v>
      </c>
      <c r="AL17" t="str">
        <f t="shared" si="25"/>
        <v>13B</v>
      </c>
      <c r="AM17" t="s">
        <v>139</v>
      </c>
      <c r="AP17" t="s">
        <v>451</v>
      </c>
      <c r="AQ17" t="s">
        <v>466</v>
      </c>
      <c r="AS17" t="s">
        <v>169</v>
      </c>
      <c r="AT17" t="s">
        <v>129</v>
      </c>
      <c r="AU17" t="s">
        <v>130</v>
      </c>
      <c r="GT17" s="18" t="str">
        <f t="shared" ref="GT17" si="163">CONCATENATE("XT",U17)</f>
        <v>XT7</v>
      </c>
      <c r="GU17" s="8" t="str">
        <f>CONCATENATE("C",REPLACE($AF17,1,1,"")+1)</f>
        <v>C18</v>
      </c>
      <c r="GV17" s="8" t="str">
        <f>CONCATENATE("B",REPLACE($AG17,1,1,"")+1)</f>
        <v>B18</v>
      </c>
      <c r="GW17" s="8" t="str">
        <f t="shared" ref="GW17" si="164">CONCATENATE("C",REPLACE(GU17,1,1,"")+1)</f>
        <v>C19</v>
      </c>
      <c r="GX17" s="8" t="str">
        <f t="shared" ref="GX17" si="165">CONCATENATE("B",REPLACE(GV17,1,1,"")+1)</f>
        <v>B19</v>
      </c>
      <c r="GY17" s="8" t="str">
        <f t="shared" ref="GY17" si="166">CONCATENATE("C",REPLACE(GW17,1,1,"")+1)</f>
        <v>C20</v>
      </c>
      <c r="GZ17" s="8" t="str">
        <f t="shared" ref="GZ17" si="167">CONCATENATE("B",REPLACE(GX17,1,1,"")+1)</f>
        <v>B20</v>
      </c>
      <c r="HA17" s="8" t="str">
        <f t="shared" ref="HA17" si="168">CONCATENATE("C",REPLACE(GY17,1,1,"")+1)</f>
        <v>C21</v>
      </c>
      <c r="HB17" s="8" t="str">
        <f t="shared" ref="HB17" si="169">CONCATENATE("B",REPLACE(GZ17,1,1,"")+1)</f>
        <v>B21</v>
      </c>
      <c r="HC17" s="8"/>
      <c r="HD17" s="8"/>
      <c r="HE17" s="8" t="str">
        <f>CONCATENATE(REPLACE(AK17,LEN(AK17),1,"")+1,"A")</f>
        <v>14A</v>
      </c>
      <c r="HF17" s="8" t="str">
        <f>CONCATENATE(REPLACE(AL17,LEN(AL17),1,"")+1,"B")</f>
        <v>14B</v>
      </c>
      <c r="HG17" s="8" t="str">
        <f>CONCATENATE("AI",REPLACE($X17,1,3,""),"-",AA17)</f>
        <v>AI3-9A</v>
      </c>
      <c r="HH17" s="8" t="str">
        <f>CONCATENATE("AI",REPLACE($X17,1,3,""),"-",AB17)</f>
        <v>AI3-9B</v>
      </c>
      <c r="HI17" s="8" t="str">
        <f>CONCATENATE("DI",REPLACE($AC17,1,3,""),"-",AF17)</f>
        <v>DI1-C17</v>
      </c>
      <c r="HJ17" s="8" t="str">
        <f>CONCATENATE("DI",REPLACE($AC17,1,3,""),"-",AG17)</f>
        <v>DI1-B17</v>
      </c>
      <c r="HK17" s="8" t="str">
        <f t="shared" ref="HK17:HT18" si="170">CONCATENATE("DI",REPLACE($AC17,1,3,""),"-",GU17)</f>
        <v>DI1-C18</v>
      </c>
      <c r="HL17" s="8" t="str">
        <f t="shared" si="170"/>
        <v>DI1-B18</v>
      </c>
      <c r="HM17" s="8" t="str">
        <f t="shared" si="170"/>
        <v>DI1-C19</v>
      </c>
      <c r="HN17" s="8" t="str">
        <f t="shared" si="170"/>
        <v>DI1-B19</v>
      </c>
      <c r="HO17" s="8" t="str">
        <f t="shared" si="170"/>
        <v>DI1-C20</v>
      </c>
      <c r="HP17" s="8" t="str">
        <f t="shared" si="170"/>
        <v>DI1-B20</v>
      </c>
      <c r="HQ17" s="8" t="str">
        <f t="shared" si="170"/>
        <v>DI1-C21</v>
      </c>
      <c r="HR17" s="8" t="str">
        <f t="shared" si="170"/>
        <v>DI1-B21</v>
      </c>
      <c r="HS17" s="8" t="str">
        <f t="shared" si="170"/>
        <v>DI1-</v>
      </c>
      <c r="HT17" s="8" t="str">
        <f t="shared" si="170"/>
        <v>DI1-</v>
      </c>
      <c r="HU17" s="8" t="str">
        <f>CONCATENATE("DO",REPLACE($AH17,1,3,""),"-",AK17)</f>
        <v>DO1-13A</v>
      </c>
      <c r="HV17" s="8" t="str">
        <f>CONCATENATE("DO",REPLACE($AH17,1,3,""),"-",AL17)</f>
        <v>DO1-13B</v>
      </c>
      <c r="HW17" s="8" t="str">
        <f>CONCATENATE("DO",REPLACE($AH17,1,3,""),"-",HE17)</f>
        <v>DO1-14A</v>
      </c>
      <c r="HX17" s="8" t="str">
        <f>CONCATENATE("DO",REPLACE($AH17,1,3,""),"-",HF17)</f>
        <v>DO1-14B</v>
      </c>
      <c r="HY17" s="8" t="str">
        <f>CONCATENATE("K",$U17,"-01")</f>
        <v>K7-01</v>
      </c>
      <c r="HZ17" s="8" t="str">
        <f>CONCATENATE("K",$U17,"-02")</f>
        <v>K7-02</v>
      </c>
      <c r="IA17" s="8" t="str">
        <f>CONCATENATE("K",$U17,"-03")</f>
        <v>K7-03</v>
      </c>
      <c r="IB17" s="8" t="str">
        <f>CONCATENATE("K",$U17,"-04")</f>
        <v>K7-04</v>
      </c>
      <c r="IC17" s="8" t="str">
        <f>CONCATENATE("K",$U17,"-05")</f>
        <v>K7-05</v>
      </c>
      <c r="ID17" s="8" t="str">
        <f>CONCATENATE("K",$U17,"-06")</f>
        <v>K7-06</v>
      </c>
      <c r="IE17" s="8" t="str">
        <f>CONCATENATE("K",$U17,"-07")</f>
        <v>K7-07</v>
      </c>
      <c r="IF17" s="8" t="str">
        <f>CONCATENATE("K",$U17,"-08")</f>
        <v>K7-08</v>
      </c>
      <c r="IG17" s="8" t="str">
        <f>CONCATENATE($T17,"-M",$U17,"-AMS-12")</f>
        <v>E2-M7-AMS-12</v>
      </c>
      <c r="IH17" s="8" t="str">
        <f>CONCATENATE($T17,"-M",$U17,"-AMS-10")</f>
        <v>E2-M7-AMS-10</v>
      </c>
      <c r="II17" s="8" t="str">
        <f>CONCATENATE($T17,"-M",$U17,"-AMS-11")</f>
        <v>E2-M7-AMS-11</v>
      </c>
      <c r="IJ17" s="8" t="str">
        <f>CONCATENATE($T17,"-M",$U17,"-AMS-13")</f>
        <v>E2-M7-AMS-13</v>
      </c>
      <c r="IK17" s="8" t="str">
        <f>CONCATENATE($T17,"-M",$U17,"-AMS-9")</f>
        <v>E2-M7-AMS-9</v>
      </c>
      <c r="IL17" s="8" t="str">
        <f>CONCATENATE($T17,"-M",$U17,"-AMS-7")</f>
        <v>E2-M7-AMS-7</v>
      </c>
      <c r="IM17" s="8" t="str">
        <f>CONCATENATE($T17,"-M",$U17,"-AMS-18")</f>
        <v>E2-M7-AMS-18</v>
      </c>
      <c r="IN17" s="8" t="str">
        <f>CONCATENATE($T17,"-M",$U17,"-AMS-20")</f>
        <v>E2-M7-AMS-20</v>
      </c>
      <c r="IO17" s="8" t="str">
        <f>CONCATENATE($T17,"-M",$U17,"-AMS-17")</f>
        <v>E2-M7-AMS-17</v>
      </c>
      <c r="IP17" s="8" t="str">
        <f>CONCATENATE($T17,"-+24-M",$U17,)</f>
        <v>E2-+24-M7</v>
      </c>
      <c r="IQ17" s="8" t="str">
        <f>CONCATENATE($T17,"-M",$U17,"-XM01")</f>
        <v>E2-M7-XM01</v>
      </c>
      <c r="IR17" s="8" t="s">
        <v>132</v>
      </c>
      <c r="IS17" s="8" t="s">
        <v>133</v>
      </c>
      <c r="IT17" s="8">
        <v>11</v>
      </c>
      <c r="IU17" s="8">
        <v>14</v>
      </c>
      <c r="IV17" s="8" t="s">
        <v>186</v>
      </c>
      <c r="IW17" s="8" t="s">
        <v>187</v>
      </c>
      <c r="IX17" s="8">
        <v>1</v>
      </c>
      <c r="IY17" s="8">
        <v>2</v>
      </c>
      <c r="IZ17" s="8">
        <v>3</v>
      </c>
      <c r="JA17" s="8">
        <v>4</v>
      </c>
      <c r="JB17" s="8">
        <v>5</v>
      </c>
      <c r="JC17" s="8">
        <v>6</v>
      </c>
      <c r="JD17" s="8">
        <v>7</v>
      </c>
      <c r="JE17" s="8">
        <v>8</v>
      </c>
      <c r="JF17" s="8">
        <v>9</v>
      </c>
      <c r="JG17" s="8">
        <v>10</v>
      </c>
      <c r="JH17" s="8">
        <v>11</v>
      </c>
      <c r="JI17" s="8">
        <v>12</v>
      </c>
      <c r="JJ17" s="8">
        <v>13</v>
      </c>
      <c r="JK17" s="8">
        <v>14</v>
      </c>
      <c r="JL17" s="8">
        <v>17</v>
      </c>
      <c r="JM17" s="8">
        <v>15</v>
      </c>
      <c r="JN17" s="8">
        <v>18</v>
      </c>
      <c r="JO17" s="8">
        <v>11</v>
      </c>
      <c r="JP17" s="8">
        <v>9</v>
      </c>
      <c r="JQ17" s="8">
        <v>6</v>
      </c>
      <c r="JR17" s="8">
        <v>20</v>
      </c>
      <c r="JS17" s="8">
        <v>7</v>
      </c>
      <c r="JT17" s="8">
        <v>10</v>
      </c>
      <c r="JU17" s="8">
        <v>22</v>
      </c>
      <c r="JV17" s="8">
        <v>23</v>
      </c>
      <c r="JW17" s="8">
        <v>26</v>
      </c>
      <c r="JX17" s="8">
        <v>27</v>
      </c>
      <c r="JY17" s="9">
        <v>30</v>
      </c>
    </row>
    <row r="18" spans="1:610" ht="15.75" thickBot="1" x14ac:dyDescent="0.3">
      <c r="A18" s="44" t="s">
        <v>597</v>
      </c>
      <c r="B18" t="s">
        <v>436</v>
      </c>
      <c r="P18" t="s">
        <v>364</v>
      </c>
      <c r="T18" s="10" t="s">
        <v>449</v>
      </c>
      <c r="U18">
        <v>8</v>
      </c>
      <c r="V18" t="s">
        <v>474</v>
      </c>
      <c r="W18" t="s">
        <v>472</v>
      </c>
      <c r="X18" t="str">
        <f>IF(COUNTIF(X$2:X17,X17)&gt;7,REPLACE(X17,LEN(X17),1,VALUE(RIGHT(X17,1))+1),X17)</f>
        <v>A3.3</v>
      </c>
      <c r="Y18" s="37" cm="1">
        <f t="array" ref="Y18">IF(COUNTIFS($X$2:$X18,$X18)=1,"1",VALUE(SUBSTITUTE(INDEX(Y:Y,_xlfn.XMATCH($X18,$X$1:$X17,0,-1)),"A",""))+INDEX(Z:Z,_xlfn.XMATCH($X18,$X$1:$X17,0,-1))+1)</f>
        <v>6</v>
      </c>
      <c r="Z18" cm="1">
        <f t="array" ref="Z18">SUM(IF(ISNUMBER(FIND("TmAi",$BE$1:$AAL$1)),IF(IFERROR(ISODD(SUBSTITUTE($BE18:$AAL18,"A","")),FALSE),IF(ISODD(SUBSTITUTE($BE18:$AAL18,"A","")),1,0),0)))</f>
        <v>0</v>
      </c>
      <c r="AA18" t="str">
        <f>CONCATENATE($Y18*2-1,"A")</f>
        <v>11A</v>
      </c>
      <c r="AB18" t="str">
        <f>CONCATENATE($Y18*2-1,"B")</f>
        <v>11B</v>
      </c>
      <c r="AC18" t="str">
        <f t="shared" ref="AC18:AC26" si="171">IF(AD17+AE17&gt;31,REPLACE(AC17,LEN(AC17),1,VALUE(RIGHT(AC17,1))+1),AC17)</f>
        <v>A5.1</v>
      </c>
      <c r="AD18" s="34" cm="1">
        <f t="array" ref="AD18">IF(COUNTIFS(AC$2:AC18,AC18)=1,"1",VALUE(SUBSTITUTE(INDEX(AD:AD,_xlfn.XMATCH(AC18,AC$1:AC17,0,-1)),"A",""))+INDEX(AE:AE,_xlfn.XMATCH(AC18,AC$1:AC17,0,-1))+1)</f>
        <v>22</v>
      </c>
      <c r="AE18" s="34" cm="1">
        <f t="array" ref="AE18">SUM(IF(ISNUMBER(FIND("TmDi",$BE$1:$AAL$1)),IF(IFERROR(ISNUMBER(VALUE(SUBSTITUTE($BE18:$AAL18,"B",""))),FALSE),IF(ISNUMBER(VALUE(SUBSTITUTE($BE18:$AAL18,"B",""))),1,0),0)))</f>
        <v>4</v>
      </c>
      <c r="AF18" t="str">
        <f>CONCATENATE("C",$AD18)</f>
        <v>C22</v>
      </c>
      <c r="AG18" t="str">
        <f>CONCATENATE("B",$AD18)</f>
        <v>B22</v>
      </c>
      <c r="AH18" t="str">
        <f t="shared" ref="AH18:AH19" si="172">IF(AI17+AJ17&gt;31,REPLACE(AH17,LEN(AH17),1,VALUE(RIGHT(AH17,1))+1),AH17)</f>
        <v>A6.1</v>
      </c>
      <c r="AI18" s="42" cm="1">
        <f t="array" ref="AI18">IF(COUNTIFS(AH$2:AH18,AH18)=1,"1",VALUE(SUBSTITUTE(INDEX(AI:AI,_xlfn.XMATCH(AH18,AH$1:AH17,0,-1)),"A",""))+INDEX(AJ:AJ,_xlfn.XMATCH(AH18,AH$1:AH17,0,-1))+1)</f>
        <v>15</v>
      </c>
      <c r="AJ18" s="42" cm="1">
        <f t="array" ref="AJ18">SUM(IF(ISNUMBER(FIND("TmDo",$BE$1:$AAL$1)),IF(IFERROR(ISNUMBER(VALUE(SUBSTITUTE($BE18:$AAL18,"B",""))),FALSE),IF(ISNUMBER(VALUE(SUBSTITUTE($BE18:$AAL18,"B",""))),1,0),0)))</f>
        <v>1</v>
      </c>
      <c r="AK18" t="str">
        <f t="shared" si="24"/>
        <v>15A</v>
      </c>
      <c r="AL18" t="str">
        <f t="shared" si="25"/>
        <v>15B</v>
      </c>
      <c r="AM18" t="s">
        <v>140</v>
      </c>
      <c r="AP18" t="s">
        <v>451</v>
      </c>
      <c r="AQ18" t="s">
        <v>466</v>
      </c>
      <c r="AS18" t="s">
        <v>169</v>
      </c>
      <c r="AT18" t="s">
        <v>129</v>
      </c>
      <c r="AU18" t="s">
        <v>130</v>
      </c>
      <c r="GT18" s="21" t="str">
        <f t="shared" ref="GT18" si="173">CONCATENATE("XT",U18)</f>
        <v>XT8</v>
      </c>
      <c r="GU18" s="14" t="str">
        <f t="shared" ref="GU18" si="174">CONCATENATE("C",REPLACE(AF18,1,1,"")+1)</f>
        <v>C23</v>
      </c>
      <c r="GV18" s="14" t="str">
        <f t="shared" ref="GV18" si="175">CONCATENATE("B",REPLACE(AG18,1,1,"")+1)</f>
        <v>B23</v>
      </c>
      <c r="GW18" s="14" t="str">
        <f t="shared" ref="GW18" si="176">CONCATENATE("C",REPLACE(GU18,1,1,"")+1)</f>
        <v>C24</v>
      </c>
      <c r="GX18" s="14" t="str">
        <f t="shared" ref="GX18" si="177">CONCATENATE("B",REPLACE(GV18,1,1,"")+1)</f>
        <v>B24</v>
      </c>
      <c r="GY18" s="14" t="str">
        <f t="shared" ref="GY18" si="178">CONCATENATE("C",REPLACE(GW18,1,1,"")+1)</f>
        <v>C25</v>
      </c>
      <c r="GZ18" s="14" t="str">
        <f t="shared" ref="GZ18" si="179">CONCATENATE("B",REPLACE(GX18,1,1,"")+1)</f>
        <v>B25</v>
      </c>
      <c r="HA18" s="14" t="str">
        <f t="shared" ref="HA18" si="180">CONCATENATE("C",REPLACE(GY18,1,1,"")+1)</f>
        <v>C26</v>
      </c>
      <c r="HB18" s="14" t="str">
        <f t="shared" ref="HB18" si="181">CONCATENATE("B",REPLACE(GZ18,1,1,"")+1)</f>
        <v>B26</v>
      </c>
      <c r="HC18" s="14"/>
      <c r="HD18" s="14"/>
      <c r="HE18" s="14" t="str">
        <f>CONCATENATE(REPLACE(AK18,LEN(AK18),1,"")+1,"A")</f>
        <v>16A</v>
      </c>
      <c r="HF18" s="14" t="str">
        <f>CONCATENATE(REPLACE(AL18,LEN(AL18),1,"")+1,"B")</f>
        <v>16B</v>
      </c>
      <c r="HG18" s="14" t="str">
        <f>CONCATENATE("AI",REPLACE($X18,1,3,""),"-",AA18)</f>
        <v>AI3-11A</v>
      </c>
      <c r="HH18" s="14" t="str">
        <f>CONCATENATE("AI",REPLACE($X18,1,3,""),"-",AB18)</f>
        <v>AI3-11B</v>
      </c>
      <c r="HI18" s="14" t="str">
        <f>CONCATENATE("DI",REPLACE($AC18,1,3,""),"-",AF18)</f>
        <v>DI1-C22</v>
      </c>
      <c r="HJ18" s="14" t="str">
        <f>CONCATENATE("DI",REPLACE($AC18,1,3,""),"-",AG18)</f>
        <v>DI1-B22</v>
      </c>
      <c r="HK18" s="14" t="str">
        <f t="shared" si="170"/>
        <v>DI1-C23</v>
      </c>
      <c r="HL18" s="14" t="str">
        <f t="shared" si="170"/>
        <v>DI1-B23</v>
      </c>
      <c r="HM18" s="14" t="str">
        <f t="shared" si="170"/>
        <v>DI1-C24</v>
      </c>
      <c r="HN18" s="14" t="str">
        <f t="shared" si="170"/>
        <v>DI1-B24</v>
      </c>
      <c r="HO18" s="14" t="str">
        <f t="shared" si="170"/>
        <v>DI1-C25</v>
      </c>
      <c r="HP18" s="14" t="str">
        <f t="shared" si="170"/>
        <v>DI1-B25</v>
      </c>
      <c r="HQ18" s="14" t="str">
        <f t="shared" si="170"/>
        <v>DI1-C26</v>
      </c>
      <c r="HR18" s="14" t="str">
        <f t="shared" si="170"/>
        <v>DI1-B26</v>
      </c>
      <c r="HS18" s="14" t="str">
        <f t="shared" si="170"/>
        <v>DI1-</v>
      </c>
      <c r="HT18" s="14" t="str">
        <f t="shared" si="170"/>
        <v>DI1-</v>
      </c>
      <c r="HU18" s="14" t="str">
        <f>CONCATENATE("DO",REPLACE($AH18,1,3,""),"-",AK18)</f>
        <v>DO1-15A</v>
      </c>
      <c r="HV18" s="14" t="str">
        <f>CONCATENATE("DO",REPLACE($AH18,1,3,""),"-",AL18)</f>
        <v>DO1-15B</v>
      </c>
      <c r="HW18" s="14" t="str">
        <f>CONCATENATE("DO",REPLACE($AH18,1,3,""),"-",HE18)</f>
        <v>DO1-16A</v>
      </c>
      <c r="HX18" s="14" t="str">
        <f>CONCATENATE("DO",REPLACE($AH18,1,3,""),"-",HF18)</f>
        <v>DO1-16B</v>
      </c>
      <c r="HY18" s="14" t="str">
        <f>CONCATENATE("K",$U18,"-01")</f>
        <v>K8-01</v>
      </c>
      <c r="HZ18" s="14" t="str">
        <f>CONCATENATE("K",$U18,"-02")</f>
        <v>K8-02</v>
      </c>
      <c r="IA18" s="14" t="str">
        <f>CONCATENATE("K",$U18,"-03")</f>
        <v>K8-03</v>
      </c>
      <c r="IB18" s="14" t="str">
        <f>CONCATENATE("K",$U18,"-04")</f>
        <v>K8-04</v>
      </c>
      <c r="IC18" s="14" t="str">
        <f>CONCATENATE("K",$U18,"-05")</f>
        <v>K8-05</v>
      </c>
      <c r="ID18" s="14" t="str">
        <f>CONCATENATE("K",$U18,"-06")</f>
        <v>K8-06</v>
      </c>
      <c r="IE18" s="14" t="str">
        <f>CONCATENATE("K",$U18,"-07")</f>
        <v>K8-07</v>
      </c>
      <c r="IF18" s="14" t="str">
        <f>CONCATENATE("K",$U18,"-08")</f>
        <v>K8-08</v>
      </c>
      <c r="IG18" s="14" t="str">
        <f>CONCATENATE($T18,"-M",$U18,"-AMS-12")</f>
        <v>E2-M8-AMS-12</v>
      </c>
      <c r="IH18" s="14" t="str">
        <f>CONCATENATE($T18,"-M",$U18,"-AMS-10")</f>
        <v>E2-M8-AMS-10</v>
      </c>
      <c r="II18" s="14" t="str">
        <f>CONCATENATE($T18,"-M",$U18,"-AMS-11")</f>
        <v>E2-M8-AMS-11</v>
      </c>
      <c r="IJ18" s="14" t="str">
        <f>CONCATENATE($T18,"-M",$U18,"-AMS-13")</f>
        <v>E2-M8-AMS-13</v>
      </c>
      <c r="IK18" s="14" t="str">
        <f>CONCATENATE($T18,"-M",$U18,"-AMS-9")</f>
        <v>E2-M8-AMS-9</v>
      </c>
      <c r="IL18" s="14" t="str">
        <f>CONCATENATE($T18,"-M",$U18,"-AMS-7")</f>
        <v>E2-M8-AMS-7</v>
      </c>
      <c r="IM18" s="14" t="str">
        <f>CONCATENATE($T18,"-M",$U18,"-AMS-18")</f>
        <v>E2-M8-AMS-18</v>
      </c>
      <c r="IN18" s="14" t="str">
        <f>CONCATENATE($T18,"-M",$U18,"-AMS-20")</f>
        <v>E2-M8-AMS-20</v>
      </c>
      <c r="IO18" s="14" t="str">
        <f>CONCATENATE($T18,"-M",$U18,"-AMS-17")</f>
        <v>E2-M8-AMS-17</v>
      </c>
      <c r="IP18" s="14" t="str">
        <f>CONCATENATE($T18,"-+24-M",$U18,)</f>
        <v>E2-+24-M8</v>
      </c>
      <c r="IQ18" s="14" t="str">
        <f>CONCATENATE($T18,"-M",$U18,"-XM01")</f>
        <v>E2-M8-XM01</v>
      </c>
      <c r="IR18" s="14" t="s">
        <v>132</v>
      </c>
      <c r="IS18" s="14" t="s">
        <v>133</v>
      </c>
      <c r="IT18" s="14">
        <v>11</v>
      </c>
      <c r="IU18" s="14">
        <v>14</v>
      </c>
      <c r="IV18" s="14" t="s">
        <v>186</v>
      </c>
      <c r="IW18" s="14" t="s">
        <v>187</v>
      </c>
      <c r="IX18" s="14">
        <v>1</v>
      </c>
      <c r="IY18" s="14">
        <v>2</v>
      </c>
      <c r="IZ18" s="14">
        <v>3</v>
      </c>
      <c r="JA18" s="14">
        <v>4</v>
      </c>
      <c r="JB18" s="14">
        <v>5</v>
      </c>
      <c r="JC18" s="14">
        <v>6</v>
      </c>
      <c r="JD18" s="14">
        <v>7</v>
      </c>
      <c r="JE18" s="14">
        <v>8</v>
      </c>
      <c r="JF18" s="14">
        <v>9</v>
      </c>
      <c r="JG18" s="14">
        <v>10</v>
      </c>
      <c r="JH18" s="14">
        <v>11</v>
      </c>
      <c r="JI18" s="14">
        <v>12</v>
      </c>
      <c r="JJ18" s="14">
        <v>13</v>
      </c>
      <c r="JK18" s="14">
        <v>14</v>
      </c>
      <c r="JL18" s="14">
        <v>17</v>
      </c>
      <c r="JM18" s="14">
        <v>15</v>
      </c>
      <c r="JN18" s="14">
        <v>18</v>
      </c>
      <c r="JO18" s="14">
        <v>11</v>
      </c>
      <c r="JP18" s="14">
        <v>9</v>
      </c>
      <c r="JQ18" s="14">
        <v>6</v>
      </c>
      <c r="JR18" s="14">
        <v>20</v>
      </c>
      <c r="JS18" s="14">
        <v>7</v>
      </c>
      <c r="JT18" s="14">
        <v>10</v>
      </c>
      <c r="JU18" s="14">
        <v>22</v>
      </c>
      <c r="JV18" s="14">
        <v>23</v>
      </c>
      <c r="JW18" s="14">
        <v>26</v>
      </c>
      <c r="JX18" s="14">
        <v>27</v>
      </c>
      <c r="JY18" s="15">
        <v>30</v>
      </c>
    </row>
    <row r="19" spans="1:610" x14ac:dyDescent="0.25">
      <c r="A19" s="44" t="s">
        <v>598</v>
      </c>
      <c r="B19" t="s">
        <v>445</v>
      </c>
      <c r="P19" t="s">
        <v>469</v>
      </c>
      <c r="Q19" s="1"/>
      <c r="S19" s="1" t="s">
        <v>126</v>
      </c>
      <c r="T19" s="10" t="s">
        <v>449</v>
      </c>
      <c r="U19" s="36">
        <v>9</v>
      </c>
      <c r="V19" s="11" t="s">
        <v>475</v>
      </c>
      <c r="W19" s="11"/>
      <c r="AC19" t="s">
        <v>146</v>
      </c>
      <c r="AD19" s="34" t="str" cm="1">
        <f t="array" ref="AD19">IF(COUNTIFS(AC$2:AC19,AC19)=1,"1",VALUE(SUBSTITUTE(INDEX(AD:AD,_xlfn.XMATCH(AC19,AC$1:AC18,0,-1)),"A",""))+INDEX(AE:AE,_xlfn.XMATCH(AC19,AC$1:AC18,0,-1))+1)</f>
        <v>1</v>
      </c>
      <c r="AE19" s="34" cm="1">
        <f t="array" ref="AE19">SUM(IF(ISNUMBER(FIND("TmDi",$BE$1:$AAL$1)),IF(IFERROR(ISNUMBER(VALUE(SUBSTITUTE($BE19:$AAL19,"B",""))),FALSE),IF(ISNUMBER(VALUE(SUBSTITUTE($BE19:$AAL19,"B",""))),1,0),0)))</f>
        <v>5</v>
      </c>
      <c r="AF19" t="str">
        <f>CONCATENATE("C",$AD19)</f>
        <v>C1</v>
      </c>
      <c r="AG19" t="str">
        <f>CONCATENATE("B",$AD19)</f>
        <v>B1</v>
      </c>
      <c r="AH19" t="str">
        <f t="shared" si="172"/>
        <v>A6.1</v>
      </c>
      <c r="AI19" s="42" cm="1">
        <f t="array" ref="AI19">IF(COUNTIFS(AH$2:AH19,AH19)=1,"1",VALUE(SUBSTITUTE(INDEX(AI:AI,_xlfn.XMATCH(AH19,AH$1:AH18,0,-1)),"A",""))+INDEX(AJ:AJ,_xlfn.XMATCH(AH19,AH$1:AH18,0,-1))+1)</f>
        <v>17</v>
      </c>
      <c r="AJ19" s="42" cm="1">
        <f t="array" ref="AJ19">SUM(IF(ISNUMBER(FIND("TmDo",$BE$1:$AAL$1)),IF(IFERROR(ISNUMBER(VALUE(SUBSTITUTE($BE19:$AAL19,"B",""))),FALSE),IF(ISNUMBER(VALUE(SUBSTITUTE($BE19:$AAL19,"B",""))),1,0),0)))</f>
        <v>2</v>
      </c>
      <c r="AK19" t="str">
        <f t="shared" si="24"/>
        <v>17A</v>
      </c>
      <c r="AL19" t="str">
        <f t="shared" si="25"/>
        <v>17B</v>
      </c>
      <c r="AM19" t="s">
        <v>141</v>
      </c>
      <c r="AP19" t="s">
        <v>451</v>
      </c>
      <c r="AQ19" t="s">
        <v>466</v>
      </c>
      <c r="AT19" t="s">
        <v>129</v>
      </c>
      <c r="AU19" t="s">
        <v>130</v>
      </c>
      <c r="BD19" s="12"/>
      <c r="BE19" t="str">
        <f t="shared" ref="BE19:BE20" si="182">CONCATENATE("XT",U19)</f>
        <v>XT9</v>
      </c>
      <c r="BF19" t="str">
        <f t="shared" ref="BF19:BF20" si="183">CONCATENATE("C",REPLACE(AF19,1,1,"")+1)</f>
        <v>C2</v>
      </c>
      <c r="BG19" t="str">
        <f t="shared" ref="BG19:BG20" si="184">CONCATENATE("B",REPLACE(AG19,1,1,"")+1)</f>
        <v>B2</v>
      </c>
      <c r="BH19" t="str">
        <f t="shared" ref="BH19:BH20" si="185">CONCATENATE("C",REPLACE(BF19,1,1,"")+1)</f>
        <v>C3</v>
      </c>
      <c r="BI19" t="str">
        <f t="shared" ref="BI19:BI20" si="186">CONCATENATE("B",REPLACE(BG19,1,1,"")+1)</f>
        <v>B3</v>
      </c>
      <c r="BJ19" t="str">
        <f t="shared" ref="BJ19:BJ20" si="187">CONCATENATE("C",REPLACE(BH19,1,1,"")+1)</f>
        <v>C4</v>
      </c>
      <c r="BK19" t="str">
        <f t="shared" ref="BK19:BK20" si="188">CONCATENATE("B",REPLACE(BI19,1,1,"")+1)</f>
        <v>B4</v>
      </c>
      <c r="BL19" t="str">
        <f t="shared" ref="BL19:BL20" si="189">CONCATENATE("C",REPLACE(BJ19,1,1,"")+1)</f>
        <v>C5</v>
      </c>
      <c r="BM19" t="str">
        <f t="shared" ref="BM19:BM20" si="190">CONCATENATE("B",REPLACE(BK19,1,1,"")+1)</f>
        <v>B5</v>
      </c>
      <c r="BN19" t="str">
        <f t="shared" ref="BN19" si="191">CONCATENATE("C",REPLACE(BL19,1,1,"")+1)</f>
        <v>C6</v>
      </c>
      <c r="BO19" t="str">
        <f t="shared" ref="BO19" si="192">CONCATENATE("B",REPLACE(BM19,1,1,"")+1)</f>
        <v>B6</v>
      </c>
      <c r="BP19" t="str">
        <f>CONCATENATE(REPLACE(AK19,LEN(AK19),1,"")+1,"A")</f>
        <v>18A</v>
      </c>
      <c r="BQ19" t="str">
        <f>CONCATENATE(REPLACE(AL19,LEN(AL19),1,"")+1,"B")</f>
        <v>18B</v>
      </c>
      <c r="BR19" t="str">
        <f>CONCATENATE(REPLACE(BP19,LEN(BP19),1,"")+1,"A")</f>
        <v>19A</v>
      </c>
      <c r="BS19" t="str">
        <f>CONCATENATE(REPLACE(BQ19,LEN(BQ19),1,"")+1,"B")</f>
        <v>19B</v>
      </c>
      <c r="BT19" t="str">
        <f t="shared" ref="BT19:BT20" si="193">CONCATENATE("DI",REPLACE($AC19,1,3,""),"-",AF19)</f>
        <v>DI2-C1</v>
      </c>
      <c r="BU19" t="str">
        <f t="shared" ref="BU19:BU20" si="194">CONCATENATE("DI",REPLACE($AC19,1,3,""),"-",AG19)</f>
        <v>DI2-B1</v>
      </c>
      <c r="BV19" t="str">
        <f t="shared" ref="BV19:BV20" si="195">CONCATENATE("DI",REPLACE($AC19,1,3,""),"-",BF19)</f>
        <v>DI2-C2</v>
      </c>
      <c r="BW19" t="str">
        <f t="shared" ref="BW19:BW20" si="196">CONCATENATE("DI",REPLACE($AC19,1,3,""),"-",BG19)</f>
        <v>DI2-B2</v>
      </c>
      <c r="BX19" t="str">
        <f t="shared" ref="BX19:BX20" si="197">CONCATENATE("DI",REPLACE($AC19,1,3,""),"-",BH19)</f>
        <v>DI2-C3</v>
      </c>
      <c r="BY19" t="str">
        <f t="shared" ref="BY19:BY20" si="198">CONCATENATE("DI",REPLACE($AC19,1,3,""),"-",BI19)</f>
        <v>DI2-B3</v>
      </c>
      <c r="BZ19" t="str">
        <f t="shared" ref="BZ19:BZ20" si="199">CONCATENATE("DI",REPLACE($AC19,1,3,""),"-",BJ19)</f>
        <v>DI2-C4</v>
      </c>
      <c r="CA19" t="str">
        <f t="shared" ref="CA19:CA20" si="200">CONCATENATE("DI",REPLACE($AC19,1,3,""),"-",BK19)</f>
        <v>DI2-B4</v>
      </c>
      <c r="CB19" t="str">
        <f t="shared" ref="CB19:CB20" si="201">CONCATENATE("DI",REPLACE($AC19,1,3,""),"-",BL19)</f>
        <v>DI2-C5</v>
      </c>
      <c r="CC19" t="str">
        <f t="shared" ref="CC19:CC20" si="202">CONCATENATE("DI",REPLACE($AC19,1,3,""),"-",BM19)</f>
        <v>DI2-B5</v>
      </c>
      <c r="CD19" t="str">
        <f t="shared" ref="CD19:CD20" si="203">CONCATENATE("DI",REPLACE($AC19,1,3,""),"-",BN19)</f>
        <v>DI2-C6</v>
      </c>
      <c r="CE19" t="str">
        <f t="shared" ref="CE19:CE20" si="204">CONCATENATE("DI",REPLACE($AC19,1,3,""),"-",BO19)</f>
        <v>DI2-B6</v>
      </c>
      <c r="CF19" t="str">
        <f t="shared" ref="CF19:CF20" si="205">CONCATENATE("DO",REPLACE($AH19,1,3,""),"-",AK19)</f>
        <v>DO1-17A</v>
      </c>
      <c r="CG19" t="str">
        <f t="shared" ref="CG19:CG20" si="206">CONCATENATE("DO",REPLACE($AH19,1,3,""),"-",AL19)</f>
        <v>DO1-17B</v>
      </c>
      <c r="CH19" t="str">
        <f t="shared" ref="CH19:CH20" si="207">CONCATENATE("DO",REPLACE($AH19,1,3,""),"-",BP19)</f>
        <v>DO1-18A</v>
      </c>
      <c r="CI19" t="str">
        <f t="shared" ref="CI19:CI20" si="208">CONCATENATE("DO",REPLACE($AH19,1,3,""),"-",BQ19)</f>
        <v>DO1-18B</v>
      </c>
      <c r="CJ19" t="str">
        <f t="shared" ref="CJ19:CJ20" si="209">CONCATENATE("DO",REPLACE($AH19,1,3,""),"-",BR19)</f>
        <v>DO1-19A</v>
      </c>
      <c r="CK19" t="str">
        <f t="shared" ref="CK19:CK20" si="210">CONCATENATE("DO",REPLACE($AH19,1,3,""),"-",BS19)</f>
        <v>DO1-19B</v>
      </c>
      <c r="CL19" t="str">
        <f>CONCATENATE("K",$U19,"-01")</f>
        <v>K9-01</v>
      </c>
      <c r="CM19" t="str">
        <f>CONCATENATE("K",$U19,"-02")</f>
        <v>K9-02</v>
      </c>
      <c r="CN19" t="str">
        <f>CONCATENATE("K",$U19,"-05")</f>
        <v>K9-05</v>
      </c>
      <c r="CO19" t="str">
        <f>CONCATENATE("K",$U19,"-06")</f>
        <v>K9-06</v>
      </c>
      <c r="CP19" t="str">
        <f>CONCATENATE("K",$U19,"-07")</f>
        <v>K9-07</v>
      </c>
      <c r="CQ19" t="str">
        <f>CONCATENATE("K",$U19,"-11")</f>
        <v>K9-11</v>
      </c>
      <c r="CR19" t="str">
        <f>CONCATENATE("K",$U19,"-10")</f>
        <v>K9-10</v>
      </c>
      <c r="CS19" t="str">
        <f>CONCATENATE("K",$U19,"-03")</f>
        <v>K9-03</v>
      </c>
      <c r="CT19" t="str">
        <f>CONCATENATE("K",$U19,"-04")</f>
        <v>K9-04</v>
      </c>
      <c r="CU19" t="str">
        <f t="shared" ref="CU19:CU25" si="211">CONCATENATE($T19,"-M",$U19,"-A9")</f>
        <v>E2-M9-A9</v>
      </c>
      <c r="CV19" t="str">
        <f>CONCATENATE($T19,"-M",$U19,"-A8")</f>
        <v>E2-M9-A8</v>
      </c>
      <c r="CW19" t="str">
        <f>CONCATENATE($T19,"-M",$U19,"-A7")</f>
        <v>E2-M9-A7</v>
      </c>
      <c r="CX19" t="str">
        <f t="shared" ref="CX19:CX25" si="212">CONCATENATE($T19,"-M",$U19,"-A6")</f>
        <v>E2-M9-A6</v>
      </c>
      <c r="CY19" t="str">
        <f t="shared" ref="CY19:CY25" si="213">CONCATENATE($T19,"-M",$U19,"-A30")</f>
        <v>E2-M9-A30</v>
      </c>
      <c r="CZ19" t="str">
        <f>CONCATENATE($T19,"-M",$U19,"-N")</f>
        <v>E2-M9-N</v>
      </c>
      <c r="DA19" t="str">
        <f t="shared" ref="DA19:DA20" si="214">CONCATENATE($T19,"-A220-M",U19)</f>
        <v>E2-A220-M9</v>
      </c>
      <c r="DB19" t="str">
        <f t="shared" ref="DB19:DB25" si="215">CONCATENATE($T19,"-M",$U19,"-XM01")</f>
        <v>E2-M9-XM01</v>
      </c>
      <c r="DC19" t="str">
        <f t="shared" ref="DC19:DC25" si="216">CONCATENATE($T19,"-M",$U19,"-A1")</f>
        <v>E2-M9-A1</v>
      </c>
      <c r="DD19" t="str">
        <f t="shared" ref="DD19:DD25" si="217">CONCATENATE($T19,"-M",$U19,"-A5")</f>
        <v>E2-M9-A5</v>
      </c>
      <c r="DE19" t="str">
        <f t="shared" ref="DE19:DE25" si="218">CONCATENATE($T19,"-M",$U19,"-A11")</f>
        <v>E2-M9-A11</v>
      </c>
      <c r="DF19" t="str">
        <f t="shared" ref="DF19:DF25" si="219">CONCATENATE($T19,"-M",$U19,"-A12")</f>
        <v>E2-M9-A12</v>
      </c>
      <c r="DG19" t="str">
        <f t="shared" ref="DG19:DG23" si="220">CONCATENATE($T19,"-M",$U19,"-A19")</f>
        <v>E2-M9-A19</v>
      </c>
      <c r="DH19" t="str">
        <f t="shared" ref="DH19:DH23" si="221">CONCATENATE($T19,"-M",$U19,"-A20")</f>
        <v>E2-M9-A20</v>
      </c>
      <c r="DI19" t="s">
        <v>132</v>
      </c>
      <c r="DJ19" t="s">
        <v>133</v>
      </c>
      <c r="DK19">
        <v>11</v>
      </c>
      <c r="DL19">
        <v>14</v>
      </c>
      <c r="DM19">
        <v>12</v>
      </c>
      <c r="DN19" t="s">
        <v>134</v>
      </c>
      <c r="DO19" t="s">
        <v>135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2">
        <v>24</v>
      </c>
    </row>
    <row r="20" spans="1:610" x14ac:dyDescent="0.25">
      <c r="A20" s="44" t="s">
        <v>599</v>
      </c>
      <c r="B20" s="39" t="s">
        <v>442</v>
      </c>
      <c r="P20" t="s">
        <v>570</v>
      </c>
      <c r="T20" s="10" t="s">
        <v>449</v>
      </c>
      <c r="U20">
        <v>10</v>
      </c>
      <c r="V20" t="s">
        <v>485</v>
      </c>
      <c r="AC20" t="str">
        <f t="shared" si="171"/>
        <v>A5.2</v>
      </c>
      <c r="AD20" s="34" cm="1">
        <f t="array" ref="AD20">IF(COUNTIFS(AC$2:AC20,AC20)=1,"1",VALUE(SUBSTITUTE(INDEX(AD:AD,_xlfn.XMATCH(AC20,AC$1:AC19,0,-1)),"A",""))+INDEX(AE:AE,_xlfn.XMATCH(AC20,AC$1:AC19,0,-1))+1)</f>
        <v>7</v>
      </c>
      <c r="AE20" s="34" cm="1">
        <f t="array" ref="AE20">SUM(IF(ISNUMBER(FIND("TmDi",$BE$1:$AAL$1)),IF(IFERROR(ISNUMBER(VALUE(SUBSTITUTE($BE20:$AAL20,"B",""))),FALSE),IF(ISNUMBER(VALUE(SUBSTITUTE($BE20:$AAL20,"B",""))),1,0),0)))</f>
        <v>4</v>
      </c>
      <c r="AF20" t="str">
        <f t="shared" ref="AF20:AF28" si="222">CONCATENATE("C",$AD20)</f>
        <v>C7</v>
      </c>
      <c r="AG20" t="str">
        <f t="shared" ref="AG20:AG28" si="223">CONCATENATE("B",$AD20)</f>
        <v>B7</v>
      </c>
      <c r="AH20" t="str">
        <f t="shared" ref="AH20:AH22" si="224">IF(AI19+AJ19&gt;31,REPLACE(AH19,LEN(AH19),1,VALUE(RIGHT(AH19,1))+1),AH19)</f>
        <v>A6.1</v>
      </c>
      <c r="AI20" s="42" cm="1">
        <f t="array" ref="AI20">IF(COUNTIFS(AH$2:AH20,AH20)=1,"1",VALUE(SUBSTITUTE(INDEX(AI:AI,_xlfn.XMATCH(AH20,AH$1:AH19,0,-1)),"A",""))+INDEX(AJ:AJ,_xlfn.XMATCH(AH20,AH$1:AH19,0,-1))+1)</f>
        <v>20</v>
      </c>
      <c r="AJ20" s="42" cm="1">
        <f t="array" ref="AJ20">SUM(IF(ISNUMBER(FIND("TmDo",$BE$1:$AAL$1)),IF(IFERROR(ISNUMBER(VALUE(SUBSTITUTE($BE20:$AAL20,"B",""))),FALSE),IF(ISNUMBER(VALUE(SUBSTITUTE($BE20:$AAL20,"B",""))),1,0),0)))</f>
        <v>2</v>
      </c>
      <c r="AK20" t="str">
        <f t="shared" si="24"/>
        <v>20A</v>
      </c>
      <c r="AL20" t="str">
        <f t="shared" si="25"/>
        <v>20B</v>
      </c>
      <c r="AM20" t="s">
        <v>142</v>
      </c>
      <c r="AP20" t="s">
        <v>451</v>
      </c>
      <c r="AQ20" t="s">
        <v>466</v>
      </c>
      <c r="AT20" t="s">
        <v>129</v>
      </c>
      <c r="AU20" t="s">
        <v>130</v>
      </c>
      <c r="BE20" t="str">
        <f t="shared" si="182"/>
        <v>XT10</v>
      </c>
      <c r="BF20" t="str">
        <f t="shared" si="183"/>
        <v>C8</v>
      </c>
      <c r="BG20" t="str">
        <f t="shared" si="184"/>
        <v>B8</v>
      </c>
      <c r="BH20" t="str">
        <f t="shared" si="185"/>
        <v>C9</v>
      </c>
      <c r="BI20" t="str">
        <f t="shared" si="186"/>
        <v>B9</v>
      </c>
      <c r="BJ20" t="str">
        <f t="shared" si="187"/>
        <v>C10</v>
      </c>
      <c r="BK20" t="str">
        <f t="shared" si="188"/>
        <v>B10</v>
      </c>
      <c r="BL20" t="str">
        <f t="shared" si="189"/>
        <v>C11</v>
      </c>
      <c r="BM20" t="str">
        <f t="shared" si="190"/>
        <v>B11</v>
      </c>
      <c r="BP20" t="str">
        <f t="shared" ref="BP20" si="225">CONCATENATE(REPLACE(AK20,LEN(AK20),1,"")+1,"A")</f>
        <v>21A</v>
      </c>
      <c r="BQ20" t="str">
        <f t="shared" ref="BQ20" si="226">CONCATENATE(REPLACE(AL20,LEN(AL20),1,"")+1,"B")</f>
        <v>21B</v>
      </c>
      <c r="BR20" t="str">
        <f t="shared" ref="BR20" si="227">CONCATENATE(REPLACE(BP20,LEN(BP20),1,"")+1,"A")</f>
        <v>22A</v>
      </c>
      <c r="BS20" t="str">
        <f t="shared" ref="BS20" si="228">CONCATENATE(REPLACE(BQ20,LEN(BQ20),1,"")+1,"B")</f>
        <v>22B</v>
      </c>
      <c r="BT20" t="str">
        <f t="shared" si="193"/>
        <v>DI2-C7</v>
      </c>
      <c r="BU20" t="str">
        <f t="shared" si="194"/>
        <v>DI2-B7</v>
      </c>
      <c r="BV20" t="str">
        <f t="shared" si="195"/>
        <v>DI2-C8</v>
      </c>
      <c r="BW20" t="str">
        <f t="shared" si="196"/>
        <v>DI2-B8</v>
      </c>
      <c r="BX20" t="str">
        <f t="shared" si="197"/>
        <v>DI2-C9</v>
      </c>
      <c r="BY20" t="str">
        <f t="shared" si="198"/>
        <v>DI2-B9</v>
      </c>
      <c r="BZ20" t="str">
        <f t="shared" si="199"/>
        <v>DI2-C10</v>
      </c>
      <c r="CA20" t="str">
        <f t="shared" si="200"/>
        <v>DI2-B10</v>
      </c>
      <c r="CB20" t="str">
        <f t="shared" si="201"/>
        <v>DI2-C11</v>
      </c>
      <c r="CC20" t="str">
        <f t="shared" si="202"/>
        <v>DI2-B11</v>
      </c>
      <c r="CD20" t="str">
        <f t="shared" si="203"/>
        <v>DI2-</v>
      </c>
      <c r="CE20" t="str">
        <f t="shared" si="204"/>
        <v>DI2-</v>
      </c>
      <c r="CF20" t="str">
        <f t="shared" si="205"/>
        <v>DO1-20A</v>
      </c>
      <c r="CG20" t="str">
        <f t="shared" si="206"/>
        <v>DO1-20B</v>
      </c>
      <c r="CH20" t="str">
        <f t="shared" si="207"/>
        <v>DO1-21A</v>
      </c>
      <c r="CI20" t="str">
        <f t="shared" si="208"/>
        <v>DO1-21B</v>
      </c>
      <c r="CJ20" t="str">
        <f t="shared" si="209"/>
        <v>DO1-22A</v>
      </c>
      <c r="CK20" t="str">
        <f t="shared" si="210"/>
        <v>DO1-22B</v>
      </c>
      <c r="CL20" t="str">
        <f t="shared" ref="CL20:CL25" si="229">CONCATENATE("K",$U20,"-10")</f>
        <v>K10-10</v>
      </c>
      <c r="CM20" t="str">
        <f t="shared" ref="CM20:CM25" si="230">CONCATENATE("K",$U20,"-03")</f>
        <v>K10-03</v>
      </c>
      <c r="CN20" t="str">
        <f t="shared" ref="CN20:CN25" si="231">CONCATENATE("K",$U20,"-04")</f>
        <v>K10-04</v>
      </c>
      <c r="CO20" t="str">
        <f t="shared" ref="CO20:CO25" si="232">CONCATENATE("K",$U20,"-01")</f>
        <v>K10-01</v>
      </c>
      <c r="CP20" t="str">
        <f t="shared" ref="CP20:CP25" si="233">CONCATENATE("K",$U20,"-08")</f>
        <v>K10-08</v>
      </c>
      <c r="CQ20" t="str">
        <f t="shared" ref="CQ20:CQ25" si="234">CONCATENATE("K",$U20,"-02")</f>
        <v>K10-02</v>
      </c>
      <c r="CR20" t="str">
        <f t="shared" ref="CR20:CR25" si="235">CONCATENATE("K",$U20,"-09")</f>
        <v>K10-09</v>
      </c>
      <c r="CS20" t="str">
        <f t="shared" ref="CS20:CS25" si="236">CONCATENATE("K",$U20,"-05")</f>
        <v>K10-05</v>
      </c>
      <c r="CT20" t="str">
        <f t="shared" ref="CT20:CT25" si="237">CONCATENATE("K",$U20,"-11")</f>
        <v>K10-11</v>
      </c>
      <c r="CU20" t="str">
        <f t="shared" si="211"/>
        <v>E2-M10-A9</v>
      </c>
      <c r="CV20" t="str">
        <f t="shared" ref="CV20:CV25" si="238">CONCATENATE($T20,"-M",$U20,"-A7")</f>
        <v>E2-M10-A7</v>
      </c>
      <c r="CW20" t="str">
        <f t="shared" ref="CW20:CW25" si="239">CONCATENATE($T20,"-M",$U20,"-A8")</f>
        <v>E2-M10-A8</v>
      </c>
      <c r="CX20" t="str">
        <f t="shared" si="212"/>
        <v>E2-M10-A6</v>
      </c>
      <c r="CY20" t="str">
        <f t="shared" si="213"/>
        <v>E2-M10-A30</v>
      </c>
      <c r="CZ20" t="str">
        <f t="shared" ref="CZ20:CZ25" si="240">CONCATENATE($T20,"-M",$U20,"-N")</f>
        <v>E2-M10-N</v>
      </c>
      <c r="DA20" t="str">
        <f t="shared" si="214"/>
        <v>E2-A220-M10</v>
      </c>
      <c r="DB20" t="str">
        <f t="shared" si="215"/>
        <v>E2-M10-XM01</v>
      </c>
      <c r="DC20" t="str">
        <f t="shared" si="216"/>
        <v>E2-M10-A1</v>
      </c>
      <c r="DD20" t="str">
        <f t="shared" si="217"/>
        <v>E2-M10-A5</v>
      </c>
      <c r="DE20" t="str">
        <f t="shared" si="218"/>
        <v>E2-M10-A11</v>
      </c>
      <c r="DF20" t="str">
        <f t="shared" si="219"/>
        <v>E2-M10-A12</v>
      </c>
      <c r="DG20" t="str">
        <f t="shared" si="220"/>
        <v>E2-M10-A19</v>
      </c>
      <c r="DH20" t="str">
        <f t="shared" si="221"/>
        <v>E2-M10-A20</v>
      </c>
      <c r="DI20" t="s">
        <v>132</v>
      </c>
      <c r="DJ20" t="s">
        <v>133</v>
      </c>
      <c r="DK20">
        <v>11</v>
      </c>
      <c r="DL20">
        <v>14</v>
      </c>
      <c r="DM20">
        <v>12</v>
      </c>
      <c r="DN20" t="s">
        <v>134</v>
      </c>
      <c r="DO20" t="s">
        <v>135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X20">
        <v>8</v>
      </c>
      <c r="DY20">
        <v>9</v>
      </c>
      <c r="DZ20">
        <v>10</v>
      </c>
      <c r="EA20">
        <v>11</v>
      </c>
      <c r="EB20">
        <v>12</v>
      </c>
      <c r="EC20">
        <v>13</v>
      </c>
      <c r="ED20" t="s">
        <v>571</v>
      </c>
      <c r="EE20" t="s">
        <v>571</v>
      </c>
      <c r="EF20" t="s">
        <v>571</v>
      </c>
      <c r="EG20" t="s">
        <v>571</v>
      </c>
      <c r="EH20" t="s">
        <v>571</v>
      </c>
      <c r="EI20" t="s">
        <v>571</v>
      </c>
      <c r="EJ20" t="s">
        <v>571</v>
      </c>
      <c r="EK20" t="s">
        <v>571</v>
      </c>
      <c r="EL20" t="s">
        <v>571</v>
      </c>
      <c r="EM20" t="s">
        <v>571</v>
      </c>
      <c r="EN20" t="s">
        <v>571</v>
      </c>
      <c r="EO20" t="s">
        <v>571</v>
      </c>
      <c r="EP20" t="s">
        <v>571</v>
      </c>
      <c r="EQ20" s="12" t="s">
        <v>571</v>
      </c>
    </row>
    <row r="21" spans="1:610" x14ac:dyDescent="0.25">
      <c r="A21" s="44" t="s">
        <v>600</v>
      </c>
      <c r="B21" s="39" t="s">
        <v>443</v>
      </c>
      <c r="P21" t="s">
        <v>570</v>
      </c>
      <c r="T21" s="10" t="s">
        <v>449</v>
      </c>
      <c r="U21">
        <v>11</v>
      </c>
      <c r="V21" t="s">
        <v>486</v>
      </c>
      <c r="AC21" t="str">
        <f t="shared" si="171"/>
        <v>A5.2</v>
      </c>
      <c r="AD21" s="34" cm="1">
        <f t="array" ref="AD21">IF(COUNTIFS(AC$2:AC21,AC21)=1,"1",VALUE(SUBSTITUTE(INDEX(AD:AD,_xlfn.XMATCH(AC21,AC$1:AC20,0,-1)),"A",""))+INDEX(AE:AE,_xlfn.XMATCH(AC21,AC$1:AC20,0,-1))+1)</f>
        <v>12</v>
      </c>
      <c r="AE21" s="34" cm="1">
        <f t="array" ref="AE21">SUM(IF(ISNUMBER(FIND("TmDi",$BE$1:$AAL$1)),IF(IFERROR(ISNUMBER(VALUE(SUBSTITUTE($BE21:$AAL21,"B",""))),FALSE),IF(ISNUMBER(VALUE(SUBSTITUTE($BE21:$AAL21,"B",""))),1,0),0)))</f>
        <v>4</v>
      </c>
      <c r="AF21" t="str">
        <f t="shared" si="222"/>
        <v>C12</v>
      </c>
      <c r="AG21" t="str">
        <f t="shared" si="223"/>
        <v>B12</v>
      </c>
      <c r="AH21" t="str">
        <f t="shared" si="224"/>
        <v>A6.1</v>
      </c>
      <c r="AI21" s="42" cm="1">
        <f t="array" ref="AI21">IF(COUNTIFS(AH$2:AH21,AH21)=1,"1",VALUE(SUBSTITUTE(INDEX(AI:AI,_xlfn.XMATCH(AH21,AH$1:AH20,0,-1)),"A",""))+INDEX(AJ:AJ,_xlfn.XMATCH(AH21,AH$1:AH20,0,-1))+1)</f>
        <v>23</v>
      </c>
      <c r="AJ21" s="42" cm="1">
        <f t="array" ref="AJ21">SUM(IF(ISNUMBER(FIND("TmDo",$BE$1:$AAL$1)),IF(IFERROR(ISNUMBER(VALUE(SUBSTITUTE($BE21:$AAL21,"B",""))),FALSE),IF(ISNUMBER(VALUE(SUBSTITUTE($BE21:$AAL21,"B",""))),1,0),0)))</f>
        <v>2</v>
      </c>
      <c r="AK21" t="str">
        <f t="shared" si="24"/>
        <v>23A</v>
      </c>
      <c r="AL21" t="str">
        <f t="shared" si="25"/>
        <v>23B</v>
      </c>
      <c r="AM21" t="s">
        <v>143</v>
      </c>
      <c r="AP21" t="s">
        <v>451</v>
      </c>
      <c r="AQ21" t="s">
        <v>466</v>
      </c>
      <c r="AT21" t="s">
        <v>129</v>
      </c>
      <c r="AU21" t="s">
        <v>130</v>
      </c>
      <c r="BE21" t="str">
        <f t="shared" ref="BE21:BE25" si="241">CONCATENATE("XT",U21)</f>
        <v>XT11</v>
      </c>
      <c r="BF21" t="str">
        <f t="shared" ref="BF21:BF25" si="242">CONCATENATE("C",REPLACE(AF21,1,1,"")+1)</f>
        <v>C13</v>
      </c>
      <c r="BG21" t="str">
        <f t="shared" ref="BG21:BG25" si="243">CONCATENATE("B",REPLACE(AG21,1,1,"")+1)</f>
        <v>B13</v>
      </c>
      <c r="BH21" t="str">
        <f t="shared" ref="BH21:BH25" si="244">CONCATENATE("C",REPLACE(BF21,1,1,"")+1)</f>
        <v>C14</v>
      </c>
      <c r="BI21" t="str">
        <f t="shared" ref="BI21:BI25" si="245">CONCATENATE("B",REPLACE(BG21,1,1,"")+1)</f>
        <v>B14</v>
      </c>
      <c r="BJ21" t="str">
        <f t="shared" ref="BJ21:BJ25" si="246">CONCATENATE("C",REPLACE(BH21,1,1,"")+1)</f>
        <v>C15</v>
      </c>
      <c r="BK21" t="str">
        <f t="shared" ref="BK21:BK25" si="247">CONCATENATE("B",REPLACE(BI21,1,1,"")+1)</f>
        <v>B15</v>
      </c>
      <c r="BL21" t="str">
        <f t="shared" ref="BL21:BL23" si="248">CONCATENATE("C",REPLACE(BJ21,1,1,"")+1)</f>
        <v>C16</v>
      </c>
      <c r="BM21" t="str">
        <f t="shared" ref="BM21:BM23" si="249">CONCATENATE("B",REPLACE(BK21,1,1,"")+1)</f>
        <v>B16</v>
      </c>
      <c r="BP21" t="str">
        <f t="shared" ref="BP21:BP25" si="250">CONCATENATE(REPLACE(AK21,LEN(AK21),1,"")+1,"A")</f>
        <v>24A</v>
      </c>
      <c r="BQ21" t="str">
        <f t="shared" ref="BQ21:BQ25" si="251">CONCATENATE(REPLACE(AL21,LEN(AL21),1,"")+1,"B")</f>
        <v>24B</v>
      </c>
      <c r="BR21" t="str">
        <f t="shared" ref="BR21:BR25" si="252">CONCATENATE(REPLACE(BP21,LEN(BP21),1,"")+1,"A")</f>
        <v>25A</v>
      </c>
      <c r="BS21" t="str">
        <f t="shared" ref="BS21:BS25" si="253">CONCATENATE(REPLACE(BQ21,LEN(BQ21),1,"")+1,"B")</f>
        <v>25B</v>
      </c>
      <c r="BT21" t="str">
        <f t="shared" ref="BT21:BT25" si="254">CONCATENATE("DI",REPLACE($AC21,1,3,""),"-",AF21)</f>
        <v>DI2-C12</v>
      </c>
      <c r="BU21" t="str">
        <f t="shared" ref="BU21:BU25" si="255">CONCATENATE("DI",REPLACE($AC21,1,3,""),"-",AG21)</f>
        <v>DI2-B12</v>
      </c>
      <c r="BV21" t="str">
        <f t="shared" ref="BV21:BV25" si="256">CONCATENATE("DI",REPLACE($AC21,1,3,""),"-",BF21)</f>
        <v>DI2-C13</v>
      </c>
      <c r="BW21" t="str">
        <f t="shared" ref="BW21:BW25" si="257">CONCATENATE("DI",REPLACE($AC21,1,3,""),"-",BG21)</f>
        <v>DI2-B13</v>
      </c>
      <c r="BX21" t="str">
        <f t="shared" ref="BX21:BX25" si="258">CONCATENATE("DI",REPLACE($AC21,1,3,""),"-",BH21)</f>
        <v>DI2-C14</v>
      </c>
      <c r="BY21" t="str">
        <f t="shared" ref="BY21:BY25" si="259">CONCATENATE("DI",REPLACE($AC21,1,3,""),"-",BI21)</f>
        <v>DI2-B14</v>
      </c>
      <c r="BZ21" t="str">
        <f t="shared" ref="BZ21:BZ25" si="260">CONCATENATE("DI",REPLACE($AC21,1,3,""),"-",BJ21)</f>
        <v>DI2-C15</v>
      </c>
      <c r="CA21" t="str">
        <f t="shared" ref="CA21:CA25" si="261">CONCATENATE("DI",REPLACE($AC21,1,3,""),"-",BK21)</f>
        <v>DI2-B15</v>
      </c>
      <c r="CB21" t="str">
        <f t="shared" ref="CB21:CB25" si="262">CONCATENATE("DI",REPLACE($AC21,1,3,""),"-",BL21)</f>
        <v>DI2-C16</v>
      </c>
      <c r="CC21" t="str">
        <f t="shared" ref="CC21:CC25" si="263">CONCATENATE("DI",REPLACE($AC21,1,3,""),"-",BM21)</f>
        <v>DI2-B16</v>
      </c>
      <c r="CD21" t="str">
        <f t="shared" ref="CD21:CD25" si="264">CONCATENATE("DI",REPLACE($AC21,1,3,""),"-",BN21)</f>
        <v>DI2-</v>
      </c>
      <c r="CE21" t="str">
        <f t="shared" ref="CE21:CE25" si="265">CONCATENATE("DI",REPLACE($AC21,1,3,""),"-",BO21)</f>
        <v>DI2-</v>
      </c>
      <c r="CF21" t="str">
        <f t="shared" ref="CF21:CF25" si="266">CONCATENATE("DO",REPLACE($AH21,1,3,""),"-",AK21)</f>
        <v>DO1-23A</v>
      </c>
      <c r="CG21" t="str">
        <f t="shared" ref="CG21:CG25" si="267">CONCATENATE("DO",REPLACE($AH21,1,3,""),"-",AL21)</f>
        <v>DO1-23B</v>
      </c>
      <c r="CH21" t="str">
        <f t="shared" ref="CH21:CH25" si="268">CONCATENATE("DO",REPLACE($AH21,1,3,""),"-",BP21)</f>
        <v>DO1-24A</v>
      </c>
      <c r="CI21" t="str">
        <f t="shared" ref="CI21:CI25" si="269">CONCATENATE("DO",REPLACE($AH21,1,3,""),"-",BQ21)</f>
        <v>DO1-24B</v>
      </c>
      <c r="CJ21" t="str">
        <f t="shared" ref="CJ21:CJ25" si="270">CONCATENATE("DO",REPLACE($AH21,1,3,""),"-",BR21)</f>
        <v>DO1-25A</v>
      </c>
      <c r="CK21" t="str">
        <f t="shared" ref="CK21:CK25" si="271">CONCATENATE("DO",REPLACE($AH21,1,3,""),"-",BS21)</f>
        <v>DO1-25B</v>
      </c>
      <c r="CL21" t="str">
        <f t="shared" si="229"/>
        <v>K11-10</v>
      </c>
      <c r="CM21" t="str">
        <f t="shared" si="230"/>
        <v>K11-03</v>
      </c>
      <c r="CN21" t="str">
        <f t="shared" si="231"/>
        <v>K11-04</v>
      </c>
      <c r="CO21" t="str">
        <f t="shared" si="232"/>
        <v>K11-01</v>
      </c>
      <c r="CP21" t="str">
        <f t="shared" si="233"/>
        <v>K11-08</v>
      </c>
      <c r="CQ21" t="str">
        <f t="shared" si="234"/>
        <v>K11-02</v>
      </c>
      <c r="CR21" t="str">
        <f t="shared" si="235"/>
        <v>K11-09</v>
      </c>
      <c r="CS21" t="str">
        <f t="shared" si="236"/>
        <v>K11-05</v>
      </c>
      <c r="CT21" t="str">
        <f t="shared" si="237"/>
        <v>K11-11</v>
      </c>
      <c r="CU21" t="str">
        <f t="shared" si="211"/>
        <v>E2-M11-A9</v>
      </c>
      <c r="CV21" t="str">
        <f t="shared" si="238"/>
        <v>E2-M11-A7</v>
      </c>
      <c r="CW21" t="str">
        <f t="shared" si="239"/>
        <v>E2-M11-A8</v>
      </c>
      <c r="CX21" t="str">
        <f t="shared" si="212"/>
        <v>E2-M11-A6</v>
      </c>
      <c r="CY21" t="str">
        <f t="shared" si="213"/>
        <v>E2-M11-A30</v>
      </c>
      <c r="CZ21" t="str">
        <f t="shared" si="240"/>
        <v>E2-M11-N</v>
      </c>
      <c r="DA21" t="str">
        <f t="shared" ref="DA21:DA25" si="272">CONCATENATE($T21,"-A220-M",U21)</f>
        <v>E2-A220-M11</v>
      </c>
      <c r="DB21" t="str">
        <f t="shared" si="215"/>
        <v>E2-M11-XM01</v>
      </c>
      <c r="DC21" t="str">
        <f t="shared" si="216"/>
        <v>E2-M11-A1</v>
      </c>
      <c r="DD21" t="str">
        <f t="shared" si="217"/>
        <v>E2-M11-A5</v>
      </c>
      <c r="DE21" t="str">
        <f t="shared" si="218"/>
        <v>E2-M11-A11</v>
      </c>
      <c r="DF21" t="str">
        <f t="shared" si="219"/>
        <v>E2-M11-A12</v>
      </c>
      <c r="DG21" t="str">
        <f t="shared" si="220"/>
        <v>E2-M11-A19</v>
      </c>
      <c r="DH21" t="str">
        <f t="shared" si="221"/>
        <v>E2-M11-A20</v>
      </c>
      <c r="DI21" t="s">
        <v>132</v>
      </c>
      <c r="DJ21" t="s">
        <v>133</v>
      </c>
      <c r="DK21">
        <v>11</v>
      </c>
      <c r="DL21">
        <v>14</v>
      </c>
      <c r="DM21">
        <v>12</v>
      </c>
      <c r="DN21" t="s">
        <v>134</v>
      </c>
      <c r="DO21" t="str">
        <f>DO20</f>
        <v>L6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X21">
        <v>8</v>
      </c>
      <c r="DY21">
        <v>9</v>
      </c>
      <c r="DZ21">
        <v>10</v>
      </c>
      <c r="EA21">
        <v>11</v>
      </c>
      <c r="EB21">
        <v>12</v>
      </c>
      <c r="EC21">
        <v>13</v>
      </c>
      <c r="ED21" t="s">
        <v>571</v>
      </c>
      <c r="EE21" t="s">
        <v>571</v>
      </c>
      <c r="EF21" t="s">
        <v>571</v>
      </c>
      <c r="EG21" t="s">
        <v>571</v>
      </c>
      <c r="EH21" t="s">
        <v>571</v>
      </c>
      <c r="EI21" t="s">
        <v>571</v>
      </c>
      <c r="EJ21" t="s">
        <v>571</v>
      </c>
      <c r="EK21" t="s">
        <v>571</v>
      </c>
      <c r="EL21" t="s">
        <v>571</v>
      </c>
      <c r="EM21" t="s">
        <v>571</v>
      </c>
      <c r="EN21" t="s">
        <v>571</v>
      </c>
      <c r="EO21" t="s">
        <v>571</v>
      </c>
      <c r="EP21" t="s">
        <v>571</v>
      </c>
      <c r="EQ21" s="12" t="s">
        <v>571</v>
      </c>
    </row>
    <row r="22" spans="1:610" x14ac:dyDescent="0.25">
      <c r="A22" s="44" t="s">
        <v>601</v>
      </c>
      <c r="B22" s="39" t="s">
        <v>444</v>
      </c>
      <c r="P22" t="s">
        <v>570</v>
      </c>
      <c r="T22" s="10" t="s">
        <v>449</v>
      </c>
      <c r="U22">
        <v>12</v>
      </c>
      <c r="V22" t="s">
        <v>487</v>
      </c>
      <c r="AC22" t="str">
        <f t="shared" si="171"/>
        <v>A5.2</v>
      </c>
      <c r="AD22" s="34" cm="1">
        <f t="array" ref="AD22">IF(COUNTIFS(AC$2:AC22,AC22)=1,"1",VALUE(SUBSTITUTE(INDEX(AD:AD,_xlfn.XMATCH(AC22,AC$1:AC21,0,-1)),"A",""))+INDEX(AE:AE,_xlfn.XMATCH(AC22,AC$1:AC21,0,-1))+1)</f>
        <v>17</v>
      </c>
      <c r="AE22" s="34" cm="1">
        <f t="array" ref="AE22">SUM(IF(ISNUMBER(FIND("TmDi",$BE$1:$AAL$1)),IF(IFERROR(ISNUMBER(VALUE(SUBSTITUTE($BE22:$AAL22,"B",""))),FALSE),IF(ISNUMBER(VALUE(SUBSTITUTE($BE22:$AAL22,"B",""))),1,0),0)))</f>
        <v>4</v>
      </c>
      <c r="AF22" t="str">
        <f t="shared" si="222"/>
        <v>C17</v>
      </c>
      <c r="AG22" t="str">
        <f t="shared" si="223"/>
        <v>B17</v>
      </c>
      <c r="AH22" t="str">
        <f t="shared" si="224"/>
        <v>A6.1</v>
      </c>
      <c r="AI22" s="42" cm="1">
        <f t="array" ref="AI22">IF(COUNTIFS(AH$2:AH22,AH22)=1,"1",VALUE(SUBSTITUTE(INDEX(AI:AI,_xlfn.XMATCH(AH22,AH$1:AH21,0,-1)),"A",""))+INDEX(AJ:AJ,_xlfn.XMATCH(AH22,AH$1:AH21,0,-1))+1)</f>
        <v>26</v>
      </c>
      <c r="AJ22" s="42" cm="1">
        <f t="array" ref="AJ22">SUM(IF(ISNUMBER(FIND("TmDo",$BE$1:$AAL$1)),IF(IFERROR(ISNUMBER(VALUE(SUBSTITUTE($BE22:$AAL22,"B",""))),FALSE),IF(ISNUMBER(VALUE(SUBSTITUTE($BE22:$AAL22,"B",""))),1,0),0)))</f>
        <v>2</v>
      </c>
      <c r="AK22" t="str">
        <f t="shared" si="24"/>
        <v>26A</v>
      </c>
      <c r="AL22" t="str">
        <f t="shared" si="25"/>
        <v>26B</v>
      </c>
      <c r="AM22" t="s">
        <v>144</v>
      </c>
      <c r="AP22" t="s">
        <v>451</v>
      </c>
      <c r="AQ22" t="s">
        <v>466</v>
      </c>
      <c r="AT22" t="s">
        <v>129</v>
      </c>
      <c r="AU22" t="s">
        <v>130</v>
      </c>
      <c r="BE22" t="str">
        <f t="shared" si="241"/>
        <v>XT12</v>
      </c>
      <c r="BF22" t="str">
        <f t="shared" si="242"/>
        <v>C18</v>
      </c>
      <c r="BG22" t="str">
        <f t="shared" si="243"/>
        <v>B18</v>
      </c>
      <c r="BH22" t="str">
        <f t="shared" si="244"/>
        <v>C19</v>
      </c>
      <c r="BI22" t="str">
        <f t="shared" si="245"/>
        <v>B19</v>
      </c>
      <c r="BJ22" t="str">
        <f t="shared" si="246"/>
        <v>C20</v>
      </c>
      <c r="BK22" t="str">
        <f t="shared" si="247"/>
        <v>B20</v>
      </c>
      <c r="BL22" t="str">
        <f t="shared" si="248"/>
        <v>C21</v>
      </c>
      <c r="BM22" t="str">
        <f t="shared" si="249"/>
        <v>B21</v>
      </c>
      <c r="BP22" t="str">
        <f t="shared" si="250"/>
        <v>27A</v>
      </c>
      <c r="BQ22" t="str">
        <f t="shared" si="251"/>
        <v>27B</v>
      </c>
      <c r="BR22" t="str">
        <f t="shared" si="252"/>
        <v>28A</v>
      </c>
      <c r="BS22" t="str">
        <f t="shared" si="253"/>
        <v>28B</v>
      </c>
      <c r="BT22" t="str">
        <f t="shared" si="254"/>
        <v>DI2-C17</v>
      </c>
      <c r="BU22" t="str">
        <f t="shared" si="255"/>
        <v>DI2-B17</v>
      </c>
      <c r="BV22" t="str">
        <f t="shared" si="256"/>
        <v>DI2-C18</v>
      </c>
      <c r="BW22" t="str">
        <f t="shared" si="257"/>
        <v>DI2-B18</v>
      </c>
      <c r="BX22" t="str">
        <f t="shared" si="258"/>
        <v>DI2-C19</v>
      </c>
      <c r="BY22" t="str">
        <f t="shared" si="259"/>
        <v>DI2-B19</v>
      </c>
      <c r="BZ22" t="str">
        <f t="shared" si="260"/>
        <v>DI2-C20</v>
      </c>
      <c r="CA22" t="str">
        <f t="shared" si="261"/>
        <v>DI2-B20</v>
      </c>
      <c r="CB22" t="str">
        <f t="shared" si="262"/>
        <v>DI2-C21</v>
      </c>
      <c r="CC22" t="str">
        <f t="shared" si="263"/>
        <v>DI2-B21</v>
      </c>
      <c r="CD22" t="str">
        <f t="shared" si="264"/>
        <v>DI2-</v>
      </c>
      <c r="CE22" t="str">
        <f t="shared" si="265"/>
        <v>DI2-</v>
      </c>
      <c r="CF22" t="str">
        <f t="shared" si="266"/>
        <v>DO1-26A</v>
      </c>
      <c r="CG22" t="str">
        <f t="shared" si="267"/>
        <v>DO1-26B</v>
      </c>
      <c r="CH22" t="str">
        <f t="shared" si="268"/>
        <v>DO1-27A</v>
      </c>
      <c r="CI22" t="str">
        <f t="shared" si="269"/>
        <v>DO1-27B</v>
      </c>
      <c r="CJ22" t="str">
        <f t="shared" si="270"/>
        <v>DO1-28A</v>
      </c>
      <c r="CK22" t="str">
        <f t="shared" si="271"/>
        <v>DO1-28B</v>
      </c>
      <c r="CL22" t="str">
        <f t="shared" si="229"/>
        <v>K12-10</v>
      </c>
      <c r="CM22" t="str">
        <f t="shared" si="230"/>
        <v>K12-03</v>
      </c>
      <c r="CN22" t="str">
        <f t="shared" si="231"/>
        <v>K12-04</v>
      </c>
      <c r="CO22" t="str">
        <f t="shared" si="232"/>
        <v>K12-01</v>
      </c>
      <c r="CP22" t="str">
        <f t="shared" si="233"/>
        <v>K12-08</v>
      </c>
      <c r="CQ22" t="str">
        <f t="shared" si="234"/>
        <v>K12-02</v>
      </c>
      <c r="CR22" t="str">
        <f t="shared" si="235"/>
        <v>K12-09</v>
      </c>
      <c r="CS22" t="str">
        <f t="shared" si="236"/>
        <v>K12-05</v>
      </c>
      <c r="CT22" t="str">
        <f t="shared" si="237"/>
        <v>K12-11</v>
      </c>
      <c r="CU22" t="str">
        <f t="shared" si="211"/>
        <v>E2-M12-A9</v>
      </c>
      <c r="CV22" t="str">
        <f t="shared" si="238"/>
        <v>E2-M12-A7</v>
      </c>
      <c r="CW22" t="str">
        <f t="shared" si="239"/>
        <v>E2-M12-A8</v>
      </c>
      <c r="CX22" t="str">
        <f t="shared" si="212"/>
        <v>E2-M12-A6</v>
      </c>
      <c r="CY22" t="str">
        <f t="shared" si="213"/>
        <v>E2-M12-A30</v>
      </c>
      <c r="CZ22" t="str">
        <f t="shared" si="240"/>
        <v>E2-M12-N</v>
      </c>
      <c r="DA22" t="str">
        <f t="shared" si="272"/>
        <v>E2-A220-M12</v>
      </c>
      <c r="DB22" t="str">
        <f t="shared" si="215"/>
        <v>E2-M12-XM01</v>
      </c>
      <c r="DC22" t="str">
        <f t="shared" si="216"/>
        <v>E2-M12-A1</v>
      </c>
      <c r="DD22" t="str">
        <f t="shared" si="217"/>
        <v>E2-M12-A5</v>
      </c>
      <c r="DE22" t="str">
        <f t="shared" si="218"/>
        <v>E2-M12-A11</v>
      </c>
      <c r="DF22" t="str">
        <f t="shared" si="219"/>
        <v>E2-M12-A12</v>
      </c>
      <c r="DG22" t="str">
        <f t="shared" si="220"/>
        <v>E2-M12-A19</v>
      </c>
      <c r="DH22" t="str">
        <f t="shared" si="221"/>
        <v>E2-M12-A20</v>
      </c>
      <c r="DI22" t="s">
        <v>132</v>
      </c>
      <c r="DJ22" t="s">
        <v>133</v>
      </c>
      <c r="DK22">
        <v>11</v>
      </c>
      <c r="DL22">
        <v>14</v>
      </c>
      <c r="DM22">
        <v>12</v>
      </c>
      <c r="DN22" t="s">
        <v>134</v>
      </c>
      <c r="DO22" t="str">
        <f t="shared" ref="DO22:DO23" si="273">DO21</f>
        <v>L6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X22">
        <v>8</v>
      </c>
      <c r="DY22">
        <v>9</v>
      </c>
      <c r="DZ22">
        <v>10</v>
      </c>
      <c r="EA22">
        <v>11</v>
      </c>
      <c r="EB22">
        <v>12</v>
      </c>
      <c r="EC22">
        <v>13</v>
      </c>
      <c r="ED22" t="s">
        <v>571</v>
      </c>
      <c r="EE22" t="s">
        <v>571</v>
      </c>
      <c r="EF22" t="s">
        <v>571</v>
      </c>
      <c r="EG22" t="s">
        <v>571</v>
      </c>
      <c r="EH22" t="s">
        <v>571</v>
      </c>
      <c r="EI22" t="s">
        <v>571</v>
      </c>
      <c r="EJ22" t="s">
        <v>571</v>
      </c>
      <c r="EK22" t="s">
        <v>571</v>
      </c>
      <c r="EL22" t="s">
        <v>571</v>
      </c>
      <c r="EM22" t="s">
        <v>571</v>
      </c>
      <c r="EN22" t="s">
        <v>571</v>
      </c>
      <c r="EO22" t="s">
        <v>571</v>
      </c>
      <c r="EP22" t="s">
        <v>571</v>
      </c>
      <c r="EQ22" s="12" t="s">
        <v>571</v>
      </c>
    </row>
    <row r="23" spans="1:610" x14ac:dyDescent="0.25">
      <c r="A23" s="44" t="s">
        <v>602</v>
      </c>
      <c r="B23" s="39" t="s">
        <v>441</v>
      </c>
      <c r="P23" t="s">
        <v>570</v>
      </c>
      <c r="T23" s="10" t="s">
        <v>449</v>
      </c>
      <c r="U23">
        <v>13</v>
      </c>
      <c r="V23" t="s">
        <v>488</v>
      </c>
      <c r="AC23" t="str">
        <f t="shared" si="171"/>
        <v>A5.2</v>
      </c>
      <c r="AD23" s="34" cm="1">
        <f t="array" ref="AD23">IF(COUNTIFS(AC$2:AC23,AC23)=1,"1",VALUE(SUBSTITUTE(INDEX(AD:AD,_xlfn.XMATCH(AC23,AC$1:AC22,0,-1)),"A",""))+INDEX(AE:AE,_xlfn.XMATCH(AC23,AC$1:AC22,0,-1))+1)</f>
        <v>22</v>
      </c>
      <c r="AE23" s="34" cm="1">
        <f t="array" ref="AE23">SUM(IF(ISNUMBER(FIND("TmDi",$BE$1:$AAL$1)),IF(IFERROR(ISNUMBER(VALUE(SUBSTITUTE($BE23:$AAL23,"B",""))),FALSE),IF(ISNUMBER(VALUE(SUBSTITUTE($BE23:$AAL23,"B",""))),1,0),0)))</f>
        <v>4</v>
      </c>
      <c r="AF23" t="str">
        <f t="shared" si="222"/>
        <v>C22</v>
      </c>
      <c r="AG23" t="str">
        <f t="shared" si="223"/>
        <v>B22</v>
      </c>
      <c r="AH23" t="str">
        <f>IF(AI22+AJ22&gt;27,REPLACE(AH22,LEN(AH22),1,VALUE(RIGHT(AH22,1))+1),AH22)</f>
        <v>A6.2</v>
      </c>
      <c r="AI23" s="42" t="str" cm="1">
        <f t="array" ref="AI23">IF(COUNTIFS(AH$2:AH23,AH23)=1,"1",VALUE(SUBSTITUTE(INDEX(AI:AI,_xlfn.XMATCH(AH23,AH$1:AH22,0,-1)),"A",""))+INDEX(AJ:AJ,_xlfn.XMATCH(AH23,AH$1:AH22,0,-1))+1)</f>
        <v>1</v>
      </c>
      <c r="AJ23" s="42" cm="1">
        <f t="array" ref="AJ23">SUM(IF(ISNUMBER(FIND("TmDo",$BE$1:$AAL$1)),IF(IFERROR(ISNUMBER(VALUE(SUBSTITUTE($BE23:$AAL23,"B",""))),FALSE),IF(ISNUMBER(VALUE(SUBSTITUTE($BE23:$AAL23,"B",""))),1,0),0)))</f>
        <v>2</v>
      </c>
      <c r="AK23" t="str">
        <f t="shared" si="24"/>
        <v>1A</v>
      </c>
      <c r="AL23" t="str">
        <f t="shared" si="25"/>
        <v>1B</v>
      </c>
      <c r="AM23" t="s">
        <v>145</v>
      </c>
      <c r="AP23" t="s">
        <v>451</v>
      </c>
      <c r="AQ23" t="s">
        <v>466</v>
      </c>
      <c r="AT23" t="s">
        <v>129</v>
      </c>
      <c r="AU23" t="s">
        <v>130</v>
      </c>
      <c r="BE23" t="str">
        <f t="shared" si="241"/>
        <v>XT13</v>
      </c>
      <c r="BF23" t="str">
        <f t="shared" si="242"/>
        <v>C23</v>
      </c>
      <c r="BG23" t="str">
        <f t="shared" si="243"/>
        <v>B23</v>
      </c>
      <c r="BH23" t="str">
        <f t="shared" si="244"/>
        <v>C24</v>
      </c>
      <c r="BI23" t="str">
        <f t="shared" si="245"/>
        <v>B24</v>
      </c>
      <c r="BJ23" t="str">
        <f t="shared" si="246"/>
        <v>C25</v>
      </c>
      <c r="BK23" t="str">
        <f t="shared" si="247"/>
        <v>B25</v>
      </c>
      <c r="BL23" t="str">
        <f t="shared" si="248"/>
        <v>C26</v>
      </c>
      <c r="BM23" t="str">
        <f t="shared" si="249"/>
        <v>B26</v>
      </c>
      <c r="BP23" t="str">
        <f t="shared" si="250"/>
        <v>2A</v>
      </c>
      <c r="BQ23" t="str">
        <f t="shared" si="251"/>
        <v>2B</v>
      </c>
      <c r="BR23" t="str">
        <f t="shared" si="252"/>
        <v>3A</v>
      </c>
      <c r="BS23" t="str">
        <f t="shared" si="253"/>
        <v>3B</v>
      </c>
      <c r="BT23" t="str">
        <f t="shared" si="254"/>
        <v>DI2-C22</v>
      </c>
      <c r="BU23" t="str">
        <f t="shared" si="255"/>
        <v>DI2-B22</v>
      </c>
      <c r="BV23" t="str">
        <f t="shared" si="256"/>
        <v>DI2-C23</v>
      </c>
      <c r="BW23" t="str">
        <f t="shared" si="257"/>
        <v>DI2-B23</v>
      </c>
      <c r="BX23" t="str">
        <f t="shared" si="258"/>
        <v>DI2-C24</v>
      </c>
      <c r="BY23" t="str">
        <f t="shared" si="259"/>
        <v>DI2-B24</v>
      </c>
      <c r="BZ23" t="str">
        <f t="shared" si="260"/>
        <v>DI2-C25</v>
      </c>
      <c r="CA23" t="str">
        <f t="shared" si="261"/>
        <v>DI2-B25</v>
      </c>
      <c r="CB23" t="str">
        <f t="shared" si="262"/>
        <v>DI2-C26</v>
      </c>
      <c r="CC23" t="str">
        <f t="shared" si="263"/>
        <v>DI2-B26</v>
      </c>
      <c r="CD23" t="str">
        <f t="shared" si="264"/>
        <v>DI2-</v>
      </c>
      <c r="CE23" t="str">
        <f t="shared" si="265"/>
        <v>DI2-</v>
      </c>
      <c r="CF23" t="str">
        <f t="shared" si="266"/>
        <v>DO2-1A</v>
      </c>
      <c r="CG23" t="str">
        <f t="shared" si="267"/>
        <v>DO2-1B</v>
      </c>
      <c r="CH23" t="str">
        <f t="shared" si="268"/>
        <v>DO2-2A</v>
      </c>
      <c r="CI23" t="str">
        <f t="shared" si="269"/>
        <v>DO2-2B</v>
      </c>
      <c r="CJ23" t="str">
        <f t="shared" si="270"/>
        <v>DO2-3A</v>
      </c>
      <c r="CK23" t="str">
        <f t="shared" si="271"/>
        <v>DO2-3B</v>
      </c>
      <c r="CL23" t="str">
        <f t="shared" si="229"/>
        <v>K13-10</v>
      </c>
      <c r="CM23" t="str">
        <f t="shared" si="230"/>
        <v>K13-03</v>
      </c>
      <c r="CN23" t="str">
        <f t="shared" si="231"/>
        <v>K13-04</v>
      </c>
      <c r="CO23" t="str">
        <f t="shared" si="232"/>
        <v>K13-01</v>
      </c>
      <c r="CP23" t="str">
        <f t="shared" si="233"/>
        <v>K13-08</v>
      </c>
      <c r="CQ23" t="str">
        <f t="shared" si="234"/>
        <v>K13-02</v>
      </c>
      <c r="CR23" t="str">
        <f t="shared" si="235"/>
        <v>K13-09</v>
      </c>
      <c r="CS23" t="str">
        <f t="shared" si="236"/>
        <v>K13-05</v>
      </c>
      <c r="CT23" t="str">
        <f t="shared" si="237"/>
        <v>K13-11</v>
      </c>
      <c r="CU23" t="str">
        <f t="shared" si="211"/>
        <v>E2-M13-A9</v>
      </c>
      <c r="CV23" t="str">
        <f t="shared" si="238"/>
        <v>E2-M13-A7</v>
      </c>
      <c r="CW23" t="str">
        <f t="shared" si="239"/>
        <v>E2-M13-A8</v>
      </c>
      <c r="CX23" t="str">
        <f t="shared" si="212"/>
        <v>E2-M13-A6</v>
      </c>
      <c r="CY23" t="str">
        <f t="shared" si="213"/>
        <v>E2-M13-A30</v>
      </c>
      <c r="CZ23" t="str">
        <f t="shared" si="240"/>
        <v>E2-M13-N</v>
      </c>
      <c r="DA23" t="str">
        <f t="shared" si="272"/>
        <v>E2-A220-M13</v>
      </c>
      <c r="DB23" t="str">
        <f t="shared" si="215"/>
        <v>E2-M13-XM01</v>
      </c>
      <c r="DC23" t="str">
        <f t="shared" si="216"/>
        <v>E2-M13-A1</v>
      </c>
      <c r="DD23" t="str">
        <f t="shared" si="217"/>
        <v>E2-M13-A5</v>
      </c>
      <c r="DE23" t="str">
        <f t="shared" si="218"/>
        <v>E2-M13-A11</v>
      </c>
      <c r="DF23" t="str">
        <f t="shared" si="219"/>
        <v>E2-M13-A12</v>
      </c>
      <c r="DG23" t="str">
        <f t="shared" si="220"/>
        <v>E2-M13-A19</v>
      </c>
      <c r="DH23" t="str">
        <f t="shared" si="221"/>
        <v>E2-M13-A20</v>
      </c>
      <c r="DI23" t="s">
        <v>132</v>
      </c>
      <c r="DJ23" t="s">
        <v>133</v>
      </c>
      <c r="DK23">
        <v>11</v>
      </c>
      <c r="DL23">
        <v>14</v>
      </c>
      <c r="DM23">
        <v>12</v>
      </c>
      <c r="DN23" t="s">
        <v>134</v>
      </c>
      <c r="DO23" t="str">
        <f t="shared" si="273"/>
        <v>L6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X23">
        <v>8</v>
      </c>
      <c r="DY23">
        <v>9</v>
      </c>
      <c r="DZ23">
        <v>10</v>
      </c>
      <c r="EA23">
        <v>11</v>
      </c>
      <c r="EB23">
        <v>12</v>
      </c>
      <c r="EC23">
        <v>13</v>
      </c>
      <c r="ED23" t="s">
        <v>571</v>
      </c>
      <c r="EE23" t="s">
        <v>571</v>
      </c>
      <c r="EF23" t="s">
        <v>571</v>
      </c>
      <c r="EG23" t="s">
        <v>571</v>
      </c>
      <c r="EH23" t="s">
        <v>571</v>
      </c>
      <c r="EI23" t="s">
        <v>571</v>
      </c>
      <c r="EJ23" t="s">
        <v>571</v>
      </c>
      <c r="EK23" t="s">
        <v>571</v>
      </c>
      <c r="EL23" t="s">
        <v>571</v>
      </c>
      <c r="EM23" t="s">
        <v>571</v>
      </c>
      <c r="EN23" t="s">
        <v>571</v>
      </c>
      <c r="EO23" t="s">
        <v>571</v>
      </c>
      <c r="EP23" t="s">
        <v>571</v>
      </c>
      <c r="EQ23" s="12" t="s">
        <v>571</v>
      </c>
    </row>
    <row r="24" spans="1:610" x14ac:dyDescent="0.25">
      <c r="A24" s="44" t="s">
        <v>603</v>
      </c>
      <c r="B24" s="39" t="s">
        <v>476</v>
      </c>
      <c r="P24" t="s">
        <v>516</v>
      </c>
      <c r="T24" s="10" t="s">
        <v>449</v>
      </c>
      <c r="U24">
        <v>14</v>
      </c>
      <c r="V24" t="s">
        <v>489</v>
      </c>
      <c r="AC24" t="str">
        <f t="shared" si="171"/>
        <v>A5.2</v>
      </c>
      <c r="AD24" s="34" cm="1">
        <f t="array" ref="AD24">IF(COUNTIFS(AC$2:AC24,AC24)=1,"1",VALUE(SUBSTITUTE(INDEX(AD:AD,_xlfn.XMATCH(AC24,AC$1:AC23,0,-1)),"A",""))+INDEX(AE:AE,_xlfn.XMATCH(AC24,AC$1:AC23,0,-1))+1)</f>
        <v>27</v>
      </c>
      <c r="AE24" s="34" cm="1">
        <f t="array" ref="AE24">SUM(IF(ISNUMBER(FIND("TmDi",$BE$1:$AAL$1)),IF(IFERROR(ISNUMBER(VALUE(SUBSTITUTE($BE24:$AAL24,"B",""))),FALSE),IF(ISNUMBER(VALUE(SUBSTITUTE($BE24:$AAL24,"B",""))),1,0),0)))</f>
        <v>3</v>
      </c>
      <c r="AF24" t="str">
        <f t="shared" si="222"/>
        <v>C27</v>
      </c>
      <c r="AG24" t="str">
        <f t="shared" si="223"/>
        <v>B27</v>
      </c>
      <c r="AH24" t="str">
        <f t="shared" ref="AH24:AH26" si="274">IF(AI23+AJ23&gt;27,REPLACE(AH23,LEN(AH23),1,VALUE(RIGHT(AH23,1))+1),AH23)</f>
        <v>A6.2</v>
      </c>
      <c r="AI24" s="42" cm="1">
        <f t="array" ref="AI24">IF(COUNTIFS(AH$2:AH24,AH24)=1,"1",VALUE(SUBSTITUTE(INDEX(AI:AI,_xlfn.XMATCH(AH24,AH$1:AH23,0,-1)),"A",""))+INDEX(AJ:AJ,_xlfn.XMATCH(AH24,AH$1:AH23,0,-1))+1)</f>
        <v>4</v>
      </c>
      <c r="AJ24" s="42" cm="1">
        <f t="array" ref="AJ24">SUM(IF(ISNUMBER(FIND("TmDo",$BE$1:$AAL$1)),IF(IFERROR(ISNUMBER(VALUE(SUBSTITUTE($BE24:$AAL24,"B",""))),FALSE),IF(ISNUMBER(VALUE(SUBSTITUTE($BE24:$AAL24,"B",""))),1,0),0)))</f>
        <v>2</v>
      </c>
      <c r="AK24" t="str">
        <f t="shared" si="24"/>
        <v>4A</v>
      </c>
      <c r="AL24" t="str">
        <f t="shared" si="25"/>
        <v>4B</v>
      </c>
      <c r="AM24" t="s">
        <v>131</v>
      </c>
      <c r="AP24" t="s">
        <v>451</v>
      </c>
      <c r="AQ24" t="s">
        <v>494</v>
      </c>
      <c r="AT24" t="s">
        <v>129</v>
      </c>
      <c r="AU24" t="s">
        <v>130</v>
      </c>
      <c r="BE24" s="20" t="str">
        <f t="shared" si="241"/>
        <v>XT14</v>
      </c>
      <c r="BF24" t="str">
        <f t="shared" si="242"/>
        <v>C28</v>
      </c>
      <c r="BG24" t="str">
        <f t="shared" si="243"/>
        <v>B28</v>
      </c>
      <c r="BH24" t="str">
        <f t="shared" si="244"/>
        <v>C29</v>
      </c>
      <c r="BI24" t="str">
        <f t="shared" si="245"/>
        <v>B29</v>
      </c>
      <c r="BJ24" t="str">
        <f t="shared" si="246"/>
        <v>C30</v>
      </c>
      <c r="BK24" t="str">
        <f t="shared" si="247"/>
        <v>B30</v>
      </c>
      <c r="BP24" t="str">
        <f t="shared" si="250"/>
        <v>5A</v>
      </c>
      <c r="BQ24" t="str">
        <f t="shared" si="251"/>
        <v>5B</v>
      </c>
      <c r="BR24" t="str">
        <f t="shared" si="252"/>
        <v>6A</v>
      </c>
      <c r="BS24" t="str">
        <f t="shared" si="253"/>
        <v>6B</v>
      </c>
      <c r="BT24" t="str">
        <f t="shared" si="254"/>
        <v>DI2-C27</v>
      </c>
      <c r="BU24" t="str">
        <f t="shared" si="255"/>
        <v>DI2-B27</v>
      </c>
      <c r="BV24" t="str">
        <f t="shared" si="256"/>
        <v>DI2-C28</v>
      </c>
      <c r="BW24" t="str">
        <f t="shared" si="257"/>
        <v>DI2-B28</v>
      </c>
      <c r="BX24" t="str">
        <f t="shared" si="258"/>
        <v>DI2-C29</v>
      </c>
      <c r="BY24" t="str">
        <f t="shared" si="259"/>
        <v>DI2-B29</v>
      </c>
      <c r="BZ24" t="str">
        <f t="shared" si="260"/>
        <v>DI2-C30</v>
      </c>
      <c r="CA24" t="str">
        <f t="shared" si="261"/>
        <v>DI2-B30</v>
      </c>
      <c r="CB24" t="str">
        <f t="shared" si="262"/>
        <v>DI2-</v>
      </c>
      <c r="CC24" t="str">
        <f t="shared" si="263"/>
        <v>DI2-</v>
      </c>
      <c r="CD24" t="str">
        <f t="shared" si="264"/>
        <v>DI2-</v>
      </c>
      <c r="CE24" t="str">
        <f t="shared" si="265"/>
        <v>DI2-</v>
      </c>
      <c r="CF24" t="str">
        <f t="shared" si="266"/>
        <v>DO2-4A</v>
      </c>
      <c r="CG24" t="str">
        <f t="shared" si="267"/>
        <v>DO2-4B</v>
      </c>
      <c r="CH24" t="str">
        <f t="shared" si="268"/>
        <v>DO2-5A</v>
      </c>
      <c r="CI24" t="str">
        <f t="shared" si="269"/>
        <v>DO2-5B</v>
      </c>
      <c r="CJ24" t="str">
        <f t="shared" si="270"/>
        <v>DO2-6A</v>
      </c>
      <c r="CK24" t="str">
        <f t="shared" si="271"/>
        <v>DO2-6B</v>
      </c>
      <c r="CL24" t="str">
        <f t="shared" si="229"/>
        <v>K14-10</v>
      </c>
      <c r="CM24" t="str">
        <f t="shared" si="230"/>
        <v>K14-03</v>
      </c>
      <c r="CN24" t="str">
        <f t="shared" si="231"/>
        <v>K14-04</v>
      </c>
      <c r="CO24" t="str">
        <f t="shared" si="232"/>
        <v>K14-01</v>
      </c>
      <c r="CP24" t="str">
        <f t="shared" si="233"/>
        <v>K14-08</v>
      </c>
      <c r="CQ24" t="str">
        <f t="shared" si="234"/>
        <v>K14-02</v>
      </c>
      <c r="CR24" t="str">
        <f t="shared" si="235"/>
        <v>K14-09</v>
      </c>
      <c r="CS24" t="str">
        <f t="shared" si="236"/>
        <v>K14-05</v>
      </c>
      <c r="CT24" t="str">
        <f t="shared" si="237"/>
        <v>K14-11</v>
      </c>
      <c r="CU24" t="str">
        <f t="shared" si="211"/>
        <v>E2-M14-A9</v>
      </c>
      <c r="CV24" t="str">
        <f t="shared" si="238"/>
        <v>E2-M14-A7</v>
      </c>
      <c r="CW24" t="str">
        <f t="shared" si="239"/>
        <v>E2-M14-A8</v>
      </c>
      <c r="CX24" t="str">
        <f t="shared" si="212"/>
        <v>E2-M14-A6</v>
      </c>
      <c r="CY24" t="str">
        <f t="shared" si="213"/>
        <v>E2-M14-A30</v>
      </c>
      <c r="CZ24" t="str">
        <f t="shared" si="240"/>
        <v>E2-M14-N</v>
      </c>
      <c r="DA24" t="str">
        <f t="shared" si="272"/>
        <v>E2-A220-M14</v>
      </c>
      <c r="DB24" t="str">
        <f t="shared" si="215"/>
        <v>E2-M14-XM01</v>
      </c>
      <c r="DC24" t="str">
        <f t="shared" si="216"/>
        <v>E2-M14-A1</v>
      </c>
      <c r="DD24" t="str">
        <f t="shared" si="217"/>
        <v>E2-M14-A5</v>
      </c>
      <c r="DE24" t="str">
        <f t="shared" si="218"/>
        <v>E2-M14-A11</v>
      </c>
      <c r="DF24" t="str">
        <f t="shared" si="219"/>
        <v>E2-M14-A12</v>
      </c>
      <c r="DG24" t="str">
        <f>CONCATENATE($T24,"-M",$U24,"-A19")</f>
        <v>E2-M14-A19</v>
      </c>
      <c r="DH24" t="str">
        <f>CONCATENATE($T24,"-M",$U24,"-A20")</f>
        <v>E2-M14-A20</v>
      </c>
      <c r="DI24" t="s">
        <v>132</v>
      </c>
      <c r="DJ24" t="s">
        <v>133</v>
      </c>
      <c r="DK24">
        <v>11</v>
      </c>
      <c r="DL24">
        <v>14</v>
      </c>
      <c r="DM24">
        <v>12</v>
      </c>
      <c r="DN24" t="s">
        <v>134</v>
      </c>
      <c r="DO24" t="s">
        <v>135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15</v>
      </c>
      <c r="EM24">
        <v>16</v>
      </c>
      <c r="EN24">
        <v>16</v>
      </c>
      <c r="EO24">
        <v>22</v>
      </c>
      <c r="EP24">
        <v>23</v>
      </c>
      <c r="EQ24" s="12">
        <v>24</v>
      </c>
    </row>
    <row r="25" spans="1:610" x14ac:dyDescent="0.25">
      <c r="A25" s="44" t="s">
        <v>604</v>
      </c>
      <c r="B25" s="39" t="s">
        <v>477</v>
      </c>
      <c r="P25" t="s">
        <v>516</v>
      </c>
      <c r="T25" s="10" t="s">
        <v>449</v>
      </c>
      <c r="U25">
        <v>15</v>
      </c>
      <c r="V25" t="s">
        <v>490</v>
      </c>
      <c r="AC25" t="str">
        <f t="shared" si="171"/>
        <v>A5.2</v>
      </c>
      <c r="AD25" s="34" cm="1">
        <f t="array" ref="AD25">IF(COUNTIFS(AC$2:AC25,AC25)=1,"1",VALUE(SUBSTITUTE(INDEX(AD:AD,_xlfn.XMATCH(AC25,AC$1:AC24,0,-1)),"A",""))+INDEX(AE:AE,_xlfn.XMATCH(AC25,AC$1:AC24,0,-1))+1)</f>
        <v>31</v>
      </c>
      <c r="AE25" s="34" cm="1">
        <f t="array" ref="AE25">SUM(IF(ISNUMBER(FIND("TmDi",$BE$1:$AAL$1)),IF(IFERROR(ISNUMBER(VALUE(SUBSTITUTE($BE25:$AAL25,"B",""))),FALSE),IF(ISNUMBER(VALUE(SUBSTITUTE($BE25:$AAL25,"B",""))),1,0),0)))</f>
        <v>3</v>
      </c>
      <c r="AF25" t="str">
        <f t="shared" si="222"/>
        <v>C31</v>
      </c>
      <c r="AG25" t="str">
        <f t="shared" si="223"/>
        <v>B31</v>
      </c>
      <c r="AH25" t="str">
        <f t="shared" si="274"/>
        <v>A6.2</v>
      </c>
      <c r="AI25" s="42" cm="1">
        <f t="array" ref="AI25">IF(COUNTIFS(AH$2:AH25,AH25)=1,"1",VALUE(SUBSTITUTE(INDEX(AI:AI,_xlfn.XMATCH(AH25,AH$1:AH24,0,-1)),"A",""))+INDEX(AJ:AJ,_xlfn.XMATCH(AH25,AH$1:AH24,0,-1))+1)</f>
        <v>7</v>
      </c>
      <c r="AJ25" s="42" cm="1">
        <f t="array" ref="AJ25">SUM(IF(ISNUMBER(FIND("TmDo",$BE$1:$AAL$1)),IF(IFERROR(ISNUMBER(VALUE(SUBSTITUTE($BE25:$AAL25,"B",""))),FALSE),IF(ISNUMBER(VALUE(SUBSTITUTE($BE25:$AAL25,"B",""))),1,0),0)))</f>
        <v>2</v>
      </c>
      <c r="AK25" t="str">
        <f t="shared" si="24"/>
        <v>7A</v>
      </c>
      <c r="AL25" t="str">
        <f t="shared" si="25"/>
        <v>7B</v>
      </c>
      <c r="AM25" t="s">
        <v>136</v>
      </c>
      <c r="AP25" t="s">
        <v>451</v>
      </c>
      <c r="AQ25" t="s">
        <v>494</v>
      </c>
      <c r="AT25" t="s">
        <v>129</v>
      </c>
      <c r="AU25" t="s">
        <v>130</v>
      </c>
      <c r="BE25" s="20" t="str">
        <f t="shared" si="241"/>
        <v>XT15</v>
      </c>
      <c r="BF25" t="str">
        <f t="shared" si="242"/>
        <v>C32</v>
      </c>
      <c r="BG25" t="str">
        <f t="shared" si="243"/>
        <v>B32</v>
      </c>
      <c r="BH25" t="str">
        <f t="shared" si="244"/>
        <v>C33</v>
      </c>
      <c r="BI25" t="str">
        <f t="shared" si="245"/>
        <v>B33</v>
      </c>
      <c r="BJ25" t="str">
        <f t="shared" si="246"/>
        <v>C34</v>
      </c>
      <c r="BK25" t="str">
        <f t="shared" si="247"/>
        <v>B34</v>
      </c>
      <c r="BP25" t="str">
        <f t="shared" si="250"/>
        <v>8A</v>
      </c>
      <c r="BQ25" t="str">
        <f t="shared" si="251"/>
        <v>8B</v>
      </c>
      <c r="BR25" t="str">
        <f t="shared" si="252"/>
        <v>9A</v>
      </c>
      <c r="BS25" t="str">
        <f t="shared" si="253"/>
        <v>9B</v>
      </c>
      <c r="BT25" t="str">
        <f t="shared" si="254"/>
        <v>DI2-C31</v>
      </c>
      <c r="BU25" t="str">
        <f t="shared" si="255"/>
        <v>DI2-B31</v>
      </c>
      <c r="BV25" t="str">
        <f t="shared" si="256"/>
        <v>DI2-C32</v>
      </c>
      <c r="BW25" t="str">
        <f t="shared" si="257"/>
        <v>DI2-B32</v>
      </c>
      <c r="BX25" t="str">
        <f t="shared" si="258"/>
        <v>DI2-C33</v>
      </c>
      <c r="BY25" t="str">
        <f t="shared" si="259"/>
        <v>DI2-B33</v>
      </c>
      <c r="BZ25" t="str">
        <f t="shared" si="260"/>
        <v>DI2-C34</v>
      </c>
      <c r="CA25" t="str">
        <f t="shared" si="261"/>
        <v>DI2-B34</v>
      </c>
      <c r="CB25" t="str">
        <f t="shared" si="262"/>
        <v>DI2-</v>
      </c>
      <c r="CC25" t="str">
        <f t="shared" si="263"/>
        <v>DI2-</v>
      </c>
      <c r="CD25" t="str">
        <f t="shared" si="264"/>
        <v>DI2-</v>
      </c>
      <c r="CE25" t="str">
        <f t="shared" si="265"/>
        <v>DI2-</v>
      </c>
      <c r="CF25" t="str">
        <f t="shared" si="266"/>
        <v>DO2-7A</v>
      </c>
      <c r="CG25" t="str">
        <f t="shared" si="267"/>
        <v>DO2-7B</v>
      </c>
      <c r="CH25" t="str">
        <f t="shared" si="268"/>
        <v>DO2-8A</v>
      </c>
      <c r="CI25" t="str">
        <f t="shared" si="269"/>
        <v>DO2-8B</v>
      </c>
      <c r="CJ25" t="str">
        <f t="shared" si="270"/>
        <v>DO2-9A</v>
      </c>
      <c r="CK25" t="str">
        <f t="shared" si="271"/>
        <v>DO2-9B</v>
      </c>
      <c r="CL25" t="str">
        <f t="shared" si="229"/>
        <v>K15-10</v>
      </c>
      <c r="CM25" t="str">
        <f t="shared" si="230"/>
        <v>K15-03</v>
      </c>
      <c r="CN25" t="str">
        <f t="shared" si="231"/>
        <v>K15-04</v>
      </c>
      <c r="CO25" t="str">
        <f t="shared" si="232"/>
        <v>K15-01</v>
      </c>
      <c r="CP25" t="str">
        <f t="shared" si="233"/>
        <v>K15-08</v>
      </c>
      <c r="CQ25" t="str">
        <f t="shared" si="234"/>
        <v>K15-02</v>
      </c>
      <c r="CR25" t="str">
        <f t="shared" si="235"/>
        <v>K15-09</v>
      </c>
      <c r="CS25" t="str">
        <f t="shared" si="236"/>
        <v>K15-05</v>
      </c>
      <c r="CT25" t="str">
        <f t="shared" si="237"/>
        <v>K15-11</v>
      </c>
      <c r="CU25" t="str">
        <f t="shared" si="211"/>
        <v>E2-M15-A9</v>
      </c>
      <c r="CV25" t="str">
        <f t="shared" si="238"/>
        <v>E2-M15-A7</v>
      </c>
      <c r="CW25" t="str">
        <f t="shared" si="239"/>
        <v>E2-M15-A8</v>
      </c>
      <c r="CX25" t="str">
        <f t="shared" si="212"/>
        <v>E2-M15-A6</v>
      </c>
      <c r="CY25" t="str">
        <f t="shared" si="213"/>
        <v>E2-M15-A30</v>
      </c>
      <c r="CZ25" t="str">
        <f t="shared" si="240"/>
        <v>E2-M15-N</v>
      </c>
      <c r="DA25" t="str">
        <f t="shared" si="272"/>
        <v>E2-A220-M15</v>
      </c>
      <c r="DB25" t="str">
        <f t="shared" si="215"/>
        <v>E2-M15-XM01</v>
      </c>
      <c r="DC25" t="str">
        <f t="shared" si="216"/>
        <v>E2-M15-A1</v>
      </c>
      <c r="DD25" t="str">
        <f t="shared" si="217"/>
        <v>E2-M15-A5</v>
      </c>
      <c r="DE25" t="str">
        <f t="shared" si="218"/>
        <v>E2-M15-A11</v>
      </c>
      <c r="DF25" t="str">
        <f t="shared" si="219"/>
        <v>E2-M15-A12</v>
      </c>
      <c r="DG25" t="str">
        <f>CONCATENATE($T25,"-M",$U25,"-A19")</f>
        <v>E2-M15-A19</v>
      </c>
      <c r="DH25" t="str">
        <f>CONCATENATE($T25,"-M",$U25,"-A20")</f>
        <v>E2-M15-A20</v>
      </c>
      <c r="DI25" t="s">
        <v>132</v>
      </c>
      <c r="DJ25" t="s">
        <v>133</v>
      </c>
      <c r="DK25">
        <v>11</v>
      </c>
      <c r="DL25">
        <v>14</v>
      </c>
      <c r="DM25">
        <v>12</v>
      </c>
      <c r="DN25" t="s">
        <v>134</v>
      </c>
      <c r="DO25" t="s">
        <v>135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15</v>
      </c>
      <c r="EM25">
        <v>16</v>
      </c>
      <c r="EN25">
        <v>16</v>
      </c>
      <c r="EO25">
        <v>22</v>
      </c>
      <c r="EP25">
        <v>23</v>
      </c>
      <c r="EQ25" s="12">
        <v>24</v>
      </c>
    </row>
    <row r="26" spans="1:610" x14ac:dyDescent="0.25">
      <c r="A26" s="44" t="s">
        <v>605</v>
      </c>
      <c r="B26" s="39" t="s">
        <v>478</v>
      </c>
      <c r="P26" t="s">
        <v>147</v>
      </c>
      <c r="T26" s="10" t="s">
        <v>449</v>
      </c>
      <c r="U26">
        <v>16</v>
      </c>
      <c r="V26" t="s">
        <v>491</v>
      </c>
      <c r="W26" t="s">
        <v>492</v>
      </c>
      <c r="AC26" t="str">
        <f t="shared" si="171"/>
        <v>A5.3</v>
      </c>
      <c r="AD26" s="34" t="str" cm="1">
        <f t="array" ref="AD26">IF(COUNTIFS(AC$2:AC26,AC26)=1,"1",VALUE(SUBSTITUTE(INDEX(AD:AD,_xlfn.XMATCH(AC26,AC$1:AC25,0,-1)),"A",""))+INDEX(AE:AE,_xlfn.XMATCH(AC26,AC$1:AC25,0,-1))+1)</f>
        <v>1</v>
      </c>
      <c r="AE26" s="34" cm="1">
        <f t="array" ref="AE26">SUM(IF(ISNUMBER(FIND("TmDi",$BE$1:$AAL$1)),IF(IFERROR(ISNUMBER(VALUE(SUBSTITUTE($BE26:$AAL26,"B",""))),FALSE),IF(ISNUMBER(VALUE(SUBSTITUTE($BE26:$AAL26,"B",""))),1,0),0)))</f>
        <v>2</v>
      </c>
      <c r="AF26" t="str">
        <f t="shared" si="222"/>
        <v>C1</v>
      </c>
      <c r="AG26" t="str">
        <f t="shared" si="223"/>
        <v>B1</v>
      </c>
      <c r="AH26" t="str">
        <f t="shared" si="274"/>
        <v>A6.2</v>
      </c>
      <c r="AI26" s="42" cm="1">
        <f t="array" ref="AI26">IF(COUNTIFS(AH$2:AH26,AH26)=1,"1",VALUE(SUBSTITUTE(INDEX(AI:AI,_xlfn.XMATCH(AH26,AH$1:AH25,0,-1)),"A",""))+INDEX(AJ:AJ,_xlfn.XMATCH(AH26,AH$1:AH25,0,-1))+1)</f>
        <v>10</v>
      </c>
      <c r="AJ26" s="42" cm="1">
        <f t="array" ref="AJ26">SUM(IF(ISNUMBER(FIND("TmDo",$BE$1:$AAL$1)),IF(IFERROR(ISNUMBER(VALUE(SUBSTITUTE($BE26:$AAL26,"B",""))),FALSE),IF(ISNUMBER(VALUE(SUBSTITUTE($BE26:$AAL26,"B",""))),1,0),0)))</f>
        <v>1</v>
      </c>
      <c r="AK26" t="str">
        <f t="shared" si="24"/>
        <v>10A</v>
      </c>
      <c r="AL26" t="str">
        <f t="shared" si="25"/>
        <v>10B</v>
      </c>
      <c r="AM26" t="s">
        <v>137</v>
      </c>
      <c r="AP26" t="s">
        <v>451</v>
      </c>
      <c r="AQ26" t="s">
        <v>494</v>
      </c>
      <c r="AT26" t="s">
        <v>129</v>
      </c>
      <c r="AU26" t="s">
        <v>130</v>
      </c>
      <c r="ER26" s="20" t="str">
        <f t="shared" ref="ER26" si="275">CONCATENATE("XT",U26)</f>
        <v>XT16</v>
      </c>
      <c r="ES26" t="str">
        <f t="shared" ref="ES26" si="276">CONCATENATE("C",REPLACE(AF26,1,1,"")+1)</f>
        <v>C2</v>
      </c>
      <c r="ET26" t="str">
        <f t="shared" ref="ET26" si="277">CONCATENATE("B",REPLACE(AG26,1,1,"")+1)</f>
        <v>B2</v>
      </c>
      <c r="EU26" t="str">
        <f t="shared" ref="EU26" si="278">CONCATENATE("C",REPLACE(ES26,1,1,"")+1)</f>
        <v>C3</v>
      </c>
      <c r="EV26" t="str">
        <f t="shared" ref="EV26" si="279">CONCATENATE("B",REPLACE(ET26,1,1,"")+1)</f>
        <v>B3</v>
      </c>
      <c r="EW26" t="str">
        <f t="shared" ref="EW26" si="280">CONCATENATE(REPLACE(AK26,LEN(AK26),1,"")+1,"A")</f>
        <v>11A</v>
      </c>
      <c r="EX26" t="str">
        <f t="shared" ref="EX26" si="281">CONCATENATE(REPLACE(AL26,LEN(AL26),1,"")+1,"B")</f>
        <v>11B</v>
      </c>
      <c r="EY26" t="str">
        <f t="shared" ref="EY26" si="282">CONCATENATE("DI",REPLACE($AC26,1,3,""),"-",AF26)</f>
        <v>DI3-C1</v>
      </c>
      <c r="EZ26" t="str">
        <f t="shared" ref="EZ26" si="283">CONCATENATE("DI",REPLACE($AC26,1,3,""),"-",AG26)</f>
        <v>DI3-B1</v>
      </c>
      <c r="FA26" t="str">
        <f t="shared" ref="FA26" si="284">CONCATENATE("DI",REPLACE($AC26,1,3,""),"-",ES26)</f>
        <v>DI3-C2</v>
      </c>
      <c r="FB26" t="str">
        <f t="shared" ref="FB26" si="285">CONCATENATE("DI",REPLACE($AC26,1,3,""),"-",ET26)</f>
        <v>DI3-B2</v>
      </c>
      <c r="FC26" t="str">
        <f t="shared" ref="FC26" si="286">CONCATENATE("DI",REPLACE($AC26,1,3,""),"-",EU26)</f>
        <v>DI3-C3</v>
      </c>
      <c r="FD26" t="str">
        <f t="shared" ref="FD26" si="287">CONCATENATE("DI",REPLACE($AC26,1,3,""),"-",EV26)</f>
        <v>DI3-B3</v>
      </c>
      <c r="FE26" t="str">
        <f t="shared" ref="FE26" si="288">CONCATENATE("DO",REPLACE($AH26,1,3,""),"-",AK26)</f>
        <v>DO2-10A</v>
      </c>
      <c r="FF26" t="str">
        <f t="shared" ref="FF26" si="289">CONCATENATE("DO",REPLACE($AH26,1,3,""),"-",AL26)</f>
        <v>DO2-10B</v>
      </c>
      <c r="FG26" t="str">
        <f t="shared" ref="FG26" si="290">CONCATENATE("DO",REPLACE($AH26,1,3,""),"-",EW26)</f>
        <v>DO2-11A</v>
      </c>
      <c r="FH26" t="str">
        <f t="shared" ref="FH26" si="291">CONCATENATE("DO",REPLACE($AH26,1,3,""),"-",EX26)</f>
        <v>DO2-11B</v>
      </c>
      <c r="FI26" t="str">
        <f t="shared" ref="FI26" si="292">CONCATENATE("K",$U26,"-03")</f>
        <v>K16-03</v>
      </c>
      <c r="FJ26" t="str">
        <f t="shared" ref="FJ26" si="293">CONCATENATE("K",$U26,"-04")</f>
        <v>K16-04</v>
      </c>
      <c r="FK26" t="str">
        <f t="shared" ref="FK26" si="294">CONCATENATE("K",$U26,"-01")</f>
        <v>K16-01</v>
      </c>
      <c r="FL26" t="str">
        <f t="shared" ref="FL26" si="295">CONCATENATE("K",$U26,"-02")</f>
        <v>K16-02</v>
      </c>
      <c r="FM26" t="str">
        <f t="shared" ref="FM26" si="296">CONCATENATE("K",$U26,"-05")</f>
        <v>K16-05</v>
      </c>
      <c r="FN26" t="str">
        <f t="shared" ref="FN26" si="297">CONCATENATE($T26,"-M",$U26,"-H1")</f>
        <v>E2-M16-H1</v>
      </c>
      <c r="FO26" t="str">
        <f t="shared" ref="FO26" si="298">CONCATENATE($T26,"-M",$U26,"-A1")</f>
        <v>E2-M16-A1</v>
      </c>
      <c r="FP26" t="str">
        <f t="shared" ref="FP26" si="299">CONCATENATE($T26,"-M",$U26,"-3")</f>
        <v>E2-M16-3</v>
      </c>
      <c r="FQ26" t="str">
        <f t="shared" ref="FQ26" si="300">CONCATENATE($T26,"-M",$U26,"-2")</f>
        <v>E2-M16-2</v>
      </c>
      <c r="FR26" t="str">
        <f t="shared" ref="FR26" si="301">CONCATENATE($T26,"-M",$U26,"-16")</f>
        <v>E2-M16-16</v>
      </c>
      <c r="FS26" t="str">
        <f t="shared" ref="FS26" si="302">CONCATENATE($T26,"-M",$U26,"-15")</f>
        <v>E2-M16-15</v>
      </c>
      <c r="FT26" t="str">
        <f t="shared" ref="FT26" si="303">CONCATENATE($T26,"-A220-M",$U26,)</f>
        <v>E2-A220-M16</v>
      </c>
      <c r="FU26" t="str">
        <f t="shared" ref="FU26" si="304">CONCATENATE($T26,"-M",$U26,"-XM01")</f>
        <v>E2-M16-XM01</v>
      </c>
      <c r="FV26" t="s">
        <v>132</v>
      </c>
      <c r="FW26" t="s">
        <v>133</v>
      </c>
      <c r="FX26">
        <v>11</v>
      </c>
      <c r="FY26">
        <v>14</v>
      </c>
      <c r="FZ26" t="s">
        <v>135</v>
      </c>
      <c r="GA26" t="s">
        <v>134</v>
      </c>
      <c r="GB26">
        <v>1</v>
      </c>
      <c r="GC26">
        <v>2</v>
      </c>
      <c r="GD26">
        <v>3</v>
      </c>
      <c r="GE26">
        <v>4</v>
      </c>
      <c r="GF26">
        <v>5</v>
      </c>
      <c r="GG26">
        <v>6</v>
      </c>
      <c r="GH26">
        <v>7</v>
      </c>
      <c r="GI26">
        <v>8</v>
      </c>
      <c r="GJ26">
        <v>9</v>
      </c>
      <c r="GK26">
        <v>1</v>
      </c>
      <c r="GL26">
        <v>2</v>
      </c>
      <c r="GM26">
        <v>3</v>
      </c>
      <c r="GN26">
        <v>4</v>
      </c>
      <c r="GO26">
        <v>5</v>
      </c>
      <c r="GP26">
        <v>1</v>
      </c>
      <c r="GQ26">
        <v>2</v>
      </c>
      <c r="GR26">
        <v>4</v>
      </c>
      <c r="GS26" s="12">
        <v>5</v>
      </c>
    </row>
    <row r="27" spans="1:610" ht="15.75" thickBot="1" x14ac:dyDescent="0.3">
      <c r="A27" s="44" t="s">
        <v>606</v>
      </c>
      <c r="B27" s="39" t="s">
        <v>429</v>
      </c>
      <c r="P27" t="s">
        <v>356</v>
      </c>
      <c r="T27" s="10" t="s">
        <v>449</v>
      </c>
      <c r="U27">
        <v>17</v>
      </c>
      <c r="V27" t="s">
        <v>484</v>
      </c>
      <c r="AC27" t="str">
        <f t="shared" ref="AC27:AC28" si="305">IF(AD26+AE26&gt;31,REPLACE(AC26,LEN(AC26),1,VALUE(RIGHT(AC26,1))+1),AC26)</f>
        <v>A5.3</v>
      </c>
      <c r="AD27" s="34" cm="1">
        <f t="array" ref="AD27">IF(COUNTIFS(AC$2:AC27,AC27)=1,"1",VALUE(SUBSTITUTE(INDEX(AD:AD,_xlfn.XMATCH(AC27,AC$1:AC26,0,-1)),"A",""))+INDEX(AE:AE,_xlfn.XMATCH(AC27,AC$1:AC26,0,-1))+1)</f>
        <v>4</v>
      </c>
      <c r="AE27" s="34" cm="1">
        <f t="array" ref="AE27">SUM(IF(ISNUMBER(FIND("TmDi",$BE$1:$AAL$1)),IF(IFERROR(ISNUMBER(VALUE(SUBSTITUTE($BE27:$AAL27,"B",""))),FALSE),IF(ISNUMBER(VALUE(SUBSTITUTE($BE27:$AAL27,"B",""))),1,0),0)))</f>
        <v>0</v>
      </c>
      <c r="AF27" t="str">
        <f t="shared" si="222"/>
        <v>C4</v>
      </c>
      <c r="AG27" t="str">
        <f t="shared" si="223"/>
        <v>B4</v>
      </c>
      <c r="AP27" t="s">
        <v>451</v>
      </c>
      <c r="AQ27" t="s">
        <v>495</v>
      </c>
      <c r="AT27" t="s">
        <v>129</v>
      </c>
      <c r="AU27" t="s">
        <v>130</v>
      </c>
    </row>
    <row r="28" spans="1:610" ht="15.75" thickBot="1" x14ac:dyDescent="0.3">
      <c r="A28" s="44" t="s">
        <v>607</v>
      </c>
      <c r="B28" t="s">
        <v>426</v>
      </c>
      <c r="P28" t="s">
        <v>497</v>
      </c>
      <c r="T28" s="10" t="s">
        <v>449</v>
      </c>
      <c r="U28">
        <v>17</v>
      </c>
      <c r="V28" t="s">
        <v>493</v>
      </c>
      <c r="AC28" t="str">
        <f t="shared" si="305"/>
        <v>A5.3</v>
      </c>
      <c r="AD28" s="34" cm="1">
        <f t="array" ref="AD28">IF(COUNTIFS(AC$2:AC28,AC28)=1,"1",VALUE(SUBSTITUTE(INDEX(AD:AD,_xlfn.XMATCH(AC28,AC$1:AC27,0,-1)),"A",""))+INDEX(AE:AE,_xlfn.XMATCH(AC28,AC$1:AC27,0,-1))+1)</f>
        <v>5</v>
      </c>
      <c r="AE28" s="34" cm="1">
        <f t="array" ref="AE28">SUM(IF(ISNUMBER(FIND("TmDi",$BE$1:$AAL$1)),IF(IFERROR(ISNUMBER(VALUE(SUBSTITUTE($BE28:$AAL28,"B",""))),FALSE),IF(ISNUMBER(VALUE(SUBSTITUTE($BE28:$AAL28,"B",""))),1,0),0)))</f>
        <v>1</v>
      </c>
      <c r="AF28" t="str">
        <f t="shared" si="222"/>
        <v>C5</v>
      </c>
      <c r="AG28" t="str">
        <f t="shared" si="223"/>
        <v>B5</v>
      </c>
      <c r="AP28" t="s">
        <v>451</v>
      </c>
      <c r="AQ28" t="s">
        <v>496</v>
      </c>
      <c r="AT28" t="s">
        <v>129</v>
      </c>
      <c r="AU28" t="s">
        <v>130</v>
      </c>
      <c r="VJ28" s="28" t="s">
        <v>501</v>
      </c>
      <c r="VK28" s="16" t="s">
        <v>502</v>
      </c>
      <c r="VL28" s="16" t="str">
        <f>CONCATENATE("XT",U28)</f>
        <v>XT17</v>
      </c>
      <c r="VM28" s="16">
        <v>4</v>
      </c>
      <c r="VN28" s="16">
        <f>VM28+1</f>
        <v>5</v>
      </c>
      <c r="VO28" s="16">
        <f t="shared" ref="VO28:VP28" si="306">VN28+1</f>
        <v>6</v>
      </c>
      <c r="VP28" s="16">
        <f t="shared" si="306"/>
        <v>7</v>
      </c>
      <c r="VQ28" s="16" t="str">
        <f>CONCATENATE("B",REPLACE($AF28,1,1,"")+1)</f>
        <v>B6</v>
      </c>
      <c r="VR28" s="16" t="str">
        <f>CONCATENATE("C",REPLACE($AG28,1,1,"")+1)</f>
        <v>C6</v>
      </c>
      <c r="VS28" s="16" t="str">
        <f>CONCATENATE("DI",REPLACE($AC28,1,3,""),"-",$AG28)</f>
        <v>DI3-B5</v>
      </c>
      <c r="VT28" s="16" t="str">
        <f>CONCATENATE("DI",REPLACE($AC28,1,3,""),"-",$AF28)</f>
        <v>DI3-C5</v>
      </c>
      <c r="VU28" s="16" t="str">
        <f>CONCATENATE("DI",REPLACE($AC28,1,3,""),"-",VQ28)</f>
        <v>DI3-B6</v>
      </c>
      <c r="VV28" s="16" t="str">
        <f>CONCATENATE("DI",REPLACE($AC28,1,3,""),"-",VR28)</f>
        <v>DI3-C6</v>
      </c>
      <c r="VW28" s="16" t="str">
        <f>CONCATENATE($T28,"-DI",REPLACE($AC28,1,3,""),"-",$AF28)</f>
        <v>E2-DI3-C5</v>
      </c>
      <c r="VX28" s="16" t="str">
        <f>CONCATENATE($T28,"-DI",REPLACE($AC28,1,3,""),"-",VR28)</f>
        <v>E2-DI3-C6</v>
      </c>
      <c r="VY28" s="16" t="s">
        <v>505</v>
      </c>
      <c r="VZ28" s="16" t="s">
        <v>506</v>
      </c>
      <c r="WA28" s="16">
        <v>11</v>
      </c>
      <c r="WB28" s="16">
        <v>14</v>
      </c>
      <c r="WC28" s="16" t="s">
        <v>132</v>
      </c>
      <c r="WD28" s="16" t="s">
        <v>133</v>
      </c>
      <c r="WE28" s="16" t="s">
        <v>187</v>
      </c>
      <c r="WF28" s="16" t="s">
        <v>186</v>
      </c>
      <c r="WG28" s="16">
        <v>21</v>
      </c>
      <c r="WH28" s="16">
        <v>24</v>
      </c>
      <c r="WI28" s="16">
        <v>21</v>
      </c>
      <c r="WJ28" s="16">
        <v>24</v>
      </c>
      <c r="WK28" s="16" t="s">
        <v>503</v>
      </c>
      <c r="WL28" s="17" t="s">
        <v>504</v>
      </c>
    </row>
    <row r="29" spans="1:610" ht="30.75" thickBot="1" x14ac:dyDescent="0.3">
      <c r="A29" t="s">
        <v>608</v>
      </c>
      <c r="B29" t="s">
        <v>479</v>
      </c>
      <c r="P29" t="s">
        <v>404</v>
      </c>
      <c r="T29" s="20" t="s">
        <v>449</v>
      </c>
      <c r="U29">
        <v>2</v>
      </c>
      <c r="V29" t="s">
        <v>480</v>
      </c>
      <c r="AP29" t="s">
        <v>451</v>
      </c>
      <c r="AQ29" t="s">
        <v>481</v>
      </c>
      <c r="TS29" s="40" t="s">
        <v>412</v>
      </c>
      <c r="TT29" s="16" t="s">
        <v>413</v>
      </c>
      <c r="TU29" s="16" t="s">
        <v>414</v>
      </c>
      <c r="TV29" s="16" t="s">
        <v>415</v>
      </c>
      <c r="TW29" s="16" t="s">
        <v>416</v>
      </c>
      <c r="TX29" s="16" t="s">
        <v>417</v>
      </c>
      <c r="TY29" s="16" t="s">
        <v>418</v>
      </c>
      <c r="TZ29" s="16" t="s">
        <v>419</v>
      </c>
      <c r="UA29" s="16" t="str">
        <f t="shared" ref="UA29" si="307">CONCATENATE("XT",$U29)</f>
        <v>XT2</v>
      </c>
      <c r="UB29" s="16">
        <v>13</v>
      </c>
      <c r="UC29" s="16">
        <f>UB29+1</f>
        <v>14</v>
      </c>
      <c r="UD29" s="17">
        <f>UC29+1</f>
        <v>15</v>
      </c>
    </row>
    <row r="30" spans="1:610" ht="15.75" thickBot="1" x14ac:dyDescent="0.3">
      <c r="A30" t="s">
        <v>609</v>
      </c>
      <c r="B30" t="s">
        <v>479</v>
      </c>
      <c r="C30" t="s">
        <v>483</v>
      </c>
      <c r="P30" t="s">
        <v>189</v>
      </c>
      <c r="T30" s="10" t="s">
        <v>449</v>
      </c>
      <c r="U30">
        <v>2</v>
      </c>
      <c r="V30" t="s">
        <v>482</v>
      </c>
      <c r="X30" t="s">
        <v>190</v>
      </c>
      <c r="Y30" s="37" cm="1">
        <f t="array" ref="Y30">IF(COUNTIFS($X$2:$X30,$X30)=1,"1",VALUE(SUBSTITUTE(INDEX(Y:Y,_xlfn.XMATCH($X30,$X$1:$X29,0,-1)),"A",""))+INDEX(Z:Z,_xlfn.XMATCH($X30,$X$1:$X29,0,-1))+1)</f>
        <v>7</v>
      </c>
      <c r="Z30" cm="1">
        <f t="array" ref="Z30">SUM(IF(ISNUMBER(FIND("TmAi",$BE$1:$AAL$1)),IF(IFERROR(ISODD(SUBSTITUTE($BE30:$AAL30,"A","")),FALSE),IF(ISODD(SUBSTITUTE($BE30:$AAL30,"A","")),1,0),0)))</f>
        <v>0</v>
      </c>
      <c r="AA30" t="str">
        <f t="shared" ref="AA30" si="308">CONCATENATE($Y30*2-1,"B")</f>
        <v>13B</v>
      </c>
      <c r="AB30" t="str">
        <f t="shared" ref="AB30" si="309">CONCATENATE($Y30*2,"B")</f>
        <v>14B</v>
      </c>
      <c r="AP30" t="s">
        <v>451</v>
      </c>
      <c r="AS30" t="s">
        <v>169</v>
      </c>
      <c r="JZ30" s="21" t="str">
        <f t="shared" ref="JZ30" si="310">CONCATENATE("XT",U30)</f>
        <v>XT2</v>
      </c>
      <c r="KA30" s="14"/>
      <c r="KB30" s="14"/>
      <c r="KC30" s="14" t="str">
        <f>CONCATENATE($T30,"-AI",REPLACE($X30,1,3,""),"-",$AA30)</f>
        <v>E2-AI3-13B</v>
      </c>
      <c r="KD30" s="14" t="str">
        <f t="shared" ref="KD30" si="311">CONCATENATE(T30,"-AI",REPLACE($X30,1,3,""),"-",AB30)</f>
        <v>E2-AI3-14B</v>
      </c>
      <c r="KE30" s="14"/>
      <c r="KF30" s="14"/>
      <c r="KG30" s="14"/>
      <c r="KH30" s="14"/>
      <c r="KI30" s="14">
        <v>1</v>
      </c>
      <c r="KJ30" s="14">
        <f t="shared" ref="KJ30:KK30" si="312">KI30+1</f>
        <v>2</v>
      </c>
      <c r="KK30" s="14">
        <f t="shared" si="312"/>
        <v>3</v>
      </c>
      <c r="KL30" s="14"/>
      <c r="KM30" s="14"/>
      <c r="KN30" s="14">
        <v>1</v>
      </c>
      <c r="KO30" s="14">
        <v>2</v>
      </c>
      <c r="KP30" s="21"/>
      <c r="KQ30" s="14"/>
      <c r="KR30" s="14"/>
      <c r="KS30" s="15"/>
    </row>
    <row r="31" spans="1:610" x14ac:dyDescent="0.25">
      <c r="A31" t="s">
        <v>610</v>
      </c>
      <c r="B31" t="s">
        <v>572</v>
      </c>
      <c r="P31" t="s">
        <v>369</v>
      </c>
      <c r="T31" s="10" t="s">
        <v>449</v>
      </c>
      <c r="AC31" t="s">
        <v>146</v>
      </c>
      <c r="AD31" s="32">
        <v>1</v>
      </c>
      <c r="AE31" s="32" cm="1">
        <f t="array" ref="AE31">SUM(IF(ISNUMBER(FIND("TmDi",$BE$1:$AAL$1)),IF(IFERROR(ISNUMBER(VALUE(SUBSTITUTE($BE31:$AAL31,"B",""))),FALSE),IF(ISNUMBER(VALUE(SUBSTITUTE($BE31:$AAL31,"B",""))),1,0),0)))</f>
        <v>0</v>
      </c>
      <c r="AF31" t="str">
        <f t="shared" ref="AF31:AF39" si="313">CONCATENATE("C",$AD31)</f>
        <v>C1</v>
      </c>
      <c r="AG31" t="str">
        <f t="shared" ref="AG31:AG39" si="314">CONCATENATE("B",$AD31)</f>
        <v>B1</v>
      </c>
      <c r="AP31" t="s">
        <v>451</v>
      </c>
      <c r="AT31" t="s">
        <v>206</v>
      </c>
      <c r="AU31" t="s">
        <v>357</v>
      </c>
      <c r="LY31" s="18" t="str">
        <f>CONCATENATE("DI",REPLACE($AC31,1,3,""),"-",$AF31)</f>
        <v>DI2-C1</v>
      </c>
      <c r="LZ31" s="8"/>
      <c r="MA31" s="8" t="s">
        <v>371</v>
      </c>
      <c r="MB31" s="8" t="s">
        <v>370</v>
      </c>
      <c r="MC31" s="8">
        <v>11</v>
      </c>
      <c r="MD31" s="8">
        <v>14</v>
      </c>
      <c r="ME31" s="8" t="s">
        <v>132</v>
      </c>
      <c r="MF31" s="8" t="s">
        <v>133</v>
      </c>
      <c r="MG31" s="8" t="s">
        <v>192</v>
      </c>
      <c r="MH31" s="8" t="s">
        <v>191</v>
      </c>
      <c r="MI31" s="8" t="s">
        <v>187</v>
      </c>
      <c r="MJ31" s="8" t="s">
        <v>186</v>
      </c>
      <c r="MK31" s="8"/>
      <c r="ML31" s="8"/>
      <c r="MM31" s="8"/>
      <c r="MN31" s="8"/>
      <c r="MO31" s="8"/>
      <c r="MP31" s="8"/>
      <c r="MQ31" s="8">
        <v>1</v>
      </c>
      <c r="MR31" s="9">
        <v>2</v>
      </c>
      <c r="MS31" s="20"/>
    </row>
    <row r="32" spans="1:610" x14ac:dyDescent="0.25">
      <c r="A32" t="s">
        <v>611</v>
      </c>
      <c r="B32" t="s">
        <v>573</v>
      </c>
      <c r="P32" t="s">
        <v>369</v>
      </c>
      <c r="T32" s="10" t="s">
        <v>449</v>
      </c>
      <c r="AC32" t="str">
        <f t="shared" ref="AC32:AC39" si="315">IF(AD31+AE31&gt;31,REPLACE(AC31,LEN(AC31),1,VALUE(RIGHT(AC31,1))+1),AC31)</f>
        <v>A5.2</v>
      </c>
      <c r="AD32" s="32" cm="1">
        <f t="array" ref="AD32">IF(COUNTIFS(AC$2:AC32,AC32)=1,"1",VALUE(SUBSTITUTE(INDEX(AD:AD,_xlfn.XMATCH(AC32,AC$1:AC31,0,-1)),"A",""))+INDEX(AE:AE,_xlfn.XMATCH(AC32,AC$1:AC31,0,-1))+1)</f>
        <v>2</v>
      </c>
      <c r="AE32" s="32" cm="1">
        <f t="array" ref="AE32">SUM(IF(ISNUMBER(FIND("TmDi",$BE$1:$AAL$1)),IF(IFERROR(ISNUMBER(VALUE(SUBSTITUTE($BE32:$AAL32,"B",""))),FALSE),IF(ISNUMBER(VALUE(SUBSTITUTE($BE32:$AAL32,"B",""))),1,0),0)))</f>
        <v>0</v>
      </c>
      <c r="AF32" t="str">
        <f t="shared" si="313"/>
        <v>C2</v>
      </c>
      <c r="AG32" t="str">
        <f t="shared" si="314"/>
        <v>B2</v>
      </c>
      <c r="AP32" t="s">
        <v>451</v>
      </c>
      <c r="AT32" t="s">
        <v>206</v>
      </c>
      <c r="AU32" t="s">
        <v>357</v>
      </c>
      <c r="LY32" s="20" t="str">
        <f>CONCATENATE("DI",REPLACE($AC32,1,3,""),"-",$AF32)</f>
        <v>DI2-C2</v>
      </c>
      <c r="MA32" t="s">
        <v>372</v>
      </c>
      <c r="MB32" t="s">
        <v>373</v>
      </c>
      <c r="MC32">
        <f t="shared" ref="MC32:MJ32" si="316">MC31</f>
        <v>11</v>
      </c>
      <c r="MD32">
        <f t="shared" si="316"/>
        <v>14</v>
      </c>
      <c r="ME32" t="str">
        <f t="shared" si="316"/>
        <v>A1</v>
      </c>
      <c r="MF32" t="str">
        <f t="shared" si="316"/>
        <v>A2</v>
      </c>
      <c r="MG32" t="str">
        <f t="shared" si="316"/>
        <v>0v3</v>
      </c>
      <c r="MH32" t="str">
        <f t="shared" si="316"/>
        <v>24v3</v>
      </c>
      <c r="MI32" t="str">
        <f t="shared" si="316"/>
        <v>0v6</v>
      </c>
      <c r="MJ32" t="str">
        <f t="shared" si="316"/>
        <v>24v6</v>
      </c>
      <c r="MQ32">
        <f>MQ31</f>
        <v>1</v>
      </c>
      <c r="MR32" s="12">
        <f>MR31</f>
        <v>2</v>
      </c>
    </row>
    <row r="33" spans="1:356" x14ac:dyDescent="0.25">
      <c r="A33" t="s">
        <v>612</v>
      </c>
      <c r="B33" t="s">
        <v>574</v>
      </c>
      <c r="P33" t="s">
        <v>369</v>
      </c>
      <c r="T33" s="10" t="s">
        <v>449</v>
      </c>
      <c r="AC33" t="str">
        <f t="shared" si="315"/>
        <v>A5.2</v>
      </c>
      <c r="AD33" s="32" cm="1">
        <f t="array" ref="AD33">IF(COUNTIFS(AC$2:AC33,AC33)=1,"1",VALUE(SUBSTITUTE(INDEX(AD:AD,_xlfn.XMATCH(AC33,AC$1:AC32,0,-1)),"A",""))+INDEX(AE:AE,_xlfn.XMATCH(AC33,AC$1:AC32,0,-1))+1)</f>
        <v>3</v>
      </c>
      <c r="AE33" s="32" cm="1">
        <f t="array" ref="AE33">SUM(IF(ISNUMBER(FIND("TmDi",$BE$1:$AAL$1)),IF(IFERROR(ISNUMBER(VALUE(SUBSTITUTE($BE33:$AAL33,"B",""))),FALSE),IF(ISNUMBER(VALUE(SUBSTITUTE($BE33:$AAL33,"B",""))),1,0),0)))</f>
        <v>0</v>
      </c>
      <c r="AF33" t="str">
        <f t="shared" si="313"/>
        <v>C3</v>
      </c>
      <c r="AG33" t="str">
        <f t="shared" si="314"/>
        <v>B3</v>
      </c>
      <c r="AP33" t="s">
        <v>451</v>
      </c>
      <c r="AT33" t="s">
        <v>206</v>
      </c>
      <c r="AU33" t="s">
        <v>357</v>
      </c>
      <c r="LY33" s="20" t="str">
        <f t="shared" ref="LY33:LY39" si="317">CONCATENATE("DI",REPLACE($AC33,1,3,""),"-",$AF33)</f>
        <v>DI2-C3</v>
      </c>
      <c r="MA33" t="s">
        <v>374</v>
      </c>
      <c r="MB33" t="s">
        <v>375</v>
      </c>
      <c r="MC33">
        <f t="shared" ref="MC33:MJ33" si="318">MC32</f>
        <v>11</v>
      </c>
      <c r="MD33">
        <f t="shared" si="318"/>
        <v>14</v>
      </c>
      <c r="ME33" t="str">
        <f t="shared" si="318"/>
        <v>A1</v>
      </c>
      <c r="MF33" t="str">
        <f t="shared" si="318"/>
        <v>A2</v>
      </c>
      <c r="MG33" t="str">
        <f t="shared" si="318"/>
        <v>0v3</v>
      </c>
      <c r="MH33" t="str">
        <f t="shared" si="318"/>
        <v>24v3</v>
      </c>
      <c r="MI33" t="str">
        <f t="shared" si="318"/>
        <v>0v6</v>
      </c>
      <c r="MJ33" t="str">
        <f t="shared" si="318"/>
        <v>24v6</v>
      </c>
      <c r="MQ33">
        <f t="shared" ref="MQ33:MR33" si="319">MQ32</f>
        <v>1</v>
      </c>
      <c r="MR33" s="12">
        <f t="shared" si="319"/>
        <v>2</v>
      </c>
    </row>
    <row r="34" spans="1:356" x14ac:dyDescent="0.25">
      <c r="A34" t="s">
        <v>613</v>
      </c>
      <c r="B34" t="s">
        <v>575</v>
      </c>
      <c r="P34" t="s">
        <v>369</v>
      </c>
      <c r="T34" s="10" t="s">
        <v>449</v>
      </c>
      <c r="AC34" t="str">
        <f t="shared" si="315"/>
        <v>A5.2</v>
      </c>
      <c r="AD34" s="32" cm="1">
        <f t="array" ref="AD34">IF(COUNTIFS(AC$2:AC34,AC34)=1,"1",VALUE(SUBSTITUTE(INDEX(AD:AD,_xlfn.XMATCH(AC34,AC$1:AC33,0,-1)),"A",""))+INDEX(AE:AE,_xlfn.XMATCH(AC34,AC$1:AC33,0,-1))+1)</f>
        <v>4</v>
      </c>
      <c r="AE34" s="32" cm="1">
        <f t="array" ref="AE34">SUM(IF(ISNUMBER(FIND("TmDi",$BE$1:$AAL$1)),IF(IFERROR(ISNUMBER(VALUE(SUBSTITUTE($BE34:$AAL34,"B",""))),FALSE),IF(ISNUMBER(VALUE(SUBSTITUTE($BE34:$AAL34,"B",""))),1,0),0)))</f>
        <v>0</v>
      </c>
      <c r="AF34" t="str">
        <f t="shared" si="313"/>
        <v>C4</v>
      </c>
      <c r="AG34" t="str">
        <f t="shared" si="314"/>
        <v>B4</v>
      </c>
      <c r="AP34" t="s">
        <v>451</v>
      </c>
      <c r="AT34" t="s">
        <v>206</v>
      </c>
      <c r="AU34" t="s">
        <v>357</v>
      </c>
      <c r="LY34" s="20" t="str">
        <f t="shared" si="317"/>
        <v>DI2-C4</v>
      </c>
      <c r="MA34" t="s">
        <v>376</v>
      </c>
      <c r="MB34" t="s">
        <v>377</v>
      </c>
      <c r="MC34">
        <f t="shared" ref="MC34:MJ34" si="320">MC33</f>
        <v>11</v>
      </c>
      <c r="MD34">
        <f t="shared" si="320"/>
        <v>14</v>
      </c>
      <c r="ME34" t="str">
        <f t="shared" si="320"/>
        <v>A1</v>
      </c>
      <c r="MF34" t="str">
        <f t="shared" si="320"/>
        <v>A2</v>
      </c>
      <c r="MG34" t="str">
        <f t="shared" si="320"/>
        <v>0v3</v>
      </c>
      <c r="MH34" t="str">
        <f t="shared" si="320"/>
        <v>24v3</v>
      </c>
      <c r="MI34" t="str">
        <f t="shared" si="320"/>
        <v>0v6</v>
      </c>
      <c r="MJ34" t="str">
        <f t="shared" si="320"/>
        <v>24v6</v>
      </c>
      <c r="MQ34">
        <f t="shared" ref="MQ34:MR34" si="321">MQ33</f>
        <v>1</v>
      </c>
      <c r="MR34" s="12">
        <f t="shared" si="321"/>
        <v>2</v>
      </c>
    </row>
    <row r="35" spans="1:356" x14ac:dyDescent="0.25">
      <c r="A35" t="s">
        <v>614</v>
      </c>
      <c r="B35" t="s">
        <v>576</v>
      </c>
      <c r="P35" t="s">
        <v>369</v>
      </c>
      <c r="T35" s="10" t="s">
        <v>449</v>
      </c>
      <c r="AC35" t="str">
        <f t="shared" si="315"/>
        <v>A5.2</v>
      </c>
      <c r="AD35" s="32" cm="1">
        <f t="array" ref="AD35">IF(COUNTIFS(AC$2:AC35,AC35)=1,"1",VALUE(SUBSTITUTE(INDEX(AD:AD,_xlfn.XMATCH(AC35,AC$1:AC34,0,-1)),"A",""))+INDEX(AE:AE,_xlfn.XMATCH(AC35,AC$1:AC34,0,-1))+1)</f>
        <v>5</v>
      </c>
      <c r="AE35" s="32" cm="1">
        <f t="array" ref="AE35">SUM(IF(ISNUMBER(FIND("TmDi",$BE$1:$AAL$1)),IF(IFERROR(ISNUMBER(VALUE(SUBSTITUTE($BE35:$AAL35,"B",""))),FALSE),IF(ISNUMBER(VALUE(SUBSTITUTE($BE35:$AAL35,"B",""))),1,0),0)))</f>
        <v>0</v>
      </c>
      <c r="AF35" t="str">
        <f t="shared" si="313"/>
        <v>C5</v>
      </c>
      <c r="AG35" t="str">
        <f t="shared" si="314"/>
        <v>B5</v>
      </c>
      <c r="AP35" t="s">
        <v>451</v>
      </c>
      <c r="AT35" t="s">
        <v>206</v>
      </c>
      <c r="AU35" t="s">
        <v>357</v>
      </c>
      <c r="LY35" s="20" t="str">
        <f t="shared" si="317"/>
        <v>DI2-C5</v>
      </c>
      <c r="MA35" t="s">
        <v>378</v>
      </c>
      <c r="MB35" t="s">
        <v>379</v>
      </c>
      <c r="MC35">
        <f t="shared" ref="MC35:MJ35" si="322">MC34</f>
        <v>11</v>
      </c>
      <c r="MD35">
        <f t="shared" si="322"/>
        <v>14</v>
      </c>
      <c r="ME35" t="str">
        <f t="shared" si="322"/>
        <v>A1</v>
      </c>
      <c r="MF35" t="str">
        <f t="shared" si="322"/>
        <v>A2</v>
      </c>
      <c r="MG35" t="str">
        <f t="shared" si="322"/>
        <v>0v3</v>
      </c>
      <c r="MH35" t="str">
        <f t="shared" si="322"/>
        <v>24v3</v>
      </c>
      <c r="MI35" t="str">
        <f t="shared" si="322"/>
        <v>0v6</v>
      </c>
      <c r="MJ35" t="str">
        <f t="shared" si="322"/>
        <v>24v6</v>
      </c>
      <c r="MQ35">
        <f t="shared" ref="MQ35:MR35" si="323">MQ34</f>
        <v>1</v>
      </c>
      <c r="MR35" s="12">
        <f t="shared" si="323"/>
        <v>2</v>
      </c>
    </row>
    <row r="36" spans="1:356" x14ac:dyDescent="0.25">
      <c r="A36" t="s">
        <v>615</v>
      </c>
      <c r="B36" t="s">
        <v>577</v>
      </c>
      <c r="P36" t="s">
        <v>369</v>
      </c>
      <c r="T36" s="10" t="s">
        <v>449</v>
      </c>
      <c r="AC36" t="str">
        <f t="shared" si="315"/>
        <v>A5.2</v>
      </c>
      <c r="AD36" s="32" cm="1">
        <f t="array" ref="AD36">IF(COUNTIFS(AC$2:AC36,AC36)=1,"1",VALUE(SUBSTITUTE(INDEX(AD:AD,_xlfn.XMATCH(AC36,AC$1:AC35,0,-1)),"A",""))+INDEX(AE:AE,_xlfn.XMATCH(AC36,AC$1:AC35,0,-1))+1)</f>
        <v>6</v>
      </c>
      <c r="AE36" s="32" cm="1">
        <f t="array" ref="AE36">SUM(IF(ISNUMBER(FIND("TmDi",$BE$1:$AAL$1)),IF(IFERROR(ISNUMBER(VALUE(SUBSTITUTE($BE36:$AAL36,"B",""))),FALSE),IF(ISNUMBER(VALUE(SUBSTITUTE($BE36:$AAL36,"B",""))),1,0),0)))</f>
        <v>0</v>
      </c>
      <c r="AF36" t="str">
        <f t="shared" si="313"/>
        <v>C6</v>
      </c>
      <c r="AG36" t="str">
        <f t="shared" si="314"/>
        <v>B6</v>
      </c>
      <c r="AP36" t="s">
        <v>451</v>
      </c>
      <c r="AT36" t="s">
        <v>206</v>
      </c>
      <c r="AU36" t="s">
        <v>357</v>
      </c>
      <c r="LY36" s="20" t="str">
        <f t="shared" si="317"/>
        <v>DI2-C6</v>
      </c>
      <c r="MA36" t="s">
        <v>380</v>
      </c>
      <c r="MB36" t="s">
        <v>381</v>
      </c>
      <c r="MC36">
        <f t="shared" ref="MC36:MJ36" si="324">MC35</f>
        <v>11</v>
      </c>
      <c r="MD36">
        <f t="shared" si="324"/>
        <v>14</v>
      </c>
      <c r="ME36" t="str">
        <f t="shared" si="324"/>
        <v>A1</v>
      </c>
      <c r="MF36" t="str">
        <f t="shared" si="324"/>
        <v>A2</v>
      </c>
      <c r="MG36" t="str">
        <f t="shared" si="324"/>
        <v>0v3</v>
      </c>
      <c r="MH36" t="str">
        <f t="shared" si="324"/>
        <v>24v3</v>
      </c>
      <c r="MI36" t="str">
        <f t="shared" si="324"/>
        <v>0v6</v>
      </c>
      <c r="MJ36" t="str">
        <f t="shared" si="324"/>
        <v>24v6</v>
      </c>
      <c r="MQ36">
        <f t="shared" ref="MQ36:MR36" si="325">MQ35</f>
        <v>1</v>
      </c>
      <c r="MR36" s="12">
        <f t="shared" si="325"/>
        <v>2</v>
      </c>
    </row>
    <row r="37" spans="1:356" x14ac:dyDescent="0.25">
      <c r="A37" t="s">
        <v>616</v>
      </c>
      <c r="B37" t="s">
        <v>578</v>
      </c>
      <c r="P37" t="s">
        <v>369</v>
      </c>
      <c r="T37" s="10" t="s">
        <v>449</v>
      </c>
      <c r="AC37" t="str">
        <f t="shared" si="315"/>
        <v>A5.2</v>
      </c>
      <c r="AD37" s="32" cm="1">
        <f t="array" ref="AD37">IF(COUNTIFS(AC$2:AC37,AC37)=1,"1",VALUE(SUBSTITUTE(INDEX(AD:AD,_xlfn.XMATCH(AC37,AC$1:AC36,0,-1)),"A",""))+INDEX(AE:AE,_xlfn.XMATCH(AC37,AC$1:AC36,0,-1))+1)</f>
        <v>7</v>
      </c>
      <c r="AE37" s="32" cm="1">
        <f t="array" ref="AE37">SUM(IF(ISNUMBER(FIND("TmDi",$BE$1:$AAL$1)),IF(IFERROR(ISNUMBER(VALUE(SUBSTITUTE($BE37:$AAL37,"B",""))),FALSE),IF(ISNUMBER(VALUE(SUBSTITUTE($BE37:$AAL37,"B",""))),1,0),0)))</f>
        <v>0</v>
      </c>
      <c r="AF37" t="str">
        <f t="shared" si="313"/>
        <v>C7</v>
      </c>
      <c r="AG37" t="str">
        <f t="shared" si="314"/>
        <v>B7</v>
      </c>
      <c r="AP37" t="s">
        <v>451</v>
      </c>
      <c r="AT37" t="s">
        <v>206</v>
      </c>
      <c r="AU37" t="s">
        <v>357</v>
      </c>
      <c r="LY37" s="20" t="str">
        <f t="shared" si="317"/>
        <v>DI2-C7</v>
      </c>
      <c r="MA37" t="s">
        <v>382</v>
      </c>
      <c r="MB37" t="s">
        <v>383</v>
      </c>
      <c r="MC37">
        <f t="shared" ref="MC37:MJ37" si="326">MC36</f>
        <v>11</v>
      </c>
      <c r="MD37">
        <f t="shared" si="326"/>
        <v>14</v>
      </c>
      <c r="ME37" t="str">
        <f t="shared" si="326"/>
        <v>A1</v>
      </c>
      <c r="MF37" t="str">
        <f t="shared" si="326"/>
        <v>A2</v>
      </c>
      <c r="MG37" t="str">
        <f t="shared" si="326"/>
        <v>0v3</v>
      </c>
      <c r="MH37" t="str">
        <f t="shared" si="326"/>
        <v>24v3</v>
      </c>
      <c r="MI37" t="str">
        <f t="shared" si="326"/>
        <v>0v6</v>
      </c>
      <c r="MJ37" t="str">
        <f t="shared" si="326"/>
        <v>24v6</v>
      </c>
      <c r="MQ37">
        <f t="shared" ref="MQ37:MR37" si="327">MQ36</f>
        <v>1</v>
      </c>
      <c r="MR37" s="12">
        <f t="shared" si="327"/>
        <v>2</v>
      </c>
    </row>
    <row r="38" spans="1:356" x14ac:dyDescent="0.25">
      <c r="A38" t="s">
        <v>617</v>
      </c>
      <c r="B38" t="s">
        <v>579</v>
      </c>
      <c r="P38" t="s">
        <v>369</v>
      </c>
      <c r="T38" s="10" t="s">
        <v>449</v>
      </c>
      <c r="AC38" t="str">
        <f t="shared" si="315"/>
        <v>A5.2</v>
      </c>
      <c r="AD38" s="32" cm="1">
        <f t="array" ref="AD38">IF(COUNTIFS(AC$2:AC38,AC38)=1,"1",VALUE(SUBSTITUTE(INDEX(AD:AD,_xlfn.XMATCH(AC38,AC$1:AC37,0,-1)),"A",""))+INDEX(AE:AE,_xlfn.XMATCH(AC38,AC$1:AC37,0,-1))+1)</f>
        <v>8</v>
      </c>
      <c r="AE38" s="32" cm="1">
        <f t="array" ref="AE38">SUM(IF(ISNUMBER(FIND("TmDi",$BE$1:$AAL$1)),IF(IFERROR(ISNUMBER(VALUE(SUBSTITUTE($BE38:$AAL38,"B",""))),FALSE),IF(ISNUMBER(VALUE(SUBSTITUTE($BE38:$AAL38,"B",""))),1,0),0)))</f>
        <v>0</v>
      </c>
      <c r="AF38" t="str">
        <f t="shared" si="313"/>
        <v>C8</v>
      </c>
      <c r="AG38" t="str">
        <f t="shared" si="314"/>
        <v>B8</v>
      </c>
      <c r="AP38" t="s">
        <v>451</v>
      </c>
      <c r="AT38" t="s">
        <v>206</v>
      </c>
      <c r="AU38" t="s">
        <v>357</v>
      </c>
      <c r="LY38" s="20" t="str">
        <f t="shared" si="317"/>
        <v>DI2-C8</v>
      </c>
      <c r="MA38" t="s">
        <v>384</v>
      </c>
      <c r="MB38" t="s">
        <v>385</v>
      </c>
      <c r="MC38">
        <f t="shared" ref="MC38:MJ38" si="328">MC37</f>
        <v>11</v>
      </c>
      <c r="MD38">
        <f t="shared" si="328"/>
        <v>14</v>
      </c>
      <c r="ME38" t="str">
        <f t="shared" si="328"/>
        <v>A1</v>
      </c>
      <c r="MF38" t="str">
        <f t="shared" si="328"/>
        <v>A2</v>
      </c>
      <c r="MG38" t="str">
        <f t="shared" si="328"/>
        <v>0v3</v>
      </c>
      <c r="MH38" t="str">
        <f t="shared" si="328"/>
        <v>24v3</v>
      </c>
      <c r="MI38" t="str">
        <f t="shared" si="328"/>
        <v>0v6</v>
      </c>
      <c r="MJ38" t="str">
        <f t="shared" si="328"/>
        <v>24v6</v>
      </c>
      <c r="MQ38">
        <f t="shared" ref="MQ38:MR38" si="329">MQ37</f>
        <v>1</v>
      </c>
      <c r="MR38" s="12">
        <f t="shared" si="329"/>
        <v>2</v>
      </c>
    </row>
    <row r="39" spans="1:356" s="14" customFormat="1" ht="15.75" thickBot="1" x14ac:dyDescent="0.3">
      <c r="A39" s="14" t="s">
        <v>618</v>
      </c>
      <c r="B39" s="14" t="s">
        <v>580</v>
      </c>
      <c r="P39" s="14" t="s">
        <v>369</v>
      </c>
      <c r="T39" s="13" t="s">
        <v>449</v>
      </c>
      <c r="AC39" s="14" t="str">
        <f t="shared" si="315"/>
        <v>A5.2</v>
      </c>
      <c r="AD39" s="33" cm="1">
        <f t="array" ref="AD39">IF(COUNTIFS(AC$2:AC39,AC39)=1,"1",VALUE(SUBSTITUTE(INDEX(AD:AD,_xlfn.XMATCH(AC39,AC$1:AC38,0,-1)),"A",""))+INDEX(AE:AE,_xlfn.XMATCH(AC39,AC$1:AC38,0,-1))+1)</f>
        <v>9</v>
      </c>
      <c r="AE39" s="33" cm="1">
        <f t="array" ref="AE39">SUM(IF(ISNUMBER(FIND("TmDi",$BE$1:$AAL$1)),IF(IFERROR(ISNUMBER(VALUE(SUBSTITUTE($BE39:$AAL39,"B",""))),FALSE),IF(ISNUMBER(VALUE(SUBSTITUTE($BE39:$AAL39,"B",""))),1,0),0)))</f>
        <v>0</v>
      </c>
      <c r="AF39" s="14" t="str">
        <f t="shared" si="313"/>
        <v>C9</v>
      </c>
      <c r="AG39" s="14" t="str">
        <f t="shared" si="314"/>
        <v>B9</v>
      </c>
      <c r="AI39" s="43"/>
      <c r="AJ39" s="43"/>
      <c r="AP39" s="14" t="s">
        <v>451</v>
      </c>
      <c r="AT39" s="14" t="s">
        <v>206</v>
      </c>
      <c r="AU39" s="14" t="s">
        <v>357</v>
      </c>
      <c r="LY39" s="21" t="str">
        <f t="shared" si="317"/>
        <v>DI2-C9</v>
      </c>
      <c r="MA39" s="14" t="s">
        <v>386</v>
      </c>
      <c r="MB39" s="14" t="s">
        <v>387</v>
      </c>
      <c r="MC39" s="14">
        <f t="shared" ref="MC39:MJ39" si="330">MC38</f>
        <v>11</v>
      </c>
      <c r="MD39" s="14">
        <f t="shared" si="330"/>
        <v>14</v>
      </c>
      <c r="ME39" s="14" t="str">
        <f t="shared" si="330"/>
        <v>A1</v>
      </c>
      <c r="MF39" s="14" t="str">
        <f t="shared" si="330"/>
        <v>A2</v>
      </c>
      <c r="MG39" s="14" t="str">
        <f t="shared" si="330"/>
        <v>0v3</v>
      </c>
      <c r="MH39" s="14" t="str">
        <f t="shared" si="330"/>
        <v>24v3</v>
      </c>
      <c r="MI39" s="14" t="str">
        <f t="shared" si="330"/>
        <v>0v6</v>
      </c>
      <c r="MJ39" s="14" t="str">
        <f t="shared" si="330"/>
        <v>24v6</v>
      </c>
      <c r="MQ39" s="14">
        <f t="shared" ref="MQ39:MR39" si="331">MQ38</f>
        <v>1</v>
      </c>
      <c r="MR39" s="15">
        <f t="shared" si="331"/>
        <v>2</v>
      </c>
    </row>
  </sheetData>
  <autoFilter ref="P1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E23ED09F-8E6D-4E34-A76C-B0C163DB1637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12E7C4F2-281A-4DD4-9916-71F8A2EC0551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E5C7FCE8-2506-4901-9CC2-2A4DF93E2D62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2FE8DBF1-2874-4566-8DC7-EE24DF1F2D4A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13CDCB5E-888A-47EC-B886-E0D8F18C2DB3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6F23BEEE-F5EF-438D-8C09-CD5C0B068CCC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BE38A62A-5D17-4AFA-9833-C67F48C4672B}"/>
    </customSheetView>
  </customSheetViews>
  <phoneticPr fontId="2" type="noConversion"/>
  <conditionalFormatting sqref="A1">
    <cfRule type="duplicateValues" dxfId="9" priority="153"/>
  </conditionalFormatting>
  <conditionalFormatting sqref="A29:A1048576 A1:A12">
    <cfRule type="duplicateValues" dxfId="8" priority="128"/>
  </conditionalFormatting>
  <conditionalFormatting sqref="B8:B9 B1:B6 B13:B26 B28 B31:B1048576">
    <cfRule type="duplicateValues" dxfId="7" priority="138"/>
  </conditionalFormatting>
  <conditionalFormatting sqref="V1:V1048576">
    <cfRule type="duplicateValues" dxfId="6" priority="170"/>
  </conditionalFormatting>
  <conditionalFormatting sqref="V1:W1048576">
    <cfRule type="duplicateValues" dxfId="5" priority="154"/>
  </conditionalFormatting>
  <conditionalFormatting sqref="Y1:Y1048576">
    <cfRule type="cellIs" dxfId="4" priority="5" operator="greaterThan">
      <formula>8</formula>
    </cfRule>
    <cfRule type="cellIs" dxfId="3" priority="37" operator="equal">
      <formula>"Y:Y+Z:Z&gt;8"</formula>
    </cfRule>
  </conditionalFormatting>
  <conditionalFormatting sqref="AD1">
    <cfRule type="cellIs" dxfId="2" priority="35" operator="equal">
      <formula>"Y:Y+Z:Z&gt;8"</formula>
    </cfRule>
  </conditionalFormatting>
  <conditionalFormatting sqref="AD31:AD39">
    <cfRule type="cellIs" dxfId="1" priority="23" operator="equal">
      <formula>"Y:Y+Z:Z&gt;8"</formula>
    </cfRule>
  </conditionalFormatting>
  <conditionalFormatting sqref="AI1">
    <cfRule type="cellIs" dxfId="0" priority="32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2" t="s">
        <v>233</v>
      </c>
      <c r="B1" s="3" t="s">
        <v>235</v>
      </c>
      <c r="C1" s="3" t="s">
        <v>236</v>
      </c>
      <c r="D1" s="7" t="s">
        <v>234</v>
      </c>
    </row>
    <row r="2" spans="1:5" x14ac:dyDescent="0.25">
      <c r="A2" t="s">
        <v>230</v>
      </c>
      <c r="B2" t="s">
        <v>231</v>
      </c>
      <c r="C2" t="s">
        <v>232</v>
      </c>
      <c r="D2" t="s">
        <v>237</v>
      </c>
      <c r="E2" t="s">
        <v>361</v>
      </c>
    </row>
    <row r="3" spans="1:5" x14ac:dyDescent="0.25">
      <c r="A3" t="s">
        <v>238</v>
      </c>
      <c r="B3" t="s">
        <v>239</v>
      </c>
      <c r="C3" t="s">
        <v>232</v>
      </c>
      <c r="D3" t="s">
        <v>237</v>
      </c>
      <c r="E3" t="s">
        <v>361</v>
      </c>
    </row>
    <row r="4" spans="1:5" x14ac:dyDescent="0.25">
      <c r="A4" t="s">
        <v>240</v>
      </c>
      <c r="B4" t="s">
        <v>241</v>
      </c>
      <c r="C4" t="s">
        <v>232</v>
      </c>
      <c r="D4" t="s">
        <v>237</v>
      </c>
      <c r="E4" t="s">
        <v>361</v>
      </c>
    </row>
    <row r="5" spans="1:5" x14ac:dyDescent="0.25">
      <c r="A5" t="s">
        <v>242</v>
      </c>
      <c r="B5" t="s">
        <v>243</v>
      </c>
      <c r="C5" t="s">
        <v>232</v>
      </c>
      <c r="D5" t="s">
        <v>237</v>
      </c>
      <c r="E5" t="s">
        <v>361</v>
      </c>
    </row>
    <row r="6" spans="1:5" x14ac:dyDescent="0.25">
      <c r="A6" t="s">
        <v>244</v>
      </c>
      <c r="B6" t="s">
        <v>245</v>
      </c>
      <c r="C6" t="s">
        <v>232</v>
      </c>
      <c r="D6" t="s">
        <v>237</v>
      </c>
      <c r="E6" t="s">
        <v>361</v>
      </c>
    </row>
    <row r="7" spans="1:5" x14ac:dyDescent="0.25">
      <c r="A7" t="s">
        <v>246</v>
      </c>
      <c r="B7" t="s">
        <v>247</v>
      </c>
      <c r="C7" t="s">
        <v>232</v>
      </c>
      <c r="D7" t="s">
        <v>237</v>
      </c>
      <c r="E7" t="s">
        <v>361</v>
      </c>
    </row>
    <row r="8" spans="1:5" x14ac:dyDescent="0.25">
      <c r="A8" t="s">
        <v>248</v>
      </c>
      <c r="B8" t="s">
        <v>249</v>
      </c>
      <c r="C8" t="s">
        <v>232</v>
      </c>
      <c r="D8" t="s">
        <v>237</v>
      </c>
      <c r="E8" t="s">
        <v>361</v>
      </c>
    </row>
    <row r="9" spans="1:5" x14ac:dyDescent="0.25">
      <c r="A9" t="s">
        <v>250</v>
      </c>
      <c r="B9" t="s">
        <v>251</v>
      </c>
      <c r="C9" t="s">
        <v>232</v>
      </c>
      <c r="D9" t="s">
        <v>237</v>
      </c>
      <c r="E9" t="s">
        <v>361</v>
      </c>
    </row>
    <row r="10" spans="1:5" x14ac:dyDescent="0.25">
      <c r="A10" t="s">
        <v>253</v>
      </c>
      <c r="B10" t="s">
        <v>252</v>
      </c>
      <c r="C10" t="s">
        <v>232</v>
      </c>
      <c r="D10" t="s">
        <v>237</v>
      </c>
      <c r="E10" t="s">
        <v>361</v>
      </c>
    </row>
    <row r="11" spans="1:5" x14ac:dyDescent="0.25">
      <c r="A11" t="s">
        <v>254</v>
      </c>
      <c r="B11" t="s">
        <v>255</v>
      </c>
      <c r="C11" t="s">
        <v>232</v>
      </c>
      <c r="D11" t="s">
        <v>237</v>
      </c>
      <c r="E11" t="s">
        <v>361</v>
      </c>
    </row>
    <row r="12" spans="1:5" x14ac:dyDescent="0.25">
      <c r="A12" t="s">
        <v>256</v>
      </c>
      <c r="B12" t="s">
        <v>257</v>
      </c>
      <c r="C12" t="s">
        <v>232</v>
      </c>
      <c r="D12" t="s">
        <v>237</v>
      </c>
      <c r="E12" t="s">
        <v>361</v>
      </c>
    </row>
    <row r="13" spans="1:5" x14ac:dyDescent="0.25">
      <c r="A13" t="s">
        <v>258</v>
      </c>
      <c r="B13" t="s">
        <v>259</v>
      </c>
      <c r="C13" t="s">
        <v>232</v>
      </c>
      <c r="D13" t="s">
        <v>237</v>
      </c>
      <c r="E13" t="s">
        <v>361</v>
      </c>
    </row>
    <row r="14" spans="1:5" x14ac:dyDescent="0.25">
      <c r="A14" t="s">
        <v>260</v>
      </c>
      <c r="B14" t="s">
        <v>261</v>
      </c>
      <c r="C14" t="s">
        <v>232</v>
      </c>
      <c r="D14" t="s">
        <v>237</v>
      </c>
      <c r="E14" t="s">
        <v>361</v>
      </c>
    </row>
    <row r="15" spans="1:5" x14ac:dyDescent="0.25">
      <c r="A15" t="s">
        <v>262</v>
      </c>
      <c r="B15" t="s">
        <v>263</v>
      </c>
      <c r="C15" t="s">
        <v>232</v>
      </c>
      <c r="D15" t="s">
        <v>237</v>
      </c>
      <c r="E15" t="s">
        <v>361</v>
      </c>
    </row>
    <row r="16" spans="1:5" x14ac:dyDescent="0.25">
      <c r="A16" t="s">
        <v>264</v>
      </c>
      <c r="B16" t="s">
        <v>265</v>
      </c>
      <c r="C16" t="s">
        <v>232</v>
      </c>
      <c r="D16" t="s">
        <v>237</v>
      </c>
      <c r="E16" t="s">
        <v>361</v>
      </c>
    </row>
    <row r="17" spans="1:5" x14ac:dyDescent="0.25">
      <c r="A17" t="s">
        <v>266</v>
      </c>
      <c r="B17" t="s">
        <v>267</v>
      </c>
      <c r="C17" t="s">
        <v>232</v>
      </c>
      <c r="D17" t="s">
        <v>237</v>
      </c>
      <c r="E17" t="s">
        <v>361</v>
      </c>
    </row>
    <row r="18" spans="1:5" x14ac:dyDescent="0.25">
      <c r="A18" t="s">
        <v>268</v>
      </c>
      <c r="B18" t="s">
        <v>396</v>
      </c>
      <c r="C18" t="s">
        <v>269</v>
      </c>
      <c r="D18" t="s">
        <v>237</v>
      </c>
      <c r="E18" t="s">
        <v>361</v>
      </c>
    </row>
    <row r="19" spans="1:5" x14ac:dyDescent="0.25">
      <c r="A19" t="s">
        <v>348</v>
      </c>
      <c r="B19" t="s">
        <v>398</v>
      </c>
      <c r="C19" t="s">
        <v>269</v>
      </c>
      <c r="D19" t="s">
        <v>237</v>
      </c>
      <c r="E19" t="s">
        <v>361</v>
      </c>
    </row>
    <row r="20" spans="1:5" x14ac:dyDescent="0.25">
      <c r="A20" t="s">
        <v>349</v>
      </c>
      <c r="B20" t="s">
        <v>399</v>
      </c>
      <c r="C20" t="s">
        <v>269</v>
      </c>
      <c r="D20" t="s">
        <v>237</v>
      </c>
      <c r="E20" t="s">
        <v>361</v>
      </c>
    </row>
    <row r="21" spans="1:5" x14ac:dyDescent="0.25">
      <c r="A21" t="s">
        <v>350</v>
      </c>
      <c r="B21" t="s">
        <v>400</v>
      </c>
      <c r="C21" t="s">
        <v>269</v>
      </c>
      <c r="D21" t="s">
        <v>237</v>
      </c>
      <c r="E21" t="s">
        <v>361</v>
      </c>
    </row>
    <row r="22" spans="1:5" x14ac:dyDescent="0.25">
      <c r="A22" t="s">
        <v>351</v>
      </c>
      <c r="B22" t="s">
        <v>401</v>
      </c>
      <c r="C22" t="s">
        <v>269</v>
      </c>
      <c r="D22" t="s">
        <v>237</v>
      </c>
      <c r="E22" t="s">
        <v>361</v>
      </c>
    </row>
    <row r="23" spans="1:5" x14ac:dyDescent="0.25">
      <c r="A23" t="s">
        <v>352</v>
      </c>
      <c r="B23" t="s">
        <v>402</v>
      </c>
      <c r="C23" t="s">
        <v>269</v>
      </c>
      <c r="D23" t="s">
        <v>237</v>
      </c>
      <c r="E23" t="s">
        <v>361</v>
      </c>
    </row>
    <row r="24" spans="1:5" x14ac:dyDescent="0.25">
      <c r="A24" t="s">
        <v>353</v>
      </c>
      <c r="B24" t="s">
        <v>403</v>
      </c>
      <c r="C24" t="s">
        <v>269</v>
      </c>
      <c r="D24" t="s">
        <v>237</v>
      </c>
      <c r="E24" t="s">
        <v>361</v>
      </c>
    </row>
    <row r="25" spans="1:5" x14ac:dyDescent="0.25">
      <c r="A25" t="s">
        <v>358</v>
      </c>
      <c r="B25" t="s">
        <v>397</v>
      </c>
      <c r="C25" t="s">
        <v>359</v>
      </c>
      <c r="D25" t="s">
        <v>237</v>
      </c>
      <c r="E25" t="s">
        <v>362</v>
      </c>
    </row>
    <row r="26" spans="1:5" x14ac:dyDescent="0.25">
      <c r="A26" t="s">
        <v>360</v>
      </c>
      <c r="B26" t="s">
        <v>395</v>
      </c>
      <c r="C26" t="s">
        <v>269</v>
      </c>
      <c r="D26" t="s">
        <v>237</v>
      </c>
      <c r="E26" t="s">
        <v>363</v>
      </c>
    </row>
    <row r="27" spans="1:5" x14ac:dyDescent="0.25">
      <c r="A27" t="s">
        <v>388</v>
      </c>
      <c r="B27" t="s">
        <v>507</v>
      </c>
      <c r="C27" t="s">
        <v>515</v>
      </c>
      <c r="D27" t="s">
        <v>237</v>
      </c>
      <c r="E27" t="s">
        <v>363</v>
      </c>
    </row>
    <row r="28" spans="1:5" x14ac:dyDescent="0.25">
      <c r="A28" t="s">
        <v>388</v>
      </c>
      <c r="B28" t="s">
        <v>511</v>
      </c>
      <c r="C28" t="s">
        <v>232</v>
      </c>
      <c r="D28" t="s">
        <v>237</v>
      </c>
      <c r="E28" t="s">
        <v>363</v>
      </c>
    </row>
    <row r="29" spans="1:5" x14ac:dyDescent="0.25">
      <c r="A29" t="s">
        <v>389</v>
      </c>
      <c r="B29" t="s">
        <v>508</v>
      </c>
      <c r="C29" t="s">
        <v>232</v>
      </c>
      <c r="D29" t="s">
        <v>237</v>
      </c>
      <c r="E29" t="s">
        <v>363</v>
      </c>
    </row>
    <row r="30" spans="1:5" x14ac:dyDescent="0.25">
      <c r="A30" t="s">
        <v>389</v>
      </c>
      <c r="B30" t="s">
        <v>512</v>
      </c>
      <c r="C30" t="s">
        <v>232</v>
      </c>
      <c r="D30" t="s">
        <v>237</v>
      </c>
      <c r="E30" t="s">
        <v>363</v>
      </c>
    </row>
    <row r="31" spans="1:5" x14ac:dyDescent="0.25">
      <c r="A31" t="s">
        <v>390</v>
      </c>
      <c r="B31" t="s">
        <v>509</v>
      </c>
      <c r="C31" t="s">
        <v>232</v>
      </c>
      <c r="D31" t="s">
        <v>237</v>
      </c>
      <c r="E31" t="s">
        <v>361</v>
      </c>
    </row>
    <row r="32" spans="1:5" x14ac:dyDescent="0.25">
      <c r="A32" t="s">
        <v>390</v>
      </c>
      <c r="B32" t="s">
        <v>513</v>
      </c>
      <c r="C32" t="s">
        <v>232</v>
      </c>
      <c r="D32" t="s">
        <v>237</v>
      </c>
      <c r="E32" t="s">
        <v>361</v>
      </c>
    </row>
    <row r="33" spans="1:5" x14ac:dyDescent="0.25">
      <c r="A33" t="s">
        <v>391</v>
      </c>
      <c r="B33" t="s">
        <v>510</v>
      </c>
      <c r="C33" t="s">
        <v>232</v>
      </c>
      <c r="D33" t="s">
        <v>237</v>
      </c>
      <c r="E33" t="s">
        <v>361</v>
      </c>
    </row>
    <row r="34" spans="1:5" x14ac:dyDescent="0.25">
      <c r="A34" t="s">
        <v>391</v>
      </c>
      <c r="B34" t="s">
        <v>514</v>
      </c>
      <c r="C34" t="s">
        <v>232</v>
      </c>
      <c r="D34" t="s">
        <v>237</v>
      </c>
      <c r="E34" t="s">
        <v>361</v>
      </c>
    </row>
    <row r="35" spans="1:5" x14ac:dyDescent="0.25">
      <c r="A35" t="s">
        <v>392</v>
      </c>
      <c r="C35" t="s">
        <v>232</v>
      </c>
      <c r="D35" t="s">
        <v>393</v>
      </c>
    </row>
    <row r="36" spans="1:5" x14ac:dyDescent="0.25">
      <c r="A36" t="s">
        <v>392</v>
      </c>
      <c r="C36" t="s">
        <v>232</v>
      </c>
      <c r="D36" t="s">
        <v>394</v>
      </c>
    </row>
    <row r="37" spans="1:5" x14ac:dyDescent="0.25">
      <c r="A37" t="s">
        <v>237</v>
      </c>
      <c r="B37" t="s">
        <v>231</v>
      </c>
      <c r="C37" t="s">
        <v>232</v>
      </c>
      <c r="D37" t="s">
        <v>393</v>
      </c>
    </row>
    <row r="38" spans="1:5" x14ac:dyDescent="0.25">
      <c r="A38" t="s">
        <v>237</v>
      </c>
      <c r="B38" t="s">
        <v>239</v>
      </c>
      <c r="C38" t="s">
        <v>232</v>
      </c>
      <c r="D38" t="s">
        <v>394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2025-07-25T06:49:50Z</dcterms:modified>
</cp:coreProperties>
</file>