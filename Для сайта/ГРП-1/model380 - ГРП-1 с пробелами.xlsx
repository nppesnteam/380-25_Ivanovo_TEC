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1\"/>
    </mc:Choice>
  </mc:AlternateContent>
  <xr:revisionPtr revIDLastSave="0" documentId="13_ncr:1_{8171E810-0B38-4722-8E2E-E1CA14C97104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Лист1!$P$1:$P$25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18" i="1" l="1"/>
  <c r="MA10" i="1"/>
  <c r="MA9" i="1"/>
  <c r="MA8" i="1"/>
  <c r="MA7" i="1"/>
  <c r="MA6" i="1"/>
  <c r="MA5" i="1"/>
  <c r="MA3" i="1"/>
  <c r="MA2" i="1"/>
  <c r="UH18" i="1"/>
  <c r="UI18" i="1" s="1"/>
  <c r="UF18" i="1"/>
  <c r="JZ5" i="1" l="1"/>
  <c r="KJ5" i="1"/>
  <c r="KK5" i="1" s="1"/>
  <c r="KL5" i="1" s="1"/>
  <c r="JZ6" i="1"/>
  <c r="AK13" i="1" l="1"/>
  <c r="HE13" i="1" s="1"/>
  <c r="AL13" i="1"/>
  <c r="HF13" i="1" s="1"/>
  <c r="MS20" i="1" l="1"/>
  <c r="MS21" i="1" s="1"/>
  <c r="MS22" i="1" s="1"/>
  <c r="MS23" i="1" s="1"/>
  <c r="MS24" i="1" s="1"/>
  <c r="MS25" i="1" s="1"/>
  <c r="MR20" i="1"/>
  <c r="MR21" i="1" s="1"/>
  <c r="MR22" i="1" s="1"/>
  <c r="MR23" i="1" s="1"/>
  <c r="MR24" i="1" s="1"/>
  <c r="MR25" i="1" s="1"/>
  <c r="MK20" i="1"/>
  <c r="MK21" i="1" s="1"/>
  <c r="MK22" i="1" s="1"/>
  <c r="MK23" i="1" s="1"/>
  <c r="MK24" i="1" s="1"/>
  <c r="MK25" i="1" s="1"/>
  <c r="MJ20" i="1"/>
  <c r="MJ21" i="1" s="1"/>
  <c r="MJ22" i="1" s="1"/>
  <c r="MJ23" i="1" s="1"/>
  <c r="MJ24" i="1" s="1"/>
  <c r="MJ25" i="1" s="1"/>
  <c r="MI20" i="1"/>
  <c r="MI21" i="1" s="1"/>
  <c r="MI22" i="1" s="1"/>
  <c r="MI23" i="1" s="1"/>
  <c r="MI24" i="1" s="1"/>
  <c r="MI25" i="1" s="1"/>
  <c r="MH20" i="1"/>
  <c r="MH21" i="1" s="1"/>
  <c r="MH22" i="1" s="1"/>
  <c r="MH23" i="1" s="1"/>
  <c r="MH24" i="1" s="1"/>
  <c r="MH25" i="1" s="1"/>
  <c r="MG20" i="1"/>
  <c r="MG21" i="1" s="1"/>
  <c r="MG22" i="1" s="1"/>
  <c r="MG23" i="1" s="1"/>
  <c r="MG24" i="1" s="1"/>
  <c r="MG25" i="1" s="1"/>
  <c r="MF20" i="1"/>
  <c r="MF21" i="1" s="1"/>
  <c r="MF22" i="1" s="1"/>
  <c r="MF23" i="1" s="1"/>
  <c r="MF24" i="1" s="1"/>
  <c r="MF25" i="1" s="1"/>
  <c r="ME20" i="1"/>
  <c r="ME21" i="1" s="1"/>
  <c r="ME22" i="1" s="1"/>
  <c r="ME23" i="1" s="1"/>
  <c r="ME24" i="1" s="1"/>
  <c r="ME25" i="1" s="1"/>
  <c r="MD20" i="1"/>
  <c r="MD21" i="1" s="1"/>
  <c r="MD22" i="1" s="1"/>
  <c r="MD23" i="1" s="1"/>
  <c r="MD24" i="1" s="1"/>
  <c r="MD25" i="1" s="1"/>
  <c r="CW17" i="1"/>
  <c r="CV17" i="1"/>
  <c r="DH17" i="1"/>
  <c r="DG17" i="1"/>
  <c r="CT17" i="1"/>
  <c r="CS17" i="1"/>
  <c r="CR17" i="1"/>
  <c r="CQ17" i="1"/>
  <c r="CP17" i="1"/>
  <c r="CN17" i="1"/>
  <c r="CM17" i="1"/>
  <c r="CL17" i="1"/>
  <c r="BE17" i="1"/>
  <c r="CU17" i="1"/>
  <c r="CX17" i="1"/>
  <c r="CY17" i="1"/>
  <c r="CZ17" i="1"/>
  <c r="DA17" i="1"/>
  <c r="DB17" i="1"/>
  <c r="DC17" i="1"/>
  <c r="DD17" i="1"/>
  <c r="DE17" i="1"/>
  <c r="DF17" i="1"/>
  <c r="BE16" i="1" l="1"/>
  <c r="CL16" i="1"/>
  <c r="CM16" i="1"/>
  <c r="CN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CT15" i="1"/>
  <c r="CS15" i="1"/>
  <c r="DG15" i="1"/>
  <c r="DH15" i="1"/>
  <c r="DA15" i="1"/>
  <c r="DB15" i="1"/>
  <c r="DF15" i="1"/>
  <c r="DE15" i="1"/>
  <c r="DD15" i="1"/>
  <c r="DC15" i="1"/>
  <c r="CZ15" i="1"/>
  <c r="CY15" i="1"/>
  <c r="CX15" i="1"/>
  <c r="CW15" i="1"/>
  <c r="CV15" i="1"/>
  <c r="CU15" i="1"/>
  <c r="CR15" i="1"/>
  <c r="CQ15" i="1"/>
  <c r="CP15" i="1"/>
  <c r="CN15" i="1"/>
  <c r="CM15" i="1"/>
  <c r="CL15" i="1"/>
  <c r="BE15" i="1"/>
  <c r="IW14" i="1" l="1"/>
  <c r="IV14" i="1"/>
  <c r="GT14" i="1"/>
  <c r="HG14" i="1"/>
  <c r="HH14" i="1"/>
  <c r="HY14" i="1"/>
  <c r="HZ14" i="1"/>
  <c r="IA14" i="1"/>
  <c r="IB14" i="1"/>
  <c r="IG14" i="1"/>
  <c r="IH14" i="1"/>
  <c r="II14" i="1"/>
  <c r="IJ14" i="1"/>
  <c r="IK14" i="1"/>
  <c r="IL14" i="1"/>
  <c r="HH13" i="1"/>
  <c r="HG13" i="1"/>
  <c r="IL13" i="1"/>
  <c r="IK13" i="1"/>
  <c r="IJ13" i="1"/>
  <c r="II13" i="1"/>
  <c r="IH13" i="1"/>
  <c r="IG13" i="1"/>
  <c r="HZ13" i="1"/>
  <c r="HY13" i="1"/>
  <c r="IB13" i="1"/>
  <c r="IA13" i="1"/>
  <c r="GT13" i="1"/>
  <c r="LY12" i="1" l="1"/>
  <c r="UX11" i="1"/>
  <c r="UW11" i="1"/>
  <c r="VD11" i="1"/>
  <c r="UN11" i="1"/>
  <c r="LO10" i="1"/>
  <c r="LO9" i="1"/>
  <c r="LR8" i="1"/>
  <c r="LS8" i="1" s="1"/>
  <c r="LT8" i="1" s="1"/>
  <c r="LO8" i="1"/>
  <c r="LS7" i="1"/>
  <c r="LT7" i="1" s="1"/>
  <c r="LO7" i="1"/>
  <c r="VD4" i="1"/>
  <c r="VE4" i="1" s="1"/>
  <c r="VF4" i="1" s="1"/>
  <c r="UX4" i="1"/>
  <c r="UW4" i="1"/>
  <c r="UN4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LR9" i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Y2" i="1" a="1"/>
  <c r="Y2" i="1" s="1"/>
  <c r="X3" i="1"/>
  <c r="JZ3" i="1"/>
  <c r="JZ2" i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X6" i="1"/>
  <c r="X8" i="1" s="1"/>
  <c r="X9" i="1" s="1"/>
  <c r="Y5" i="1" a="1"/>
  <c r="Y5" i="1" s="1"/>
  <c r="LR10" i="1"/>
  <c r="LS10" i="1" s="1"/>
  <c r="LT10" i="1" s="1"/>
  <c r="LS9" i="1"/>
  <c r="LT9" i="1" s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AB5" i="1"/>
  <c r="AA5" i="1"/>
  <c r="X10" i="1"/>
  <c r="X14" i="1" s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KB5" i="1"/>
  <c r="KF5" i="1" s="1"/>
  <c r="KD5" i="1"/>
  <c r="KA5" i="1"/>
  <c r="KE5" i="1" s="1"/>
  <c r="KC5" i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KI6" i="1" a="1"/>
  <c r="KI6" i="1" s="1"/>
  <c r="KJ6" i="1" s="1"/>
  <c r="KK6" i="1" s="1"/>
  <c r="KL6" i="1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" i="1"/>
  <c r="KD2" i="1" s="1"/>
  <c r="AA2" i="1"/>
  <c r="KC2" i="1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KJ2" i="1"/>
  <c r="KK2" i="1" s="1"/>
  <c r="Z2" i="1" a="1"/>
  <c r="Z2" i="1" s="1"/>
  <c r="Y3" i="1" s="1" a="1"/>
  <c r="Y3" i="1" s="1"/>
  <c r="KI3" i="1" l="1" a="1"/>
  <c r="KI3" i="1" s="1"/>
  <c r="AA260" i="5"/>
  <c r="KC260" i="5" s="1"/>
  <c r="Z260" i="5" s="1" a="1"/>
  <c r="Z260" i="5" s="1"/>
  <c r="Y261" i="5" s="1" a="1"/>
  <c r="Y261" i="5" s="1"/>
  <c r="AB260" i="5"/>
  <c r="KD260" i="5" s="1"/>
  <c r="X262" i="5"/>
  <c r="AA3" i="1"/>
  <c r="KC3" i="1" s="1"/>
  <c r="AB3" i="1"/>
  <c r="KD3" i="1" s="1"/>
  <c r="Z3" i="1" l="1" a="1"/>
  <c r="Z3" i="1" s="1"/>
  <c r="KJ3" i="1"/>
  <c r="KK3" i="1" s="1"/>
  <c r="AB261" i="5"/>
  <c r="KD261" i="5" s="1"/>
  <c r="AA261" i="5"/>
  <c r="KC261" i="5" s="1"/>
  <c r="Z261" i="5" s="1" a="1"/>
  <c r="Z261" i="5" s="1"/>
  <c r="Y262" i="5" s="1" a="1"/>
  <c r="Y262" i="5" s="1"/>
  <c r="X263" i="5"/>
  <c r="Z5" i="1" l="1" a="1"/>
  <c r="Z5" i="1" s="1"/>
  <c r="Y6" i="1" s="1" a="1"/>
  <c r="Y6" i="1" s="1"/>
  <c r="AB262" i="5"/>
  <c r="KD262" i="5" s="1"/>
  <c r="AA262" i="5"/>
  <c r="KC262" i="5" s="1"/>
  <c r="Z262" i="5" s="1" a="1"/>
  <c r="Z262" i="5" s="1"/>
  <c r="Y263" i="5" s="1" a="1"/>
  <c r="Y263" i="5" s="1"/>
  <c r="X264" i="5"/>
  <c r="Y7" i="1" l="1" a="1"/>
  <c r="Y7" i="1" s="1"/>
  <c r="AA6" i="1"/>
  <c r="AB6" i="1"/>
  <c r="AB263" i="5"/>
  <c r="KD263" i="5" s="1"/>
  <c r="AA263" i="5"/>
  <c r="KC263" i="5" s="1"/>
  <c r="Z263" i="5" s="1" a="1"/>
  <c r="Z263" i="5" s="1"/>
  <c r="Y264" i="5" s="1" a="1"/>
  <c r="Y264" i="5" s="1"/>
  <c r="X265" i="5"/>
  <c r="KD6" i="1" l="1"/>
  <c r="KB6" i="1"/>
  <c r="KF6" i="1" s="1"/>
  <c r="KC6" i="1"/>
  <c r="KA6" i="1"/>
  <c r="KE6" i="1" s="1"/>
  <c r="AA7" i="1"/>
  <c r="LP7" i="1" s="1"/>
  <c r="AB7" i="1"/>
  <c r="LQ7" i="1" s="1"/>
  <c r="AB264" i="5"/>
  <c r="KD264" i="5" s="1"/>
  <c r="AA264" i="5"/>
  <c r="KC264" i="5" s="1"/>
  <c r="Z264" i="5" s="1" a="1"/>
  <c r="Z264" i="5" s="1"/>
  <c r="Y265" i="5" s="1" a="1"/>
  <c r="Y265" i="5" s="1"/>
  <c r="X266" i="5"/>
  <c r="Z7" i="1" l="1" a="1"/>
  <c r="Z7" i="1" s="1"/>
  <c r="Y8" i="1" s="1" a="1"/>
  <c r="Y8" i="1" s="1"/>
  <c r="AA8" i="1" s="1"/>
  <c r="LP8" i="1" s="1"/>
  <c r="Z6" i="1" a="1"/>
  <c r="Z6" i="1" s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Z8" i="1" l="1" a="1"/>
  <c r="Z8" i="1" s="1"/>
  <c r="Y9" i="1" s="1" a="1"/>
  <c r="Y9" i="1" s="1"/>
  <c r="AB9" i="1" s="1"/>
  <c r="LQ9" i="1" s="1"/>
  <c r="AB8" i="1"/>
  <c r="LQ8" i="1" s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AA9" i="1" l="1"/>
  <c r="LP9" i="1" s="1"/>
  <c r="Z9" i="1" s="1" a="1"/>
  <c r="Z9" i="1" s="1"/>
  <c r="Y10" i="1" s="1" a="1"/>
  <c r="Y10" i="1" s="1"/>
  <c r="AB10" i="1" s="1"/>
  <c r="LQ10" i="1" s="1"/>
  <c r="AB267" i="5"/>
  <c r="HH267" i="5" s="1"/>
  <c r="AA267" i="5"/>
  <c r="HG267" i="5" s="1"/>
  <c r="X273" i="5" a="1"/>
  <c r="X273" i="5" s="1"/>
  <c r="AA10" i="1" l="1"/>
  <c r="LP10" i="1" s="1"/>
  <c r="Z10" i="1" s="1" a="1"/>
  <c r="Z10" i="1" s="1"/>
  <c r="Y13" i="1" s="1" a="1"/>
  <c r="Y13" i="1" s="1"/>
  <c r="AA13" i="1" s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B13" i="1" l="1"/>
  <c r="AF268" i="5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HX13" i="1" l="1"/>
  <c r="HV13" i="1"/>
  <c r="HU13" i="1"/>
  <c r="HW13" i="1"/>
  <c r="AG4" i="1" l="1"/>
  <c r="MA4" i="1" s="1"/>
  <c r="US4" i="1" l="1"/>
  <c r="UR4" i="1"/>
  <c r="UV4" i="1" s="1"/>
  <c r="AF4" i="1"/>
  <c r="UT4" i="1" l="1"/>
  <c r="UQ4" i="1"/>
  <c r="UU4" i="1" l="1"/>
  <c r="AE4" i="1" s="1" a="1"/>
  <c r="AE4" i="1" s="1"/>
  <c r="AD11" i="1" l="1" a="1"/>
  <c r="AD11" i="1" s="1"/>
  <c r="AF11" i="1" l="1"/>
  <c r="AG11" i="1"/>
  <c r="MA11" i="1" s="1"/>
  <c r="US11" i="1" l="1"/>
  <c r="UR11" i="1"/>
  <c r="UV11" i="1" s="1"/>
  <c r="UQ11" i="1"/>
  <c r="UT11" i="1"/>
  <c r="UU11" i="1" l="1"/>
  <c r="AE11" i="1" a="1"/>
  <c r="AE11" i="1" s="1"/>
  <c r="AC12" i="1" s="1"/>
  <c r="AD12" i="1" l="1" a="1"/>
  <c r="AD12" i="1" s="1"/>
  <c r="AF12" i="1" s="1"/>
  <c r="AG12" i="1" l="1"/>
  <c r="LZ12" i="1" l="1"/>
  <c r="AE12" i="1" s="1" a="1"/>
  <c r="AE12" i="1" s="1"/>
  <c r="AC13" i="1" s="1"/>
  <c r="MA12" i="1"/>
  <c r="AD13" i="1" l="1" a="1"/>
  <c r="AD13" i="1" s="1"/>
  <c r="AF13" i="1" l="1"/>
  <c r="AG13" i="1"/>
  <c r="MA13" i="1" l="1"/>
  <c r="GV13" i="1"/>
  <c r="HL13" i="1" s="1"/>
  <c r="HJ13" i="1"/>
  <c r="GU13" i="1"/>
  <c r="HI13" i="1"/>
  <c r="AE13" i="1" l="1" a="1"/>
  <c r="AE13" i="1" s="1"/>
  <c r="AC14" i="1" s="1"/>
  <c r="AJ13" i="1" a="1"/>
  <c r="AJ13" i="1" s="1"/>
  <c r="AH14" i="1" s="1"/>
  <c r="AI14" i="1" s="1" a="1"/>
  <c r="AI14" i="1" s="1"/>
  <c r="AK14" i="1" s="1"/>
  <c r="Z13" i="1" a="1"/>
  <c r="Z13" i="1" s="1"/>
  <c r="Y14" i="1" s="1" a="1"/>
  <c r="Y14" i="1" s="1"/>
  <c r="HK13" i="1"/>
  <c r="AL14" i="1" l="1"/>
  <c r="HF14" i="1" s="1"/>
  <c r="HX14" i="1" s="1"/>
  <c r="AA14" i="1"/>
  <c r="AB14" i="1"/>
  <c r="AD14" i="1" a="1"/>
  <c r="AD14" i="1" s="1"/>
  <c r="HE14" i="1"/>
  <c r="HW14" i="1" s="1"/>
  <c r="HU14" i="1"/>
  <c r="HV14" i="1" l="1"/>
  <c r="AG14" i="1"/>
  <c r="AF14" i="1"/>
  <c r="GU14" i="1" l="1"/>
  <c r="HI14" i="1"/>
  <c r="MA14" i="1"/>
  <c r="HJ14" i="1"/>
  <c r="GV14" i="1"/>
  <c r="HL14" i="1" s="1"/>
  <c r="AJ14" i="1" l="1" a="1"/>
  <c r="AJ14" i="1" s="1"/>
  <c r="AH15" i="1" s="1"/>
  <c r="AI15" i="1" s="1" a="1"/>
  <c r="AI15" i="1" s="1"/>
  <c r="AK15" i="1" s="1"/>
  <c r="AE14" i="1" a="1"/>
  <c r="AE14" i="1" s="1"/>
  <c r="AC15" i="1" s="1"/>
  <c r="Z14" i="1" a="1"/>
  <c r="Z14" i="1" s="1"/>
  <c r="HK14" i="1"/>
  <c r="AL15" i="1" l="1"/>
  <c r="BQ15" i="1" s="1"/>
  <c r="AD15" i="1" a="1"/>
  <c r="AD15" i="1" s="1"/>
  <c r="BP15" i="1"/>
  <c r="CF15" i="1"/>
  <c r="CG15" i="1" l="1"/>
  <c r="AG15" i="1"/>
  <c r="AF15" i="1"/>
  <c r="BS15" i="1"/>
  <c r="CK15" i="1" s="1"/>
  <c r="CI15" i="1"/>
  <c r="BR15" i="1"/>
  <c r="CJ15" i="1" s="1"/>
  <c r="CH15" i="1"/>
  <c r="BF15" i="1" l="1"/>
  <c r="BT15" i="1"/>
  <c r="BU15" i="1"/>
  <c r="MA15" i="1"/>
  <c r="BG15" i="1"/>
  <c r="BI15" i="1" l="1"/>
  <c r="BW15" i="1"/>
  <c r="BH15" i="1"/>
  <c r="BV15" i="1"/>
  <c r="BX15" i="1" l="1"/>
  <c r="BJ15" i="1"/>
  <c r="BY15" i="1"/>
  <c r="BK15" i="1"/>
  <c r="CA15" i="1" s="1"/>
  <c r="AE15" i="1" l="1" a="1"/>
  <c r="AE15" i="1" s="1"/>
  <c r="AC16" i="1" s="1"/>
  <c r="AJ15" i="1" a="1"/>
  <c r="AJ15" i="1" s="1"/>
  <c r="AH16" i="1" s="1"/>
  <c r="AI16" i="1" s="1" a="1"/>
  <c r="AI16" i="1" s="1"/>
  <c r="AK16" i="1" s="1"/>
  <c r="BZ15" i="1"/>
  <c r="AL16" i="1" l="1"/>
  <c r="BQ16" i="1" s="1"/>
  <c r="AD16" i="1" a="1"/>
  <c r="AD16" i="1" s="1"/>
  <c r="BP16" i="1"/>
  <c r="CF16" i="1"/>
  <c r="CG16" i="1" l="1"/>
  <c r="AF16" i="1"/>
  <c r="AG16" i="1"/>
  <c r="BR16" i="1"/>
  <c r="CJ16" i="1" s="1"/>
  <c r="CH16" i="1"/>
  <c r="BS16" i="1"/>
  <c r="CK16" i="1" s="1"/>
  <c r="CI16" i="1"/>
  <c r="BG16" i="1" l="1"/>
  <c r="BU16" i="1"/>
  <c r="MA16" i="1"/>
  <c r="BT16" i="1"/>
  <c r="BF16" i="1"/>
  <c r="BH16" i="1" l="1"/>
  <c r="BV16" i="1"/>
  <c r="BI16" i="1"/>
  <c r="BW16" i="1"/>
  <c r="BY16" i="1" l="1"/>
  <c r="BK16" i="1"/>
  <c r="CA16" i="1" s="1"/>
  <c r="BX16" i="1"/>
  <c r="BJ16" i="1"/>
  <c r="AE16" i="1" l="1" a="1"/>
  <c r="AE16" i="1" s="1"/>
  <c r="AC17" i="1" s="1"/>
  <c r="AJ16" i="1" a="1"/>
  <c r="AJ16" i="1" s="1"/>
  <c r="AH17" i="1" s="1"/>
  <c r="AI17" i="1" s="1" a="1"/>
  <c r="AI17" i="1" s="1"/>
  <c r="AK17" i="1" s="1"/>
  <c r="BZ16" i="1"/>
  <c r="AL17" i="1" l="1"/>
  <c r="BQ17" i="1" s="1"/>
  <c r="AD17" i="1" a="1"/>
  <c r="AD17" i="1" s="1"/>
  <c r="BP17" i="1"/>
  <c r="CF17" i="1"/>
  <c r="CG17" i="1" l="1"/>
  <c r="AG17" i="1"/>
  <c r="AF17" i="1"/>
  <c r="BR17" i="1"/>
  <c r="CJ17" i="1" s="1"/>
  <c r="CH17" i="1"/>
  <c r="BS17" i="1"/>
  <c r="CK17" i="1" s="1"/>
  <c r="CI17" i="1"/>
  <c r="BF17" i="1" l="1"/>
  <c r="BT17" i="1"/>
  <c r="MA17" i="1"/>
  <c r="BG17" i="1"/>
  <c r="BU17" i="1"/>
  <c r="BW17" i="1" l="1"/>
  <c r="BI17" i="1"/>
  <c r="BH17" i="1"/>
  <c r="BV17" i="1"/>
  <c r="BJ17" i="1" l="1"/>
  <c r="BX17" i="1"/>
  <c r="BY17" i="1"/>
  <c r="BK17" i="1"/>
  <c r="BM17" i="1" l="1"/>
  <c r="CC17" i="1" s="1"/>
  <c r="CA17" i="1"/>
  <c r="BZ17" i="1"/>
  <c r="BL17" i="1"/>
  <c r="CB17" i="1" s="1"/>
  <c r="AJ17" i="1" a="1"/>
  <c r="AJ17" i="1" s="1"/>
  <c r="AE17" i="1" a="1"/>
  <c r="AE17" i="1" s="1"/>
  <c r="AD19" i="1" s="1" a="1"/>
  <c r="AD19" i="1" s="1"/>
  <c r="AG19" i="1" l="1"/>
  <c r="MA19" i="1" s="1"/>
  <c r="AF19" i="1"/>
  <c r="LZ19" i="1" s="1"/>
  <c r="AE19" i="1" s="1" a="1"/>
  <c r="AE19" i="1" s="1"/>
  <c r="AC20" i="1" s="1"/>
  <c r="AD20" i="1" l="1" a="1"/>
  <c r="AD20" i="1" s="1"/>
  <c r="AF20" i="1" l="1"/>
  <c r="LZ20" i="1" s="1"/>
  <c r="AE20" i="1" s="1" a="1"/>
  <c r="AE20" i="1" s="1"/>
  <c r="AC21" i="1" s="1"/>
  <c r="AG20" i="1"/>
  <c r="MA20" i="1" s="1"/>
  <c r="AD21" i="1" l="1" a="1"/>
  <c r="AD21" i="1" s="1"/>
  <c r="AG21" i="1" l="1"/>
  <c r="MA21" i="1" s="1"/>
  <c r="AF21" i="1"/>
  <c r="LZ21" i="1" s="1"/>
  <c r="AE21" i="1" s="1" a="1"/>
  <c r="AE21" i="1" s="1"/>
  <c r="AC22" i="1" s="1"/>
  <c r="AD22" i="1" l="1" a="1"/>
  <c r="AD22" i="1" s="1"/>
  <c r="AF22" i="1" l="1"/>
  <c r="LZ22" i="1" s="1"/>
  <c r="AE22" i="1" s="1" a="1"/>
  <c r="AE22" i="1" s="1"/>
  <c r="AC23" i="1" s="1"/>
  <c r="AG22" i="1"/>
  <c r="MA22" i="1" s="1"/>
  <c r="AD23" i="1" l="1" a="1"/>
  <c r="AD23" i="1" s="1"/>
  <c r="AG23" i="1" l="1"/>
  <c r="MA23" i="1" s="1"/>
  <c r="AF23" i="1"/>
  <c r="LZ23" i="1" s="1"/>
  <c r="AE23" i="1" s="1" a="1"/>
  <c r="AE23" i="1" s="1"/>
  <c r="AC24" i="1" s="1"/>
  <c r="AD24" i="1" l="1" a="1"/>
  <c r="AD24" i="1" s="1"/>
  <c r="AF24" i="1" l="1"/>
  <c r="LZ24" i="1" s="1"/>
  <c r="AE24" i="1" s="1" a="1"/>
  <c r="AE24" i="1" s="1"/>
  <c r="AC25" i="1" s="1"/>
  <c r="AG24" i="1"/>
  <c r="MA24" i="1" s="1"/>
  <c r="AD25" i="1" l="1" a="1"/>
  <c r="AD25" i="1" s="1"/>
  <c r="AF25" i="1" l="1"/>
  <c r="LZ25" i="1" s="1"/>
  <c r="AE25" i="1" s="1" a="1"/>
  <c r="AE25" i="1" s="1"/>
  <c r="AG25" i="1"/>
  <c r="MA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tc={F5B4A413-8E9D-4E5D-A7E6-F8CAAC683CB0}</author>
    <author>tc={20090E64-8286-40F1-B1DA-DF6DD14D0F7A}</author>
    <author>tc={3E3B6129-7D3D-43E1-94E9-29EE39694C57}</author>
  </authors>
  <commentList>
    <comment ref="B5" authorId="0" shapeId="0" xr:uid="{00000000-0006-0000-00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4-20 или резистивный?</t>
      </text>
    </comment>
    <comment ref="B10" authorId="1" shapeId="0" xr:uid="{00000000-0006-0000-00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 активный или пассивный</t>
      </text>
    </comment>
    <comment ref="B12" authorId="2" shapeId="0" xr:uid="{00000000-0006-0000-00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sharedStrings.xml><?xml version="1.0" encoding="utf-8"?>
<sst xmlns="http://schemas.openxmlformats.org/spreadsheetml/2006/main" count="9227" uniqueCount="2172">
  <si>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</si>
  <si>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</si>
  <si>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</si>
  <si>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</si>
  <si>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</si>
  <si>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</si>
  <si>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</si>
  <si>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</si>
  <si>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</si>
  <si>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</si>
  <si>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</si>
  <si>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</si>
  <si>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</si>
  <si>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</si>
  <si>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</si>
  <si>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</si>
  <si>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</si>
  <si>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</si>
  <si>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</si>
  <si>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</si>
  <si>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</si>
  <si>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</si>
  <si>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</si>
  <si>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</si>
  <si>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</si>
  <si>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</si>
  <si>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</si>
  <si>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</si>
  <si>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</si>
  <si>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</si>
  <si>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</si>
  <si>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</si>
  <si>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</si>
  <si>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</si>
  <si>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</si>
  <si>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</si>
  <si>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</si>
  <si>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</si>
  <si>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</si>
  <si>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</si>
  <si>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</si>
  <si>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</si>
  <si>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</si>
  <si>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</si>
  <si>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</si>
  <si>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</si>
  <si>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</si>
  <si>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</si>
  <si>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</si>
  <si>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</si>
  <si>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</si>
  <si>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</si>
  <si>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</si>
  <si>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</si>
  <si>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</si>
  <si>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</si>
  <si>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</si>
  <si>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</si>
  <si>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</si>
  <si>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</si>
  <si>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</si>
  <si>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</si>
  <si>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</si>
  <si>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</si>
  <si>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</si>
  <si>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</si>
  <si>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</si>
  <si>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</si>
  <si>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</si>
  <si>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</si>
  <si>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</si>
  <si>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</si>
  <si>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</si>
  <si>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</si>
  <si>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</si>
  <si>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</si>
  <si>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</si>
  <si>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</si>
  <si>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</si>
  <si>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</si>
  <si>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</si>
  <si>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</si>
  <si>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</si>
  <si>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</si>
  <si>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</si>
  <si>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</si>
  <si>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</si>
  <si>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</si>
  <si>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</si>
  <si>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</si>
  <si>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</si>
  <si>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</si>
  <si>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</si>
  <si>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</si>
  <si>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</si>
  <si>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</si>
  <si>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</si>
  <si>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</si>
  <si>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</si>
  <si>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</si>
  <si>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</si>
  <si>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</si>
  <si>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</si>
  <si>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</si>
  <si>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</si>
  <si>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</si>
  <si>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</si>
  <si>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</si>
  <si>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</si>
  <si>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</si>
  <si>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</si>
  <si>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</si>
  <si>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</si>
  <si>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</si>
  <si>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</si>
  <si>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</si>
  <si>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</si>
  <si>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</si>
  <si>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</si>
  <si>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</si>
  <si>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</si>
  <si>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</si>
  <si>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</si>
  <si>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</si>
  <si>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</si>
  <si>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</si>
  <si>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</si>
  <si>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</si>
  <si>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</si>
  <si>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</si>
  <si>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</si>
  <si>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</si>
  <si>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</si>
  <si>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</si>
  <si>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</si>
  <si>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</si>
  <si>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</si>
  <si>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</si>
  <si>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</si>
  <si>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</si>
  <si>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</si>
  <si>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</si>
  <si>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</si>
  <si>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</si>
  <si>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</si>
  <si>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</si>
  <si>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</si>
  <si>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</si>
  <si>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</si>
  <si>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</si>
  <si>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</si>
  <si>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</si>
  <si>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</si>
  <si>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</si>
  <si>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</si>
  <si>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</si>
  <si>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</si>
  <si>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</si>
  <si>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</si>
  <si>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</si>
  <si>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</si>
  <si>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</si>
  <si>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</si>
  <si>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</si>
  <si>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</si>
  <si>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</si>
  <si>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</si>
  <si>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</si>
  <si>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</si>
  <si>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</si>
  <si>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</si>
  <si>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</si>
  <si>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</si>
  <si>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</si>
  <si>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</si>
  <si>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</si>
  <si>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</si>
  <si>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</si>
  <si>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</si>
  <si>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</si>
  <si>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</si>
  <si>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</si>
  <si>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</si>
  <si>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</si>
  <si>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</si>
  <si>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</si>
  <si>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</si>
  <si>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</si>
  <si>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</si>
  <si>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</si>
  <si>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</si>
  <si>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</si>
  <si>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</si>
  <si>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</si>
  <si>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</si>
  <si>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</si>
  <si>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</si>
  <si>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</si>
  <si>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</si>
  <si>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</si>
  <si>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</si>
  <si>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</si>
  <si>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</si>
  <si>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</si>
  <si>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</si>
  <si>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</si>
  <si>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</si>
  <si>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</si>
  <si>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</si>
  <si>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</si>
  <si>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</si>
  <si>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</si>
  <si>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</si>
  <si>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</si>
  <si>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</si>
  <si>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</si>
  <si>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</si>
  <si>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</si>
  <si>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</si>
  <si>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</si>
  <si>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</si>
  <si>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</si>
  <si>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</si>
  <si>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</si>
  <si>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</si>
  <si>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</si>
  <si>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</si>
  <si>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</si>
  <si>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</si>
  <si>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</si>
  <si>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</si>
  <si>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</si>
  <si>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</si>
  <si>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</si>
  <si>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</si>
  <si>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</si>
  <si>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</si>
  <si>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</si>
  <si>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</si>
  <si>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</si>
  <si>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</si>
  <si>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</si>
  <si>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</si>
  <si>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</si>
  <si>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</si>
  <si>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</si>
  <si>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</si>
  <si>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</si>
  <si>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</si>
  <si>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</si>
  <si>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</si>
  <si>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</si>
  <si>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</si>
  <si>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</si>
  <si>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</si>
  <si>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</si>
  <si>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</si>
  <si>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</si>
  <si>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</si>
  <si>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</si>
  <si>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</si>
  <si>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</si>
  <si>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</si>
  <si>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</si>
  <si>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</si>
  <si>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</si>
  <si>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</si>
  <si>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</si>
  <si>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</si>
  <si>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</si>
  <si>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</si>
  <si>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</si>
  <si>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</si>
  <si>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</si>
  <si>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</si>
  <si>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</si>
  <si>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</si>
  <si>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</si>
  <si>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</si>
  <si>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</si>
  <si>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</si>
  <si>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</si>
  <si>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</si>
  <si>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</si>
  <si>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</si>
  <si>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</si>
  <si>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</si>
  <si>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</si>
  <si>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</si>
  <si>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</si>
  <si>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</si>
  <si>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</si>
  <si>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</si>
  <si>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</si>
  <si>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</si>
  <si>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</si>
  <si>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</si>
  <si>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</si>
  <si>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</si>
  <si>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</si>
  <si>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</si>
  <si>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</si>
  <si>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</si>
  <si>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</si>
  <si>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</si>
  <si>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</si>
  <si>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</si>
  <si>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</si>
  <si>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</si>
  <si>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</si>
  <si>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</si>
  <si>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</si>
  <si>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</si>
  <si>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</si>
  <si>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</si>
  <si>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</si>
  <si>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</si>
  <si>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</si>
  <si>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</si>
  <si>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</si>
  <si>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</si>
  <si>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</si>
  <si>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</si>
  <si>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</si>
  <si>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</si>
  <si>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</si>
  <si>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</si>
  <si>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</si>
  <si>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</si>
  <si>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</si>
  <si>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</si>
  <si>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</si>
  <si>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</si>
  <si>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</si>
  <si>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</si>
  <si>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</si>
  <si>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</si>
  <si>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</si>
  <si>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</si>
  <si>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</si>
  <si>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</si>
  <si>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</si>
  <si>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</si>
  <si>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</si>
  <si>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</si>
  <si>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</si>
  <si>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</si>
  <si>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</si>
  <si>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</si>
  <si>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</si>
  <si>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</si>
  <si>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</si>
  <si>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</si>
  <si>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</si>
  <si>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</si>
  <si>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</si>
  <si>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</si>
  <si>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</si>
  <si>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</si>
  <si>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</si>
  <si>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</si>
  <si>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</si>
  <si>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</si>
  <si>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</si>
  <si>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</si>
  <si>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</si>
  <si>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</si>
  <si>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</si>
  <si>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</si>
  <si>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</si>
  <si>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</si>
  <si>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</si>
  <si>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</si>
  <si>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</si>
  <si>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</si>
  <si>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</si>
  <si>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</si>
  <si>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</si>
  <si>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</si>
  <si>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</si>
  <si>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</si>
  <si>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</si>
  <si>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</si>
  <si>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</si>
  <si>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</si>
  <si>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</si>
  <si>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</si>
  <si>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</si>
  <si>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</si>
  <si>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</si>
  <si>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</si>
  <si>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</si>
  <si>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</si>
  <si>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</si>
  <si>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</si>
  <si>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</si>
  <si>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</si>
  <si>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</si>
  <si>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</si>
  <si>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</si>
  <si>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</si>
  <si>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</si>
  <si>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</si>
  <si>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</si>
  <si>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</si>
  <si>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</si>
  <si>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</si>
  <si>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</si>
  <si>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</si>
  <si>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</si>
  <si>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</si>
  <si>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</si>
  <si>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</si>
  <si>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</si>
  <si>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</si>
  <si>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</si>
  <si>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</si>
  <si>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</si>
  <si>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</si>
  <si>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</si>
  <si>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</si>
  <si>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</si>
  <si>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</si>
  <si>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</si>
  <si>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</si>
  <si>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</si>
  <si>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</si>
  <si>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</si>
  <si>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</si>
  <si>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</si>
  <si>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</si>
  <si>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</si>
  <si>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</si>
  <si>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</si>
  <si>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</si>
  <si>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</si>
  <si>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</si>
  <si>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</si>
  <si>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</si>
  <si>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</si>
  <si>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</si>
  <si>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</si>
  <si>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</si>
  <si>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</si>
  <si>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</si>
  <si>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</si>
  <si>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</si>
  <si>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</si>
  <si>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</si>
  <si>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</si>
  <si>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</si>
  <si>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</si>
  <si>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</si>
  <si>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</si>
  <si>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</si>
  <si>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</si>
  <si>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</si>
  <si>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</si>
  <si>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</si>
  <si>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</si>
  <si>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</si>
  <si>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</si>
  <si>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</si>
  <si>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</si>
  <si>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</si>
  <si>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</si>
  <si>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</si>
  <si>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</si>
  <si>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</si>
  <si>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</si>
  <si>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</si>
  <si>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</si>
  <si>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</si>
  <si>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</si>
  <si>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</si>
  <si>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</si>
  <si>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</si>
  <si>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</si>
  <si>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</si>
  <si>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</si>
  <si>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</si>
  <si>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</si>
  <si>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</si>
  <si>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</si>
  <si>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</si>
  <si>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</si>
  <si>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</si>
  <si>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</si>
  <si>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</si>
  <si>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</si>
  <si>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</si>
  <si>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</si>
  <si>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</si>
  <si>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</si>
  <si>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</si>
  <si>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</si>
  <si>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</si>
  <si>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</si>
  <si>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</si>
  <si>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</si>
  <si>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</si>
  <si>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</si>
  <si>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</si>
  <si>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</si>
  <si>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</si>
  <si>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</si>
  <si>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</si>
  <si>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</si>
  <si>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</si>
  <si>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</si>
  <si>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</si>
  <si>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</si>
  <si>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</si>
  <si>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</si>
  <si>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</si>
  <si>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</si>
  <si>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</si>
  <si>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</si>
  <si>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</si>
  <si>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</si>
  <si>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</si>
  <si>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</si>
  <si>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</si>
  <si>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</si>
  <si>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</si>
  <si>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</si>
  <si>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</si>
  <si>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</si>
  <si>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</si>
  <si>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</si>
  <si>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</si>
  <si>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</si>
  <si>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</si>
  <si>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</si>
  <si>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</si>
  <si>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</si>
  <si>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</si>
  <si>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</si>
  <si>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</si>
  <si>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</si>
  <si>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</si>
  <si>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</si>
  <si>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</si>
  <si>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</si>
  <si>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</si>
  <si>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</si>
  <si>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</si>
  <si>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</si>
  <si>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</si>
  <si>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</si>
  <si>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</si>
  <si>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</si>
  <si>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</si>
  <si>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</si>
  <si>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</si>
  <si>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</si>
  <si>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</si>
  <si>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</si>
  <si>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</si>
  <si>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</si>
  <si>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</si>
  <si>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</si>
  <si>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</si>
  <si>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</si>
  <si>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</si>
  <si>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</si>
  <si>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</si>
  <si>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</si>
  <si>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</si>
  <si>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</si>
  <si>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</si>
  <si>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</si>
  <si>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</si>
  <si>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</si>
  <si>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</si>
  <si>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</si>
  <si>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</si>
  <si>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</si>
  <si>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</si>
  <si>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</si>
  <si>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</si>
  <si>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</si>
  <si>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</si>
  <si>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</si>
  <si>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</si>
  <si>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</si>
  <si>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</si>
  <si>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</si>
  <si>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</si>
  <si>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</si>
  <si>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</si>
  <si>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</si>
  <si>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</si>
  <si>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</si>
  <si>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</si>
  <si>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</si>
  <si>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</si>
  <si>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</si>
  <si>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</si>
  <si>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</si>
  <si>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</si>
  <si>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</si>
  <si>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</si>
  <si>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</si>
  <si>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</si>
  <si>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</si>
  <si>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</si>
  <si>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</si>
  <si>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</si>
  <si>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</si>
  <si>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</si>
  <si>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</si>
  <si>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</si>
  <si>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</si>
  <si>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</si>
  <si>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</si>
  <si>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</si>
  <si>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</si>
  <si>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</si>
  <si>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</si>
  <si>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</si>
  <si>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</si>
  <si>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</si>
  <si>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</si>
  <si>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</si>
  <si>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</si>
  <si>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</si>
  <si>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</si>
  <si>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</si>
  <si>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</si>
  <si>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</si>
  <si>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</si>
  <si>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</si>
  <si>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</si>
  <si>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</si>
  <si>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</si>
  <si>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</si>
  <si>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</si>
  <si>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</si>
  <si>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</si>
  <si>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</si>
  <si>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</si>
  <si>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</si>
  <si>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</si>
  <si>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</si>
  <si>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</si>
  <si>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</si>
  <si>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</si>
  <si>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</si>
  <si>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</si>
  <si>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</si>
  <si>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</si>
  <si>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</si>
  <si>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</si>
  <si>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</si>
  <si>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</si>
  <si>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</si>
  <si>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</si>
  <si>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</si>
  <si>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</si>
  <si>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</si>
  <si>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</si>
  <si>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</si>
  <si>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</si>
  <si>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</si>
  <si>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</si>
  <si>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</si>
  <si>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</si>
  <si>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</si>
  <si>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</si>
  <si>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</si>
  <si>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</si>
  <si>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</si>
  <si>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</si>
  <si>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</si>
  <si>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</si>
  <si>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</si>
  <si>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</si>
  <si>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</si>
  <si>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</si>
  <si>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</si>
  <si>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</si>
  <si>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</si>
  <si>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</si>
  <si>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</si>
  <si>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</si>
  <si>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</si>
  <si>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</si>
  <si>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</si>
  <si>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</si>
  <si>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</si>
  <si>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</si>
  <si>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</si>
  <si>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</si>
  <si>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</si>
  <si>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</si>
  <si>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</si>
  <si>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</si>
  <si>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</si>
  <si>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</si>
  <si>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</si>
  <si>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</si>
  <si>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</si>
  <si>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</si>
  <si>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</si>
  <si>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</si>
  <si>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</si>
  <si>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</si>
  <si>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</si>
  <si>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</si>
  <si>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</si>
  <si>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</si>
  <si>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</si>
  <si>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</si>
  <si>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</si>
  <si>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</si>
  <si>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</si>
  <si>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</si>
  <si>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</si>
  <si>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</si>
  <si>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</si>
  <si>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</si>
  <si>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</si>
  <si>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</si>
  <si>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</si>
  <si>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</si>
  <si>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</si>
  <si>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</si>
  <si>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</si>
  <si>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</si>
  <si>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</si>
  <si>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</si>
  <si>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</si>
  <si>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</si>
  <si>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</si>
  <si>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</si>
  <si>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</si>
  <si>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</si>
  <si>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</si>
  <si>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</si>
  <si>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</si>
  <si>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</si>
  <si>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</si>
  <si>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</si>
  <si>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</si>
  <si>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</si>
  <si>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</si>
  <si>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</si>
  <si>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</si>
  <si>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</si>
  <si>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</si>
  <si>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</si>
  <si>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</si>
  <si>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</si>
  <si>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</si>
  <si>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</si>
  <si>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</si>
  <si>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</si>
  <si>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</si>
  <si>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</si>
  <si>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</si>
  <si>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</si>
  <si>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</si>
  <si>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</si>
  <si>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</si>
  <si>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</si>
  <si>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</si>
  <si>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</si>
  <si>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</si>
  <si>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</si>
  <si>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</si>
  <si>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</si>
  <si>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</si>
  <si>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</si>
  <si>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</si>
  <si>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</si>
  <si>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</si>
  <si>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</si>
  <si>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</si>
  <si>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</si>
  <si>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</si>
  <si>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</si>
  <si>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</si>
  <si>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</si>
  <si>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</si>
  <si>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</si>
  <si>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</si>
  <si>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</si>
  <si>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</si>
  <si>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</si>
  <si>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</si>
  <si>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</si>
  <si>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</si>
  <si>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</si>
  <si>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</si>
  <si>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</si>
  <si>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</si>
  <si>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</si>
  <si>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</si>
  <si>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</si>
  <si>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</si>
  <si>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</si>
  <si>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</si>
  <si>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</si>
  <si>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</si>
  <si>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</si>
  <si>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</si>
  <si>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</si>
  <si>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</si>
  <si>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</si>
  <si>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</si>
  <si>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</si>
  <si>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</si>
  <si>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</si>
  <si>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</si>
  <si>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</si>
  <si>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</si>
  <si>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</si>
  <si>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</si>
  <si>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</si>
  <si>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</si>
  <si>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</si>
  <si>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</si>
  <si>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</si>
  <si>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</si>
  <si>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</si>
  <si>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</si>
  <si>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</si>
  <si>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</si>
  <si>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</si>
  <si>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</si>
  <si>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</si>
  <si>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</si>
  <si>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</si>
  <si>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</si>
  <si>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</si>
  <si>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</si>
  <si>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</si>
  <si>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</si>
  <si>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</si>
  <si>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</si>
  <si>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</si>
  <si>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</si>
  <si>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</si>
  <si>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</si>
  <si>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</si>
  <si>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</si>
  <si>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</si>
  <si>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</si>
  <si>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</si>
  <si>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</si>
  <si>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</si>
  <si>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</si>
  <si>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</si>
  <si>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</si>
  <si>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</si>
  <si>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</si>
  <si>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</si>
  <si>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</si>
  <si>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</si>
  <si>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</si>
  <si>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</si>
  <si>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</si>
  <si>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</si>
  <si>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</si>
  <si>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</si>
  <si>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</si>
  <si>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</si>
  <si>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</si>
  <si>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</si>
  <si>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</si>
  <si>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</si>
  <si>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</si>
  <si>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</si>
  <si>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</si>
  <si>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</si>
  <si>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</si>
  <si>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</si>
  <si>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</si>
  <si>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</si>
  <si>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</si>
  <si>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</si>
  <si>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</si>
  <si>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</si>
  <si>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</si>
  <si>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</si>
  <si>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</si>
  <si>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</si>
  <si>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</si>
  <si>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</si>
  <si>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</si>
  <si>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</si>
  <si>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</si>
  <si>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</si>
  <si>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</si>
  <si>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</si>
  <si>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</si>
  <si>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</si>
  <si>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</si>
  <si>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</si>
  <si>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</si>
  <si>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</si>
  <si>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</si>
  <si>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</si>
  <si>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</si>
  <si>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</si>
  <si>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</si>
  <si>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</si>
  <si>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</si>
  <si>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</si>
  <si>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</si>
  <si>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</si>
  <si>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</si>
  <si>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</si>
  <si>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</si>
  <si>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</si>
  <si>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</si>
  <si>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</si>
  <si>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</si>
  <si>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</si>
  <si>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</si>
  <si>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</si>
  <si>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</si>
  <si>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</si>
  <si>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</si>
  <si>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</si>
  <si>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</si>
  <si>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</si>
  <si>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</si>
  <si>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</si>
  <si>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</si>
  <si>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</si>
  <si>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</si>
  <si>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</si>
  <si>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</si>
  <si>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</si>
  <si>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</si>
  <si>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</si>
  <si>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</si>
  <si>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</si>
  <si>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</si>
  <si>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</si>
  <si>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</si>
  <si>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</si>
  <si>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</si>
  <si>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</si>
  <si>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</si>
  <si>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</si>
  <si>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</si>
  <si>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</si>
  <si>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</si>
  <si>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</si>
  <si>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</si>
  <si>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</si>
  <si>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</si>
  <si>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</si>
  <si>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</si>
  <si>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</si>
  <si>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</si>
  <si>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</si>
  <si>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</si>
  <si>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</si>
  <si>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</si>
  <si>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</si>
  <si>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</si>
  <si>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</si>
  <si>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</si>
  <si>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</si>
  <si>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</si>
  <si>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</si>
  <si>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</si>
  <si>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</si>
  <si>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</si>
  <si>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</si>
  <si>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</si>
  <si>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</si>
  <si>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</si>
  <si>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</si>
  <si>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</si>
  <si>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</si>
  <si>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</si>
  <si>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</si>
  <si>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</si>
  <si>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</si>
  <si>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</si>
  <si>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</si>
  <si>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</si>
  <si>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</si>
  <si>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</si>
  <si>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</si>
  <si>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</si>
  <si>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</si>
  <si>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</si>
  <si>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</si>
  <si>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</si>
  <si>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</si>
  <si>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</si>
  <si>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</si>
  <si>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</si>
  <si>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</si>
  <si>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</si>
  <si>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</si>
  <si>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</si>
  <si>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</si>
  <si>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</si>
  <si>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</si>
  <si>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</si>
  <si>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</si>
  <si>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</si>
  <si>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</si>
  <si>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</si>
  <si>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</si>
  <si>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</si>
  <si>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</si>
  <si>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</si>
  <si>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</si>
  <si>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</si>
  <si>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</si>
  <si>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</si>
  <si>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</si>
  <si>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</si>
  <si>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</si>
  <si>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</si>
  <si>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</si>
  <si>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</si>
  <si>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</si>
  <si>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</si>
  <si>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</si>
  <si>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</si>
  <si>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</si>
  <si>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</si>
  <si>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</si>
  <si>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</si>
  <si>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</si>
  <si>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</si>
  <si>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</si>
  <si>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</si>
  <si>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</si>
  <si>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</si>
  <si>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</si>
  <si>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</si>
  <si>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</si>
  <si>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</si>
  <si>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</si>
  <si>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</si>
  <si>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</si>
  <si>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</si>
  <si>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</si>
  <si>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</si>
  <si>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</si>
  <si>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</si>
  <si>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</si>
  <si>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</si>
  <si>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</si>
  <si>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</si>
  <si>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</si>
  <si>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</si>
  <si>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</si>
  <si>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</si>
  <si>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</si>
  <si>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</si>
  <si>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</si>
  <si>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</si>
  <si>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</si>
  <si>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</si>
  <si>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</si>
  <si>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</si>
  <si>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</si>
  <si>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</si>
  <si>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</si>
  <si>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</si>
  <si>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</si>
  <si>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</si>
  <si>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</si>
  <si>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</si>
  <si>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</si>
  <si>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</si>
  <si>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</si>
  <si>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</si>
  <si>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</si>
  <si>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</si>
  <si>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</si>
  <si>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</si>
  <si>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</si>
  <si>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</si>
  <si>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</si>
  <si>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</si>
  <si>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</si>
  <si>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</si>
  <si>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</si>
  <si>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</si>
  <si>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</si>
  <si>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</si>
  <si>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</si>
  <si>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</si>
  <si>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</si>
  <si>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</si>
  <si>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</si>
  <si>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</si>
  <si>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</si>
  <si>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</si>
  <si>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</si>
  <si>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</si>
  <si>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</si>
  <si>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</si>
  <si>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</si>
  <si>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</si>
  <si>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</si>
  <si>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</si>
  <si>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</si>
  <si>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</si>
  <si>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</si>
  <si>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</si>
  <si>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</si>
  <si>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</si>
  <si>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</si>
  <si>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</si>
  <si>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</si>
  <si>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</si>
  <si>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</si>
  <si>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</si>
  <si>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</si>
  <si>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</si>
  <si>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</si>
  <si>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</si>
  <si>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</si>
  <si>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</si>
  <si>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</si>
  <si>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</si>
  <si>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</si>
  <si>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</si>
  <si>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</si>
  <si>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</si>
  <si>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</si>
  <si>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</si>
  <si>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</si>
  <si>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</si>
  <si>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</si>
  <si>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</si>
  <si>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</si>
  <si>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</si>
  <si>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</si>
  <si>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</si>
  <si>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</si>
  <si>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</si>
  <si>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</si>
  <si>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</si>
  <si>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</si>
  <si>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</si>
  <si>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</si>
  <si>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</si>
  <si>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</si>
  <si>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</si>
  <si>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</si>
  <si>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</si>
  <si>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</si>
  <si>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</si>
  <si>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</si>
  <si>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</si>
  <si>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</si>
  <si>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</si>
  <si>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</si>
  <si>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</si>
  <si>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</si>
  <si>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</si>
  <si>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</si>
  <si>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</si>
  <si>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</si>
  <si>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</si>
  <si>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</si>
  <si>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</si>
  <si>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</si>
  <si>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</si>
  <si>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</si>
  <si>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</si>
  <si>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</si>
  <si>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</si>
  <si>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</si>
  <si>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</si>
  <si>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</si>
  <si>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</si>
  <si>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</si>
  <si>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</si>
  <si>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</si>
  <si>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</si>
  <si>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</si>
  <si>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</si>
  <si>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</si>
  <si>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</si>
  <si>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</si>
  <si>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</si>
  <si>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</si>
  <si>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</si>
  <si>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</si>
  <si>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</si>
  <si>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</si>
  <si>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</si>
  <si>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</si>
  <si>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</si>
  <si>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</si>
  <si>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</si>
  <si>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</si>
  <si>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</si>
  <si>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</si>
  <si>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</si>
  <si>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</si>
  <si>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</si>
  <si>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</si>
  <si>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</si>
  <si>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</si>
  <si>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</si>
  <si>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</si>
  <si>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</si>
  <si>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</si>
  <si>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</si>
  <si>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</si>
  <si>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</si>
  <si>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</si>
  <si>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</si>
  <si>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</si>
  <si>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</si>
  <si>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</si>
  <si>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</si>
  <si>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</si>
  <si>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</si>
  <si>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</si>
  <si>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</si>
  <si>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</si>
  <si>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</si>
  <si>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</si>
  <si>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</si>
  <si>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</si>
  <si>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</si>
  <si>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</si>
  <si>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</si>
  <si>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</si>
  <si>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</si>
  <si>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</si>
  <si>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</si>
  <si>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</si>
  <si>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</si>
  <si>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</si>
  <si>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</si>
  <si>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</si>
  <si>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</si>
  <si>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</si>
  <si>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</si>
  <si>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</si>
  <si>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</si>
  <si>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</si>
  <si>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</si>
  <si>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</si>
  <si>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</si>
  <si>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</si>
  <si>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</si>
  <si>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</si>
  <si>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</si>
  <si>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</si>
  <si>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</si>
  <si>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</si>
  <si>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</si>
  <si>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</si>
  <si>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</si>
  <si>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</si>
  <si>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</si>
  <si>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</si>
  <si>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</si>
  <si>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</si>
  <si>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</si>
  <si>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</si>
  <si>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</si>
  <si>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</si>
  <si>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</si>
  <si>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</si>
  <si>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</si>
  <si>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</si>
  <si>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</si>
  <si>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</si>
  <si>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</si>
  <si>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</si>
  <si>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</si>
  <si>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</si>
  <si>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</si>
  <si>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</si>
  <si>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</si>
  <si>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</si>
  <si>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</si>
  <si>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</si>
  <si>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</si>
  <si>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</si>
  <si>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</si>
  <si>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</si>
  <si>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</si>
  <si>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</si>
  <si>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</si>
  <si>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</si>
  <si>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</si>
  <si>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</si>
  <si>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</si>
  <si>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</si>
  <si>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</si>
  <si>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</si>
  <si>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</si>
  <si>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</si>
  <si>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</si>
  <si>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</si>
  <si>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</si>
  <si>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</si>
  <si>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</si>
  <si>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</si>
  <si>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</si>
  <si>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</si>
  <si>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</si>
  <si>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</si>
  <si>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</si>
  <si>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</si>
  <si>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</si>
  <si>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</si>
  <si>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</si>
  <si>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</si>
  <si>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</si>
  <si>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</si>
  <si>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</si>
  <si>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</si>
  <si>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</si>
  <si>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</si>
  <si>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</si>
  <si>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</si>
  <si>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</si>
  <si>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</si>
  <si>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</si>
  <si>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</si>
  <si>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</si>
  <si>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</si>
  <si>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</si>
  <si>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</si>
  <si>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</si>
  <si>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</si>
  <si>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</si>
  <si>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</si>
  <si>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</si>
  <si>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</si>
  <si>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</si>
  <si>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</si>
  <si>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</si>
  <si>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</si>
  <si>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</si>
  <si>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</si>
  <si>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</si>
  <si>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</si>
  <si>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</si>
  <si>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</si>
  <si>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</si>
  <si>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</si>
  <si>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</si>
  <si>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</si>
  <si>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</si>
  <si>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</si>
  <si>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</si>
  <si>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</si>
  <si>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</si>
  <si>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</si>
  <si>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</si>
  <si>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</si>
  <si>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</si>
  <si>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</si>
  <si>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</si>
  <si>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</si>
  <si>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</si>
  <si>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</si>
  <si>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</si>
  <si>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</si>
  <si>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</si>
  <si>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</si>
  <si>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</si>
  <si>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</si>
  <si>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</si>
  <si>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</si>
  <si>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</si>
  <si>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</si>
  <si>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</si>
  <si>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</si>
  <si>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</si>
  <si>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</si>
  <si>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</si>
  <si>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</si>
  <si>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</si>
  <si>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</si>
  <si>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</si>
  <si>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</si>
  <si>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</si>
  <si>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</si>
  <si>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</si>
  <si>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</si>
  <si>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</si>
  <si>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</si>
  <si>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</si>
  <si>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</si>
  <si>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</si>
  <si>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</si>
  <si>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</si>
  <si>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</si>
  <si>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</si>
  <si>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</si>
  <si>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</si>
  <si>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</si>
  <si>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</si>
  <si>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</si>
  <si>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</si>
  <si>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</si>
  <si>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</si>
  <si>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</si>
  <si>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</si>
  <si>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</si>
  <si>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</si>
  <si>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</si>
  <si>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</si>
  <si>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</si>
  <si>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</si>
  <si>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</si>
  <si>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</si>
  <si>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</si>
  <si>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</si>
  <si>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</si>
  <si>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</si>
  <si>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</si>
  <si>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</si>
  <si>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</si>
  <si>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</si>
  <si>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</si>
  <si>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</si>
  <si>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</si>
  <si>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</si>
  <si>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</si>
  <si>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</si>
  <si>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</si>
  <si>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</si>
  <si>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</si>
  <si>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</si>
  <si>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</si>
  <si>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</si>
  <si>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</si>
  <si>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</si>
  <si>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</si>
  <si>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</si>
  <si>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</si>
  <si>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</si>
  <si>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</si>
  <si>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</si>
  <si>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</si>
  <si>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</si>
  <si>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</si>
  <si>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</si>
  <si>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</si>
  <si>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</si>
  <si>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</si>
  <si>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</si>
  <si>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</si>
  <si>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</si>
  <si>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</si>
  <si>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</si>
  <si>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</si>
  <si>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</si>
  <si>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</si>
  <si>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</si>
  <si>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</si>
  <si>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</si>
  <si>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</si>
  <si>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</si>
  <si>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</si>
  <si>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</si>
  <si>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</si>
  <si>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</si>
  <si>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</si>
  <si>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</si>
  <si>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</si>
  <si>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</si>
  <si>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</si>
  <si>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</si>
  <si>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</si>
  <si>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</si>
  <si>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</si>
  <si>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</si>
  <si>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</si>
  <si>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</si>
  <si>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</si>
  <si>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</si>
  <si>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</si>
  <si>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</si>
  <si>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</si>
  <si>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</si>
  <si>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</si>
  <si>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</si>
  <si>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</si>
  <si>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</si>
  <si>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</si>
  <si>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</si>
  <si>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</si>
  <si>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</si>
  <si>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</si>
  <si>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</si>
  <si>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</si>
  <si>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</si>
  <si>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</si>
  <si>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</si>
  <si>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</si>
  <si>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</si>
  <si>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</si>
  <si>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</si>
  <si>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</si>
  <si>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</si>
  <si>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</si>
  <si>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</si>
  <si>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</si>
  <si>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</si>
  <si>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</si>
  <si>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</si>
  <si>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</si>
  <si>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</si>
  <si>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</si>
  <si>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</si>
  <si>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</si>
  <si>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</si>
  <si>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</si>
  <si>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</si>
  <si>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</si>
  <si>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</si>
  <si>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</si>
  <si>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</si>
  <si>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</si>
  <si>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</si>
  <si>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</si>
  <si>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</si>
  <si>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</si>
  <si>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</si>
  <si>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</si>
  <si>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</si>
  <si>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</si>
  <si>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</si>
  <si>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</si>
  <si>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</si>
  <si>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</si>
  <si>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</si>
  <si>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</si>
  <si>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</si>
  <si>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</si>
  <si>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</si>
  <si>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</si>
  <si>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</si>
  <si>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</si>
  <si>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</si>
  <si>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</si>
  <si>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</si>
  <si>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</si>
  <si>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</si>
  <si>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</si>
  <si>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</si>
  <si>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</si>
  <si>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</si>
  <si>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</si>
  <si>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</si>
  <si>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</si>
  <si>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</si>
  <si>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</si>
  <si>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</si>
  <si>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</si>
  <si>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</si>
  <si>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</si>
  <si>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</si>
  <si>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</si>
  <si>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</si>
  <si>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</si>
  <si>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</si>
  <si>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</si>
  <si>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</si>
  <si>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</si>
  <si>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</si>
  <si>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</si>
  <si>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</si>
  <si>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</si>
  <si>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</si>
  <si>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</si>
  <si>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</si>
  <si>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</si>
  <si>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</si>
  <si>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</si>
  <si>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</si>
  <si>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</si>
  <si>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</si>
  <si>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</si>
  <si>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</si>
  <si>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</si>
  <si>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</si>
  <si>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</si>
  <si>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</si>
  <si>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</si>
  <si>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</si>
  <si>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</si>
  <si>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</si>
  <si>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</si>
  <si>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</si>
  <si>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</si>
  <si>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</si>
  <si>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</si>
  <si>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</si>
  <si>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</si>
  <si>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</si>
  <si>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</si>
  <si>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</si>
  <si>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</si>
  <si>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</si>
  <si>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</si>
  <si>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</si>
  <si>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</si>
  <si>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</si>
  <si>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</si>
  <si>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</si>
  <si>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</si>
  <si>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</si>
  <si>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</si>
  <si>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</si>
  <si>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</si>
  <si>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</si>
  <si>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</si>
  <si>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</si>
  <si>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</si>
  <si>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</si>
  <si>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</si>
  <si>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</si>
  <si>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</si>
  <si>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</si>
  <si>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</si>
  <si>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</si>
  <si>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</si>
  <si>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</si>
  <si>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</si>
  <si>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</si>
  <si>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</si>
  <si>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</si>
  <si>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</si>
  <si>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</si>
  <si>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</si>
  <si>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</si>
  <si>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</si>
  <si>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</si>
  <si>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</si>
  <si>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</si>
  <si>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</si>
  <si>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</si>
  <si>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</si>
  <si>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</si>
  <si>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</si>
  <si>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</si>
  <si>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</si>
  <si>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</si>
  <si>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</si>
  <si>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</si>
  <si>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</si>
  <si>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</si>
  <si>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</si>
  <si>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</si>
  <si>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</si>
  <si>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</si>
  <si>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</si>
  <si>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</si>
  <si>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</si>
  <si>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</si>
  <si>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</si>
  <si>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</si>
  <si>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</si>
  <si>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</si>
  <si>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</si>
  <si>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</si>
  <si>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</si>
  <si>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</si>
  <si>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</si>
  <si>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</si>
  <si>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</si>
  <si>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</si>
  <si>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</si>
  <si>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</si>
  <si>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</si>
  <si>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</si>
  <si>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</si>
  <si>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</si>
  <si>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</si>
  <si>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</si>
  <si>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</si>
  <si>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</si>
  <si>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</si>
  <si>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</si>
  <si>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</si>
  <si>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</si>
  <si>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</si>
  <si>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</si>
  <si>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</si>
  <si>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</si>
  <si>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</si>
  <si>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</si>
  <si>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</si>
  <si>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</si>
  <si>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</si>
  <si>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</si>
  <si>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</si>
  <si>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</si>
  <si>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</si>
  <si>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</si>
  <si>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</si>
  <si>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</si>
  <si>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</si>
  <si>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</si>
  <si>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</si>
  <si>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</si>
  <si>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</si>
  <si>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</si>
  <si>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</si>
  <si>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</si>
  <si>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</si>
  <si>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</si>
  <si>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</si>
  <si>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</si>
  <si>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</si>
  <si>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</si>
  <si>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</si>
  <si>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</si>
  <si>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</si>
  <si>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</si>
  <si>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</si>
  <si>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</si>
  <si>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</si>
  <si>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</si>
  <si>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</si>
  <si>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</si>
  <si>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</si>
  <si>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</si>
  <si>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</si>
  <si>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</si>
  <si>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</si>
  <si>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</si>
  <si>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</si>
  <si>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</si>
  <si>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</si>
  <si>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</si>
  <si>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</si>
  <si>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</si>
  <si>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</si>
  <si>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</si>
  <si>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</si>
  <si>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</si>
  <si>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</si>
  <si>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</si>
  <si>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</si>
  <si>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</si>
  <si>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</si>
  <si>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</si>
  <si>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</si>
  <si>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</si>
  <si>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</si>
  <si>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</si>
  <si>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</si>
  <si>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</si>
  <si>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</si>
  <si>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</si>
  <si>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</si>
  <si>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</si>
  <si>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</si>
  <si>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</si>
  <si>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</si>
  <si>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</si>
  <si>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</si>
  <si>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</si>
  <si>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</si>
  <si>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</si>
  <si>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</si>
  <si>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</si>
  <si>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</si>
  <si>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</si>
  <si>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</si>
  <si>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</si>
  <si>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</si>
  <si>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</si>
  <si>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</si>
  <si>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</si>
  <si>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</si>
  <si>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</si>
  <si>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</si>
  <si>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</si>
  <si>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</si>
  <si>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</si>
  <si>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</si>
  <si>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</si>
  <si>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</si>
  <si>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</si>
  <si>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</si>
  <si>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</si>
  <si>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</si>
  <si>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</si>
  <si>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</si>
  <si>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</si>
  <si>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</si>
  <si>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</si>
  <si>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</si>
  <si>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</si>
  <si>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</si>
  <si>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</si>
  <si>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</si>
  <si>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</si>
  <si>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</si>
  <si>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</si>
  <si>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</si>
  <si>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</si>
  <si>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</si>
  <si>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</si>
  <si>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</si>
  <si>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</si>
  <si>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</si>
  <si>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</si>
  <si>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</si>
  <si>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</si>
  <si>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</si>
  <si>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</si>
  <si>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</si>
  <si>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</si>
  <si>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</si>
  <si>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</si>
  <si>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</si>
  <si>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</si>
  <si>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</si>
  <si>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</si>
  <si>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</si>
  <si>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</si>
  <si>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</si>
  <si>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</si>
  <si>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</si>
  <si>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</si>
  <si>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</si>
  <si>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</si>
  <si>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</si>
  <si>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</si>
  <si>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</si>
  <si>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</si>
  <si>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</si>
  <si>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</si>
  <si>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</si>
  <si>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</si>
  <si>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</si>
  <si>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</si>
  <si>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</si>
  <si>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</si>
  <si>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</si>
  <si>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</si>
  <si>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</si>
  <si>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</si>
  <si>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</si>
  <si>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</si>
  <si>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</si>
  <si>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</si>
  <si>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</si>
  <si>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</si>
  <si>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</si>
  <si>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</si>
  <si>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</si>
  <si>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</si>
  <si>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</si>
  <si>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</si>
  <si>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</si>
  <si>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</si>
  <si>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</si>
  <si>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</si>
  <si>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</si>
  <si>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</si>
  <si>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</si>
  <si>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</si>
  <si>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</si>
  <si>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</si>
  <si>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</si>
  <si>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</si>
  <si>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</si>
  <si>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</si>
  <si>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</si>
  <si>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</si>
  <si>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</si>
  <si>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</si>
  <si>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</si>
  <si>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</si>
  <si>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</si>
  <si>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</si>
  <si>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</si>
  <si>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</si>
  <si>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</si>
  <si>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</si>
  <si>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</si>
  <si>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</si>
  <si>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</si>
  <si>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</si>
  <si>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</si>
  <si>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</si>
  <si>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</si>
  <si>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</si>
  <si>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</si>
  <si>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</si>
  <si>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</si>
  <si>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</si>
  <si>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</si>
  <si>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</si>
  <si>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</si>
  <si>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</si>
  <si>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</si>
  <si>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</si>
  <si>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</si>
  <si>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</si>
  <si>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</si>
  <si>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</si>
  <si>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</si>
  <si>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</si>
  <si>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</si>
  <si>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</si>
  <si>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</si>
  <si>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</si>
  <si>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</si>
  <si>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</si>
  <si>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</si>
  <si>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</si>
  <si>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</si>
  <si>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</si>
  <si>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</si>
  <si>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</si>
  <si>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</si>
  <si>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</si>
  <si>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</si>
  <si>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</si>
  <si>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</si>
  <si>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</si>
  <si>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</si>
  <si>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</si>
  <si>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</si>
  <si>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</si>
  <si>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</si>
  <si>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</si>
  <si>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</si>
  <si>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</si>
  <si>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</si>
  <si>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</si>
  <si>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</si>
  <si>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</si>
  <si>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</si>
  <si>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</si>
  <si>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</si>
  <si>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</si>
  <si>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</si>
  <si>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</si>
  <si>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</si>
  <si>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</si>
  <si>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</si>
  <si>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</si>
  <si>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</si>
  <si>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</si>
  <si>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</si>
  <si>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</si>
  <si>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</si>
  <si>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</si>
  <si>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</si>
  <si>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</si>
  <si>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</si>
  <si>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</si>
  <si>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</si>
  <si>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</si>
  <si>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</si>
  <si>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</si>
  <si>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</si>
  <si>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</si>
  <si>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</si>
  <si>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</si>
  <si>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</si>
  <si>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</si>
  <si>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</si>
  <si>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</si>
  <si>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</si>
  <si>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</si>
  <si>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</si>
  <si>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</si>
  <si>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</si>
  <si>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</si>
  <si>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</si>
  <si>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</si>
  <si>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</si>
  <si>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</si>
  <si>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</si>
  <si>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</si>
  <si>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</si>
  <si>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</si>
  <si>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</si>
  <si>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E1-3</t>
  </si>
  <si>
    <t>E1-2</t>
  </si>
  <si>
    <t>E1-1</t>
  </si>
  <si>
    <t>E1EKE02CP151</t>
  </si>
  <si>
    <t>Засорение фильтра №2</t>
  </si>
  <si>
    <t>WppL</t>
  </si>
  <si>
    <t>WppDi1</t>
  </si>
  <si>
    <t>WppDi2</t>
  </si>
  <si>
    <t>E1-S9-L</t>
  </si>
  <si>
    <t>WppL2</t>
  </si>
  <si>
    <t>E1-S10-L</t>
  </si>
  <si>
    <t>XT7</t>
  </si>
  <si>
    <t>XT5</t>
  </si>
  <si>
    <t>XT10</t>
  </si>
  <si>
    <t>E1-S9-D1</t>
  </si>
  <si>
    <t>E1-S10-D1</t>
  </si>
  <si>
    <t>ЩА сущ. ГРП-1</t>
  </si>
  <si>
    <t>Температура на выходе ГРП-1 (15а)</t>
  </si>
  <si>
    <t>Температура на входе ГРП-1 (16а)</t>
  </si>
  <si>
    <t>E1-4</t>
  </si>
  <si>
    <t>E1-5</t>
  </si>
  <si>
    <t>A3.2</t>
  </si>
  <si>
    <t>Давление на выходе ГРП-1 (13а)</t>
  </si>
  <si>
    <t>Давление на входе ГРП-1 (14а)</t>
  </si>
  <si>
    <t>Давление после заслонки №1 (11а)</t>
  </si>
  <si>
    <t>Давление после заслонки №2 (12а)</t>
  </si>
  <si>
    <t>E1-6</t>
  </si>
  <si>
    <t>E1-7</t>
  </si>
  <si>
    <t>E1-8</t>
  </si>
  <si>
    <t>E1-9</t>
  </si>
  <si>
    <t>XT27</t>
  </si>
  <si>
    <t>XT28</t>
  </si>
  <si>
    <t>XT31</t>
  </si>
  <si>
    <t>XT32</t>
  </si>
  <si>
    <t>XT38</t>
  </si>
  <si>
    <t>XT39</t>
  </si>
  <si>
    <t>XT43</t>
  </si>
  <si>
    <t>XT44</t>
  </si>
  <si>
    <t>E1-30</t>
  </si>
  <si>
    <t>Загазованность в ГРП, 1 порог</t>
  </si>
  <si>
    <t>se0025</t>
  </si>
  <si>
    <t>Сигнализатор газов СТМ-10</t>
  </si>
  <si>
    <t>E1-S17-21</t>
  </si>
  <si>
    <t>E1-S17-23</t>
  </si>
  <si>
    <t>---</t>
  </si>
  <si>
    <t>Desc1</t>
  </si>
  <si>
    <t>Desc2</t>
  </si>
  <si>
    <t>Загазованность в ГРП, 2 порог</t>
  </si>
  <si>
    <t>Неисправность шкафа сборки задвижек</t>
  </si>
  <si>
    <t>E1-29</t>
  </si>
  <si>
    <t>Сборка СЗ ГРП-1 (E1CDA01GH002)</t>
  </si>
  <si>
    <t>X</t>
  </si>
  <si>
    <t>K2-05</t>
  </si>
  <si>
    <t>E1-GH2-EH</t>
  </si>
  <si>
    <t>Регулирующая заслонка №1</t>
  </si>
  <si>
    <t>E1-12</t>
  </si>
  <si>
    <t>E1-14</t>
  </si>
  <si>
    <t>se0026</t>
  </si>
  <si>
    <t>Регулирующая заслонка №2</t>
  </si>
  <si>
    <t>se0027</t>
  </si>
  <si>
    <t>E1-17</t>
  </si>
  <si>
    <t>E1-19</t>
  </si>
  <si>
    <t>Задвижка 2-Г</t>
  </si>
  <si>
    <t>E1-21</t>
  </si>
  <si>
    <t>se0028</t>
  </si>
  <si>
    <t>Задвижка 3-Г</t>
  </si>
  <si>
    <t>E1-24</t>
  </si>
  <si>
    <t>Дисковый затвор ГК-1</t>
  </si>
  <si>
    <t>E1-27</t>
  </si>
  <si>
    <t>T4</t>
  </si>
  <si>
    <t>name1</t>
  </si>
  <si>
    <t>name2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</si>
  <si>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</si>
  <si>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</si>
  <si>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</si>
  <si>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</si>
  <si>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</si>
  <si>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</si>
  <si>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</si>
  <si>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</si>
  <si>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</si>
  <si>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</si>
  <si>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</si>
  <si>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</si>
  <si>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</si>
  <si>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</si>
  <si>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</si>
  <si>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</si>
  <si>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</si>
  <si>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</si>
  <si>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</si>
  <si>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</si>
  <si>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</si>
  <si>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</si>
  <si>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</si>
  <si>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</si>
  <si>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</si>
  <si>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</si>
  <si>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</si>
  <si>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</si>
  <si>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</si>
  <si>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</si>
  <si>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</si>
  <si>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</si>
  <si>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</si>
  <si>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</si>
  <si>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</si>
  <si>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</si>
  <si>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</si>
  <si>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</si>
  <si>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</si>
  <si>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</si>
  <si>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</si>
  <si>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</si>
  <si>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</si>
  <si>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</si>
  <si>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</si>
  <si>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</si>
  <si>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</si>
  <si>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</si>
  <si>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</si>
  <si>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</si>
  <si>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</si>
  <si>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</si>
  <si>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</si>
  <si>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</si>
  <si>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</si>
  <si>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</si>
  <si>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</si>
  <si>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</si>
  <si>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</si>
  <si>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</si>
  <si>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</si>
  <si>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</si>
  <si>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XT30</t>
  </si>
  <si>
    <t>XT42</t>
  </si>
  <si>
    <t>Питание ввода №1 в норме (ГРП-1)</t>
  </si>
  <si>
    <t>Питание ввода №2 в норме (ГРП-1)</t>
  </si>
  <si>
    <t>Ввод 1 включен (ГРП-1)</t>
  </si>
  <si>
    <t>Ввод 2 включен (ГРП-1)</t>
  </si>
  <si>
    <t>Питание ИБП в норме (ГРП-1)</t>
  </si>
  <si>
    <t>Дверь шкафа открыта (ГРП-1)</t>
  </si>
  <si>
    <t>Switch</t>
  </si>
  <si>
    <t>Port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</si>
  <si>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</si>
  <si>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</si>
  <si>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</si>
  <si>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</si>
  <si>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</si>
  <si>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</si>
  <si>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</si>
  <si>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</si>
  <si>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GW01
Port3</t>
  </si>
  <si>
    <t>Узел учета газа</t>
  </si>
  <si>
    <t>E1-RS1</t>
  </si>
  <si>
    <t>Узел учёта газа</t>
  </si>
  <si>
    <t>Питание реле 24в включено (ГРП-1)</t>
  </si>
  <si>
    <t>E1EKE10 CP001</t>
  </si>
  <si>
    <t>E1EKE10 CP002</t>
  </si>
  <si>
    <t>E1EKE01 CP151</t>
  </si>
  <si>
    <t>E1EKG01 CT101</t>
  </si>
  <si>
    <t>E1EKA01 CT101</t>
  </si>
  <si>
    <t>E1EKG01 CP001</t>
  </si>
  <si>
    <t>E1EKA01 CP001</t>
  </si>
  <si>
    <t>E1EKD01 CP001</t>
  </si>
  <si>
    <t>E1EKD02 CP001</t>
  </si>
  <si>
    <t>E1UEN01 CQ001</t>
  </si>
  <si>
    <t>E1CDA01 GH002</t>
  </si>
  <si>
    <t>E1EKD01 AA801</t>
  </si>
  <si>
    <t>E1EKD02 AA801</t>
  </si>
  <si>
    <t>E1EKA01 AA001</t>
  </si>
  <si>
    <t>E1EKG11 AA001</t>
  </si>
  <si>
    <t>E1EKG12 AA001</t>
  </si>
  <si>
    <t>E1CJU01 GH001</t>
  </si>
  <si>
    <t>E1CJU01 GH002</t>
  </si>
  <si>
    <t>E1CJU01 GH003</t>
  </si>
  <si>
    <t>E1CJU01 GH004</t>
  </si>
  <si>
    <t>E1CJU01 GH005</t>
  </si>
  <si>
    <t>E1CJU01 GH006</t>
  </si>
  <si>
    <t>E1CJU01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</si>
</sst>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0" fontId="2" fillId="0" borderId="5" xfId="0" applyFont="1" applyBorder="1"/>
    <xf numFmtId="0" fontId="0" fillId="3" borderId="0" xfId="0" applyFill="1"/>
    <xf numFmtId="0" fontId="0" fillId="0" borderId="5" xfId="0" quotePrefix="1" applyBorder="1"/>
    <xf numFmtId="1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31" xfId="0" applyBorder="1"/>
    <xf numFmtId="0" fontId="1" fillId="0" borderId="0" xfId="0" applyFont="1"/>
  </cellXfs>
  <cellStyles count="1">
    <cellStyle name="Обычный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7-01T11:25:50.76" personId="{1BBA9C37-440F-4406-BC90-B03034B3364F}" id="{F5B4A413-8E9D-4E5D-A7E6-F8CAAC683CB0}">
    <text>4-20 или резистивный?</text>
  </threadedComment>
  <threadedComment ref="B10" dT="2025-07-01T11:25:21.18" personId="{1BBA9C37-440F-4406-BC90-B03034B3364F}" id="{20090E64-8286-40F1-B1DA-DF6DD14D0F7A}">
    <text>Непонятно активный или пассивный</text>
  </threadedComment>
  <threadedComment ref="B12" dT="2025-07-02T09:35:37.96" personId="{1BBA9C37-440F-4406-BC90-B03034B3364F}" id="{3E3B6129-7D3D-43E1-94E9-29EE39694C57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25"/>
  <sheetViews>
    <sheetView tabSelected="1" zoomScale="85" zoomScaleNormal="85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4" bestFit="1" customWidth="1"/>
    <col min="36" max="36" width="8.7109375" style="64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3" t="s">
        <v>1791</v>
      </c>
      <c r="AJ1" s="63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1997</v>
      </c>
      <c r="VH1" s="23" t="s">
        <v>2001</v>
      </c>
      <c r="VI1" s="23" t="s">
        <v>1998</v>
      </c>
      <c r="VJ1" s="23" t="s">
        <v>1999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2037</v>
      </c>
      <c r="VP1" s="20" t="s">
        <v>2038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2061</v>
      </c>
      <c r="WP1" s="19" t="s">
        <v>2062</v>
      </c>
      <c r="WQ1" s="20" t="s">
        <v>2063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2082</v>
      </c>
      <c r="XR1" t="s">
        <v>2081</v>
      </c>
      <c r="XS1" t="s">
        <v>2083</v>
      </c>
      <c r="XT1" t="s">
        <v>2080</v>
      </c>
      <c r="XU1" t="s">
        <v>2084</v>
      </c>
      <c r="XV1" t="s">
        <v>2079</v>
      </c>
      <c r="XW1" t="s">
        <v>2085</v>
      </c>
      <c r="XX1" t="s">
        <v>2078</v>
      </c>
      <c r="XY1" t="s">
        <v>2086</v>
      </c>
      <c r="XZ1" t="s">
        <v>2077</v>
      </c>
      <c r="YA1" t="s">
        <v>2076</v>
      </c>
      <c r="YB1" t="s">
        <v>2075</v>
      </c>
      <c r="YC1" t="s">
        <v>2074</v>
      </c>
      <c r="YD1" t="s">
        <v>2073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2088</v>
      </c>
      <c r="YL1" t="s">
        <v>2087</v>
      </c>
      <c r="YM1" t="s">
        <v>2090</v>
      </c>
      <c r="YN1" t="s">
        <v>2089</v>
      </c>
      <c r="YO1" t="s">
        <v>2092</v>
      </c>
      <c r="YP1" t="s">
        <v>2091</v>
      </c>
      <c r="YQ1" t="s">
        <v>2094</v>
      </c>
      <c r="YR1" t="s">
        <v>2093</v>
      </c>
      <c r="YS1" t="s">
        <v>2096</v>
      </c>
      <c r="YT1" t="s">
        <v>2095</v>
      </c>
      <c r="YU1" t="s">
        <v>2098</v>
      </c>
      <c r="YV1" t="s">
        <v>2097</v>
      </c>
      <c r="YW1" t="s">
        <v>2099</v>
      </c>
      <c r="YX1" t="s">
        <v>2100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2101</v>
      </c>
      <c r="ZI1" t="s">
        <v>2102</v>
      </c>
      <c r="ZJ1" t="s">
        <v>82</v>
      </c>
      <c r="ZK1" t="s">
        <v>2103</v>
      </c>
      <c r="ZL1" t="s">
        <v>83</v>
      </c>
      <c r="ZM1" t="s">
        <v>2104</v>
      </c>
      <c r="ZN1" t="s">
        <v>84</v>
      </c>
      <c r="ZO1" t="s">
        <v>2105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2106</v>
      </c>
      <c r="AAB1" t="s">
        <v>2107</v>
      </c>
      <c r="AAC1" t="s">
        <v>2037</v>
      </c>
      <c r="AAD1" t="s">
        <v>2038</v>
      </c>
      <c r="AAE1" t="s">
        <v>2108</v>
      </c>
      <c r="AAF1" t="s">
        <v>2109</v>
      </c>
      <c r="AAG1" t="s">
        <v>2110</v>
      </c>
      <c r="AAH1" t="s">
        <v>2111</v>
      </c>
      <c r="AAI1" t="s">
        <v>2112</v>
      </c>
      <c r="AAJ1" t="s">
        <v>2113</v>
      </c>
      <c r="AAK1" t="s">
        <v>2114</v>
      </c>
      <c r="AAL1" t="s">
        <v>2115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2116</v>
      </c>
      <c r="ABC1" t="s">
        <v>2117</v>
      </c>
      <c r="ABD1" t="s">
        <v>2118</v>
      </c>
      <c r="ABE1" t="s">
        <v>2119</v>
      </c>
      <c r="ABF1" t="s">
        <v>2120</v>
      </c>
      <c r="ABG1" s="16" t="s">
        <v>2121</v>
      </c>
      <c r="ABH1" s="19" t="s">
        <v>2037</v>
      </c>
      <c r="ABI1" s="20" t="s">
        <v>2038</v>
      </c>
      <c r="ABJ1" s="19" t="s">
        <v>2108</v>
      </c>
      <c r="ABK1" s="19" t="s">
        <v>2109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2122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2123</v>
      </c>
      <c r="ADX1" s="42" t="s">
        <v>2124</v>
      </c>
      <c r="ADY1" s="42" t="s">
        <v>2125</v>
      </c>
      <c r="ADZ1" s="42" t="s">
        <v>924</v>
      </c>
      <c r="AEA1" s="52" t="s">
        <v>925</v>
      </c>
      <c r="AEB1" s="53" t="s">
        <v>2134</v>
      </c>
      <c r="AEC1" s="42" t="s">
        <v>2135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7" t="s">
        <v>859</v>
      </c>
      <c r="AEO1" s="67" t="s">
        <v>858</v>
      </c>
      <c r="AEP1" s="67" t="s">
        <v>404</v>
      </c>
      <c r="AEQ1" s="67" t="s">
        <v>862</v>
      </c>
      <c r="AER1" s="67" t="s">
        <v>863</v>
      </c>
    </row>
    <row r="2" spans="1:824" x14ac:dyDescent="0.25">
      <c r="A2" t="s">
        <v>2149</v>
      </c>
      <c r="B2" t="s">
        <v>1980</v>
      </c>
      <c r="C2" t="s">
        <v>498</v>
      </c>
      <c r="P2" t="s">
        <v>482</v>
      </c>
      <c r="T2" s="10" t="s">
        <v>1984</v>
      </c>
      <c r="U2">
        <v>1</v>
      </c>
      <c r="V2" t="s">
        <v>1994</v>
      </c>
      <c r="X2" t="s">
        <v>400</v>
      </c>
      <c r="Y2" s="43" t="str">
        <f t="array" ref="Y2">IF(COUNTIFS($X$2:$X2,$X2)=1,"1",VALUE(SUBSTITUTE(INDEX(Y:Y,_xlfn.XMATCH($X2,$X$1:$X1,0,-1)),"A",""))+INDEX(Z:Z,_xlfn.XMATCH($X2,$X$1:$X1,0,-1))+1)</f>
        <v>1</v>
      </c>
      <c r="Z2" s="43">
        <f t="array" ref="Z2">SUM(IF(ISNUMBER(FIND("TmAi",$BE$1:$AAQ$1)),IF(IFERROR(ISODD(SUBSTITUTE($BE2:$AAQ2,"A","")),FALSE),IF(ISODD(SUBSTITUTE($BE2:$AAQ2,"A","")),1,0),0)))</f>
        <v>0</v>
      </c>
      <c r="AA2" t="str">
        <f>CONCATENATE($Y2*2-1,"B")</f>
        <v>1B</v>
      </c>
      <c r="AB2" t="str">
        <f>CONCATENATE($Y2*2,"B")</f>
        <v>2B</v>
      </c>
      <c r="AP2" t="s">
        <v>1987</v>
      </c>
      <c r="AS2" t="s">
        <v>396</v>
      </c>
      <c r="JZ2" s="27" t="str">
        <f>CONCATENATE("XT",U2)</f>
        <v>XT1</v>
      </c>
      <c r="KC2" t="str">
        <f>CONCATENATE(T2,"-AI",REPLACE($X2,1,3,""),"-",AA2)</f>
        <v>E1-AI1-1B</v>
      </c>
      <c r="KD2" t="str">
        <f>CONCATENATE(T2,"-AI",REPLACE($X2,1,3,""),"-",AB2)</f>
        <v>E1-AI1-2B</v>
      </c>
      <c r="KI2">
        <v>1</v>
      </c>
      <c r="KJ2">
        <f>KI2+1</f>
        <v>2</v>
      </c>
      <c r="KK2">
        <f>KJ2+1</f>
        <v>3</v>
      </c>
      <c r="KN2">
        <v>1</v>
      </c>
      <c r="KO2" s="16">
        <v>2</v>
      </c>
      <c r="KS2" s="16"/>
      <c r="MA2" t="str">
        <f t="shared" ref="MA2:MA25" si="0">CONCATENATE("DI",REPLACE($AC2,1,3,""),"-",$AG2)</f>
        <v>DI-</v>
      </c>
    </row>
    <row r="3" spans="1:824" ht="15.75" thickBot="1" x14ac:dyDescent="0.3">
      <c r="A3" t="s">
        <v>2150</v>
      </c>
      <c r="B3" t="s">
        <v>1981</v>
      </c>
      <c r="C3" t="s">
        <v>498</v>
      </c>
      <c r="P3" t="s">
        <v>482</v>
      </c>
      <c r="T3" s="14" t="s">
        <v>1984</v>
      </c>
      <c r="U3">
        <v>1</v>
      </c>
      <c r="V3" t="s">
        <v>1993</v>
      </c>
      <c r="X3" t="str">
        <f>IF(COUNTIF(X$2:X2,X2)&gt;7,REPLACE(X2,LEN(X2),1,VALUE(RIGHT(X2,1))+1),X2)</f>
        <v>A3.1</v>
      </c>
      <c r="Y3" s="43">
        <f t="array" ref="Y3">IF(COUNTIFS($X$2:$X3,$X3)=1,"1",VALUE(SUBSTITUTE(INDEX(Y:Y,_xlfn.XMATCH($X3,$X$1:$X2,0,-1)),"A",""))+INDEX(Z:Z,_xlfn.XMATCH($X3,$X$1:$X2,0,-1))+1)</f>
        <v>2</v>
      </c>
      <c r="Z3" s="43">
        <f t="array" ref="Z3">SUM(IF(ISNUMBER(FIND("TmAi",$BE$1:$AAQ$1)),IF(IFERROR(ISODD(SUBSTITUTE($BE3:$AAQ3,"A","")),FALSE),IF(ISODD(SUBSTITUTE($BE3:$AAQ3,"A","")),1,0),0)))</f>
        <v>0</v>
      </c>
      <c r="AA3" t="str">
        <f>CONCATENATE($Y3*2-1,"B")</f>
        <v>3B</v>
      </c>
      <c r="AB3" t="str">
        <f>CONCATENATE($Y3*2,"B")</f>
        <v>4B</v>
      </c>
      <c r="AP3" t="s">
        <v>1987</v>
      </c>
      <c r="AS3" t="s">
        <v>396</v>
      </c>
      <c r="JZ3" s="27" t="str">
        <f>CONCATENATE("XT",U3)</f>
        <v>XT1</v>
      </c>
      <c r="KC3" t="str">
        <f>CONCATENATE(T3,"-AI",REPLACE($X3,1,3,""),"-",AA3)</f>
        <v>E1-AI1-3B</v>
      </c>
      <c r="KD3" t="str">
        <f>CONCATENATE(T3,"-AI",REPLACE($X3,1,3,""),"-",AB3)</f>
        <v>E1-AI1-4B</v>
      </c>
      <c r="KI3">
        <f t="array" ref="KI3">IF(COUNTIFS($U$2:$U3,$U3)=1,1,INDEX(KI:KI,_xlfn.XMATCH(U3,U$1:U2,0,-1))+COUNT(KI2:KM2))</f>
        <v>4</v>
      </c>
      <c r="KJ3">
        <f>KI3+1</f>
        <v>5</v>
      </c>
      <c r="KK3">
        <f>KJ3+1</f>
        <v>6</v>
      </c>
      <c r="KN3">
        <v>1</v>
      </c>
      <c r="KO3" s="16">
        <v>2</v>
      </c>
      <c r="KS3" s="16"/>
      <c r="MA3" t="str">
        <f t="shared" si="0"/>
        <v>DI-</v>
      </c>
    </row>
    <row r="4" spans="1:824" ht="15.75" thickBot="1" x14ac:dyDescent="0.3">
      <c r="A4" s="68" t="s">
        <v>2151</v>
      </c>
      <c r="B4" t="s">
        <v>1988</v>
      </c>
      <c r="C4" t="s">
        <v>1990</v>
      </c>
      <c r="P4" t="s">
        <v>1991</v>
      </c>
      <c r="T4" s="27" t="s">
        <v>1984</v>
      </c>
      <c r="U4">
        <v>2</v>
      </c>
      <c r="V4" t="s">
        <v>1992</v>
      </c>
      <c r="Y4" s="43"/>
      <c r="Z4" s="43"/>
      <c r="AC4" t="s">
        <v>131</v>
      </c>
      <c r="AD4" s="43">
        <v>1</v>
      </c>
      <c r="AE4" s="43">
        <f t="array" ref="AE4">SUM(IF(ISNUMBER(FIND("TmDi",$BE$1:$AAQ$1)),IF(IFERROR(ISNUMBER(VALUE(SUBSTITUTE($BE4:$AAQ4,"B",""))),FALSE),IF(ISNUMBER(VALUE(SUBSTITUTE($BE4:$AAQ4,"B",""))),1,0),0)))</f>
        <v>1</v>
      </c>
      <c r="AF4" t="str">
        <f>CONCATENATE("C",$AD4)</f>
        <v>C1</v>
      </c>
      <c r="AG4" t="str">
        <f>CONCATENATE("B",$AD4)</f>
        <v>B1</v>
      </c>
      <c r="AP4" t="s">
        <v>1987</v>
      </c>
      <c r="AQ4" t="s">
        <v>2008</v>
      </c>
      <c r="AT4" t="s">
        <v>854</v>
      </c>
      <c r="MA4" t="str">
        <f t="shared" si="0"/>
        <v>DI1-B1</v>
      </c>
      <c r="UN4" s="25" t="str">
        <f>CONCATENATE("XT",$U4)</f>
        <v>XT2</v>
      </c>
      <c r="UO4" s="57" t="s">
        <v>1995</v>
      </c>
      <c r="UP4" s="12" t="s">
        <v>1996</v>
      </c>
      <c r="UQ4" s="12" t="str">
        <f>CONCATENATE("B",REPLACE($AF4,1,1,"")+1)</f>
        <v>B2</v>
      </c>
      <c r="UR4" s="12" t="str">
        <f>CONCATENATE("C",REPLACE($AG4,1,1,"")+1)</f>
        <v>C2</v>
      </c>
      <c r="US4" s="12" t="str">
        <f>CONCATENATE("DI",REPLACE($AC4,1,3,""),"-",$AG4)</f>
        <v>DI1-B1</v>
      </c>
      <c r="UT4" s="12" t="str">
        <f>CONCATENATE("DI",REPLACE($AC4,1,3,""),"-",$AF4)</f>
        <v>DI1-C1</v>
      </c>
      <c r="UU4" s="12" t="str">
        <f>CONCATENATE("DI",REPLACE($AC4,1,3,""),"-",UQ4)</f>
        <v>DI1-B2</v>
      </c>
      <c r="UV4" s="12" t="str">
        <f>CONCATENATE("DI",REPLACE($AC4,1,3,""),"-",UR4)</f>
        <v>DI1-C2</v>
      </c>
      <c r="UW4" s="12" t="str">
        <f>CONCATENATE("K",$U4,"-01")</f>
        <v>K2-01</v>
      </c>
      <c r="UX4" s="12" t="str">
        <f>CONCATENATE("K",$U4,"-02")</f>
        <v>K2-02</v>
      </c>
      <c r="UY4" s="12">
        <v>11</v>
      </c>
      <c r="UZ4" s="12">
        <v>14</v>
      </c>
      <c r="VA4" s="12" t="s">
        <v>142</v>
      </c>
      <c r="VB4" s="12" t="s">
        <v>143</v>
      </c>
      <c r="VC4" s="12">
        <v>1</v>
      </c>
      <c r="VD4" s="12">
        <f>VC4+1</f>
        <v>2</v>
      </c>
      <c r="VE4" s="12">
        <f>VD4+1</f>
        <v>3</v>
      </c>
      <c r="VF4" s="12">
        <f>VE4+1</f>
        <v>4</v>
      </c>
      <c r="VG4" s="12" t="s">
        <v>2000</v>
      </c>
      <c r="VH4" s="12" t="s">
        <v>2002</v>
      </c>
      <c r="VI4" s="12" t="s">
        <v>2006</v>
      </c>
      <c r="VJ4" s="12" t="s">
        <v>2007</v>
      </c>
      <c r="VK4" s="12" t="s">
        <v>2003</v>
      </c>
      <c r="VL4" s="12" t="s">
        <v>2004</v>
      </c>
      <c r="VM4" s="13" t="s">
        <v>2005</v>
      </c>
    </row>
    <row r="5" spans="1:824" x14ac:dyDescent="0.25">
      <c r="A5" s="68" t="s">
        <v>2152</v>
      </c>
      <c r="B5" s="58" t="s">
        <v>2009</v>
      </c>
      <c r="C5" t="s">
        <v>537</v>
      </c>
      <c r="P5" t="s">
        <v>542</v>
      </c>
      <c r="T5" s="27" t="s">
        <v>1984</v>
      </c>
      <c r="U5">
        <v>1</v>
      </c>
      <c r="V5" t="s">
        <v>2011</v>
      </c>
      <c r="X5" t="s">
        <v>2013</v>
      </c>
      <c r="Y5" s="43" t="str">
        <f t="array" ref="Y5">IF(COUNTIFS($X$2:$X5,$X5)=1,"1",VALUE(SUBSTITUTE(INDEX(Y:Y,_xlfn.XMATCH($X5,$X$1:$X4,0,-1)),"A",""))+INDEX(Z:Z,_xlfn.XMATCH($X5,$X$1:$X4,0,-1))+1)</f>
        <v>1</v>
      </c>
      <c r="Z5" s="43">
        <f t="array" ref="Z5">SUM(IF(ISNUMBER(FIND("TmAi",$BE$1:$AAQ$1)),IF(IFERROR(ISODD(SUBSTITUTE($BE5:$AAQ5,"A","")),FALSE),IF(ISODD(SUBSTITUTE($BE5:$AAQ5,"A","")),1,0),0)))</f>
        <v>0</v>
      </c>
      <c r="AA5" t="str">
        <f>CONCATENATE($Y5*2-1,"B")</f>
        <v>1B</v>
      </c>
      <c r="AB5" t="str">
        <f>CONCATENATE($Y5*2,"B")</f>
        <v>2B</v>
      </c>
      <c r="AD5" s="43"/>
      <c r="AE5" s="43"/>
      <c r="AP5" t="s">
        <v>1987</v>
      </c>
      <c r="AQ5" t="s">
        <v>2008</v>
      </c>
      <c r="AS5" t="s">
        <v>396</v>
      </c>
      <c r="JZ5" s="27" t="str">
        <f>CONCATENATE("XT",U5)</f>
        <v>XT1</v>
      </c>
      <c r="KA5" t="str">
        <f>REPLACE($AA5,1,1,LEFT($AA5,1)+1)</f>
        <v>2B</v>
      </c>
      <c r="KB5" t="str">
        <f>REPLACE(AB5,1,1,LEFT(AB5,1)+1)</f>
        <v>3B</v>
      </c>
      <c r="KC5" t="str">
        <f>CONCATENATE(T5,"-AI",REPLACE($X5,1,3,""),"-",AA5)</f>
        <v>E1-AI2-1B</v>
      </c>
      <c r="KD5" t="str">
        <f>CONCATENATE(T5,"-AI",REPLACE($X5,1,3,""),"-",AB5)</f>
        <v>E1-AI2-2B</v>
      </c>
      <c r="KE5" t="str">
        <f>CONCATENATE($T5,"-AI",REPLACE($X5,1,3,""),"-",KA5)</f>
        <v>E1-AI2-2B</v>
      </c>
      <c r="KF5" t="str">
        <f>CONCATENATE($T5,"-AI",REPLACE($X5,1,3,""),"-",KB5)</f>
        <v>E1-AI2-3B</v>
      </c>
      <c r="KI5">
        <v>7</v>
      </c>
      <c r="KJ5">
        <f t="shared" ref="KJ5:KL6" si="1">KI5+1</f>
        <v>8</v>
      </c>
      <c r="KK5">
        <f t="shared" si="1"/>
        <v>9</v>
      </c>
      <c r="KL5">
        <f t="shared" si="1"/>
        <v>10</v>
      </c>
      <c r="KN5">
        <v>1</v>
      </c>
      <c r="KO5" s="16">
        <v>2</v>
      </c>
      <c r="KP5">
        <v>3</v>
      </c>
      <c r="KQ5">
        <v>4</v>
      </c>
      <c r="KS5" s="16"/>
      <c r="LO5" s="25"/>
      <c r="LP5" s="12"/>
      <c r="LQ5" s="12"/>
      <c r="LR5" s="12"/>
      <c r="LS5" s="12"/>
      <c r="LT5" s="12"/>
      <c r="LU5" s="12"/>
      <c r="LV5" s="12"/>
      <c r="LW5" s="12"/>
      <c r="LX5" s="13"/>
      <c r="MA5" t="str">
        <f t="shared" si="0"/>
        <v>DI-</v>
      </c>
    </row>
    <row r="6" spans="1:824" ht="15.75" thickBot="1" x14ac:dyDescent="0.3">
      <c r="A6" t="s">
        <v>2153</v>
      </c>
      <c r="B6" s="58" t="s">
        <v>2010</v>
      </c>
      <c r="C6" t="s">
        <v>537</v>
      </c>
      <c r="P6" t="s">
        <v>542</v>
      </c>
      <c r="T6" s="27" t="s">
        <v>1984</v>
      </c>
      <c r="U6">
        <v>1</v>
      </c>
      <c r="V6" t="s">
        <v>2012</v>
      </c>
      <c r="X6" t="str">
        <f>IF(COUNTIF(X$2:X5,X5)&gt;7,REPLACE(X5,LEN(X5),1,VALUE(RIGHT(X5,1))+1),X5)</f>
        <v>A3.2</v>
      </c>
      <c r="Y6" s="43">
        <f t="array" ref="Y6">IF(COUNTIFS($X$2:$X6,$X6)=1,"1",VALUE(SUBSTITUTE(INDEX(Y:Y,_xlfn.XMATCH($X6,$X$1:$X5,0,-1)),"A",""))+INDEX(Z:Z,_xlfn.XMATCH($X6,$X$1:$X5,0,-1))+1)</f>
        <v>2</v>
      </c>
      <c r="Z6" s="43">
        <f t="array" ref="Z6">SUM(IF(ISNUMBER(FIND("TmAi",$BE$1:$AAQ$1)),IF(IFERROR(ISODD(SUBSTITUTE($BE6:$AAQ6,"A","")),FALSE),IF(ISODD(SUBSTITUTE($BE6:$AAQ6,"A","")),1,0),0)))</f>
        <v>0</v>
      </c>
      <c r="AA6" t="str">
        <f>CONCATENATE($Y6*2-1,"B")</f>
        <v>3B</v>
      </c>
      <c r="AB6" t="str">
        <f>CONCATENATE($Y6*2,"B")</f>
        <v>4B</v>
      </c>
      <c r="AP6" t="s">
        <v>1987</v>
      </c>
      <c r="AQ6" t="s">
        <v>2008</v>
      </c>
      <c r="AS6" t="s">
        <v>396</v>
      </c>
      <c r="JZ6" s="27" t="str">
        <f>CONCATENATE("XT",U6)</f>
        <v>XT1</v>
      </c>
      <c r="KA6" t="str">
        <f>REPLACE($AA6,1,1,LEFT($AA6,1)+1)</f>
        <v>4B</v>
      </c>
      <c r="KB6" t="str">
        <f>REPLACE(AB6,1,1,LEFT(AB6,1)+1)</f>
        <v>5B</v>
      </c>
      <c r="KC6" t="str">
        <f>CONCATENATE(T6,"-AI",REPLACE($X6,1,3,""),"-",AA6)</f>
        <v>E1-AI2-3B</v>
      </c>
      <c r="KD6" t="str">
        <f>CONCATENATE(T6,"-AI",REPLACE($X6,1,3,""),"-",AB6)</f>
        <v>E1-AI2-4B</v>
      </c>
      <c r="KE6" t="str">
        <f>CONCATENATE($T6,"-AI",REPLACE($X6,1,3,""),"-",KA6)</f>
        <v>E1-AI2-4B</v>
      </c>
      <c r="KF6" t="str">
        <f>CONCATENATE($T6,"-AI",REPLACE($X6,1,3,""),"-",KB6)</f>
        <v>E1-AI2-5B</v>
      </c>
      <c r="KI6">
        <f t="array" ref="KI6">IF(COUNTIFS($U$2:$U6,$U6)=1,1,INDEX(KI:KI,_xlfn.XMATCH(U6,U$1:U5,0,-1))+COUNT(KI5:KM5))</f>
        <v>11</v>
      </c>
      <c r="KJ6">
        <f t="shared" si="1"/>
        <v>12</v>
      </c>
      <c r="KK6">
        <f t="shared" si="1"/>
        <v>13</v>
      </c>
      <c r="KL6">
        <f t="shared" si="1"/>
        <v>14</v>
      </c>
      <c r="KN6">
        <v>1</v>
      </c>
      <c r="KO6" s="16">
        <v>2</v>
      </c>
      <c r="KP6">
        <v>3</v>
      </c>
      <c r="KQ6">
        <v>4</v>
      </c>
      <c r="KS6" s="16"/>
      <c r="LO6" s="27"/>
      <c r="LX6" s="16"/>
      <c r="MA6" t="str">
        <f t="shared" si="0"/>
        <v>DI-</v>
      </c>
    </row>
    <row r="7" spans="1:824" x14ac:dyDescent="0.25">
      <c r="A7" t="s">
        <v>2154</v>
      </c>
      <c r="B7" s="58" t="s">
        <v>2014</v>
      </c>
      <c r="P7" t="s">
        <v>869</v>
      </c>
      <c r="T7" s="27" t="s">
        <v>1984</v>
      </c>
      <c r="U7">
        <v>1</v>
      </c>
      <c r="V7" t="s">
        <v>2018</v>
      </c>
      <c r="X7" t="s">
        <v>400</v>
      </c>
      <c r="Y7" s="43">
        <f t="array" ref="Y7">IF(COUNTIFS($X$2:$X7,$X7)=1,"1",VALUE(SUBSTITUTE(INDEX(Y:Y,_xlfn.XMATCH($X7,$X$1:$X6,0,-1)),"A",""))+INDEX(Z:Z,_xlfn.XMATCH($X7,$X$1:$X6,0,-1))+1)</f>
        <v>3</v>
      </c>
      <c r="Z7" s="43">
        <f t="array" ref="Z7">SUM(IF(ISNUMBER(FIND("TmAi",$BE$1:$AAQ$1)),IF(IFERROR(ISODD(SUBSTITUTE($BE7:$AAQ7,"A","")),FALSE),IF(ISODD(SUBSTITUTE($BE7:$AAQ7,"A","")),1,0),0)))</f>
        <v>0</v>
      </c>
      <c r="AA7" t="str">
        <f>CONCATENATE($Y7*2-1,"A")</f>
        <v>5A</v>
      </c>
      <c r="AB7" t="str">
        <f>CONCATENATE($Y7*2-1,"B")</f>
        <v>5B</v>
      </c>
      <c r="AP7" t="s">
        <v>1987</v>
      </c>
      <c r="AQ7" t="s">
        <v>2008</v>
      </c>
      <c r="AS7" t="s">
        <v>396</v>
      </c>
      <c r="LO7" s="25" t="str">
        <f>CONCATENATE("XT",U7)</f>
        <v>XT1</v>
      </c>
      <c r="LP7" s="12" t="str">
        <f>CONCATENATE(T7,"-AI",REPLACE($X7,1,3,""),"-",AA7)</f>
        <v>E1-AI1-5A</v>
      </c>
      <c r="LQ7" s="12" t="str">
        <f>CONCATENATE(T7,"-AI",REPLACE($X7,1,3,""),"-",AB7)</f>
        <v>E1-AI1-5B</v>
      </c>
      <c r="LR7" s="12">
        <v>15</v>
      </c>
      <c r="LS7" s="12">
        <f t="shared" ref="LS7:LT10" si="2">LR7+1</f>
        <v>16</v>
      </c>
      <c r="LT7" s="12">
        <f t="shared" si="2"/>
        <v>17</v>
      </c>
      <c r="LU7" s="12"/>
      <c r="LV7" s="12" t="s">
        <v>2022</v>
      </c>
      <c r="LW7" s="12" t="s">
        <v>2023</v>
      </c>
      <c r="LX7" s="13" t="s">
        <v>2126</v>
      </c>
      <c r="MA7" t="str">
        <f t="shared" si="0"/>
        <v>DI-</v>
      </c>
    </row>
    <row r="8" spans="1:824" x14ac:dyDescent="0.25">
      <c r="A8" t="s">
        <v>2155</v>
      </c>
      <c r="B8" s="58" t="s">
        <v>2015</v>
      </c>
      <c r="P8" t="s">
        <v>869</v>
      </c>
      <c r="T8" s="27" t="s">
        <v>1984</v>
      </c>
      <c r="U8">
        <v>1</v>
      </c>
      <c r="V8" t="s">
        <v>2019</v>
      </c>
      <c r="X8" t="str">
        <f>IF(COUNTIF(X$2:X7,X7)&gt;7,REPLACE(X7,LEN(X7),1,VALUE(RIGHT(X7,1))+1),X7)</f>
        <v>A3.1</v>
      </c>
      <c r="Y8" s="43">
        <f t="array" ref="Y8">IF(COUNTIFS($X$2:$X8,$X8)=1,"1",VALUE(SUBSTITUTE(INDEX(Y:Y,_xlfn.XMATCH($X8,$X$1:$X7,0,-1)),"A",""))+INDEX(Z:Z,_xlfn.XMATCH($X8,$X$1:$X7,0,-1))+1)</f>
        <v>4</v>
      </c>
      <c r="Z8" s="43">
        <f t="array" ref="Z8">SUM(IF(ISNUMBER(FIND("TmAi",$BE$1:$AAQ$1)),IF(IFERROR(ISODD(SUBSTITUTE($BE8:$AAQ8,"A","")),FALSE),IF(ISODD(SUBSTITUTE($BE8:$AAQ8,"A","")),1,0),0)))</f>
        <v>0</v>
      </c>
      <c r="AA8" t="str">
        <f>CONCATENATE($Y8*2-1,"A")</f>
        <v>7A</v>
      </c>
      <c r="AB8" t="str">
        <f>CONCATENATE($Y8*2-1,"B")</f>
        <v>7B</v>
      </c>
      <c r="AP8" t="s">
        <v>1987</v>
      </c>
      <c r="AQ8" t="s">
        <v>2008</v>
      </c>
      <c r="AS8" t="s">
        <v>396</v>
      </c>
      <c r="LO8" s="27" t="str">
        <f>CONCATENATE("XT",U8)</f>
        <v>XT1</v>
      </c>
      <c r="LP8" t="str">
        <f>CONCATENATE(T8,"-AI",REPLACE($X8,1,3,""),"-",AA8)</f>
        <v>E1-AI1-7A</v>
      </c>
      <c r="LQ8" t="str">
        <f>CONCATENATE(T8,"-AI",REPLACE($X8,1,3,""),"-",AB8)</f>
        <v>E1-AI1-7B</v>
      </c>
      <c r="LR8">
        <f>LR7+3</f>
        <v>18</v>
      </c>
      <c r="LS8">
        <f t="shared" si="2"/>
        <v>19</v>
      </c>
      <c r="LT8">
        <f t="shared" si="2"/>
        <v>20</v>
      </c>
      <c r="LV8" t="s">
        <v>2024</v>
      </c>
      <c r="LW8" t="s">
        <v>2025</v>
      </c>
      <c r="LX8" s="16" t="s">
        <v>2126</v>
      </c>
      <c r="MA8" t="str">
        <f t="shared" si="0"/>
        <v>DI-</v>
      </c>
    </row>
    <row r="9" spans="1:824" x14ac:dyDescent="0.25">
      <c r="A9" s="68" t="s">
        <v>2156</v>
      </c>
      <c r="B9" s="58" t="s">
        <v>2016</v>
      </c>
      <c r="P9" t="s">
        <v>869</v>
      </c>
      <c r="T9" s="27" t="s">
        <v>1984</v>
      </c>
      <c r="U9">
        <v>1</v>
      </c>
      <c r="V9" t="s">
        <v>2020</v>
      </c>
      <c r="X9" t="str">
        <f>IF(COUNTIF(X$2:X8,X8)&gt;7,REPLACE(X8,LEN(X8),1,VALUE(RIGHT(X8,1))+1),X8)</f>
        <v>A3.1</v>
      </c>
      <c r="Y9" s="43">
        <f t="array" ref="Y9">IF(COUNTIFS($X$2:$X9,$X9)=1,"1",VALUE(SUBSTITUTE(INDEX(Y:Y,_xlfn.XMATCH($X9,$X$1:$X8,0,-1)),"A",""))+INDEX(Z:Z,_xlfn.XMATCH($X9,$X$1:$X8,0,-1))+1)</f>
        <v>5</v>
      </c>
      <c r="Z9" s="43">
        <f t="array" ref="Z9">SUM(IF(ISNUMBER(FIND("TmAi",$BE$1:$AAQ$1)),IF(IFERROR(ISODD(SUBSTITUTE($BE9:$AAQ9,"A","")),FALSE),IF(ISODD(SUBSTITUTE($BE9:$AAQ9,"A","")),1,0),0)))</f>
        <v>0</v>
      </c>
      <c r="AA9" t="str">
        <f>CONCATENATE($Y9*2-1,"A")</f>
        <v>9A</v>
      </c>
      <c r="AB9" t="str">
        <f>CONCATENATE($Y9*2-1,"B")</f>
        <v>9B</v>
      </c>
      <c r="AP9" t="s">
        <v>1987</v>
      </c>
      <c r="AQ9" t="s">
        <v>2008</v>
      </c>
      <c r="AS9" t="s">
        <v>396</v>
      </c>
      <c r="LO9" s="27" t="str">
        <f>CONCATENATE("XT",U9)</f>
        <v>XT1</v>
      </c>
      <c r="LP9" t="str">
        <f>CONCATENATE(T9,"-AI",REPLACE($X9,1,3,""),"-",AA9)</f>
        <v>E1-AI1-9A</v>
      </c>
      <c r="LQ9" t="str">
        <f>CONCATENATE(T9,"-AI",REPLACE($X9,1,3,""),"-",AB9)</f>
        <v>E1-AI1-9B</v>
      </c>
      <c r="LR9">
        <f>LR8+3</f>
        <v>21</v>
      </c>
      <c r="LS9">
        <f t="shared" si="2"/>
        <v>22</v>
      </c>
      <c r="LT9">
        <f t="shared" si="2"/>
        <v>23</v>
      </c>
      <c r="LV9" t="s">
        <v>2026</v>
      </c>
      <c r="LW9" t="s">
        <v>2027</v>
      </c>
      <c r="LX9" s="16" t="s">
        <v>2127</v>
      </c>
      <c r="MA9" t="str">
        <f t="shared" si="0"/>
        <v>DI-</v>
      </c>
    </row>
    <row r="10" spans="1:824" ht="15.75" thickBot="1" x14ac:dyDescent="0.3">
      <c r="A10" t="s">
        <v>2157</v>
      </c>
      <c r="B10" s="58" t="s">
        <v>2017</v>
      </c>
      <c r="P10" t="s">
        <v>869</v>
      </c>
      <c r="T10" s="27" t="s">
        <v>1984</v>
      </c>
      <c r="U10">
        <v>1</v>
      </c>
      <c r="V10" t="s">
        <v>2021</v>
      </c>
      <c r="X10" t="str">
        <f>IF(COUNTIF(X$2:X9,X9)&gt;7,REPLACE(X9,LEN(X9),1,VALUE(RIGHT(X9,1))+1),X9)</f>
        <v>A3.1</v>
      </c>
      <c r="Y10" s="43">
        <f t="array" ref="Y10">IF(COUNTIFS($X$2:$X10,$X10)=1,"1",VALUE(SUBSTITUTE(INDEX(Y:Y,_xlfn.XMATCH($X10,$X$1:$X9,0,-1)),"A",""))+INDEX(Z:Z,_xlfn.XMATCH($X10,$X$1:$X9,0,-1))+1)</f>
        <v>6</v>
      </c>
      <c r="Z10" s="43">
        <f t="array" ref="Z10">SUM(IF(ISNUMBER(FIND("TmAi",$BE$1:$AAQ$1)),IF(IFERROR(ISODD(SUBSTITUTE($BE10:$AAQ10,"A","")),FALSE),IF(ISODD(SUBSTITUTE($BE10:$AAQ10,"A","")),1,0),0)))</f>
        <v>0</v>
      </c>
      <c r="AA10" t="str">
        <f>CONCATENATE($Y10*2-1,"A")</f>
        <v>11A</v>
      </c>
      <c r="AB10" t="str">
        <f>CONCATENATE($Y10*2-1,"B")</f>
        <v>11B</v>
      </c>
      <c r="AP10" t="s">
        <v>1987</v>
      </c>
      <c r="AQ10" t="s">
        <v>2008</v>
      </c>
      <c r="AS10" t="s">
        <v>396</v>
      </c>
      <c r="LO10" s="27" t="str">
        <f>CONCATENATE("XT",U10)</f>
        <v>XT1</v>
      </c>
      <c r="LP10" t="str">
        <f>CONCATENATE(T10,"-AI",REPLACE($X10,1,3,""),"-",AA10)</f>
        <v>E1-AI1-11A</v>
      </c>
      <c r="LQ10" t="str">
        <f>CONCATENATE(T10,"-AI",REPLACE($X10,1,3,""),"-",AB10)</f>
        <v>E1-AI1-11B</v>
      </c>
      <c r="LR10">
        <f>LR9+3</f>
        <v>24</v>
      </c>
      <c r="LS10">
        <f t="shared" si="2"/>
        <v>25</v>
      </c>
      <c r="LT10">
        <f t="shared" si="2"/>
        <v>26</v>
      </c>
      <c r="LV10" t="s">
        <v>2028</v>
      </c>
      <c r="LW10" t="s">
        <v>2029</v>
      </c>
      <c r="LX10" s="16" t="s">
        <v>2127</v>
      </c>
      <c r="MA10" t="str">
        <f t="shared" si="0"/>
        <v>DI-</v>
      </c>
    </row>
    <row r="11" spans="1:824" ht="15.75" thickBot="1" x14ac:dyDescent="0.3">
      <c r="A11" t="s">
        <v>2158</v>
      </c>
      <c r="B11" t="s">
        <v>2033</v>
      </c>
      <c r="P11" t="s">
        <v>2032</v>
      </c>
      <c r="T11" s="27" t="s">
        <v>1984</v>
      </c>
      <c r="U11">
        <v>2</v>
      </c>
      <c r="V11" t="s">
        <v>2030</v>
      </c>
      <c r="AC11" t="s">
        <v>131</v>
      </c>
      <c r="AD11" s="43">
        <f t="array" ref="AD11">IF(COUNTIFS(AC$2:AC11,AC11)=1,"1",VALUE(SUBSTITUTE(INDEX(AD:AD,_xlfn.XMATCH(AC11,AC$1:AC10,0,-1)),"A",""))+INDEX(AE:AE,_xlfn.XMATCH(AC11,AC$1:AC10,0,-1))+1)</f>
        <v>3</v>
      </c>
      <c r="AE11" s="43">
        <f t="array" ref="AE11">SUM(IF(ISNUMBER(FIND("TmDi",$BE$1:$AAQ$1)),IF(IFERROR(ISNUMBER(VALUE(SUBSTITUTE($BE11:$AAQ11,"B",""))),FALSE),IF(ISNUMBER(VALUE(SUBSTITUTE($BE11:$AAQ11,"B",""))),1,0),0)))</f>
        <v>1</v>
      </c>
      <c r="AF11" t="str">
        <f t="shared" ref="AF11:AF25" si="3">CONCATENATE("C",$AD11)</f>
        <v>C3</v>
      </c>
      <c r="AG11" t="str">
        <f t="shared" ref="AG11:AG25" si="4">CONCATENATE("B",$AD11)</f>
        <v>B3</v>
      </c>
      <c r="AP11" t="s">
        <v>1987</v>
      </c>
      <c r="AQ11" t="s">
        <v>2008</v>
      </c>
      <c r="AT11" t="s">
        <v>854</v>
      </c>
      <c r="MA11" t="str">
        <f t="shared" si="0"/>
        <v>DI1-B3</v>
      </c>
      <c r="UN11" s="25" t="str">
        <f>CONCATENATE("XT",$U11)</f>
        <v>XT2</v>
      </c>
      <c r="UO11" s="57"/>
      <c r="UP11" s="12"/>
      <c r="UQ11" s="12" t="str">
        <f>CONCATENATE("B",REPLACE($AF11,1,1,"")+1)</f>
        <v>B4</v>
      </c>
      <c r="UR11" s="12" t="str">
        <f>CONCATENATE("C",REPLACE($AG11,1,1,"")+1)</f>
        <v>C4</v>
      </c>
      <c r="US11" s="12" t="str">
        <f>CONCATENATE("DI",REPLACE($AC11,1,3,""),"-",$AG11)</f>
        <v>DI1-B3</v>
      </c>
      <c r="UT11" s="12" t="str">
        <f>CONCATENATE("DI",REPLACE($AC11,1,3,""),"-",$AF11)</f>
        <v>DI1-C3</v>
      </c>
      <c r="UU11" s="12" t="str">
        <f>CONCATENATE("DI",REPLACE($AC11,1,3,""),"-",UQ11)</f>
        <v>DI1-B4</v>
      </c>
      <c r="UV11" s="12" t="str">
        <f>CONCATENATE("DI",REPLACE($AC11,1,3,""),"-",UR11)</f>
        <v>DI1-C4</v>
      </c>
      <c r="UW11" s="12" t="str">
        <f>CONCATENATE("K",$U11,"-03")</f>
        <v>K2-03</v>
      </c>
      <c r="UX11" s="12" t="str">
        <f>CONCATENATE("K",$U11,"-04")</f>
        <v>K2-04</v>
      </c>
      <c r="UY11" s="12">
        <v>11</v>
      </c>
      <c r="UZ11" s="12">
        <v>14</v>
      </c>
      <c r="VA11" s="12" t="s">
        <v>142</v>
      </c>
      <c r="VB11" s="12" t="s">
        <v>143</v>
      </c>
      <c r="VC11" s="12">
        <v>5</v>
      </c>
      <c r="VD11" s="12">
        <f>VC11+1</f>
        <v>6</v>
      </c>
      <c r="VE11" s="12"/>
      <c r="VF11" s="12"/>
      <c r="VG11" s="12" t="s">
        <v>2034</v>
      </c>
      <c r="VH11" s="12" t="s">
        <v>2035</v>
      </c>
      <c r="VI11" s="12"/>
      <c r="VJ11" s="12"/>
      <c r="VK11" s="59" t="s">
        <v>2036</v>
      </c>
      <c r="VL11" s="59" t="s">
        <v>2036</v>
      </c>
      <c r="VM11" s="13"/>
      <c r="VN11" s="25" t="s">
        <v>144</v>
      </c>
      <c r="VO11" s="12" t="s">
        <v>2031</v>
      </c>
      <c r="VP11" s="13" t="s">
        <v>2039</v>
      </c>
    </row>
    <row r="12" spans="1:824" ht="15.75" thickBot="1" x14ac:dyDescent="0.3">
      <c r="A12" t="s">
        <v>2159</v>
      </c>
      <c r="B12" s="58" t="s">
        <v>2040</v>
      </c>
      <c r="P12" t="s">
        <v>1378</v>
      </c>
      <c r="T12" s="27" t="s">
        <v>1984</v>
      </c>
      <c r="U12">
        <v>2</v>
      </c>
      <c r="V12" t="s">
        <v>2041</v>
      </c>
      <c r="AC12" t="str">
        <f t="shared" ref="AC12:AC17" si="5">IF(AD11+AE11&gt;31,REPLACE(AC11,LEN(AC11),1,VALUE(RIGHT(AC11,1))+1),AC11)</f>
        <v>A5.1</v>
      </c>
      <c r="AD12" s="43">
        <f t="array" ref="AD12">IF(COUNTIFS(AC$2:AC12,AC12)=1,"1",VALUE(SUBSTITUTE(INDEX(AD:AD,_xlfn.XMATCH(AC12,AC$1:AC11,0,-1)),"A",""))+INDEX(AE:AE,_xlfn.XMATCH(AC12,AC$1:AC11,0,-1))+1)</f>
        <v>5</v>
      </c>
      <c r="AE12" s="43">
        <f t="array" ref="AE12">SUM(IF(ISNUMBER(FIND("TmDi",$BE$1:$AAQ$1)),IF(IFERROR(ISNUMBER(VALUE(SUBSTITUTE($BE12:$AAQ12,"B",""))),FALSE),IF(ISNUMBER(VALUE(SUBSTITUTE($BE12:$AAQ12,"B",""))),1,0),0)))</f>
        <v>0</v>
      </c>
      <c r="AF12" t="str">
        <f t="shared" si="3"/>
        <v>C5</v>
      </c>
      <c r="AG12" t="str">
        <f t="shared" si="4"/>
        <v>B5</v>
      </c>
      <c r="AP12" t="s">
        <v>1987</v>
      </c>
      <c r="AQ12" t="s">
        <v>2042</v>
      </c>
      <c r="AT12" t="s">
        <v>854</v>
      </c>
      <c r="LU12" t="s">
        <v>2043</v>
      </c>
      <c r="LY12" s="25" t="str">
        <f>CONCATENATE("XT",U12)</f>
        <v>XT2</v>
      </c>
      <c r="LZ12" s="12" t="str">
        <f>CONCATENATE("DI",REPLACE($AC12,1,3,""),"-",$AG12)</f>
        <v>DI1-B5</v>
      </c>
      <c r="MA12" s="12" t="str">
        <f t="shared" si="0"/>
        <v>DI1-B5</v>
      </c>
      <c r="MB12" s="12" t="s">
        <v>2045</v>
      </c>
      <c r="MC12" s="12" t="s">
        <v>2044</v>
      </c>
      <c r="MD12" s="12">
        <v>11</v>
      </c>
      <c r="ME12" s="12">
        <v>14</v>
      </c>
      <c r="MF12" s="12" t="s">
        <v>142</v>
      </c>
      <c r="MG12" s="12" t="s">
        <v>143</v>
      </c>
      <c r="MH12" s="12" t="s">
        <v>488</v>
      </c>
      <c r="MI12" s="12" t="s">
        <v>487</v>
      </c>
      <c r="MJ12" s="12" t="s">
        <v>414</v>
      </c>
      <c r="MK12" s="12" t="s">
        <v>413</v>
      </c>
      <c r="ML12" s="12">
        <v>5</v>
      </c>
      <c r="MM12" s="12">
        <v>6</v>
      </c>
      <c r="MN12" s="12"/>
      <c r="MO12" s="12"/>
      <c r="MP12" s="12"/>
      <c r="MQ12" s="12"/>
      <c r="MR12" s="12">
        <v>3</v>
      </c>
      <c r="MS12" s="12">
        <v>7</v>
      </c>
      <c r="MT12" s="13"/>
    </row>
    <row r="13" spans="1:824" ht="15.75" thickBot="1" x14ac:dyDescent="0.3">
      <c r="A13" t="s">
        <v>2160</v>
      </c>
      <c r="B13" t="s">
        <v>2046</v>
      </c>
      <c r="P13" t="s">
        <v>2049</v>
      </c>
      <c r="T13" s="14" t="s">
        <v>1984</v>
      </c>
      <c r="U13" s="60">
        <v>3</v>
      </c>
      <c r="V13" t="s">
        <v>2047</v>
      </c>
      <c r="W13" t="s">
        <v>2048</v>
      </c>
      <c r="X13" t="s">
        <v>400</v>
      </c>
      <c r="Y13" s="43">
        <f t="array" ref="Y13">IF(COUNTIFS($X$2:$X13,$X13)=1,"1",VALUE(SUBSTITUTE(INDEX(Y:Y,_xlfn.XMATCH($X13,$X$1:$X12,0,-1)),"A",""))+INDEX(Z:Z,_xlfn.XMATCH($X13,$X$1:$X12,0,-1))+1)</f>
        <v>7</v>
      </c>
      <c r="Z13" s="43">
        <f t="array" ref="Z13">SUM(IF(ISNUMBER(FIND("TmAi",$BE$1:$AAQ$1)),IF(IFERROR(ISODD(SUBSTITUTE($BE13:$AAQ13,"A","")),FALSE),IF(ISODD(SUBSTITUTE($BE13:$AAQ13,"A","")),1,0),0)))</f>
        <v>0</v>
      </c>
      <c r="AA13" t="str">
        <f>CONCATENATE($Y13*2-1,"A")</f>
        <v>13A</v>
      </c>
      <c r="AB13" t="str">
        <f>CONCATENATE($Y13*2-1,"B")</f>
        <v>13B</v>
      </c>
      <c r="AC13" t="str">
        <f t="shared" si="5"/>
        <v>A5.1</v>
      </c>
      <c r="AD13" s="43">
        <f t="array" ref="AD13">IF(COUNTIFS(AC$2:AC13,AC13)=1,"1",VALUE(SUBSTITUTE(INDEX(AD:AD,_xlfn.XMATCH(AC13,AC$1:AC12,0,-1)),"A",""))+INDEX(AE:AE,_xlfn.XMATCH(AC13,AC$1:AC12,0,-1))+1)</f>
        <v>6</v>
      </c>
      <c r="AE13" s="43">
        <f t="array" ref="AE13">SUM(IF(ISNUMBER(FIND("TmDi",$BE$1:$AAQ$1)),IF(IFERROR(ISNUMBER(VALUE(SUBSTITUTE($BE13:$AAQ13,"B",""))),FALSE),IF(ISNUMBER(VALUE(SUBSTITUTE($BE13:$AAQ13,"B",""))),1,0),0)))</f>
        <v>1</v>
      </c>
      <c r="AF13" t="str">
        <f t="shared" si="3"/>
        <v>C6</v>
      </c>
      <c r="AG13" t="str">
        <f t="shared" si="4"/>
        <v>B6</v>
      </c>
      <c r="AH13" s="15" t="s">
        <v>132</v>
      </c>
      <c r="AI13" s="62">
        <v>1</v>
      </c>
      <c r="AJ13" s="62">
        <f t="array" ref="AJ13">SUM(IF(ISNUMBER(FIND("TmDo",$BE$1:$AAQ$1)),IF(IFERROR(ISNUMBER(VALUE(SUBSTITUTE($BE13:$AAQ13,"B",""))),FALSE),IF(ISNUMBER(VALUE(SUBSTITUTE($BE13:$AAQ13,"B",""))),1,0),0)))</f>
        <v>1</v>
      </c>
      <c r="AK13" t="str">
        <f>CONCATENATE($AI13,"A")</f>
        <v>1A</v>
      </c>
      <c r="AL13" t="str">
        <f>CONCATENATE($AI13,"B")</f>
        <v>1B</v>
      </c>
      <c r="AM13" t="s">
        <v>141</v>
      </c>
      <c r="AP13" t="s">
        <v>1987</v>
      </c>
      <c r="AQ13" t="s">
        <v>2042</v>
      </c>
      <c r="AS13" t="s">
        <v>396</v>
      </c>
      <c r="AT13" t="s">
        <v>139</v>
      </c>
      <c r="AU13" t="s">
        <v>140</v>
      </c>
      <c r="BD13" s="16"/>
      <c r="GT13" s="25" t="str">
        <f>CONCATENATE("XT",U13)</f>
        <v>XT3</v>
      </c>
      <c r="GU13" s="12" t="str">
        <f>CONCATENATE("C",REPLACE(AF13,1,1,"")+1)</f>
        <v>C7</v>
      </c>
      <c r="GV13" s="12" t="str">
        <f>CONCATENATE("B",REPLACE(AG13,1,1,"")+1)</f>
        <v>B7</v>
      </c>
      <c r="GW13" s="12"/>
      <c r="GX13" s="12"/>
      <c r="GY13" s="12"/>
      <c r="GZ13" s="12"/>
      <c r="HA13" s="12"/>
      <c r="HB13" s="12"/>
      <c r="HC13" s="12"/>
      <c r="HD13" s="12"/>
      <c r="HE13" s="12" t="str">
        <f>CONCATENATE(REPLACE(AK13,LEN(AK13),1,"")+1,"A")</f>
        <v>2A</v>
      </c>
      <c r="HF13" s="12" t="str">
        <f>CONCATENATE(REPLACE(AL13,LEN(AL13),1,"")+1,"B")</f>
        <v>2B</v>
      </c>
      <c r="HG13" s="12" t="str">
        <f>CONCATENATE($T13,"-M",$U13,"-РНЕ-2")</f>
        <v>E1-M3-РНЕ-2</v>
      </c>
      <c r="HH13" s="12" t="str">
        <f>CONCATENATE($T13,"-M",$U13,"-РНЕ-1")</f>
        <v>E1-M3-РНЕ-1</v>
      </c>
      <c r="HI13" s="12" t="str">
        <f>CONCATENATE("DI",REPLACE($AC13,1,3,""),"-",AF13)</f>
        <v>DI1-C6</v>
      </c>
      <c r="HJ13" s="12" t="str">
        <f>CONCATENATE("DI",REPLACE($AC13,1,3,""),"-",AG13)</f>
        <v>DI1-B6</v>
      </c>
      <c r="HK13" s="12" t="str">
        <f>CONCATENATE("DI",REPLACE($AC13,1,3,""),"-",GU13)</f>
        <v>DI1-C7</v>
      </c>
      <c r="HL13" s="12" t="str">
        <f>CONCATENATE("DI",REPLACE($AC13,1,3,""),"-",GV13)</f>
        <v>DI1-B7</v>
      </c>
      <c r="HM13" s="12"/>
      <c r="HN13" s="12"/>
      <c r="HO13" s="12"/>
      <c r="HP13" s="12"/>
      <c r="HQ13" s="12"/>
      <c r="HR13" s="12"/>
      <c r="HS13" s="12"/>
      <c r="HT13" s="12"/>
      <c r="HU13" s="12" t="str">
        <f>CONCATENATE("DO",REPLACE($AH13,1,3,""),"-",AK13)</f>
        <v>DO1-1A</v>
      </c>
      <c r="HV13" s="12" t="str">
        <f>CONCATENATE("DO",REPLACE($AH13,1,3,""),"-",AL13)</f>
        <v>DO1-1B</v>
      </c>
      <c r="HW13" s="12" t="str">
        <f>CONCATENATE("DO",REPLACE($AH13,1,3,""),"-",HE13)</f>
        <v>DO1-2A</v>
      </c>
      <c r="HX13" s="12" t="str">
        <f>CONCATENATE("DO",REPLACE($AH13,1,3,""),"-",HF13)</f>
        <v>DO1-2B</v>
      </c>
      <c r="HY13" s="12" t="str">
        <f>CONCATENATE("K",$U13,"-03")</f>
        <v>K3-03</v>
      </c>
      <c r="HZ13" s="12" t="str">
        <f>CONCATENATE("K",$U13,"-04")</f>
        <v>K3-04</v>
      </c>
      <c r="IA13" s="12" t="str">
        <f>CONCATENATE("K",$U13,"-01")</f>
        <v>K3-01</v>
      </c>
      <c r="IB13" s="12" t="str">
        <f>CONCATENATE("K",$U13,"-02")</f>
        <v>K3-02</v>
      </c>
      <c r="IC13" s="12"/>
      <c r="ID13" s="12"/>
      <c r="IE13" s="12"/>
      <c r="IF13" s="12"/>
      <c r="IG13" s="12" t="str">
        <f>CONCATENATE($T13,"-M",$U13,"-MAM-12")</f>
        <v>E1-M3-MAM-12</v>
      </c>
      <c r="IH13" s="12" t="str">
        <f>CONCATENATE($T13,"-M",$U13,"-AMS-10")</f>
        <v>E1-M3-AMS-10</v>
      </c>
      <c r="II13" s="12" t="str">
        <f>CONCATENATE($T13,"-M",$U13,"-AMS-91")</f>
        <v>E1-M3-AMS-91</v>
      </c>
      <c r="IJ13" s="12" t="str">
        <f>CONCATENATE($T13,"-M",$U13,"-AMS-71")</f>
        <v>E1-M3-AMS-71</v>
      </c>
      <c r="IK13" s="12" t="str">
        <f>CONCATENATE($T13,"-M",$U13,"-MAM-21")</f>
        <v>E1-M3-MAM-21</v>
      </c>
      <c r="IL13" s="12" t="str">
        <f>CONCATENATE($T13,"-M",$U13,"-MAM-11")</f>
        <v>E1-M3-MAM-11</v>
      </c>
      <c r="IM13" s="12"/>
      <c r="IN13" s="12"/>
      <c r="IO13" s="12"/>
      <c r="IP13" s="12"/>
      <c r="IQ13" s="12"/>
      <c r="IR13" s="12" t="s">
        <v>142</v>
      </c>
      <c r="IS13" s="12" t="s">
        <v>143</v>
      </c>
      <c r="IT13" s="12">
        <v>11</v>
      </c>
      <c r="IU13" s="12">
        <v>14</v>
      </c>
      <c r="IV13" s="12" t="s">
        <v>413</v>
      </c>
      <c r="IW13" s="12" t="s">
        <v>414</v>
      </c>
      <c r="IX13" s="12">
        <v>1</v>
      </c>
      <c r="IY13" s="12">
        <v>2</v>
      </c>
      <c r="IZ13" s="12">
        <v>3</v>
      </c>
      <c r="JA13" s="12">
        <v>4</v>
      </c>
      <c r="JB13" s="12">
        <v>5</v>
      </c>
      <c r="JC13" s="12">
        <v>6</v>
      </c>
      <c r="JD13" s="12">
        <v>7</v>
      </c>
      <c r="JE13" s="12">
        <v>8</v>
      </c>
      <c r="JF13" s="12">
        <v>9</v>
      </c>
      <c r="JG13" s="12"/>
      <c r="JH13" s="12"/>
      <c r="JI13" s="12"/>
      <c r="JJ13" s="12"/>
      <c r="JK13" s="12"/>
      <c r="JL13" s="12">
        <v>18</v>
      </c>
      <c r="JM13" s="12">
        <v>19</v>
      </c>
      <c r="JN13" s="12">
        <v>20</v>
      </c>
      <c r="JO13" s="12">
        <v>21</v>
      </c>
      <c r="JP13" s="12">
        <v>23</v>
      </c>
      <c r="JQ13" s="12">
        <v>22</v>
      </c>
      <c r="JR13" s="12">
        <v>29</v>
      </c>
      <c r="JS13" s="12">
        <v>28</v>
      </c>
      <c r="JT13" s="12">
        <v>30</v>
      </c>
      <c r="JU13" s="12"/>
      <c r="JV13" s="12"/>
      <c r="JW13" s="12"/>
      <c r="JX13" s="12"/>
      <c r="JY13" s="13"/>
      <c r="MA13" t="str">
        <f t="shared" si="0"/>
        <v>DI1-B6</v>
      </c>
    </row>
    <row r="14" spans="1:824" ht="15.75" thickBot="1" x14ac:dyDescent="0.3">
      <c r="A14" t="s">
        <v>2161</v>
      </c>
      <c r="B14" t="s">
        <v>2050</v>
      </c>
      <c r="P14" t="s">
        <v>2049</v>
      </c>
      <c r="T14" s="14" t="s">
        <v>1984</v>
      </c>
      <c r="U14" s="60">
        <v>4</v>
      </c>
      <c r="V14" t="s">
        <v>2052</v>
      </c>
      <c r="W14" t="s">
        <v>2053</v>
      </c>
      <c r="X14" t="str">
        <f>IF(COUNTIF(X$2:X13,X13)&gt;7,REPLACE(X13,LEN(X13),1,VALUE(RIGHT(X13,1))+1),X13)</f>
        <v>A3.1</v>
      </c>
      <c r="Y14" s="43">
        <f t="array" ref="Y14">IF(COUNTIFS($X$2:$X14,$X14)=1,"1",VALUE(SUBSTITUTE(INDEX(Y:Y,_xlfn.XMATCH($X14,$X$1:$X13,0,-1)),"A",""))+INDEX(Z:Z,_xlfn.XMATCH($X14,$X$1:$X13,0,-1))+1)</f>
        <v>8</v>
      </c>
      <c r="Z14" s="43">
        <f t="array" ref="Z14">SUM(IF(ISNUMBER(FIND("TmAi",$BE$1:$AAQ$1)),IF(IFERROR(ISODD(SUBSTITUTE($BE14:$AAQ14,"A","")),FALSE),IF(ISODD(SUBSTITUTE($BE14:$AAQ14,"A","")),1,0),0)))</f>
        <v>0</v>
      </c>
      <c r="AA14" t="str">
        <f>CONCATENATE($Y14*2-1,"A")</f>
        <v>15A</v>
      </c>
      <c r="AB14" t="str">
        <f>CONCATENATE($Y14*2-1,"B")</f>
        <v>15B</v>
      </c>
      <c r="AC14" t="str">
        <f t="shared" si="5"/>
        <v>A5.1</v>
      </c>
      <c r="AD14" s="43">
        <f t="array" ref="AD14">IF(COUNTIFS(AC$2:AC14,AC14)=1,"1",VALUE(SUBSTITUTE(INDEX(AD:AD,_xlfn.XMATCH(AC14,AC$1:AC13,0,-1)),"A",""))+INDEX(AE:AE,_xlfn.XMATCH(AC14,AC$1:AC13,0,-1))+1)</f>
        <v>8</v>
      </c>
      <c r="AE14" s="43">
        <f t="array" ref="AE14">SUM(IF(ISNUMBER(FIND("TmDi",$BE$1:$AAQ$1)),IF(IFERROR(ISNUMBER(VALUE(SUBSTITUTE($BE14:$AAQ14,"B",""))),FALSE),IF(ISNUMBER(VALUE(SUBSTITUTE($BE14:$AAQ14,"B",""))),1,0),0)))</f>
        <v>1</v>
      </c>
      <c r="AF14" t="str">
        <f t="shared" si="3"/>
        <v>C8</v>
      </c>
      <c r="AG14" t="str">
        <f t="shared" si="4"/>
        <v>B8</v>
      </c>
      <c r="AH14" t="str">
        <f>IF(AI13+AJ13&gt;31,REPLACE(AH13,LEN(AH13),1,VALUE(RIGHT(AH13,1))+1),AH13)</f>
        <v>A6.1</v>
      </c>
      <c r="AI14" s="62">
        <f t="array" ref="AI14">IF(COUNTIFS(AH$2:AH14,AH14)=1,"1",VALUE(SUBSTITUTE(INDEX(AI:AI,_xlfn.XMATCH(AH14,AH$1:AH13,0,-1)),"A",""))+INDEX(AJ:AJ,_xlfn.XMATCH(AH14,AH$1:AH13,0,-1))+1)</f>
        <v>3</v>
      </c>
      <c r="AJ14" s="62">
        <f t="array" ref="AJ14">SUM(IF(ISNUMBER(FIND("TmDo",$BE$1:$AAQ$1)),IF(IFERROR(ISNUMBER(VALUE(SUBSTITUTE($BE14:$AAQ14,"B",""))),FALSE),IF(ISNUMBER(VALUE(SUBSTITUTE($BE14:$AAQ14,"B",""))),1,0),0)))</f>
        <v>1</v>
      </c>
      <c r="AK14" t="str">
        <f>CONCATENATE($AI14,"A")</f>
        <v>3A</v>
      </c>
      <c r="AL14" t="str">
        <f>CONCATENATE($AI14,"B")</f>
        <v>3B</v>
      </c>
      <c r="AM14" t="s">
        <v>150</v>
      </c>
      <c r="AP14" t="s">
        <v>1987</v>
      </c>
      <c r="AQ14" t="s">
        <v>2042</v>
      </c>
      <c r="AS14" t="s">
        <v>396</v>
      </c>
      <c r="AT14" t="s">
        <v>139</v>
      </c>
      <c r="AU14" t="s">
        <v>140</v>
      </c>
      <c r="BD14" s="16"/>
      <c r="GT14" s="25" t="str">
        <f>CONCATENATE("XT",U14)</f>
        <v>XT4</v>
      </c>
      <c r="GU14" s="12" t="str">
        <f>CONCATENATE("C",REPLACE(AF14,1,1,"")+1)</f>
        <v>C9</v>
      </c>
      <c r="GV14" s="12" t="str">
        <f>CONCATENATE("B",REPLACE(AG14,1,1,"")+1)</f>
        <v>B9</v>
      </c>
      <c r="GW14" s="12"/>
      <c r="GX14" s="12"/>
      <c r="GY14" s="12"/>
      <c r="GZ14" s="12"/>
      <c r="HA14" s="12"/>
      <c r="HB14" s="12"/>
      <c r="HC14" s="12"/>
      <c r="HD14" s="12"/>
      <c r="HE14" s="12" t="str">
        <f>CONCATENATE(REPLACE(AK14,LEN(AK14),1,"")+1,"A")</f>
        <v>4A</v>
      </c>
      <c r="HF14" s="12" t="str">
        <f>CONCATENATE(REPLACE(AL14,LEN(AL14),1,"")+1,"B")</f>
        <v>4B</v>
      </c>
      <c r="HG14" s="12" t="str">
        <f>CONCATENATE($T14,"-M",$U14,"-РНЕ-2")</f>
        <v>E1-M4-РНЕ-2</v>
      </c>
      <c r="HH14" s="12" t="str">
        <f>CONCATENATE($T14,"-M",$U14,"-РНЕ-1")</f>
        <v>E1-M4-РНЕ-1</v>
      </c>
      <c r="HI14" s="12" t="str">
        <f>CONCATENATE("DI",REPLACE($AC14,1,3,""),"-",AF14)</f>
        <v>DI1-C8</v>
      </c>
      <c r="HJ14" s="12" t="str">
        <f>CONCATENATE("DI",REPLACE($AC14,1,3,""),"-",AG14)</f>
        <v>DI1-B8</v>
      </c>
      <c r="HK14" s="12" t="str">
        <f>CONCATENATE("DI",REPLACE($AC14,1,3,""),"-",GU14)</f>
        <v>DI1-C9</v>
      </c>
      <c r="HL14" s="12" t="str">
        <f>CONCATENATE("DI",REPLACE($AC14,1,3,""),"-",GV14)</f>
        <v>DI1-B9</v>
      </c>
      <c r="HM14" s="12"/>
      <c r="HN14" s="12"/>
      <c r="HO14" s="12"/>
      <c r="HP14" s="12"/>
      <c r="HQ14" s="12"/>
      <c r="HR14" s="12"/>
      <c r="HS14" s="12"/>
      <c r="HT14" s="12"/>
      <c r="HU14" s="12" t="str">
        <f>CONCATENATE("DO",REPLACE($AH14,1,3,""),"-",AK14)</f>
        <v>DO1-3A</v>
      </c>
      <c r="HV14" s="12" t="str">
        <f>CONCATENATE("DO",REPLACE($AH14,1,3,""),"-",AL14)</f>
        <v>DO1-3B</v>
      </c>
      <c r="HW14" s="12" t="str">
        <f>CONCATENATE("DO",REPLACE($AH14,1,3,""),"-",HE14)</f>
        <v>DO1-4A</v>
      </c>
      <c r="HX14" s="12" t="str">
        <f>CONCATENATE("DO",REPLACE($AH14,1,3,""),"-",HF14)</f>
        <v>DO1-4B</v>
      </c>
      <c r="HY14" s="12" t="str">
        <f>CONCATENATE("K",$U14,"-03")</f>
        <v>K4-03</v>
      </c>
      <c r="HZ14" s="12" t="str">
        <f>CONCATENATE("K",$U14,"-04")</f>
        <v>K4-04</v>
      </c>
      <c r="IA14" s="12" t="str">
        <f>CONCATENATE("K",$U14,"-01")</f>
        <v>K4-01</v>
      </c>
      <c r="IB14" s="12" t="str">
        <f>CONCATENATE("K",$U14,"-02")</f>
        <v>K4-02</v>
      </c>
      <c r="IC14" s="12"/>
      <c r="ID14" s="12"/>
      <c r="IE14" s="12"/>
      <c r="IF14" s="12"/>
      <c r="IG14" s="12" t="str">
        <f>CONCATENATE($T14,"-M",$U14,"-MAM-12")</f>
        <v>E1-M4-MAM-12</v>
      </c>
      <c r="IH14" s="12" t="str">
        <f>CONCATENATE($T14,"-M",$U14,"-AMS-10")</f>
        <v>E1-M4-AMS-10</v>
      </c>
      <c r="II14" s="12" t="str">
        <f>CONCATENATE($T14,"-M",$U14,"-AMS-91")</f>
        <v>E1-M4-AMS-91</v>
      </c>
      <c r="IJ14" s="12" t="str">
        <f>CONCATENATE($T14,"-M",$U14,"-AMS-71")</f>
        <v>E1-M4-AMS-71</v>
      </c>
      <c r="IK14" s="12" t="str">
        <f>CONCATENATE($T14,"-M",$U14,"-MAM-21")</f>
        <v>E1-M4-MAM-21</v>
      </c>
      <c r="IL14" s="12" t="str">
        <f>CONCATENATE($T14,"-M",$U14,"-MAM-11")</f>
        <v>E1-M4-MAM-11</v>
      </c>
      <c r="IM14" s="12"/>
      <c r="IN14" s="12"/>
      <c r="IO14" s="12"/>
      <c r="IP14" s="12"/>
      <c r="IQ14" s="12"/>
      <c r="IR14" s="12" t="s">
        <v>142</v>
      </c>
      <c r="IS14" s="12" t="s">
        <v>143</v>
      </c>
      <c r="IT14" s="12">
        <v>11</v>
      </c>
      <c r="IU14" s="12">
        <v>14</v>
      </c>
      <c r="IV14" s="12" t="str">
        <f>IV13</f>
        <v>24v6</v>
      </c>
      <c r="IW14" s="12" t="str">
        <f>IW13</f>
        <v>0v6</v>
      </c>
      <c r="IX14" s="12">
        <v>1</v>
      </c>
      <c r="IY14" s="12">
        <v>2</v>
      </c>
      <c r="IZ14" s="12">
        <v>3</v>
      </c>
      <c r="JA14" s="12">
        <v>4</v>
      </c>
      <c r="JB14" s="12">
        <v>5</v>
      </c>
      <c r="JC14" s="12">
        <v>6</v>
      </c>
      <c r="JD14" s="12">
        <v>7</v>
      </c>
      <c r="JE14" s="12">
        <v>8</v>
      </c>
      <c r="JF14" s="12">
        <v>9</v>
      </c>
      <c r="JG14" s="12"/>
      <c r="JH14" s="12"/>
      <c r="JI14" s="12"/>
      <c r="JJ14" s="12"/>
      <c r="JK14" s="12"/>
      <c r="JL14" s="12">
        <v>18</v>
      </c>
      <c r="JM14" s="12">
        <v>19</v>
      </c>
      <c r="JN14" s="12">
        <v>20</v>
      </c>
      <c r="JO14" s="12">
        <v>21</v>
      </c>
      <c r="JP14" s="12">
        <v>23</v>
      </c>
      <c r="JQ14" s="12">
        <v>22</v>
      </c>
      <c r="JR14" s="12">
        <v>29</v>
      </c>
      <c r="JS14" s="12">
        <v>28</v>
      </c>
      <c r="JT14" s="12">
        <v>30</v>
      </c>
      <c r="JU14" s="12"/>
      <c r="JV14" s="12"/>
      <c r="JW14" s="12"/>
      <c r="JX14" s="12"/>
      <c r="JY14" s="13"/>
      <c r="MA14" t="str">
        <f t="shared" si="0"/>
        <v>DI1-B8</v>
      </c>
    </row>
    <row r="15" spans="1:824" x14ac:dyDescent="0.25">
      <c r="A15" t="s">
        <v>2162</v>
      </c>
      <c r="B15" t="s">
        <v>2054</v>
      </c>
      <c r="C15" s="3"/>
      <c r="O15" s="2"/>
      <c r="P15" t="s">
        <v>2051</v>
      </c>
      <c r="Q15" s="1"/>
      <c r="S15" s="1"/>
      <c r="T15" s="10" t="s">
        <v>1984</v>
      </c>
      <c r="U15" s="49">
        <v>5</v>
      </c>
      <c r="V15" s="11" t="s">
        <v>2055</v>
      </c>
      <c r="W15" s="11"/>
      <c r="X15" s="12"/>
      <c r="Y15" s="12"/>
      <c r="Z15" s="12"/>
      <c r="AA15" s="12"/>
      <c r="AB15" s="12"/>
      <c r="AC15" s="12" t="str">
        <f t="shared" si="5"/>
        <v>A5.1</v>
      </c>
      <c r="AD15" s="61">
        <f t="array" ref="AD15">IF(COUNTIFS(AC$2:AC15,AC15)=1,"1",VALUE(SUBSTITUTE(INDEX(AD:AD,_xlfn.XMATCH(AC15,AC$1:AC14,0,-1)),"A",""))+INDEX(AE:AE,_xlfn.XMATCH(AC15,AC$1:AC14,0,-1))+1)</f>
        <v>10</v>
      </c>
      <c r="AE15" s="61">
        <f t="array" ref="AE15">SUM(IF(ISNUMBER(FIND("TmDi",$BE$1:$AAQ$1)),IF(IFERROR(ISNUMBER(VALUE(SUBSTITUTE($BE15:$AAQ15,"B",""))),FALSE),IF(ISNUMBER(VALUE(SUBSTITUTE($BE15:$AAQ15,"B",""))),1,0),0)))</f>
        <v>3</v>
      </c>
      <c r="AF15" s="12" t="str">
        <f t="shared" si="3"/>
        <v>C10</v>
      </c>
      <c r="AG15" s="12" t="str">
        <f t="shared" si="4"/>
        <v>B10</v>
      </c>
      <c r="AH15" s="12" t="str">
        <f>IF(AI14+AJ14&gt;31,REPLACE(AH14,LEN(AH14),1,VALUE(RIGHT(AH14,1))+1),AH14)</f>
        <v>A6.1</v>
      </c>
      <c r="AI15" s="66">
        <f t="array" ref="AI15">IF(COUNTIFS(AH$2:AH15,AH15)=1,"1",VALUE(SUBSTITUTE(INDEX(AI:AI,_xlfn.XMATCH(AH15,AH$1:AH14,0,-1)),"A",""))+INDEX(AJ:AJ,_xlfn.XMATCH(AH15,AH$1:AH14,0,-1))+1)</f>
        <v>5</v>
      </c>
      <c r="AJ15" s="66">
        <f t="array" ref="AJ15">SUM(IF(ISNUMBER(FIND("TmDo",$BE$1:$AAQ$1)),IF(IFERROR(ISNUMBER(VALUE(SUBSTITUTE($BE15:$AAQ15,"B",""))),FALSE),IF(ISNUMBER(VALUE(SUBSTITUTE($BE15:$AAQ15,"B",""))),1,0),0)))</f>
        <v>2</v>
      </c>
      <c r="AK15" s="11" t="str">
        <f>CONCATENATE($AI15,"A")</f>
        <v>5A</v>
      </c>
      <c r="AL15" s="11" t="str">
        <f>CONCATENATE($AI15,"B")</f>
        <v>5B</v>
      </c>
      <c r="AM15" s="12" t="s">
        <v>155</v>
      </c>
      <c r="AN15" s="12"/>
      <c r="AO15" s="12"/>
      <c r="AP15" s="12" t="s">
        <v>1987</v>
      </c>
      <c r="AQ15" s="12" t="s">
        <v>2042</v>
      </c>
      <c r="AR15" s="12"/>
      <c r="AS15" s="12"/>
      <c r="AT15" s="12" t="s">
        <v>139</v>
      </c>
      <c r="AU15" s="12" t="s">
        <v>140</v>
      </c>
      <c r="AV15" s="12"/>
      <c r="AW15" s="12"/>
      <c r="AX15" s="12"/>
      <c r="AY15" s="12"/>
      <c r="AZ15" s="12"/>
      <c r="BA15" s="12"/>
      <c r="BB15" s="12"/>
      <c r="BC15" s="12"/>
      <c r="BD15" s="13"/>
      <c r="BE15" s="25" t="str">
        <f>CONCATENATE("XT",U15)</f>
        <v>XT5</v>
      </c>
      <c r="BF15" s="12" t="str">
        <f>CONCATENATE("C",REPLACE(AF15,1,1,"")+1)</f>
        <v>C11</v>
      </c>
      <c r="BG15" s="12" t="str">
        <f>CONCATENATE("B",REPLACE(AG15,1,1,"")+1)</f>
        <v>B11</v>
      </c>
      <c r="BH15" s="12" t="str">
        <f>CONCATENATE("C",REPLACE(BF15,1,1,"")+1)</f>
        <v>C12</v>
      </c>
      <c r="BI15" s="12" t="str">
        <f>CONCATENATE("B",REPLACE(BG15,1,1,"")+1)</f>
        <v>B12</v>
      </c>
      <c r="BJ15" s="12" t="str">
        <f>CONCATENATE("C",REPLACE(BH15,1,1,"")+1)</f>
        <v>C13</v>
      </c>
      <c r="BK15" s="12" t="str">
        <f>CONCATENATE("B",REPLACE(BI15,1,1,"")+1)</f>
        <v>B13</v>
      </c>
      <c r="BL15" s="12"/>
      <c r="BM15" s="12"/>
      <c r="BN15" s="12"/>
      <c r="BO15" s="12"/>
      <c r="BP15" s="12" t="str">
        <f>CONCATENATE(REPLACE(AK15,LEN(AK15),1,"")+1,"A")</f>
        <v>6A</v>
      </c>
      <c r="BQ15" s="12" t="str">
        <f>CONCATENATE(REPLACE(AL15,LEN(AL15),1,"")+1,"B")</f>
        <v>6B</v>
      </c>
      <c r="BR15" s="12" t="str">
        <f>CONCATENATE(REPLACE(BP15,LEN(BP15),1,"")+1,"A")</f>
        <v>7A</v>
      </c>
      <c r="BS15" s="12" t="str">
        <f>CONCATENATE(REPLACE(BQ15,LEN(BQ15),1,"")+1,"B")</f>
        <v>7B</v>
      </c>
      <c r="BT15" s="12" t="str">
        <f t="shared" ref="BT15:BU17" si="6">CONCATENATE("DI",REPLACE($AC15,1,3,""),"-",AF15)</f>
        <v>DI1-C10</v>
      </c>
      <c r="BU15" s="12" t="str">
        <f t="shared" si="6"/>
        <v>DI1-B10</v>
      </c>
      <c r="BV15" s="12" t="str">
        <f t="shared" ref="BV15:CA17" si="7">CONCATENATE("DI",REPLACE($AC15,1,3,""),"-",BF15)</f>
        <v>DI1-C11</v>
      </c>
      <c r="BW15" s="12" t="str">
        <f t="shared" si="7"/>
        <v>DI1-B11</v>
      </c>
      <c r="BX15" s="12" t="str">
        <f t="shared" si="7"/>
        <v>DI1-C12</v>
      </c>
      <c r="BY15" s="12" t="str">
        <f t="shared" si="7"/>
        <v>DI1-B12</v>
      </c>
      <c r="BZ15" s="12" t="str">
        <f t="shared" si="7"/>
        <v>DI1-C13</v>
      </c>
      <c r="CA15" s="12" t="str">
        <f t="shared" si="7"/>
        <v>DI1-B13</v>
      </c>
      <c r="CB15" s="12"/>
      <c r="CC15" s="12"/>
      <c r="CD15" s="12"/>
      <c r="CE15" s="12"/>
      <c r="CF15" s="12" t="str">
        <f t="shared" ref="CF15:CG17" si="8">CONCATENATE("DO",REPLACE($AH15,1,3,""),"-",AK15)</f>
        <v>DO1-5A</v>
      </c>
      <c r="CG15" s="12" t="str">
        <f t="shared" si="8"/>
        <v>DO1-5B</v>
      </c>
      <c r="CH15" s="12" t="str">
        <f t="shared" ref="CH15:CK17" si="9">CONCATENATE("DO",REPLACE($AH15,1,3,""),"-",BP15)</f>
        <v>DO1-6A</v>
      </c>
      <c r="CI15" s="12" t="str">
        <f t="shared" si="9"/>
        <v>DO1-6B</v>
      </c>
      <c r="CJ15" s="12" t="str">
        <f t="shared" si="9"/>
        <v>DO1-7A</v>
      </c>
      <c r="CK15" s="12" t="str">
        <f t="shared" si="9"/>
        <v>DO1-7B</v>
      </c>
      <c r="CL15" s="12" t="str">
        <f>CONCATENATE("K",$U15,"-10")</f>
        <v>K5-10</v>
      </c>
      <c r="CM15" s="12" t="str">
        <f>CONCATENATE("K",$U15,"-03")</f>
        <v>K5-03</v>
      </c>
      <c r="CN15" s="12" t="str">
        <f>CONCATENATE("K",$U15,"-04")</f>
        <v>K5-04</v>
      </c>
      <c r="CO15" s="12"/>
      <c r="CP15" s="12" t="str">
        <f>CONCATENATE("K",$U15,"-08")</f>
        <v>K5-08</v>
      </c>
      <c r="CQ15" s="12" t="str">
        <f>CONCATENATE("K",$U15,"-02")</f>
        <v>K5-02</v>
      </c>
      <c r="CR15" s="12" t="str">
        <f>CONCATENATE("K",$U15,"-09")</f>
        <v>K5-09</v>
      </c>
      <c r="CS15" s="12" t="str">
        <f>CONCATENATE("K",$U15,"-06")</f>
        <v>K5-06</v>
      </c>
      <c r="CT15" s="12" t="str">
        <f>CONCATENATE("K",$U15,"-05")</f>
        <v>K5-05</v>
      </c>
      <c r="CU15" s="12" t="str">
        <f>CONCATENATE($T15,"-M",$U15,"-A9")</f>
        <v>E1-M5-A9</v>
      </c>
      <c r="CV15" s="12" t="str">
        <f>CONCATENATE($T15,"-M",$U15,"-A7")</f>
        <v>E1-M5-A7</v>
      </c>
      <c r="CW15" s="12" t="str">
        <f>CONCATENATE($T15,"-M",$U15,"-A8")</f>
        <v>E1-M5-A8</v>
      </c>
      <c r="CX15" s="12" t="str">
        <f>CONCATENATE($T15,"-M",$U15,"-A6")</f>
        <v>E1-M5-A6</v>
      </c>
      <c r="CY15" s="12" t="str">
        <f>CONCATENATE($T15,"-M",$U15,"-A30")</f>
        <v>E1-M5-A30</v>
      </c>
      <c r="CZ15" s="12" t="str">
        <f>CONCATENATE($T15,"-M",$U15,"-N")</f>
        <v>E1-M5-N</v>
      </c>
      <c r="DA15" s="12" t="str">
        <f>CONCATENATE($T15,"-M",U15,"-A7")</f>
        <v>E1-M5-A7</v>
      </c>
      <c r="DB15" s="12" t="str">
        <f>CONCATENATE($T15,"-M",$U15,"-H1")</f>
        <v>E1-M5-H1</v>
      </c>
      <c r="DC15" s="12" t="str">
        <f>CONCATENATE($T15,"-M",$U15,"-A1")</f>
        <v>E1-M5-A1</v>
      </c>
      <c r="DD15" s="12" t="str">
        <f>CONCATENATE($T15,"-M",$U15,"-A5")</f>
        <v>E1-M5-A5</v>
      </c>
      <c r="DE15" s="12" t="str">
        <f>CONCATENATE($T15,"-M",$U15,"-A11")</f>
        <v>E1-M5-A11</v>
      </c>
      <c r="DF15" s="12" t="str">
        <f>CONCATENATE($T15,"-M",$U15,"-A12")</f>
        <v>E1-M5-A12</v>
      </c>
      <c r="DG15" s="12" t="str">
        <f>CONCATENATE($T15,"-M",$U15,"-A20")</f>
        <v>E1-M5-A20</v>
      </c>
      <c r="DH15" s="12" t="str">
        <f>CONCATENATE($T15,"-M",$U15,"-A19")</f>
        <v>E1-M5-A19</v>
      </c>
      <c r="DI15" s="12" t="s">
        <v>142</v>
      </c>
      <c r="DJ15" s="12" t="s">
        <v>143</v>
      </c>
      <c r="DK15" s="12">
        <v>11</v>
      </c>
      <c r="DL15" s="12">
        <v>14</v>
      </c>
      <c r="DM15" s="12">
        <v>12</v>
      </c>
      <c r="DN15" s="12"/>
      <c r="DO15" s="12"/>
      <c r="DP15" s="12">
        <v>1</v>
      </c>
      <c r="DQ15" s="12">
        <v>2</v>
      </c>
      <c r="DR15" s="12">
        <v>3</v>
      </c>
      <c r="DS15" s="12">
        <v>4</v>
      </c>
      <c r="DT15" s="12">
        <v>5</v>
      </c>
      <c r="DU15" s="12">
        <v>6</v>
      </c>
      <c r="DV15" s="12">
        <v>7</v>
      </c>
      <c r="DW15" s="12">
        <v>8</v>
      </c>
      <c r="DX15" s="12">
        <v>9</v>
      </c>
      <c r="DY15" s="12">
        <v>10</v>
      </c>
      <c r="DZ15" s="12">
        <v>11</v>
      </c>
      <c r="EA15" s="12">
        <v>12</v>
      </c>
      <c r="EB15" s="12">
        <v>13</v>
      </c>
      <c r="EC15" s="12">
        <v>14</v>
      </c>
      <c r="ED15" s="12">
        <v>1</v>
      </c>
      <c r="EE15" s="12">
        <v>3</v>
      </c>
      <c r="EF15" s="12">
        <v>5</v>
      </c>
      <c r="EG15" s="12">
        <v>7</v>
      </c>
      <c r="EH15" s="12">
        <v>13</v>
      </c>
      <c r="EI15" s="12">
        <v>17</v>
      </c>
      <c r="EJ15" s="12">
        <v>18</v>
      </c>
      <c r="EK15" s="12">
        <v>19</v>
      </c>
      <c r="EL15" s="12">
        <v>20</v>
      </c>
      <c r="EM15" s="12">
        <v>25</v>
      </c>
      <c r="EN15" s="12"/>
      <c r="EO15" s="12"/>
      <c r="EP15" s="12"/>
      <c r="EQ15" s="13"/>
      <c r="MA15" t="str">
        <f t="shared" si="0"/>
        <v>DI1-B10</v>
      </c>
    </row>
    <row r="16" spans="1:824" x14ac:dyDescent="0.25">
      <c r="A16" s="68" t="s">
        <v>2163</v>
      </c>
      <c r="B16" t="s">
        <v>2057</v>
      </c>
      <c r="C16" s="3"/>
      <c r="O16" s="2"/>
      <c r="P16" t="s">
        <v>2051</v>
      </c>
      <c r="Q16" s="1"/>
      <c r="S16" s="1"/>
      <c r="T16" s="14" t="s">
        <v>1984</v>
      </c>
      <c r="U16" s="60">
        <v>6</v>
      </c>
      <c r="V16" s="15" t="s">
        <v>2058</v>
      </c>
      <c r="W16" s="15"/>
      <c r="AC16" t="str">
        <f t="shared" si="5"/>
        <v>A5.1</v>
      </c>
      <c r="AD16" s="43">
        <f t="array" ref="AD16">IF(COUNTIFS(AC$2:AC16,AC16)=1,"1",VALUE(SUBSTITUTE(INDEX(AD:AD,_xlfn.XMATCH(AC16,AC$1:AC15,0,-1)),"A",""))+INDEX(AE:AE,_xlfn.XMATCH(AC16,AC$1:AC15,0,-1))+1)</f>
        <v>14</v>
      </c>
      <c r="AE16" s="43">
        <f t="array" ref="AE16">SUM(IF(ISNUMBER(FIND("TmDi",$BE$1:$AAQ$1)),IF(IFERROR(ISNUMBER(VALUE(SUBSTITUTE($BE16:$AAQ16,"B",""))),FALSE),IF(ISNUMBER(VALUE(SUBSTITUTE($BE16:$AAQ16,"B",""))),1,0),0)))</f>
        <v>3</v>
      </c>
      <c r="AF16" t="str">
        <f t="shared" si="3"/>
        <v>C14</v>
      </c>
      <c r="AG16" t="str">
        <f t="shared" si="4"/>
        <v>B14</v>
      </c>
      <c r="AH16" t="str">
        <f>IF(AI15+AJ15&gt;31,REPLACE(AH15,LEN(AH15),1,VALUE(RIGHT(AH15,1))+1),AH15)</f>
        <v>A6.1</v>
      </c>
      <c r="AI16" s="62">
        <f t="array" ref="AI16">IF(COUNTIFS(AH$2:AH16,AH16)=1,"1",VALUE(SUBSTITUTE(INDEX(AI:AI,_xlfn.XMATCH(AH16,AH$1:AH15,0,-1)),"A",""))+INDEX(AJ:AJ,_xlfn.XMATCH(AH16,AH$1:AH15,0,-1))+1)</f>
        <v>8</v>
      </c>
      <c r="AJ16" s="62">
        <f t="array" ref="AJ16">SUM(IF(ISNUMBER(FIND("TmDo",$BE$1:$AAQ$1)),IF(IFERROR(ISNUMBER(VALUE(SUBSTITUTE($BE16:$AAQ16,"B",""))),FALSE),IF(ISNUMBER(VALUE(SUBSTITUTE($BE16:$AAQ16,"B",""))),1,0),0)))</f>
        <v>2</v>
      </c>
      <c r="AK16" s="15" t="str">
        <f>CONCATENATE($AI16,"A")</f>
        <v>8A</v>
      </c>
      <c r="AL16" s="15" t="str">
        <f>CONCATENATE($AI16,"B")</f>
        <v>8B</v>
      </c>
      <c r="AM16" t="s">
        <v>158</v>
      </c>
      <c r="AP16" t="s">
        <v>1987</v>
      </c>
      <c r="AQ16" t="s">
        <v>2042</v>
      </c>
      <c r="AT16" t="s">
        <v>139</v>
      </c>
      <c r="AU16" t="s">
        <v>140</v>
      </c>
      <c r="BD16" s="16"/>
      <c r="BE16" s="27" t="str">
        <f>CONCATENATE("XT",U16)</f>
        <v>XT6</v>
      </c>
      <c r="BF16" t="str">
        <f>CONCATENATE("C",REPLACE(AF16,1,1,"")+1)</f>
        <v>C15</v>
      </c>
      <c r="BG16" t="str">
        <f>CONCATENATE("B",REPLACE(AG16,1,1,"")+1)</f>
        <v>B15</v>
      </c>
      <c r="BH16" t="str">
        <f>CONCATENATE("C",REPLACE(BF16,1,1,"")+1)</f>
        <v>C16</v>
      </c>
      <c r="BI16" t="str">
        <f>CONCATENATE("B",REPLACE(BG16,1,1,"")+1)</f>
        <v>B16</v>
      </c>
      <c r="BJ16" t="str">
        <f>CONCATENATE("C",REPLACE(BH16,1,1,"")+1)</f>
        <v>C17</v>
      </c>
      <c r="BK16" t="str">
        <f>CONCATENATE("B",REPLACE(BI16,1,1,"")+1)</f>
        <v>B17</v>
      </c>
      <c r="BP16" t="str">
        <f>CONCATENATE(REPLACE(AK16,LEN(AK16),1,"")+1,"A")</f>
        <v>9A</v>
      </c>
      <c r="BQ16" t="str">
        <f>CONCATENATE(REPLACE(AL16,LEN(AL16),1,"")+1,"B")</f>
        <v>9B</v>
      </c>
      <c r="BR16" t="str">
        <f>CONCATENATE(REPLACE(BP16,LEN(BP16),1,"")+1,"A")</f>
        <v>10A</v>
      </c>
      <c r="BS16" t="str">
        <f>CONCATENATE(REPLACE(BQ16,LEN(BQ16),1,"")+1,"B")</f>
        <v>10B</v>
      </c>
      <c r="BT16" t="str">
        <f t="shared" si="6"/>
        <v>DI1-C14</v>
      </c>
      <c r="BU16" t="str">
        <f t="shared" si="6"/>
        <v>DI1-B14</v>
      </c>
      <c r="BV16" t="str">
        <f t="shared" si="7"/>
        <v>DI1-C15</v>
      </c>
      <c r="BW16" t="str">
        <f t="shared" si="7"/>
        <v>DI1-B15</v>
      </c>
      <c r="BX16" t="str">
        <f t="shared" si="7"/>
        <v>DI1-C16</v>
      </c>
      <c r="BY16" t="str">
        <f t="shared" si="7"/>
        <v>DI1-B16</v>
      </c>
      <c r="BZ16" t="str">
        <f t="shared" si="7"/>
        <v>DI1-C17</v>
      </c>
      <c r="CA16" t="str">
        <f t="shared" si="7"/>
        <v>DI1-B17</v>
      </c>
      <c r="CF16" t="str">
        <f t="shared" si="8"/>
        <v>DO1-8A</v>
      </c>
      <c r="CG16" t="str">
        <f t="shared" si="8"/>
        <v>DO1-8B</v>
      </c>
      <c r="CH16" t="str">
        <f t="shared" si="9"/>
        <v>DO1-9A</v>
      </c>
      <c r="CI16" t="str">
        <f t="shared" si="9"/>
        <v>DO1-9B</v>
      </c>
      <c r="CJ16" t="str">
        <f t="shared" si="9"/>
        <v>DO1-10A</v>
      </c>
      <c r="CK16" t="str">
        <f t="shared" si="9"/>
        <v>DO1-10B</v>
      </c>
      <c r="CL16" t="str">
        <f>CONCATENATE("K",$U16,"-10")</f>
        <v>K6-10</v>
      </c>
      <c r="CM16" t="str">
        <f>CONCATENATE("K",$U16,"-03")</f>
        <v>K6-03</v>
      </c>
      <c r="CN16" t="str">
        <f>CONCATENATE("K",$U16,"-04")</f>
        <v>K6-04</v>
      </c>
      <c r="CP16" t="str">
        <f>CONCATENATE("K",$U16,"-08")</f>
        <v>K6-08</v>
      </c>
      <c r="CQ16" t="str">
        <f>CONCATENATE("K",$U16,"-02")</f>
        <v>K6-02</v>
      </c>
      <c r="CR16" t="str">
        <f>CONCATENATE("K",$U16,"-09")</f>
        <v>K6-09</v>
      </c>
      <c r="CS16" t="str">
        <f>CONCATENATE("K",$U16,"-06")</f>
        <v>K6-06</v>
      </c>
      <c r="CT16" t="str">
        <f>CONCATENATE("K",$U16,"-05")</f>
        <v>K6-05</v>
      </c>
      <c r="CU16" t="str">
        <f>CONCATENATE($T16,"-M",$U16,"-A9")</f>
        <v>E1-M6-A9</v>
      </c>
      <c r="CV16" t="str">
        <f>CONCATENATE($T16,"-M",$U16,"-A7")</f>
        <v>E1-M6-A7</v>
      </c>
      <c r="CW16" t="str">
        <f>CONCATENATE($T16,"-M",$U16,"-A8")</f>
        <v>E1-M6-A8</v>
      </c>
      <c r="CX16" t="str">
        <f>CONCATENATE($T16,"-M",$U16,"-A6")</f>
        <v>E1-M6-A6</v>
      </c>
      <c r="CY16" t="str">
        <f>CONCATENATE($T16,"-M",$U16,"-A30")</f>
        <v>E1-M6-A30</v>
      </c>
      <c r="CZ16" t="str">
        <f>CONCATENATE($T16,"-M",$U16,"-N")</f>
        <v>E1-M6-N</v>
      </c>
      <c r="DA16" t="str">
        <f>CONCATENATE($T16,"-M",U16,"-A7")</f>
        <v>E1-M6-A7</v>
      </c>
      <c r="DB16" t="str">
        <f>CONCATENATE($T16,"-M",$U16,"-H1")</f>
        <v>E1-M6-H1</v>
      </c>
      <c r="DC16" t="str">
        <f>CONCATENATE($T16,"-M",$U16,"-A1")</f>
        <v>E1-M6-A1</v>
      </c>
      <c r="DD16" t="str">
        <f>CONCATENATE($T16,"-M",$U16,"-A5")</f>
        <v>E1-M6-A5</v>
      </c>
      <c r="DE16" t="str">
        <f>CONCATENATE($T16,"-M",$U16,"-A11")</f>
        <v>E1-M6-A11</v>
      </c>
      <c r="DF16" t="str">
        <f>CONCATENATE($T16,"-M",$U16,"-A12")</f>
        <v>E1-M6-A12</v>
      </c>
      <c r="DG16" t="str">
        <f>CONCATENATE($T16,"-M",$U16,"-A20")</f>
        <v>E1-M6-A20</v>
      </c>
      <c r="DH16" t="str">
        <f>CONCATENATE($T16,"-M",$U16,"-A19")</f>
        <v>E1-M6-A19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5</v>
      </c>
      <c r="EG16">
        <v>7</v>
      </c>
      <c r="EH16">
        <v>13</v>
      </c>
      <c r="EI16">
        <v>17</v>
      </c>
      <c r="EJ16">
        <v>18</v>
      </c>
      <c r="EK16">
        <v>19</v>
      </c>
      <c r="EL16">
        <v>20</v>
      </c>
      <c r="EM16">
        <v>25</v>
      </c>
      <c r="EQ16" s="16"/>
      <c r="MA16" t="str">
        <f t="shared" si="0"/>
        <v>DI1-B14</v>
      </c>
    </row>
    <row r="17" spans="1:555" x14ac:dyDescent="0.25">
      <c r="A17" s="68" t="s">
        <v>2164</v>
      </c>
      <c r="B17" t="s">
        <v>2059</v>
      </c>
      <c r="C17" s="3"/>
      <c r="O17" s="2"/>
      <c r="P17" t="s">
        <v>2056</v>
      </c>
      <c r="Q17" s="1"/>
      <c r="S17" s="1"/>
      <c r="T17" s="14" t="s">
        <v>1984</v>
      </c>
      <c r="U17" s="60">
        <v>7</v>
      </c>
      <c r="V17" s="15" t="s">
        <v>2060</v>
      </c>
      <c r="W17" s="15"/>
      <c r="AC17" t="str">
        <f t="shared" si="5"/>
        <v>A5.1</v>
      </c>
      <c r="AD17" s="43">
        <f t="array" ref="AD17">IF(COUNTIFS(AC$2:AC17,AC17)=1,"1",VALUE(SUBSTITUTE(INDEX(AD:AD,_xlfn.XMATCH(AC17,AC$1:AC16,0,-1)),"A",""))+INDEX(AE:AE,_xlfn.XMATCH(AC17,AC$1:AC16,0,-1))+1)</f>
        <v>18</v>
      </c>
      <c r="AE17" s="43">
        <f t="array" ref="AE17">SUM(IF(ISNUMBER(FIND("TmDi",$BE$1:$AAQ$1)),IF(IFERROR(ISNUMBER(VALUE(SUBSTITUTE($BE17:$AAQ17,"B",""))),FALSE),IF(ISNUMBER(VALUE(SUBSTITUTE($BE17:$AAQ17,"B",""))),1,0),0)))</f>
        <v>4</v>
      </c>
      <c r="AF17" t="str">
        <f t="shared" si="3"/>
        <v>C18</v>
      </c>
      <c r="AG17" t="str">
        <f t="shared" si="4"/>
        <v>B18</v>
      </c>
      <c r="AH17" t="str">
        <f>IF(AI16+AJ16&gt;31,REPLACE(AH16,LEN(AH16),1,VALUE(RIGHT(AH16,1))+1),AH16)</f>
        <v>A6.1</v>
      </c>
      <c r="AI17" s="62">
        <f t="array" ref="AI17">IF(COUNTIFS(AH$2:AH17,AH17)=1,"1",VALUE(SUBSTITUTE(INDEX(AI:AI,_xlfn.XMATCH(AH17,AH$1:AH16,0,-1)),"A",""))+INDEX(AJ:AJ,_xlfn.XMATCH(AH17,AH$1:AH16,0,-1))+1)</f>
        <v>11</v>
      </c>
      <c r="AJ17" s="62">
        <f t="array" ref="AJ17">SUM(IF(ISNUMBER(FIND("TmDo",$BE$1:$AAQ$1)),IF(IFERROR(ISNUMBER(VALUE(SUBSTITUTE($BE17:$AAQ17,"B",""))),FALSE),IF(ISNUMBER(VALUE(SUBSTITUTE($BE17:$AAQ17,"B",""))),1,0),0)))</f>
        <v>2</v>
      </c>
      <c r="AK17" s="15" t="str">
        <f>CONCATENATE($AI17,"A")</f>
        <v>11A</v>
      </c>
      <c r="AL17" s="15" t="str">
        <f>CONCATENATE($AI17,"B")</f>
        <v>11B</v>
      </c>
      <c r="AM17" t="s">
        <v>161</v>
      </c>
      <c r="AP17" t="s">
        <v>1987</v>
      </c>
      <c r="AQ17" t="s">
        <v>2042</v>
      </c>
      <c r="AT17" t="s">
        <v>139</v>
      </c>
      <c r="AU17" t="s">
        <v>140</v>
      </c>
      <c r="BD17" s="16"/>
      <c r="BE17" s="27" t="str">
        <f>CONCATENATE("XT",U17)</f>
        <v>XT7</v>
      </c>
      <c r="BF17" t="str">
        <f>CONCATENATE("C",REPLACE(AF17,1,1,"")+1)</f>
        <v>C19</v>
      </c>
      <c r="BG17" t="str">
        <f>CONCATENATE("B",REPLACE(AG17,1,1,"")+1)</f>
        <v>B19</v>
      </c>
      <c r="BH17" t="str">
        <f>CONCATENATE("C",REPLACE(BF17,1,1,"")+1)</f>
        <v>C20</v>
      </c>
      <c r="BI17" t="str">
        <f>CONCATENATE("B",REPLACE(BG17,1,1,"")+1)</f>
        <v>B20</v>
      </c>
      <c r="BJ17" t="str">
        <f>CONCATENATE("C",REPLACE(BH17,1,1,"")+1)</f>
        <v>C21</v>
      </c>
      <c r="BK17" t="str">
        <f>CONCATENATE("B",REPLACE(BI17,1,1,"")+1)</f>
        <v>B21</v>
      </c>
      <c r="BL17" t="str">
        <f>CONCATENATE("C",REPLACE(BJ17,1,1,"")+1)</f>
        <v>C22</v>
      </c>
      <c r="BM17" t="str">
        <f>CONCATENATE("B",REPLACE(BK17,1,1,"")+1)</f>
        <v>B22</v>
      </c>
      <c r="BP17" t="str">
        <f>CONCATENATE(REPLACE(AK17,LEN(AK17),1,"")+1,"A")</f>
        <v>12A</v>
      </c>
      <c r="BQ17" t="str">
        <f>CONCATENATE(REPLACE(AL17,LEN(AL17),1,"")+1,"B")</f>
        <v>12B</v>
      </c>
      <c r="BR17" t="str">
        <f>CONCATENATE(REPLACE(BP17,LEN(BP17),1,"")+1,"A")</f>
        <v>13A</v>
      </c>
      <c r="BS17" t="str">
        <f>CONCATENATE(REPLACE(BQ17,LEN(BQ17),1,"")+1,"B")</f>
        <v>13B</v>
      </c>
      <c r="BT17" t="str">
        <f t="shared" si="6"/>
        <v>DI1-C18</v>
      </c>
      <c r="BU17" t="str">
        <f t="shared" si="6"/>
        <v>DI1-B18</v>
      </c>
      <c r="BV17" t="str">
        <f t="shared" si="7"/>
        <v>DI1-C19</v>
      </c>
      <c r="BW17" t="str">
        <f t="shared" si="7"/>
        <v>DI1-B19</v>
      </c>
      <c r="BX17" t="str">
        <f t="shared" si="7"/>
        <v>DI1-C20</v>
      </c>
      <c r="BY17" t="str">
        <f t="shared" si="7"/>
        <v>DI1-B20</v>
      </c>
      <c r="BZ17" t="str">
        <f t="shared" si="7"/>
        <v>DI1-C21</v>
      </c>
      <c r="CA17" t="str">
        <f t="shared" si="7"/>
        <v>DI1-B21</v>
      </c>
      <c r="CB17" t="str">
        <f>CONCATENATE("DI",REPLACE($AC17,1,3,""),"-",BL17)</f>
        <v>DI1-C22</v>
      </c>
      <c r="CC17" t="str">
        <f>CONCATENATE("DI",REPLACE($AC17,1,3,""),"-",BM17)</f>
        <v>DI1-B22</v>
      </c>
      <c r="CF17" t="str">
        <f t="shared" si="8"/>
        <v>DO1-11A</v>
      </c>
      <c r="CG17" t="str">
        <f t="shared" si="8"/>
        <v>DO1-11B</v>
      </c>
      <c r="CH17" t="str">
        <f t="shared" si="9"/>
        <v>DO1-12A</v>
      </c>
      <c r="CI17" t="str">
        <f t="shared" si="9"/>
        <v>DO1-12B</v>
      </c>
      <c r="CJ17" t="str">
        <f t="shared" si="9"/>
        <v>DO1-13A</v>
      </c>
      <c r="CK17" t="str">
        <f t="shared" si="9"/>
        <v>DO1-13B</v>
      </c>
      <c r="CL17" t="str">
        <f>CONCATENATE("K",$U17,"-01")</f>
        <v>K7-01</v>
      </c>
      <c r="CM17" t="str">
        <f>CONCATENATE("K",$U17,"-02")</f>
        <v>K7-02</v>
      </c>
      <c r="CN17" t="str">
        <f>CONCATENATE("K",$U17,"-06")</f>
        <v>K7-06</v>
      </c>
      <c r="CP17" t="str">
        <f>CONCATENATE("K",$U17,"-07")</f>
        <v>K7-07</v>
      </c>
      <c r="CQ17" t="str">
        <f>CONCATENATE("K",$U17,"-05")</f>
        <v>K7-05</v>
      </c>
      <c r="CR17" t="str">
        <f>CONCATENATE("K",$U17,"-10")</f>
        <v>K7-10</v>
      </c>
      <c r="CS17" t="str">
        <f>CONCATENATE("K",$U17,"-03")</f>
        <v>K7-03</v>
      </c>
      <c r="CT17" t="str">
        <f>CONCATENATE("K",$U17,"-04")</f>
        <v>K7-04</v>
      </c>
      <c r="CU17" t="str">
        <f>CONCATENATE($T17,"-M",$U17,"-A9")</f>
        <v>E1-M7-A9</v>
      </c>
      <c r="CV17" t="str">
        <f>CONCATENATE($T17,"-M",$U17,"-A8")</f>
        <v>E1-M7-A8</v>
      </c>
      <c r="CW17" t="str">
        <f>CONCATENATE($T17,"-M",$U17,"-A6")</f>
        <v>E1-M7-A6</v>
      </c>
      <c r="CX17" t="str">
        <f>CONCATENATE($T17,"-M",$U17,"-A6")</f>
        <v>E1-M7-A6</v>
      </c>
      <c r="CY17" t="str">
        <f>CONCATENATE($T17,"-M",$U17,"-A30")</f>
        <v>E1-M7-A30</v>
      </c>
      <c r="CZ17" t="str">
        <f>CONCATENATE($T17,"-M",$U17,"-N")</f>
        <v>E1-M7-N</v>
      </c>
      <c r="DA17" t="str">
        <f>CONCATENATE($T17,"-M",U17,"-A7")</f>
        <v>E1-M7-A7</v>
      </c>
      <c r="DB17" t="str">
        <f>CONCATENATE($T17,"-M",$U17,"-H1")</f>
        <v>E1-M7-H1</v>
      </c>
      <c r="DC17" t="str">
        <f>CONCATENATE($T17,"-M",$U17,"-A1")</f>
        <v>E1-M7-A1</v>
      </c>
      <c r="DD17" t="str">
        <f>CONCATENATE($T17,"-M",$U17,"-A5")</f>
        <v>E1-M7-A5</v>
      </c>
      <c r="DE17" t="str">
        <f>CONCATENATE($T17,"-M",$U17,"-A11")</f>
        <v>E1-M7-A11</v>
      </c>
      <c r="DF17" t="str">
        <f>CONCATENATE($T17,"-M",$U17,"-A12")</f>
        <v>E1-M7-A12</v>
      </c>
      <c r="DG17" t="str">
        <f>CONCATENATE($T17,"-M",$U17,"-A19")</f>
        <v>E1-M7-A19</v>
      </c>
      <c r="DH17" t="str">
        <f>CONCATENATE($T17,"-M",$U17,"-A20")</f>
        <v>E1-M7-A20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2</v>
      </c>
      <c r="EF17">
        <v>5</v>
      </c>
      <c r="EG17">
        <v>7</v>
      </c>
      <c r="EH17">
        <v>8</v>
      </c>
      <c r="EI17">
        <v>11</v>
      </c>
      <c r="EJ17">
        <v>14</v>
      </c>
      <c r="EK17">
        <v>18</v>
      </c>
      <c r="EL17">
        <v>19</v>
      </c>
      <c r="EM17">
        <v>20</v>
      </c>
      <c r="EN17">
        <v>21</v>
      </c>
      <c r="EO17">
        <v>25</v>
      </c>
      <c r="EQ17" s="16"/>
      <c r="MA17" t="str">
        <f t="shared" si="0"/>
        <v>DI1-B18</v>
      </c>
    </row>
    <row r="18" spans="1:555" ht="30.75" thickBot="1" x14ac:dyDescent="0.3">
      <c r="B18" t="s">
        <v>2145</v>
      </c>
      <c r="P18" t="s">
        <v>1939</v>
      </c>
      <c r="T18" s="27" t="s">
        <v>1984</v>
      </c>
      <c r="U18">
        <v>8</v>
      </c>
      <c r="V18" t="s">
        <v>2146</v>
      </c>
      <c r="AP18" t="s">
        <v>1987</v>
      </c>
      <c r="AQ18" t="s">
        <v>2147</v>
      </c>
      <c r="MA18" t="str">
        <f t="shared" si="0"/>
        <v>DI-</v>
      </c>
      <c r="TX18" s="29" t="s">
        <v>2144</v>
      </c>
      <c r="TY18" t="s">
        <v>1948</v>
      </c>
      <c r="TZ18" t="s">
        <v>1949</v>
      </c>
      <c r="UA18" t="s">
        <v>1950</v>
      </c>
      <c r="UB18" t="s">
        <v>1951</v>
      </c>
      <c r="UC18" t="s">
        <v>1952</v>
      </c>
      <c r="UD18" t="s">
        <v>1953</v>
      </c>
      <c r="UE18" t="s">
        <v>1954</v>
      </c>
      <c r="UF18" t="str">
        <f>CONCATENATE("XT",$U18)</f>
        <v>XT8</v>
      </c>
      <c r="UG18">
        <v>1</v>
      </c>
      <c r="UH18">
        <f t="shared" ref="UH18" si="10">UG18+1</f>
        <v>2</v>
      </c>
      <c r="UI18">
        <f t="shared" ref="UI18" si="11">UH18+1</f>
        <v>3</v>
      </c>
    </row>
    <row r="19" spans="1:555" x14ac:dyDescent="0.25">
      <c r="A19" t="s">
        <v>2165</v>
      </c>
      <c r="B19" t="s">
        <v>2128</v>
      </c>
      <c r="P19" t="s">
        <v>1873</v>
      </c>
      <c r="T19" s="14" t="s">
        <v>1984</v>
      </c>
      <c r="AC19" t="s">
        <v>131</v>
      </c>
      <c r="AD19" s="43">
        <f t="array" ref="AD19">IF(COUNTIFS(AC$2:AC19,AC19)=1,"1",VALUE(SUBSTITUTE(INDEX(AD:AD,_xlfn.XMATCH(AC19,AC$1:AC18,0,-1)),"A",""))+INDEX(AE:AE,_xlfn.XMATCH(AC19,AC$1:AC18,0,-1))+1)</f>
        <v>23</v>
      </c>
      <c r="AE19" s="43">
        <f t="array" ref="AE19">SUM(IF(ISNUMBER(FIND("TmDi",$BE$1:$AAQ$1)),IF(IFERROR(ISNUMBER(VALUE(SUBSTITUTE($BE19:$AAQ19,"B",""))),FALSE),IF(ISNUMBER(VALUE(SUBSTITUTE($BE19:$AAQ19,"B",""))),1,0),0)))</f>
        <v>0</v>
      </c>
      <c r="AF19" t="str">
        <f t="shared" si="3"/>
        <v>C23</v>
      </c>
      <c r="AG19" t="str">
        <f t="shared" si="4"/>
        <v>B23</v>
      </c>
      <c r="AP19" t="s">
        <v>1987</v>
      </c>
      <c r="AT19" t="s">
        <v>854</v>
      </c>
      <c r="AU19" t="s">
        <v>1399</v>
      </c>
      <c r="LZ19" s="25" t="str">
        <f>CONCATENATE("DI",REPLACE($AC19,1,3,""),"-",$AF19)</f>
        <v>DI1-C23</v>
      </c>
      <c r="MA19" s="12" t="str">
        <f t="shared" si="0"/>
        <v>DI1-B23</v>
      </c>
      <c r="MB19" s="12" t="s">
        <v>1884</v>
      </c>
      <c r="MC19" s="12" t="s">
        <v>1883</v>
      </c>
      <c r="MD19" s="12">
        <v>11</v>
      </c>
      <c r="ME19" s="12">
        <v>14</v>
      </c>
      <c r="MF19" s="12" t="s">
        <v>142</v>
      </c>
      <c r="MG19" s="12" t="s">
        <v>143</v>
      </c>
      <c r="MH19" s="12" t="s">
        <v>488</v>
      </c>
      <c r="MI19" s="12" t="s">
        <v>487</v>
      </c>
      <c r="MJ19" s="12" t="s">
        <v>414</v>
      </c>
      <c r="MK19" s="12" t="s">
        <v>413</v>
      </c>
      <c r="ML19" s="12"/>
      <c r="MM19" s="12"/>
      <c r="MN19" s="12"/>
      <c r="MO19" s="12"/>
      <c r="MP19" s="12"/>
      <c r="MQ19" s="12"/>
      <c r="MR19" s="12">
        <v>1</v>
      </c>
      <c r="MS19" s="13">
        <v>2</v>
      </c>
      <c r="MT19" s="27"/>
    </row>
    <row r="20" spans="1:555" x14ac:dyDescent="0.25">
      <c r="A20" t="s">
        <v>2166</v>
      </c>
      <c r="B20" t="s">
        <v>2129</v>
      </c>
      <c r="P20" t="s">
        <v>1873</v>
      </c>
      <c r="T20" s="14" t="s">
        <v>1984</v>
      </c>
      <c r="AC20" t="str">
        <f t="shared" ref="AC20:AC25" si="12">IF(AD19+AE19&gt;31,REPLACE(AC19,LEN(AC19),1,VALUE(RIGHT(AC19,1))+1),AC19)</f>
        <v>A5.1</v>
      </c>
      <c r="AD20" s="43">
        <f t="array" ref="AD20">IF(COUNTIFS(AC$2:AC20,AC20)=1,"1",VALUE(SUBSTITUTE(INDEX(AD:AD,_xlfn.XMATCH(AC20,AC$1:AC19,0,-1)),"A",""))+INDEX(AE:AE,_xlfn.XMATCH(AC20,AC$1:AC19,0,-1))+1)</f>
        <v>24</v>
      </c>
      <c r="AE20" s="43">
        <f t="array" ref="AE20">SUM(IF(ISNUMBER(FIND("TmDi",$BE$1:$AAQ$1)),IF(IFERROR(ISNUMBER(VALUE(SUBSTITUTE($BE20:$AAQ20,"B",""))),FALSE),IF(ISNUMBER(VALUE(SUBSTITUTE($BE20:$AAQ20,"B",""))),1,0),0)))</f>
        <v>0</v>
      </c>
      <c r="AF20" t="str">
        <f t="shared" si="3"/>
        <v>C24</v>
      </c>
      <c r="AG20" t="str">
        <f t="shared" si="4"/>
        <v>B24</v>
      </c>
      <c r="AP20" t="s">
        <v>1987</v>
      </c>
      <c r="AT20" t="s">
        <v>854</v>
      </c>
      <c r="AU20" t="s">
        <v>1399</v>
      </c>
      <c r="LZ20" s="27" t="str">
        <f>CONCATENATE("DI",REPLACE($AC20,1,3,""),"-",$AF20)</f>
        <v>DI1-C24</v>
      </c>
      <c r="MA20" t="str">
        <f t="shared" si="0"/>
        <v>DI1-B24</v>
      </c>
      <c r="MB20" t="s">
        <v>1885</v>
      </c>
      <c r="MC20" t="s">
        <v>1886</v>
      </c>
      <c r="MD20">
        <f t="shared" ref="MD20:MK25" si="13">MD19</f>
        <v>11</v>
      </c>
      <c r="ME20">
        <f t="shared" si="13"/>
        <v>14</v>
      </c>
      <c r="MF20" t="str">
        <f t="shared" si="13"/>
        <v>A1</v>
      </c>
      <c r="MG20" t="str">
        <f t="shared" si="13"/>
        <v>A2</v>
      </c>
      <c r="MH20" t="str">
        <f t="shared" si="13"/>
        <v>0v3</v>
      </c>
      <c r="MI20" t="str">
        <f t="shared" si="13"/>
        <v>24v3</v>
      </c>
      <c r="MJ20" t="str">
        <f t="shared" si="13"/>
        <v>0v6</v>
      </c>
      <c r="MK20" t="str">
        <f t="shared" si="13"/>
        <v>24v6</v>
      </c>
      <c r="MR20">
        <f>MR19</f>
        <v>1</v>
      </c>
      <c r="MS20" s="16">
        <f>MS19</f>
        <v>2</v>
      </c>
    </row>
    <row r="21" spans="1:555" x14ac:dyDescent="0.25">
      <c r="A21" t="s">
        <v>2167</v>
      </c>
      <c r="B21" t="s">
        <v>2130</v>
      </c>
      <c r="P21" t="s">
        <v>1873</v>
      </c>
      <c r="T21" s="14" t="s">
        <v>1984</v>
      </c>
      <c r="AC21" t="str">
        <f t="shared" si="12"/>
        <v>A5.1</v>
      </c>
      <c r="AD21" s="43">
        <f t="array" ref="AD21">IF(COUNTIFS(AC$2:AC21,AC21)=1,"1",VALUE(SUBSTITUTE(INDEX(AD:AD,_xlfn.XMATCH(AC21,AC$1:AC20,0,-1)),"A",""))+INDEX(AE:AE,_xlfn.XMATCH(AC21,AC$1:AC20,0,-1))+1)</f>
        <v>25</v>
      </c>
      <c r="AE21" s="43">
        <f t="array" ref="AE21">SUM(IF(ISNUMBER(FIND("TmDi",$BE$1:$AAQ$1)),IF(IFERROR(ISNUMBER(VALUE(SUBSTITUTE($BE21:$AAQ21,"B",""))),FALSE),IF(ISNUMBER(VALUE(SUBSTITUTE($BE21:$AAQ21,"B",""))),1,0),0)))</f>
        <v>0</v>
      </c>
      <c r="AF21" t="str">
        <f t="shared" si="3"/>
        <v>C25</v>
      </c>
      <c r="AG21" t="str">
        <f t="shared" si="4"/>
        <v>B25</v>
      </c>
      <c r="AP21" t="s">
        <v>1987</v>
      </c>
      <c r="AT21" t="s">
        <v>854</v>
      </c>
      <c r="AU21" t="s">
        <v>1399</v>
      </c>
      <c r="LZ21" s="27" t="str">
        <f t="shared" ref="LZ21:LZ25" si="14">CONCATENATE("DI",REPLACE($AC21,1,3,""),"-",$AF21)</f>
        <v>DI1-C25</v>
      </c>
      <c r="MA21" t="str">
        <f t="shared" si="0"/>
        <v>DI1-B25</v>
      </c>
      <c r="MB21" t="s">
        <v>1887</v>
      </c>
      <c r="MC21" t="s">
        <v>1888</v>
      </c>
      <c r="MD21">
        <f t="shared" si="13"/>
        <v>11</v>
      </c>
      <c r="ME21">
        <f t="shared" si="13"/>
        <v>14</v>
      </c>
      <c r="MF21" t="str">
        <f t="shared" si="13"/>
        <v>A1</v>
      </c>
      <c r="MG21" t="str">
        <f t="shared" si="13"/>
        <v>A2</v>
      </c>
      <c r="MH21" t="str">
        <f t="shared" si="13"/>
        <v>0v3</v>
      </c>
      <c r="MI21" t="str">
        <f t="shared" si="13"/>
        <v>24v3</v>
      </c>
      <c r="MJ21" t="str">
        <f t="shared" si="13"/>
        <v>0v6</v>
      </c>
      <c r="MK21" t="str">
        <f t="shared" si="13"/>
        <v>24v6</v>
      </c>
      <c r="MR21">
        <f t="shared" ref="MR21:MS25" si="15">MR20</f>
        <v>1</v>
      </c>
      <c r="MS21" s="16">
        <f t="shared" si="15"/>
        <v>2</v>
      </c>
    </row>
    <row r="22" spans="1:555" x14ac:dyDescent="0.25">
      <c r="A22" t="s">
        <v>2168</v>
      </c>
      <c r="B22" t="s">
        <v>2131</v>
      </c>
      <c r="P22" t="s">
        <v>1873</v>
      </c>
      <c r="T22" s="14" t="s">
        <v>1984</v>
      </c>
      <c r="AC22" t="str">
        <f t="shared" si="12"/>
        <v>A5.1</v>
      </c>
      <c r="AD22" s="43">
        <f t="array" ref="AD22">IF(COUNTIFS(AC$2:AC22,AC22)=1,"1",VALUE(SUBSTITUTE(INDEX(AD:AD,_xlfn.XMATCH(AC22,AC$1:AC21,0,-1)),"A",""))+INDEX(AE:AE,_xlfn.XMATCH(AC22,AC$1:AC21,0,-1))+1)</f>
        <v>26</v>
      </c>
      <c r="AE22" s="43">
        <f t="array" ref="AE22">SUM(IF(ISNUMBER(FIND("TmDi",$BE$1:$AAQ$1)),IF(IFERROR(ISNUMBER(VALUE(SUBSTITUTE($BE22:$AAQ22,"B",""))),FALSE),IF(ISNUMBER(VALUE(SUBSTITUTE($BE22:$AAQ22,"B",""))),1,0),0)))</f>
        <v>0</v>
      </c>
      <c r="AF22" t="str">
        <f t="shared" si="3"/>
        <v>C26</v>
      </c>
      <c r="AG22" t="str">
        <f t="shared" si="4"/>
        <v>B26</v>
      </c>
      <c r="AP22" t="s">
        <v>1987</v>
      </c>
      <c r="AT22" t="s">
        <v>854</v>
      </c>
      <c r="AU22" t="s">
        <v>1399</v>
      </c>
      <c r="LZ22" s="27" t="str">
        <f t="shared" si="14"/>
        <v>DI1-C26</v>
      </c>
      <c r="MA22" t="str">
        <f t="shared" si="0"/>
        <v>DI1-B26</v>
      </c>
      <c r="MB22" t="s">
        <v>1889</v>
      </c>
      <c r="MC22" t="s">
        <v>1890</v>
      </c>
      <c r="MD22">
        <f t="shared" si="13"/>
        <v>11</v>
      </c>
      <c r="ME22">
        <f t="shared" si="13"/>
        <v>14</v>
      </c>
      <c r="MF22" t="str">
        <f t="shared" si="13"/>
        <v>A1</v>
      </c>
      <c r="MG22" t="str">
        <f t="shared" si="13"/>
        <v>A2</v>
      </c>
      <c r="MH22" t="str">
        <f t="shared" si="13"/>
        <v>0v3</v>
      </c>
      <c r="MI22" t="str">
        <f t="shared" si="13"/>
        <v>24v3</v>
      </c>
      <c r="MJ22" t="str">
        <f t="shared" si="13"/>
        <v>0v6</v>
      </c>
      <c r="MK22" t="str">
        <f t="shared" si="13"/>
        <v>24v6</v>
      </c>
      <c r="MR22">
        <f t="shared" si="15"/>
        <v>1</v>
      </c>
      <c r="MS22" s="16">
        <f t="shared" si="15"/>
        <v>2</v>
      </c>
    </row>
    <row r="23" spans="1:555" x14ac:dyDescent="0.25">
      <c r="A23" t="s">
        <v>2169</v>
      </c>
      <c r="B23" t="s">
        <v>2132</v>
      </c>
      <c r="P23" t="s">
        <v>1873</v>
      </c>
      <c r="T23" s="14" t="s">
        <v>1984</v>
      </c>
      <c r="AC23" t="str">
        <f t="shared" si="12"/>
        <v>A5.1</v>
      </c>
      <c r="AD23" s="43">
        <f t="array" ref="AD23">IF(COUNTIFS(AC$2:AC23,AC23)=1,"1",VALUE(SUBSTITUTE(INDEX(AD:AD,_xlfn.XMATCH(AC23,AC$1:AC22,0,-1)),"A",""))+INDEX(AE:AE,_xlfn.XMATCH(AC23,AC$1:AC22,0,-1))+1)</f>
        <v>27</v>
      </c>
      <c r="AE23" s="43">
        <f t="array" ref="AE23">SUM(IF(ISNUMBER(FIND("TmDi",$BE$1:$AAQ$1)),IF(IFERROR(ISNUMBER(VALUE(SUBSTITUTE($BE23:$AAQ23,"B",""))),FALSE),IF(ISNUMBER(VALUE(SUBSTITUTE($BE23:$AAQ23,"B",""))),1,0),0)))</f>
        <v>0</v>
      </c>
      <c r="AF23" t="str">
        <f t="shared" si="3"/>
        <v>C27</v>
      </c>
      <c r="AG23" t="str">
        <f t="shared" si="4"/>
        <v>B27</v>
      </c>
      <c r="AP23" t="s">
        <v>1987</v>
      </c>
      <c r="AT23" t="s">
        <v>854</v>
      </c>
      <c r="AU23" t="s">
        <v>1399</v>
      </c>
      <c r="LZ23" s="27" t="str">
        <f t="shared" si="14"/>
        <v>DI1-C27</v>
      </c>
      <c r="MA23" t="str">
        <f t="shared" si="0"/>
        <v>DI1-B27</v>
      </c>
      <c r="MB23" t="s">
        <v>1891</v>
      </c>
      <c r="MC23" t="s">
        <v>1892</v>
      </c>
      <c r="MD23">
        <f t="shared" si="13"/>
        <v>11</v>
      </c>
      <c r="ME23">
        <f t="shared" si="13"/>
        <v>14</v>
      </c>
      <c r="MF23" t="str">
        <f t="shared" si="13"/>
        <v>A1</v>
      </c>
      <c r="MG23" t="str">
        <f t="shared" si="13"/>
        <v>A2</v>
      </c>
      <c r="MH23" t="str">
        <f t="shared" si="13"/>
        <v>0v3</v>
      </c>
      <c r="MI23" t="str">
        <f t="shared" si="13"/>
        <v>24v3</v>
      </c>
      <c r="MJ23" t="str">
        <f t="shared" si="13"/>
        <v>0v6</v>
      </c>
      <c r="MK23" t="str">
        <f t="shared" si="13"/>
        <v>24v6</v>
      </c>
      <c r="MR23">
        <f t="shared" si="15"/>
        <v>1</v>
      </c>
      <c r="MS23" s="16">
        <f t="shared" si="15"/>
        <v>2</v>
      </c>
    </row>
    <row r="24" spans="1:555" x14ac:dyDescent="0.25">
      <c r="A24" t="s">
        <v>2170</v>
      </c>
      <c r="B24" t="s">
        <v>2148</v>
      </c>
      <c r="P24" t="s">
        <v>1873</v>
      </c>
      <c r="T24" s="14" t="s">
        <v>1984</v>
      </c>
      <c r="AC24" t="str">
        <f t="shared" si="12"/>
        <v>A5.1</v>
      </c>
      <c r="AD24" s="43">
        <f t="array" ref="AD24">IF(COUNTIFS(AC$2:AC24,AC24)=1,"1",VALUE(SUBSTITUTE(INDEX(AD:AD,_xlfn.XMATCH(AC24,AC$1:AC23,0,-1)),"A",""))+INDEX(AE:AE,_xlfn.XMATCH(AC24,AC$1:AC23,0,-1))+1)</f>
        <v>28</v>
      </c>
      <c r="AE24" s="43">
        <f t="array" ref="AE24">SUM(IF(ISNUMBER(FIND("TmDi",$BE$1:$AAQ$1)),IF(IFERROR(ISNUMBER(VALUE(SUBSTITUTE($BE24:$AAQ24,"B",""))),FALSE),IF(ISNUMBER(VALUE(SUBSTITUTE($BE24:$AAQ24,"B",""))),1,0),0)))</f>
        <v>0</v>
      </c>
      <c r="AF24" t="str">
        <f t="shared" si="3"/>
        <v>C28</v>
      </c>
      <c r="AG24" t="str">
        <f t="shared" si="4"/>
        <v>B28</v>
      </c>
      <c r="AP24" t="s">
        <v>1987</v>
      </c>
      <c r="AT24" t="s">
        <v>854</v>
      </c>
      <c r="AU24" t="s">
        <v>1399</v>
      </c>
      <c r="LZ24" s="27" t="str">
        <f t="shared" si="14"/>
        <v>DI1-C28</v>
      </c>
      <c r="MA24" t="str">
        <f t="shared" si="0"/>
        <v>DI1-B28</v>
      </c>
      <c r="MB24" t="s">
        <v>1893</v>
      </c>
      <c r="MC24" t="s">
        <v>1894</v>
      </c>
      <c r="MD24">
        <f t="shared" si="13"/>
        <v>11</v>
      </c>
      <c r="ME24">
        <f t="shared" si="13"/>
        <v>14</v>
      </c>
      <c r="MF24" t="str">
        <f t="shared" si="13"/>
        <v>A1</v>
      </c>
      <c r="MG24" t="str">
        <f t="shared" si="13"/>
        <v>A2</v>
      </c>
      <c r="MH24" t="str">
        <f t="shared" si="13"/>
        <v>0v3</v>
      </c>
      <c r="MI24" t="str">
        <f t="shared" si="13"/>
        <v>24v3</v>
      </c>
      <c r="MJ24" t="str">
        <f t="shared" si="13"/>
        <v>0v6</v>
      </c>
      <c r="MK24" t="str">
        <f t="shared" si="13"/>
        <v>24v6</v>
      </c>
      <c r="MR24">
        <f t="shared" si="15"/>
        <v>1</v>
      </c>
      <c r="MS24" s="16">
        <f t="shared" si="15"/>
        <v>2</v>
      </c>
    </row>
    <row r="25" spans="1:555" s="19" customFormat="1" ht="15.75" thickBot="1" x14ac:dyDescent="0.3">
      <c r="A25" s="19" t="s">
        <v>2171</v>
      </c>
      <c r="B25" s="19" t="s">
        <v>2133</v>
      </c>
      <c r="P25" s="19" t="s">
        <v>1873</v>
      </c>
      <c r="T25" s="17" t="s">
        <v>1984</v>
      </c>
      <c r="AC25" s="19" t="str">
        <f t="shared" si="12"/>
        <v>A5.1</v>
      </c>
      <c r="AD25" s="44">
        <f t="array" ref="AD25">IF(COUNTIFS(AC$2:AC25,AC25)=1,"1",VALUE(SUBSTITUTE(INDEX(AD:AD,_xlfn.XMATCH(AC25,AC$1:AC24,0,-1)),"A",""))+INDEX(AE:AE,_xlfn.XMATCH(AC25,AC$1:AC24,0,-1))+1)</f>
        <v>29</v>
      </c>
      <c r="AE25" s="44">
        <f t="array" ref="AE25">SUM(IF(ISNUMBER(FIND("TmDi",$BE$1:$AAQ$1)),IF(IFERROR(ISNUMBER(VALUE(SUBSTITUTE($BE25:$AAQ25,"B",""))),FALSE),IF(ISNUMBER(VALUE(SUBSTITUTE($BE25:$AAQ25,"B",""))),1,0),0)))</f>
        <v>0</v>
      </c>
      <c r="AF25" s="19" t="str">
        <f t="shared" si="3"/>
        <v>C29</v>
      </c>
      <c r="AG25" s="19" t="str">
        <f t="shared" si="4"/>
        <v>B29</v>
      </c>
      <c r="AI25" s="65"/>
      <c r="AJ25" s="65"/>
      <c r="AP25" s="19" t="s">
        <v>1987</v>
      </c>
      <c r="AT25" s="19" t="s">
        <v>854</v>
      </c>
      <c r="AU25" s="19" t="s">
        <v>1399</v>
      </c>
      <c r="LZ25" s="28" t="str">
        <f t="shared" si="14"/>
        <v>DI1-C29</v>
      </c>
      <c r="MA25" s="19" t="str">
        <f t="shared" si="0"/>
        <v>DI1-B29</v>
      </c>
      <c r="MB25" s="19" t="s">
        <v>1899</v>
      </c>
      <c r="MC25" s="19" t="s">
        <v>1896</v>
      </c>
      <c r="MD25" s="19">
        <f t="shared" si="13"/>
        <v>11</v>
      </c>
      <c r="ME25" s="19">
        <f t="shared" si="13"/>
        <v>14</v>
      </c>
      <c r="MF25" s="19" t="str">
        <f t="shared" si="13"/>
        <v>A1</v>
      </c>
      <c r="MG25" s="19" t="str">
        <f t="shared" si="13"/>
        <v>A2</v>
      </c>
      <c r="MH25" s="19" t="str">
        <f t="shared" si="13"/>
        <v>0v3</v>
      </c>
      <c r="MI25" s="19" t="str">
        <f t="shared" si="13"/>
        <v>24v3</v>
      </c>
      <c r="MJ25" s="19" t="str">
        <f t="shared" si="13"/>
        <v>0v6</v>
      </c>
      <c r="MK25" s="19" t="str">
        <f t="shared" si="13"/>
        <v>24v6</v>
      </c>
      <c r="MR25" s="19">
        <f t="shared" si="15"/>
        <v>1</v>
      </c>
      <c r="MS25" s="20">
        <f t="shared" si="15"/>
        <v>2</v>
      </c>
    </row>
  </sheetData>
  <autoFilter ref="P1:P25" xr:uid="{00000000-0009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3F53EAA8-8D4D-42E3-A0F6-B1F2B77C01E3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173F479F-AF10-47DC-B3F7-8825D2218440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4B4645F5-DB5A-4180-B41B-CC22E688D908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C3DA1EE7-F155-41EA-90DF-F535A440D647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469E7596-E375-4EFC-8C6E-042890C8661D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F8D1D38E-1B55-4950-A4BD-323C5B9ADDB3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4B118EAE-87C0-4C08-86AD-E9548D96077D}">
        <filterColumn colId="0">
          <filters>
            <filter val="se0004"/>
          </filters>
        </filterColumn>
      </autoFilter>
    </customSheetView>
  </customSheetViews>
  <phoneticPr fontId="4" type="noConversion"/>
  <conditionalFormatting sqref="A1">
    <cfRule type="duplicateValues" dxfId="29" priority="177"/>
  </conditionalFormatting>
  <conditionalFormatting sqref="A6:A8 A10:A12 A1:A3 A18:A1048576">
    <cfRule type="duplicateValues" dxfId="28" priority="147"/>
  </conditionalFormatting>
  <conditionalFormatting sqref="B13:B1048576 B1">
    <cfRule type="duplicateValues" dxfId="27" priority="156"/>
  </conditionalFormatting>
  <conditionalFormatting sqref="V18">
    <cfRule type="duplicateValues" dxfId="26" priority="1"/>
  </conditionalFormatting>
  <conditionalFormatting sqref="V1:W17 V19:W1048576">
    <cfRule type="duplicateValues" dxfId="25" priority="176"/>
  </conditionalFormatting>
  <conditionalFormatting sqref="V13:W14 V15:V17 V1:V12 V19:V1048576">
    <cfRule type="duplicateValues" dxfId="24" priority="162"/>
  </conditionalFormatting>
  <conditionalFormatting sqref="V18:W18">
    <cfRule type="duplicateValues" dxfId="23" priority="2"/>
  </conditionalFormatting>
  <conditionalFormatting sqref="Y1:Y1048576">
    <cfRule type="cellIs" dxfId="22" priority="8" operator="greaterThan">
      <formula>8</formula>
    </cfRule>
    <cfRule type="cellIs" dxfId="21" priority="40" operator="equal">
      <formula>"Y:Y+Z:Z&gt;8"</formula>
    </cfRule>
  </conditionalFormatting>
  <conditionalFormatting sqref="AD1 AD19:AD25">
    <cfRule type="cellIs" dxfId="20" priority="38" operator="equal">
      <formula>"Y:Y+Z:Z&gt;8"</formula>
    </cfRule>
  </conditionalFormatting>
  <conditionalFormatting sqref="AD4:AD5">
    <cfRule type="cellIs" dxfId="19" priority="33" operator="equal">
      <formula>"Y:Y+Z:Z&gt;8"</formula>
    </cfRule>
  </conditionalFormatting>
  <conditionalFormatting sqref="AD11:AD17">
    <cfRule type="cellIs" dxfId="18" priority="27" operator="equal">
      <formula>"Y:Y+Z:Z&gt;8"</formula>
    </cfRule>
  </conditionalFormatting>
  <conditionalFormatting sqref="AI1">
    <cfRule type="cellIs" dxfId="17" priority="35" operator="equal">
      <formula>"Y:Y+Z:Z&gt;8"</formula>
    </cfRule>
  </conditionalFormatting>
  <conditionalFormatting sqref="AI13:AI17">
    <cfRule type="cellIs" dxfId="16" priority="28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2064</v>
      </c>
      <c r="C27" t="s">
        <v>2138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2068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2065</v>
      </c>
      <c r="C29" t="s">
        <v>2072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2069</v>
      </c>
      <c r="C30" t="s">
        <v>2072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2066</v>
      </c>
      <c r="C31" t="s">
        <v>2072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2070</v>
      </c>
      <c r="C32" t="s">
        <v>2072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2067</v>
      </c>
      <c r="C33" t="s">
        <v>2072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2071</v>
      </c>
      <c r="C34" t="s">
        <v>2072</v>
      </c>
      <c r="D34" t="s">
        <v>974</v>
      </c>
      <c r="E34" t="s">
        <v>1779</v>
      </c>
    </row>
    <row r="35" spans="1:5" x14ac:dyDescent="0.25">
      <c r="A35" t="s">
        <v>2139</v>
      </c>
      <c r="B35" t="s">
        <v>2136</v>
      </c>
      <c r="C35" t="s">
        <v>969</v>
      </c>
      <c r="D35" t="s">
        <v>974</v>
      </c>
    </row>
    <row r="36" spans="1:5" x14ac:dyDescent="0.25">
      <c r="A36" t="s">
        <v>2139</v>
      </c>
      <c r="B36" t="s">
        <v>2137</v>
      </c>
      <c r="C36" t="s">
        <v>969</v>
      </c>
      <c r="D36" t="s">
        <v>974</v>
      </c>
    </row>
    <row r="37" spans="1:5" x14ac:dyDescent="0.25">
      <c r="A37" t="s">
        <v>974</v>
      </c>
      <c r="B37" t="s">
        <v>2140</v>
      </c>
      <c r="C37" t="s">
        <v>969</v>
      </c>
      <c r="D37" t="s">
        <v>2142</v>
      </c>
    </row>
    <row r="38" spans="1:5" x14ac:dyDescent="0.25">
      <c r="A38" t="s">
        <v>974</v>
      </c>
      <c r="B38" t="s">
        <v>2141</v>
      </c>
      <c r="C38" t="s">
        <v>969</v>
      </c>
      <c r="D38" t="s">
        <v>2143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2025-12-03T20:04:06Z</dcterms:modified>
</cp:coreProperties>
</file>