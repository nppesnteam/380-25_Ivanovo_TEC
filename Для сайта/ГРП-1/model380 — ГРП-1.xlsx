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"/>
    </mc:Choice>
  </mc:AlternateContent>
  <xr:revisionPtr revIDLastSave="0" documentId="13_ncr:1_{D86E2F2F-96D5-4FBC-BC70-D1555FA819E9}" xr6:coauthVersionLast="47" xr6:coauthVersionMax="47" xr10:uidLastSave="{00000000-0000-0000-0000-000000000000}"/>
  <bookViews>
    <workbookView xWindow="-120" yWindow="-120" windowWidth="29040" windowHeight="15840" tabRatio="688" xr2:uid="{00000000-000D-0000-FFFF-FFFF00000000}"/>
  </bookViews>
  <sheets>
    <sheet name="Лист1" sheetId="1" r:id="rId1"/>
    <sheet name="Кабеля между шкафами" sheetId="2" r:id="rId2"/>
  </sheets>
  <definedNames>
    <definedName name="_xlnm._FilterDatabase" localSheetId="0" hidden="1">Лист1!$P$1:$P$12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0" hidden="1">Лист1!$P$1:$P$1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0" hidden="1">Лист1!$P$1:$P$1</definedName>
    <definedName name="Z_7FEA431A_A608_4A51_A317_26884A517696_.wvu.Cols" localSheetId="0" hidden="1">Лист1!$D:$O,Лист1!$Q:$S,Лист1!$W:$W,Лист1!$AC:$AO,Лист1!$AR:$AR,Лист1!$AT:$AU,Лист1!$AY:$LM</definedName>
    <definedName name="Z_7FEA431A_A608_4A51_A317_26884A517696_.wvu.FilterData" localSheetId="0" hidden="1">Лист1!$P$1:$P$1</definedName>
    <definedName name="Z_9CAC7FA4_7183_4976_BDEB_B1D0832FBE64_.wvu.Cols" localSheetId="0" hidden="1">Лист1!$D:$O,Лист1!$Q:$S</definedName>
    <definedName name="Z_9CAC7FA4_7183_4976_BDEB_B1D0832FBE64_.wvu.FilterData" localSheetId="0" hidden="1">Лист1!$P$1:$P$1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0" hidden="1">Лист1!$P$1:$P$1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0" hidden="1">Лист1!$P$1:$P$1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0" hidden="1">Лист1!$P$1:$P$1</definedName>
  </definedNames>
  <calcPr calcId="191029"/>
  <customWorkbookViews>
    <customWorkbookView name="Общий" guid="{9CAC7FA4-7183-4976-BDEB-B1D0832FBE6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4" guid="{FF0A9AC6-3E8C-4AE0-B1AB-88458BDDC2AD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Z5" i="1" l="1"/>
  <c r="KJ5" i="1"/>
  <c r="KK5" i="1" s="1"/>
  <c r="KL5" i="1" s="1"/>
  <c r="JZ6" i="1"/>
  <c r="AK13" i="1" l="1"/>
  <c r="HE13" i="1" s="1"/>
  <c r="AL13" i="1"/>
  <c r="HF13" i="1" s="1"/>
  <c r="MR19" i="1" l="1"/>
  <c r="MR20" i="1" s="1"/>
  <c r="MR21" i="1" s="1"/>
  <c r="MR22" i="1" s="1"/>
  <c r="MR23" i="1" s="1"/>
  <c r="MR24" i="1" s="1"/>
  <c r="MR25" i="1" s="1"/>
  <c r="MR26" i="1" s="1"/>
  <c r="MQ19" i="1"/>
  <c r="MQ20" i="1" s="1"/>
  <c r="MQ21" i="1" s="1"/>
  <c r="MQ22" i="1" s="1"/>
  <c r="MQ23" i="1" s="1"/>
  <c r="MQ24" i="1" s="1"/>
  <c r="MQ25" i="1" s="1"/>
  <c r="MQ26" i="1" s="1"/>
  <c r="MJ19" i="1"/>
  <c r="MJ20" i="1" s="1"/>
  <c r="MJ21" i="1" s="1"/>
  <c r="MJ22" i="1" s="1"/>
  <c r="MJ23" i="1" s="1"/>
  <c r="MJ24" i="1" s="1"/>
  <c r="MJ25" i="1" s="1"/>
  <c r="MJ26" i="1" s="1"/>
  <c r="MI19" i="1"/>
  <c r="MI20" i="1" s="1"/>
  <c r="MI21" i="1" s="1"/>
  <c r="MI22" i="1" s="1"/>
  <c r="MI23" i="1" s="1"/>
  <c r="MI24" i="1" s="1"/>
  <c r="MI25" i="1" s="1"/>
  <c r="MI26" i="1" s="1"/>
  <c r="MH19" i="1"/>
  <c r="MH20" i="1" s="1"/>
  <c r="MH21" i="1" s="1"/>
  <c r="MH22" i="1" s="1"/>
  <c r="MH23" i="1" s="1"/>
  <c r="MH24" i="1" s="1"/>
  <c r="MH25" i="1" s="1"/>
  <c r="MH26" i="1" s="1"/>
  <c r="MG19" i="1"/>
  <c r="MG20" i="1" s="1"/>
  <c r="MG21" i="1" s="1"/>
  <c r="MG22" i="1" s="1"/>
  <c r="MG23" i="1" s="1"/>
  <c r="MG24" i="1" s="1"/>
  <c r="MG25" i="1" s="1"/>
  <c r="MG26" i="1" s="1"/>
  <c r="MF19" i="1"/>
  <c r="MF20" i="1" s="1"/>
  <c r="MF21" i="1" s="1"/>
  <c r="MF22" i="1" s="1"/>
  <c r="MF23" i="1" s="1"/>
  <c r="MF24" i="1" s="1"/>
  <c r="MF25" i="1" s="1"/>
  <c r="MF26" i="1" s="1"/>
  <c r="ME19" i="1"/>
  <c r="ME20" i="1" s="1"/>
  <c r="ME21" i="1" s="1"/>
  <c r="ME22" i="1" s="1"/>
  <c r="ME23" i="1" s="1"/>
  <c r="ME24" i="1" s="1"/>
  <c r="ME25" i="1" s="1"/>
  <c r="ME26" i="1" s="1"/>
  <c r="MD19" i="1"/>
  <c r="MD20" i="1" s="1"/>
  <c r="MD21" i="1" s="1"/>
  <c r="MD22" i="1" s="1"/>
  <c r="MD23" i="1" s="1"/>
  <c r="MD24" i="1" s="1"/>
  <c r="MD25" i="1" s="1"/>
  <c r="MD26" i="1" s="1"/>
  <c r="MC19" i="1"/>
  <c r="MC20" i="1" s="1"/>
  <c r="MC21" i="1" s="1"/>
  <c r="MC22" i="1" s="1"/>
  <c r="MC23" i="1" s="1"/>
  <c r="MC24" i="1" s="1"/>
  <c r="MC25" i="1" s="1"/>
  <c r="MC26" i="1" s="1"/>
  <c r="CW17" i="1"/>
  <c r="CV17" i="1"/>
  <c r="DH17" i="1"/>
  <c r="DG17" i="1"/>
  <c r="CT17" i="1"/>
  <c r="CS17" i="1"/>
  <c r="CR17" i="1"/>
  <c r="CQ17" i="1"/>
  <c r="CP17" i="1"/>
  <c r="CN17" i="1"/>
  <c r="CM17" i="1"/>
  <c r="CL17" i="1"/>
  <c r="BE17" i="1"/>
  <c r="CU17" i="1"/>
  <c r="CX17" i="1"/>
  <c r="CY17" i="1"/>
  <c r="CZ17" i="1"/>
  <c r="DA17" i="1"/>
  <c r="DB17" i="1"/>
  <c r="DC17" i="1"/>
  <c r="DD17" i="1"/>
  <c r="DE17" i="1"/>
  <c r="DF17" i="1"/>
  <c r="BE16" i="1" l="1"/>
  <c r="CL16" i="1"/>
  <c r="CM16" i="1"/>
  <c r="CN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CT15" i="1"/>
  <c r="CS15" i="1"/>
  <c r="DG15" i="1"/>
  <c r="DH15" i="1"/>
  <c r="DA15" i="1"/>
  <c r="DB15" i="1"/>
  <c r="DF15" i="1"/>
  <c r="DE15" i="1"/>
  <c r="DD15" i="1"/>
  <c r="DC15" i="1"/>
  <c r="CZ15" i="1"/>
  <c r="CY15" i="1"/>
  <c r="CX15" i="1"/>
  <c r="CW15" i="1"/>
  <c r="CV15" i="1"/>
  <c r="CU15" i="1"/>
  <c r="CR15" i="1"/>
  <c r="CQ15" i="1"/>
  <c r="CP15" i="1"/>
  <c r="CN15" i="1"/>
  <c r="CM15" i="1"/>
  <c r="CL15" i="1"/>
  <c r="BE15" i="1"/>
  <c r="IW14" i="1" l="1"/>
  <c r="IV14" i="1"/>
  <c r="GT14" i="1"/>
  <c r="HG14" i="1"/>
  <c r="HH14" i="1"/>
  <c r="HY14" i="1"/>
  <c r="HZ14" i="1"/>
  <c r="IA14" i="1"/>
  <c r="IB14" i="1"/>
  <c r="IG14" i="1"/>
  <c r="IH14" i="1"/>
  <c r="II14" i="1"/>
  <c r="IJ14" i="1"/>
  <c r="IK14" i="1"/>
  <c r="IL14" i="1"/>
  <c r="HH13" i="1"/>
  <c r="HG13" i="1"/>
  <c r="IL13" i="1"/>
  <c r="IK13" i="1"/>
  <c r="IJ13" i="1"/>
  <c r="II13" i="1"/>
  <c r="IH13" i="1"/>
  <c r="IG13" i="1"/>
  <c r="HZ13" i="1"/>
  <c r="HY13" i="1"/>
  <c r="IB13" i="1"/>
  <c r="IA13" i="1"/>
  <c r="GT13" i="1"/>
  <c r="LX12" i="1" l="1"/>
  <c r="US11" i="1"/>
  <c r="UR11" i="1"/>
  <c r="UY11" i="1"/>
  <c r="UI11" i="1"/>
  <c r="LN10" i="1"/>
  <c r="LN9" i="1"/>
  <c r="LQ8" i="1"/>
  <c r="LR8" i="1" s="1"/>
  <c r="LS8" i="1" s="1"/>
  <c r="LN8" i="1"/>
  <c r="LR7" i="1"/>
  <c r="LS7" i="1" s="1"/>
  <c r="LN7" i="1"/>
  <c r="UY4" i="1"/>
  <c r="UZ4" i="1" s="1"/>
  <c r="VA4" i="1" s="1"/>
  <c r="US4" i="1"/>
  <c r="UR4" i="1"/>
  <c r="UI4" i="1"/>
  <c r="LQ9" i="1" l="1"/>
  <c r="Y2" i="1" a="1"/>
  <c r="Y2" i="1" s="1"/>
  <c r="X3" i="1"/>
  <c r="JZ3" i="1"/>
  <c r="JZ2" i="1"/>
  <c r="X6" i="1" l="1"/>
  <c r="X8" i="1" s="1"/>
  <c r="X9" i="1" s="1"/>
  <c r="Y5" i="1" a="1"/>
  <c r="Y5" i="1" s="1"/>
  <c r="LQ10" i="1"/>
  <c r="LR10" i="1" s="1"/>
  <c r="LS10" i="1" s="1"/>
  <c r="LR9" i="1"/>
  <c r="LS9" i="1" s="1"/>
  <c r="AB5" i="1" l="1"/>
  <c r="AA5" i="1"/>
  <c r="X10" i="1"/>
  <c r="X14" i="1" s="1"/>
  <c r="KB5" i="1" l="1"/>
  <c r="KF5" i="1" s="1"/>
  <c r="KD5" i="1"/>
  <c r="KA5" i="1"/>
  <c r="KE5" i="1" s="1"/>
  <c r="KC5" i="1"/>
  <c r="KI6" i="1" l="1" a="1"/>
  <c r="KI6" i="1" s="1"/>
  <c r="KJ6" i="1" s="1"/>
  <c r="KK6" i="1" s="1"/>
  <c r="KL6" i="1" s="1"/>
  <c r="AB2" i="1" l="1"/>
  <c r="KD2" i="1" s="1"/>
  <c r="AA2" i="1"/>
  <c r="KC2" i="1" s="1"/>
  <c r="KJ2" i="1" l="1"/>
  <c r="KK2" i="1" s="1"/>
  <c r="Z2" i="1" a="1"/>
  <c r="Z2" i="1" s="1"/>
  <c r="Y3" i="1" s="1" a="1"/>
  <c r="Y3" i="1" s="1"/>
  <c r="KI3" i="1" l="1" a="1"/>
  <c r="KI3" i="1" s="1"/>
  <c r="AA3" i="1"/>
  <c r="KC3" i="1" s="1"/>
  <c r="AB3" i="1"/>
  <c r="KD3" i="1" s="1"/>
  <c r="Z3" i="1" l="1" a="1"/>
  <c r="Z3" i="1" s="1"/>
  <c r="KJ3" i="1"/>
  <c r="KK3" i="1" s="1"/>
  <c r="Z5" i="1" l="1" a="1"/>
  <c r="Z5" i="1" s="1"/>
  <c r="Y6" i="1" s="1" a="1"/>
  <c r="Y6" i="1" s="1"/>
  <c r="Y7" i="1" l="1" a="1"/>
  <c r="Y7" i="1" s="1"/>
  <c r="AA6" i="1"/>
  <c r="AB6" i="1"/>
  <c r="KD6" i="1" l="1"/>
  <c r="KB6" i="1"/>
  <c r="KF6" i="1" s="1"/>
  <c r="KC6" i="1"/>
  <c r="KA6" i="1"/>
  <c r="KE6" i="1" s="1"/>
  <c r="AA7" i="1"/>
  <c r="LO7" i="1" s="1"/>
  <c r="AB7" i="1"/>
  <c r="LP7" i="1" s="1"/>
  <c r="Z7" i="1" l="1" a="1"/>
  <c r="Z7" i="1" s="1"/>
  <c r="Y8" i="1" s="1" a="1"/>
  <c r="Y8" i="1" s="1"/>
  <c r="AA8" i="1" s="1"/>
  <c r="LO8" i="1" s="1"/>
  <c r="Z6" i="1" a="1"/>
  <c r="Z6" i="1" s="1"/>
  <c r="Z8" i="1" l="1" a="1"/>
  <c r="Z8" i="1" s="1"/>
  <c r="Y9" i="1" s="1" a="1"/>
  <c r="Y9" i="1" s="1"/>
  <c r="AB9" i="1" s="1"/>
  <c r="LP9" i="1" s="1"/>
  <c r="AB8" i="1"/>
  <c r="LP8" i="1" s="1"/>
  <c r="AA9" i="1" l="1"/>
  <c r="LO9" i="1" s="1"/>
  <c r="Z9" i="1" s="1" a="1"/>
  <c r="Z9" i="1" s="1"/>
  <c r="Y10" i="1" s="1" a="1"/>
  <c r="Y10" i="1" s="1"/>
  <c r="AB10" i="1" s="1"/>
  <c r="LP10" i="1" s="1"/>
  <c r="AA10" i="1" l="1"/>
  <c r="LO10" i="1" s="1"/>
  <c r="Z10" i="1" s="1" a="1"/>
  <c r="Z10" i="1" s="1"/>
  <c r="Y13" i="1" s="1" a="1"/>
  <c r="Y13" i="1" s="1"/>
  <c r="AA13" i="1" s="1"/>
  <c r="AB13" i="1" l="1"/>
  <c r="HX13" i="1" l="1"/>
  <c r="HV13" i="1"/>
  <c r="HU13" i="1"/>
  <c r="HW13" i="1"/>
  <c r="AG4" i="1" l="1"/>
  <c r="UN4" i="1" l="1"/>
  <c r="UM4" i="1"/>
  <c r="UQ4" i="1" s="1"/>
  <c r="AF4" i="1"/>
  <c r="UO4" i="1" l="1"/>
  <c r="UL4" i="1"/>
  <c r="UP4" i="1" l="1"/>
  <c r="AE4" i="1" s="1" a="1"/>
  <c r="AE4" i="1" s="1"/>
  <c r="AG18" i="1" l="1"/>
  <c r="AF18" i="1"/>
  <c r="LY18" i="1" s="1"/>
  <c r="AE18" i="1" s="1" a="1"/>
  <c r="AE18" i="1" s="1"/>
  <c r="AC19" i="1" s="1"/>
  <c r="AD11" i="1" l="1" a="1"/>
  <c r="AD11" i="1" s="1"/>
  <c r="AF11" i="1" l="1"/>
  <c r="AG11" i="1"/>
  <c r="UN11" i="1" l="1"/>
  <c r="UM11" i="1"/>
  <c r="UQ11" i="1" s="1"/>
  <c r="UL11" i="1"/>
  <c r="UO11" i="1"/>
  <c r="UP11" i="1" l="1"/>
  <c r="AE11" i="1" a="1"/>
  <c r="AE11" i="1" s="1"/>
  <c r="AC12" i="1" s="1"/>
  <c r="AD12" i="1" s="1" a="1"/>
  <c r="AD12" i="1" s="1"/>
  <c r="AF12" i="1" l="1"/>
  <c r="LZ12" i="1" s="1"/>
  <c r="AG12" i="1"/>
  <c r="LY12" i="1" s="1"/>
  <c r="AE12" i="1" s="1" a="1"/>
  <c r="AE12" i="1" s="1"/>
  <c r="AC13" i="1" s="1"/>
  <c r="AD13" i="1" l="1" a="1"/>
  <c r="AD13" i="1" s="1"/>
  <c r="AF13" i="1" l="1"/>
  <c r="AG13" i="1"/>
  <c r="GV13" i="1" l="1"/>
  <c r="HL13" i="1" s="1"/>
  <c r="HJ13" i="1"/>
  <c r="GU13" i="1"/>
  <c r="HI13" i="1"/>
  <c r="AJ13" i="1" l="1" a="1"/>
  <c r="AJ13" i="1" s="1"/>
  <c r="AH14" i="1" s="1"/>
  <c r="Z13" i="1" a="1"/>
  <c r="Z13" i="1" s="1"/>
  <c r="Y14" i="1" s="1" a="1"/>
  <c r="Y14" i="1" s="1"/>
  <c r="AE13" i="1" a="1"/>
  <c r="AE13" i="1" s="1"/>
  <c r="AC14" i="1" s="1"/>
  <c r="HK13" i="1"/>
  <c r="AD14" i="1" l="1" a="1"/>
  <c r="AD14" i="1" s="1"/>
  <c r="AA14" i="1"/>
  <c r="AB14" i="1"/>
  <c r="AI14" i="1" a="1"/>
  <c r="AI14" i="1" s="1"/>
  <c r="AK14" i="1" l="1"/>
  <c r="AL14" i="1"/>
  <c r="AG14" i="1"/>
  <c r="AF14" i="1"/>
  <c r="GU14" i="1" l="1"/>
  <c r="HI14" i="1"/>
  <c r="HF14" i="1"/>
  <c r="HX14" i="1" s="1"/>
  <c r="HV14" i="1"/>
  <c r="GV14" i="1"/>
  <c r="HL14" i="1" s="1"/>
  <c r="HJ14" i="1"/>
  <c r="HE14" i="1"/>
  <c r="HW14" i="1" s="1"/>
  <c r="HU14" i="1"/>
  <c r="AJ14" i="1" l="1" a="1"/>
  <c r="AJ14" i="1" s="1"/>
  <c r="AH15" i="1" s="1"/>
  <c r="Z14" i="1" a="1"/>
  <c r="Z14" i="1" s="1"/>
  <c r="AE14" i="1" a="1"/>
  <c r="AE14" i="1" s="1"/>
  <c r="AC15" i="1" s="1"/>
  <c r="HK14" i="1"/>
  <c r="AD15" i="1" l="1" a="1"/>
  <c r="AD15" i="1" s="1"/>
  <c r="AI15" i="1" a="1"/>
  <c r="AI15" i="1" s="1"/>
  <c r="AK15" i="1" l="1"/>
  <c r="AL15" i="1"/>
  <c r="AF15" i="1"/>
  <c r="AG15" i="1"/>
  <c r="BG15" i="1" l="1"/>
  <c r="BU15" i="1"/>
  <c r="BF15" i="1"/>
  <c r="BT15" i="1"/>
  <c r="BQ15" i="1"/>
  <c r="CG15" i="1"/>
  <c r="BP15" i="1"/>
  <c r="CF15" i="1"/>
  <c r="BS15" i="1" l="1"/>
  <c r="CK15" i="1" s="1"/>
  <c r="CI15" i="1"/>
  <c r="BH15" i="1"/>
  <c r="BV15" i="1"/>
  <c r="BR15" i="1"/>
  <c r="CJ15" i="1" s="1"/>
  <c r="CH15" i="1"/>
  <c r="BI15" i="1"/>
  <c r="BW15" i="1"/>
  <c r="BJ15" i="1" l="1"/>
  <c r="BX15" i="1"/>
  <c r="BK15" i="1"/>
  <c r="CA15" i="1" s="1"/>
  <c r="BY15" i="1"/>
  <c r="BZ15" i="1" l="1"/>
  <c r="AE15" i="1" a="1"/>
  <c r="AE15" i="1" s="1"/>
  <c r="AC16" i="1" s="1"/>
  <c r="AJ15" i="1" a="1"/>
  <c r="AJ15" i="1" s="1"/>
  <c r="AH16" i="1" s="1"/>
  <c r="AI16" i="1" l="1" a="1"/>
  <c r="AI16" i="1" s="1"/>
  <c r="AD16" i="1" a="1"/>
  <c r="AD16" i="1" s="1"/>
  <c r="AF16" i="1" l="1"/>
  <c r="AG16" i="1"/>
  <c r="AK16" i="1"/>
  <c r="AL16" i="1"/>
  <c r="BQ16" i="1" l="1"/>
  <c r="CG16" i="1"/>
  <c r="BG16" i="1"/>
  <c r="BU16" i="1"/>
  <c r="BP16" i="1"/>
  <c r="CF16" i="1"/>
  <c r="BF16" i="1"/>
  <c r="BT16" i="1"/>
  <c r="BR16" i="1" l="1"/>
  <c r="CJ16" i="1" s="1"/>
  <c r="CH16" i="1"/>
  <c r="BH16" i="1"/>
  <c r="BV16" i="1"/>
  <c r="BI16" i="1"/>
  <c r="BW16" i="1"/>
  <c r="BS16" i="1"/>
  <c r="CK16" i="1" s="1"/>
  <c r="CI16" i="1"/>
  <c r="BK16" i="1" l="1"/>
  <c r="CA16" i="1" s="1"/>
  <c r="BY16" i="1"/>
  <c r="BJ16" i="1"/>
  <c r="BX16" i="1"/>
  <c r="BZ16" i="1" l="1"/>
  <c r="AJ16" i="1" a="1"/>
  <c r="AJ16" i="1" s="1"/>
  <c r="AH17" i="1" s="1"/>
  <c r="AE16" i="1" a="1"/>
  <c r="AE16" i="1" s="1"/>
  <c r="AC17" i="1" s="1"/>
  <c r="AD17" i="1" l="1" a="1"/>
  <c r="AD17" i="1" s="1"/>
  <c r="AD19" i="1" a="1"/>
  <c r="AD19" i="1" s="1"/>
  <c r="AI17" i="1" a="1"/>
  <c r="AI17" i="1" s="1"/>
  <c r="AK17" i="1" l="1"/>
  <c r="AL17" i="1"/>
  <c r="AF19" i="1"/>
  <c r="LY19" i="1" s="1"/>
  <c r="AE19" i="1" s="1" a="1"/>
  <c r="AE19" i="1" s="1"/>
  <c r="AC20" i="1" s="1"/>
  <c r="AD20" i="1" s="1" a="1"/>
  <c r="AD20" i="1" s="1"/>
  <c r="AG19" i="1"/>
  <c r="AG17" i="1"/>
  <c r="AF17" i="1"/>
  <c r="BG17" i="1" l="1"/>
  <c r="BU17" i="1"/>
  <c r="AG20" i="1"/>
  <c r="AF20" i="1"/>
  <c r="LY20" i="1" s="1"/>
  <c r="AE20" i="1" s="1" a="1"/>
  <c r="AE20" i="1" s="1"/>
  <c r="AC21" i="1" s="1"/>
  <c r="AD21" i="1" s="1" a="1"/>
  <c r="AD21" i="1" s="1"/>
  <c r="BF17" i="1"/>
  <c r="BT17" i="1"/>
  <c r="BQ17" i="1"/>
  <c r="CG17" i="1"/>
  <c r="BP17" i="1"/>
  <c r="CF17" i="1"/>
  <c r="BR17" i="1" l="1"/>
  <c r="CJ17" i="1" s="1"/>
  <c r="CH17" i="1"/>
  <c r="BS17" i="1"/>
  <c r="CK17" i="1" s="1"/>
  <c r="CI17" i="1"/>
  <c r="BH17" i="1"/>
  <c r="BV17" i="1"/>
  <c r="AG21" i="1"/>
  <c r="AF21" i="1"/>
  <c r="LY21" i="1" s="1"/>
  <c r="AE21" i="1" s="1" a="1"/>
  <c r="AE21" i="1" s="1"/>
  <c r="AC22" i="1" s="1"/>
  <c r="AD22" i="1" s="1" a="1"/>
  <c r="AD22" i="1" s="1"/>
  <c r="BI17" i="1"/>
  <c r="BW17" i="1"/>
  <c r="AG22" i="1" l="1"/>
  <c r="AF22" i="1"/>
  <c r="LY22" i="1" s="1"/>
  <c r="AE22" i="1" s="1" a="1"/>
  <c r="AE22" i="1" s="1"/>
  <c r="AC23" i="1" s="1"/>
  <c r="AD23" i="1" s="1" a="1"/>
  <c r="AD23" i="1" s="1"/>
  <c r="BK17" i="1"/>
  <c r="BY17" i="1"/>
  <c r="BJ17" i="1"/>
  <c r="BX17" i="1"/>
  <c r="BL17" i="1" l="1"/>
  <c r="CB17" i="1" s="1"/>
  <c r="BZ17" i="1"/>
  <c r="AJ17" i="1" a="1"/>
  <c r="AJ17" i="1" s="1"/>
  <c r="AE17" i="1" a="1"/>
  <c r="AE17" i="1" s="1"/>
  <c r="BM17" i="1"/>
  <c r="CC17" i="1" s="1"/>
  <c r="CA17" i="1"/>
  <c r="AG23" i="1"/>
  <c r="AF23" i="1"/>
  <c r="LY23" i="1" s="1"/>
  <c r="AE23" i="1" s="1" a="1"/>
  <c r="AE23" i="1" s="1"/>
  <c r="AC24" i="1" s="1"/>
  <c r="AD24" i="1" s="1" a="1"/>
  <c r="AD24" i="1" s="1"/>
  <c r="AG24" i="1" l="1"/>
  <c r="AF24" i="1"/>
  <c r="LY24" i="1" s="1"/>
  <c r="AE24" i="1" s="1" a="1"/>
  <c r="AE24" i="1" s="1"/>
  <c r="AC25" i="1" s="1"/>
  <c r="AD25" i="1" s="1" a="1"/>
  <c r="AD25" i="1" s="1"/>
  <c r="AG25" i="1" l="1"/>
  <c r="AF25" i="1"/>
  <c r="LY25" i="1" s="1"/>
  <c r="AE25" i="1" s="1" a="1"/>
  <c r="AE25" i="1" s="1"/>
  <c r="AC26" i="1" s="1"/>
  <c r="AD26" i="1" s="1" a="1"/>
  <c r="AD26" i="1" s="1"/>
  <c r="AF26" i="1" l="1"/>
  <c r="LY26" i="1" s="1"/>
  <c r="AE26" i="1" s="1" a="1"/>
  <c r="AE26" i="1" s="1"/>
  <c r="AG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tc={F5B4A413-8E9D-4E5D-A7E6-F8CAAC683CB0}</author>
    <author>tc={20090E64-8286-40F1-B1DA-DF6DD14D0F7A}</author>
    <author>tc={3E3B6129-7D3D-43E1-94E9-29EE39694C57}</author>
  </authors>
  <commentList>
    <comment ref="B5" authorId="0" shapeId="0" xr:uid="{F5B4A413-8E9D-4E5D-A7E6-F8CAAC683CB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4-20 или резистивный?</t>
      </text>
    </comment>
    <comment ref="B10" authorId="1" shapeId="0" xr:uid="{20090E64-8286-40F1-B1DA-DF6DD14D0F7A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Непонятно активный или пассивный</t>
      </text>
    </comment>
    <comment ref="B12" authorId="2" shapeId="0" xr:uid="{3E3B6129-7D3D-43E1-94E9-29EE39694C57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непонятное подключение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<sst xmlns="http://schemas.openxmlformats.org/spreadsheetml/2006/main" count="1278" uniqueCount="579">
  <si>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</si>
  <si>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</si>
  <si>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</si>
  <si>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</si>
  <si>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</si>
  <si>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</si>
  <si>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</si>
  <si>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</si>
  <si>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</si>
  <si>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</si>
  <si>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</si>
  <si>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</si>
  <si>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</si>
  <si>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</si>
  <si>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</si>
  <si>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</si>
  <si>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</si>
  <si>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</si>
  <si>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</si>
  <si>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</si>
  <si>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</si>
  <si>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</si>
  <si>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</si>
  <si>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</si>
  <si>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</si>
  <si>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</si>
  <si>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</si>
  <si>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</si>
  <si>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</si>
  <si>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</si>
  <si>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</si>
  <si>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</si>
  <si>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</si>
  <si>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</si>
  <si>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</si>
  <si>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</si>
  <si>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</si>
  <si>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</si>
  <si>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</si>
  <si>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</si>
  <si>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</si>
  <si>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</si>
  <si>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</si>
  <si>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</si>
  <si>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</si>
  <si>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</si>
  <si>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</si>
  <si>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</si>
  <si>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</si>
  <si>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</si>
  <si>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</si>
  <si>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</si>
  <si>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</si>
  <si>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</si>
  <si>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</si>
  <si>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</si>
  <si>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</si>
  <si>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</si>
  <si>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</si>
  <si>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</si>
  <si>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</si>
  <si>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</si>
  <si>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</si>
  <si>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</si>
  <si>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</si>
  <si>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</si>
  <si>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</si>
  <si>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</si>
  <si>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</si>
  <si>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</si>
  <si>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</si>
  <si>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</si>
  <si>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</si>
  <si>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</si>
  <si>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</si>
  <si>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</si>
  <si>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</si>
  <si>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</si>
  <si>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</si>
  <si>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</si>
  <si>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</si>
  <si>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</si>
  <si>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</si>
  <si>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</si>
  <si>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</si>
  <si>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</si>
  <si>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</si>
  <si>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</si>
  <si>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</si>
  <si>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</si>
  <si>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</si>
  <si>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</si>
  <si>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</si>
  <si>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</si>
  <si>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</si>
  <si>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</si>
  <si>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</si>
  <si>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</si>
  <si>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</si>
  <si>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</si>
  <si>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</si>
  <si>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</si>
  <si>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</si>
  <si>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</si>
  <si>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</si>
  <si>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</si>
  <si>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</si>
  <si>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</si>
  <si>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</si>
  <si>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</si>
  <si>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</si>
  <si>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</si>
  <si>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</si>
  <si>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</si>
  <si>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</si>
  <si>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</si>
  <si>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</si>
  <si>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</si>
  <si>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</si>
  <si>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</si>
  <si>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</si>
  <si>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</si>
  <si>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</si>
  <si>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</si>
  <si>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</si>
  <si>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</si>
  <si>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A5.1</t>
  </si>
  <si>
    <t>A6.1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</si>
  <si>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</si>
  <si>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</si>
  <si>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</si>
  <si>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</si>
  <si>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</si>
  <si>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</si>
  <si>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2X</t>
  </si>
  <si>
    <t>3X</t>
  </si>
  <si>
    <t>4X</t>
  </si>
  <si>
    <t>5X</t>
  </si>
  <si>
    <t>A5.2</t>
  </si>
  <si>
    <t>XTpp1</t>
  </si>
  <si>
    <t>XTpp2</t>
  </si>
  <si>
    <t>Ccb</t>
  </si>
  <si>
    <t>Cpp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</si>
  <si>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</si>
  <si>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</si>
  <si>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</si>
  <si>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</si>
  <si>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</si>
  <si>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</si>
  <si>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</si>
  <si>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</si>
  <si>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</si>
  <si>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</si>
  <si>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</si>
  <si>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</si>
  <si>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</si>
  <si>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</si>
  <si>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</si>
  <si>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</si>
  <si>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</si>
  <si>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</si>
  <si>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</si>
  <si>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</si>
  <si>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</si>
  <si>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</si>
  <si>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</si>
  <si>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</si>
  <si>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</si>
  <si>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</si>
  <si>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</si>
  <si>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</si>
  <si>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</si>
  <si>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</si>
  <si>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</si>
  <si>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</si>
  <si>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</si>
  <si>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</si>
  <si>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</si>
  <si>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</si>
  <si>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WcpKlDoA</t>
  </si>
  <si>
    <t>se0005</t>
  </si>
  <si>
    <t>24v3</t>
  </si>
  <si>
    <t>0v3</t>
  </si>
  <si>
    <t>T1+</t>
  </si>
  <si>
    <t>T2+</t>
  </si>
  <si>
    <t>T1-</t>
  </si>
  <si>
    <t>АИР-20/М2-Н</t>
  </si>
  <si>
    <t>4-x пров R</t>
  </si>
  <si>
    <t>se0007</t>
  </si>
  <si>
    <t>Xid1</t>
  </si>
  <si>
    <t>Xid2</t>
  </si>
  <si>
    <t>T2-</t>
  </si>
  <si>
    <t>WcpAi2-</t>
  </si>
  <si>
    <t>WcpAi2+</t>
  </si>
  <si>
    <t>TmAi2-</t>
  </si>
  <si>
    <t>TmAi2+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</si>
  <si>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</si>
  <si>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</si>
  <si>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</si>
  <si>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</si>
  <si>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</si>
  <si>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</si>
  <si>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</si>
  <si>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</si>
  <si>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</si>
  <si>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</si>
  <si>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</si>
  <si>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se0009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</si>
  <si>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</si>
  <si>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</si>
  <si>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</si>
  <si>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</si>
  <si>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</si>
  <si>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</si>
  <si>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</si>
  <si>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</si>
  <si>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Cda</t>
  </si>
  <si>
    <t>Cdb</t>
  </si>
  <si>
    <t>Caab</t>
  </si>
  <si>
    <t>NcpS</t>
  </si>
  <si>
    <t>LcpS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</si>
  <si>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</si>
  <si>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</si>
  <si>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</si>
  <si>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</si>
  <si>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</si>
  <si>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</si>
  <si>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</si>
  <si>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</si>
  <si>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</si>
  <si>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</si>
  <si>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</si>
  <si>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</si>
  <si>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</si>
  <si>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</si>
  <si>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</si>
  <si>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</si>
  <si>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</si>
  <si>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</si>
  <si>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</si>
  <si>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</si>
  <si>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</si>
  <si>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</si>
  <si>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</si>
  <si>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</si>
  <si>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</si>
  <si>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</si>
  <si>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</si>
  <si>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</si>
  <si>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</si>
  <si>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</si>
  <si>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</si>
  <si>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</si>
  <si>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</si>
  <si>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</si>
  <si>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</si>
  <si>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</si>
  <si>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</si>
  <si>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</si>
  <si>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</si>
  <si>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</si>
  <si>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</si>
  <si>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</si>
  <si>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</si>
  <si>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</si>
  <si>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</si>
  <si>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</si>
  <si>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</si>
  <si>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</si>
  <si>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</si>
  <si>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id3</t>
  </si>
  <si>
    <t>role3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</si>
  <si>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</si>
  <si>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</si>
  <si>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</si>
  <si>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</si>
  <si>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</si>
  <si>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</si>
  <si>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</si>
  <si>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</si>
  <si>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</si>
  <si>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</si>
  <si>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</si>
  <si>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</si>
  <si>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</si>
  <si>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</si>
  <si>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</si>
  <si>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</si>
  <si>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</si>
  <si>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</si>
  <si>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</si>
  <si>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</si>
  <si>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</si>
  <si>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</si>
  <si>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</si>
  <si>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</si>
  <si>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</si>
  <si>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</si>
  <si>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</si>
  <si>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</si>
  <si>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</si>
  <si>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</si>
  <si>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</si>
  <si>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</si>
  <si>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</si>
  <si>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</si>
  <si>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</si>
  <si>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</si>
  <si>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</si>
  <si>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</si>
  <si>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</si>
  <si>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</si>
  <si>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</si>
  <si>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</si>
  <si>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</si>
  <si>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</si>
  <si>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</si>
  <si>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</si>
  <si>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</si>
  <si>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</si>
  <si>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</si>
  <si>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</si>
  <si>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</si>
  <si>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</si>
  <si>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</si>
  <si>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</si>
  <si>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</si>
  <si>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</si>
  <si>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</si>
  <si>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</si>
  <si>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</si>
  <si>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</si>
  <si>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</si>
  <si>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</si>
  <si>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</si>
  <si>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</si>
  <si>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</si>
  <si>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id1</t>
  </si>
  <si>
    <t>role1</t>
  </si>
  <si>
    <t>ШУ К4.1-К4.4</t>
  </si>
  <si>
    <t>ШУ К5.1, К5.2</t>
  </si>
  <si>
    <t>ШУ К6.1-К6.3</t>
  </si>
  <si>
    <t>ШУ К10.5.1, K10.5.2</t>
  </si>
  <si>
    <t>ШУ К23.1, K23.2</t>
  </si>
  <si>
    <t>ШУ НКП-1, НКП-2</t>
  </si>
  <si>
    <t>№chanAi</t>
  </si>
  <si>
    <t>AiCount</t>
  </si>
  <si>
    <t>se0019</t>
  </si>
  <si>
    <t>TP-O</t>
  </si>
  <si>
    <t>ШУ К12</t>
  </si>
  <si>
    <t>МКЭШвнг (А)-LS 1x2x0.75</t>
  </si>
  <si>
    <t>Шкаф УУГ1</t>
  </si>
  <si>
    <t>АТМ</t>
  </si>
  <si>
    <t>АОВ</t>
  </si>
  <si>
    <t>АГСВ</t>
  </si>
  <si>
    <t>№chanDi</t>
  </si>
  <si>
    <t>DiCount</t>
  </si>
  <si>
    <t>№chanDo</t>
  </si>
  <si>
    <t>DoCount</t>
  </si>
  <si>
    <t>se0023</t>
  </si>
  <si>
    <t>Ki-01</t>
  </si>
  <si>
    <t>SD1</t>
  </si>
  <si>
    <t>SD2</t>
  </si>
  <si>
    <t>Ki-02</t>
  </si>
  <si>
    <t>SD3</t>
  </si>
  <si>
    <t>Ki-03</t>
  </si>
  <si>
    <t>SD4</t>
  </si>
  <si>
    <t>Ki-04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</si>
  <si>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</si>
  <si>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</si>
  <si>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</si>
  <si>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</si>
  <si>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</si>
  <si>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</si>
  <si>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</si>
  <si>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</si>
  <si>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</si>
  <si>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</si>
  <si>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E1CJU01</t>
  </si>
  <si>
    <t>E2CJU01</t>
  </si>
  <si>
    <t>N1CJU01</t>
  </si>
  <si>
    <t>N2CJU01</t>
  </si>
  <si>
    <t>АСУ ЭТО</t>
  </si>
  <si>
    <t>Шкаф Серверный №1</t>
  </si>
  <si>
    <t>Шкаф Серверный №2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</si>
  <si>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</si>
  <si>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</si>
  <si>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</si>
  <si>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</si>
  <si>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</si>
  <si>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</si>
  <si>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</si>
  <si>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</si>
  <si>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</si>
  <si>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AmCom</t>
  </si>
  <si>
    <t>TmComA</t>
  </si>
  <si>
    <t>TmComB</t>
  </si>
  <si>
    <t>ComModName</t>
  </si>
  <si>
    <t>WcpA</t>
  </si>
  <si>
    <t>WcpB</t>
  </si>
  <si>
    <t>WcpSG</t>
  </si>
  <si>
    <t>TmComSG</t>
  </si>
  <si>
    <t>Давление до фильтра №1</t>
  </si>
  <si>
    <t>Давление после фильтра №1</t>
  </si>
  <si>
    <t>E1EKE10CP001</t>
  </si>
  <si>
    <t>E1EKE10CP002</t>
  </si>
  <si>
    <t>E1</t>
  </si>
  <si>
    <t>Шкаф АСУ ГРП-1 (E1CJU01)</t>
  </si>
  <si>
    <t>Засорение фильтра №1</t>
  </si>
  <si>
    <t>E1EKE01CP151</t>
  </si>
  <si>
    <t>Элемер-АИР-30</t>
  </si>
  <si>
    <t>se0024</t>
  </si>
  <si>
    <t>E1-3</t>
  </si>
  <si>
    <t>E1-2</t>
  </si>
  <si>
    <t>E1-1</t>
  </si>
  <si>
    <t>E1EKE02CP151</t>
  </si>
  <si>
    <t>Засорение фильтра №2</t>
  </si>
  <si>
    <t>WppL</t>
  </si>
  <si>
    <t>WppDi1</t>
  </si>
  <si>
    <t>WppDi2</t>
  </si>
  <si>
    <t>E1-S9-L</t>
  </si>
  <si>
    <t>WppL2</t>
  </si>
  <si>
    <t>E1-S10-L</t>
  </si>
  <si>
    <t>XT7</t>
  </si>
  <si>
    <t>XT5</t>
  </si>
  <si>
    <t>XT10</t>
  </si>
  <si>
    <t>E1-S9-D1</t>
  </si>
  <si>
    <t>E1-S10-D1</t>
  </si>
  <si>
    <t>ЩА сущ. ГРП-1</t>
  </si>
  <si>
    <t>Температура на выходе ГРП-1 (15а)</t>
  </si>
  <si>
    <t>Температура на входе ГРП-1 (16а)</t>
  </si>
  <si>
    <t>E1EKG01CT101</t>
  </si>
  <si>
    <t>E1EKA01CT101</t>
  </si>
  <si>
    <t>E1-4</t>
  </si>
  <si>
    <t>E1-5</t>
  </si>
  <si>
    <t>A3.2</t>
  </si>
  <si>
    <t>Давление на выходе ГРП-1 (13а)</t>
  </si>
  <si>
    <t>Давление на входе ГРП-1 (14а)</t>
  </si>
  <si>
    <t>E1EKG01CP001</t>
  </si>
  <si>
    <t>E1EKA01CP001</t>
  </si>
  <si>
    <t>Давление после заслонки №1 (11а)</t>
  </si>
  <si>
    <t>Давление после заслонки №2 (12а)</t>
  </si>
  <si>
    <t>E1EKD01CP001</t>
  </si>
  <si>
    <t>E1EKD02CP001</t>
  </si>
  <si>
    <t>E1-6</t>
  </si>
  <si>
    <t>E1-7</t>
  </si>
  <si>
    <t>E1-8</t>
  </si>
  <si>
    <t>E1-9</t>
  </si>
  <si>
    <t>XT27</t>
  </si>
  <si>
    <t>XT28</t>
  </si>
  <si>
    <t>XT31</t>
  </si>
  <si>
    <t>XT32</t>
  </si>
  <si>
    <t>XT38</t>
  </si>
  <si>
    <t>XT39</t>
  </si>
  <si>
    <t>XT43</t>
  </si>
  <si>
    <t>XT44</t>
  </si>
  <si>
    <t>E1-30</t>
  </si>
  <si>
    <t>Загазованность в ГРП, 1 порог</t>
  </si>
  <si>
    <t>E1UEN01CQ001</t>
  </si>
  <si>
    <t>se0025</t>
  </si>
  <si>
    <t>Сигнализатор газов СТМ-10</t>
  </si>
  <si>
    <t>E1-S17-21</t>
  </si>
  <si>
    <t>E1-S17-23</t>
  </si>
  <si>
    <t>---</t>
  </si>
  <si>
    <t>Desc1</t>
  </si>
  <si>
    <t>Desc2</t>
  </si>
  <si>
    <t>Загазованность в ГРП, 2 порог</t>
  </si>
  <si>
    <t>Неисправность шкафа сборки задвижек</t>
  </si>
  <si>
    <t>E1CDA01GH002</t>
  </si>
  <si>
    <t>E1-29</t>
  </si>
  <si>
    <t>Сборка СЗ ГРП-1 (E1CDA01GH002)</t>
  </si>
  <si>
    <t>X</t>
  </si>
  <si>
    <t>K2-05</t>
  </si>
  <si>
    <t>E1-GH2-EH</t>
  </si>
  <si>
    <t>Регулирующая заслонка №1</t>
  </si>
  <si>
    <t>E1EKD01AA801</t>
  </si>
  <si>
    <t>E1-12</t>
  </si>
  <si>
    <t>E1-14</t>
  </si>
  <si>
    <t>se0026</t>
  </si>
  <si>
    <t>Регулирующая заслонка №2</t>
  </si>
  <si>
    <t>se0027</t>
  </si>
  <si>
    <t>E1EKD02AA801</t>
  </si>
  <si>
    <t>E1-17</t>
  </si>
  <si>
    <t>E1-19</t>
  </si>
  <si>
    <t>Задвижка 2-Г</t>
  </si>
  <si>
    <t>E1EKA01AA001</t>
  </si>
  <si>
    <t>E1-21</t>
  </si>
  <si>
    <t>se0028</t>
  </si>
  <si>
    <t>Задвижка 3-Г</t>
  </si>
  <si>
    <t>E1EKG11AA001</t>
  </si>
  <si>
    <t>E1-24</t>
  </si>
  <si>
    <t>Дисковый затвор ГК-1</t>
  </si>
  <si>
    <t>E1EKG12AA001</t>
  </si>
  <si>
    <t>E1-27</t>
  </si>
  <si>
    <t>T4</t>
  </si>
  <si>
    <t>name1</t>
  </si>
  <si>
    <t>name2</t>
  </si>
  <si>
    <t>E1-Eth1</t>
  </si>
  <si>
    <t>E2-Eth1</t>
  </si>
  <si>
    <t>N1-Eth1</t>
  </si>
  <si>
    <t>N2-Eth1</t>
  </si>
  <si>
    <t>E1-Eth2</t>
  </si>
  <si>
    <t>E2-Eth2</t>
  </si>
  <si>
    <t>N1-Eth2</t>
  </si>
  <si>
    <t>N2-Eth2</t>
  </si>
  <si>
    <t>ТОЛ-П-8У-2.7 кН</t>
  </si>
  <si>
    <t>E1CJU01GH001</t>
  </si>
  <si>
    <t>E1CJU01GH002</t>
  </si>
  <si>
    <t>E1CJU01GH003</t>
  </si>
  <si>
    <t>E1CJU01GH004</t>
  </si>
  <si>
    <t>E1CJU01GH005</t>
  </si>
  <si>
    <t>E1CJU01GH006</t>
  </si>
  <si>
    <t>E1CJU01GH007</t>
  </si>
  <si>
    <t>E1CJU01GH008</t>
  </si>
  <si>
    <t>E1CJU01GH009</t>
  </si>
  <si>
    <t>TmDo10+</t>
  </si>
  <si>
    <t>TmDo10-</t>
  </si>
  <si>
    <t>TmDo9+</t>
  </si>
  <si>
    <t>TmDo9-</t>
  </si>
  <si>
    <t>TmDo8+</t>
  </si>
  <si>
    <t>TmDo7+</t>
  </si>
  <si>
    <t>TmDo6+</t>
  </si>
  <si>
    <t>TmDo5+</t>
  </si>
  <si>
    <t>TmDo4+</t>
  </si>
  <si>
    <t>TmDo4-</t>
  </si>
  <si>
    <t>TmDo5-</t>
  </si>
  <si>
    <t>TmDo6-</t>
  </si>
  <si>
    <t>TmDo7-</t>
  </si>
  <si>
    <t>TmDo8-</t>
  </si>
  <si>
    <t>WcpDo4+</t>
  </si>
  <si>
    <t>WcpDo4-</t>
  </si>
  <si>
    <t>WcpDo5+</t>
  </si>
  <si>
    <t>WcpDo5-</t>
  </si>
  <si>
    <t>WcpDo6+</t>
  </si>
  <si>
    <t>WcpDo6-</t>
  </si>
  <si>
    <t>WcpDo7+</t>
  </si>
  <si>
    <t>WcpDo7-</t>
  </si>
  <si>
    <t>WcpDo8+</t>
  </si>
  <si>
    <t>WcpDo8-</t>
  </si>
  <si>
    <t>WcpDo9+</t>
  </si>
  <si>
    <t>WcpDo9-</t>
  </si>
  <si>
    <t>WcpDo10-</t>
  </si>
  <si>
    <t>WcpDo10+</t>
  </si>
  <si>
    <t>KLcp10</t>
  </si>
  <si>
    <t>WcpKl1-</t>
  </si>
  <si>
    <t>WcpKl2-</t>
  </si>
  <si>
    <t>WcpKl3-</t>
  </si>
  <si>
    <t>WcpKl4-</t>
  </si>
  <si>
    <t>WcpKl10-</t>
  </si>
  <si>
    <t>WcpKl10+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</si>
  <si>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</si>
  <si>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</si>
  <si>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</si>
  <si>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</si>
  <si>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</si>
  <si>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</si>
  <si>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</si>
  <si>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</si>
  <si>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Tpp15</t>
  </si>
  <si>
    <t>Tpp16</t>
  </si>
  <si>
    <t>Tpp17</t>
  </si>
  <si>
    <t>Tpp18</t>
  </si>
  <si>
    <t>Tpp19</t>
  </si>
  <si>
    <t>Tpp20</t>
  </si>
  <si>
    <t>WcpKl8</t>
  </si>
  <si>
    <t>ch1</t>
  </si>
  <si>
    <t>chCom</t>
  </si>
  <si>
    <t>ch2</t>
  </si>
  <si>
    <t>XT30</t>
  </si>
  <si>
    <t>XT42</t>
  </si>
  <si>
    <t>Питание ввода №1 в норме (ГРП-1)</t>
  </si>
  <si>
    <t>Питание ввода №2 в норме (ГРП-1)</t>
  </si>
  <si>
    <t>Ввод 1 включен (ГРП-1)</t>
  </si>
  <si>
    <t>Ввод 2 включен (ГРП-1)</t>
  </si>
  <si>
    <t>Питание ИБП в норме (ГРП-1)</t>
  </si>
  <si>
    <t>Питание цепей внешних сигналов включено (ГРП-1)</t>
  </si>
  <si>
    <t>Питание цепей внутренних сигналов включено (ГРП-1)</t>
  </si>
  <si>
    <t>Питание датчиков 220В включено (ГРП-1)</t>
  </si>
  <si>
    <t>Дверь шкафа открыта (ГРП-1)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</si>
</sst>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4" xfId="0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2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5" xfId="0" applyNumberFormat="1" applyBorder="1"/>
    <xf numFmtId="0" fontId="0" fillId="0" borderId="25" xfId="0" applyBorder="1"/>
    <xf numFmtId="0" fontId="1" fillId="0" borderId="0" xfId="0" applyFont="1"/>
    <xf numFmtId="0" fontId="1" fillId="0" borderId="5" xfId="0" applyFont="1" applyBorder="1"/>
    <xf numFmtId="0" fontId="0" fillId="3" borderId="0" xfId="0" applyFill="1"/>
    <xf numFmtId="0" fontId="0" fillId="0" borderId="5" xfId="0" quotePrefix="1" applyBorder="1"/>
    <xf numFmtId="1" fontId="0" fillId="0" borderId="0" xfId="0" applyNumberFormat="1"/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0" fontId="0" fillId="0" borderId="5" xfId="0" applyBorder="1" applyAlignment="1">
      <alignment horizontal="right" vertical="center"/>
    </xf>
  </cellXfs>
  <cellStyles count="1">
    <cellStyle name="Обычный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Илья Чураков" id="{1BBA9C37-440F-4406-BC90-B03034B3364F}" userId="60dee7a27dd0a6c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5-07-01T11:25:50.76" personId="{1BBA9C37-440F-4406-BC90-B03034B3364F}" id="{F5B4A413-8E9D-4E5D-A7E6-F8CAAC683CB0}">
    <text>4-20 или резистивный?</text>
  </threadedComment>
  <threadedComment ref="B10" dT="2025-07-01T11:25:21.18" personId="{1BBA9C37-440F-4406-BC90-B03034B3364F}" id="{20090E64-8286-40F1-B1DA-DF6DD14D0F7A}">
    <text>Непонятно активный или пассивный</text>
  </threadedComment>
  <threadedComment ref="B12" dT="2025-07-02T09:35:37.96" personId="{1BBA9C37-440F-4406-BC90-B03034B3364F}" id="{3E3B6129-7D3D-43E1-94E9-29EE39694C57}">
    <text>непонятное подключение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V26"/>
  <sheetViews>
    <sheetView tabSelected="1" zoomScale="85" zoomScaleNormal="85" workbookViewId="0">
      <pane ySplit="1" topLeftCell="A2" activePane="bottomLeft" state="frozen"/>
      <selection pane="bottomLeft" activeCell="B22" sqref="B22"/>
    </sheetView>
  </sheetViews>
  <sheetFormatPr defaultRowHeight="15" x14ac:dyDescent="0.25"/>
  <cols>
    <col min="1" max="1" width="19.28515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10.28515625" bestFit="1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style="48" bestFit="1" customWidth="1"/>
    <col min="36" max="36" width="8.7109375" style="48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7" bestFit="1" customWidth="1"/>
    <col min="43" max="43" width="59.140625" bestFit="1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10.5703125" bestFit="1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90" width="15.710937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39" max="339" width="10.28515625" bestFit="1" customWidth="1"/>
    <col min="358" max="358" width="9.5703125" customWidth="1"/>
    <col min="378" max="378" width="14.5703125" bestFit="1" customWidth="1"/>
    <col min="382" max="382" width="12" bestFit="1" customWidth="1"/>
    <col min="397" max="397" width="5.42578125" bestFit="1" customWidth="1"/>
    <col min="398" max="401" width="5.42578125" customWidth="1"/>
    <col min="402" max="402" width="7.28515625" bestFit="1" customWidth="1"/>
    <col min="403" max="403" width="7.7109375" bestFit="1" customWidth="1"/>
    <col min="404" max="411" width="7.7109375" customWidth="1"/>
    <col min="412" max="412" width="11.7109375" bestFit="1" customWidth="1"/>
    <col min="413" max="413" width="11.5703125" bestFit="1" customWidth="1"/>
    <col min="414" max="414" width="11.7109375" bestFit="1" customWidth="1"/>
    <col min="415" max="415" width="11.5703125" bestFit="1" customWidth="1"/>
    <col min="416" max="423" width="11.5703125" customWidth="1"/>
    <col min="424" max="424" width="7.7109375" bestFit="1" customWidth="1"/>
    <col min="425" max="428" width="5.28515625" bestFit="1" customWidth="1"/>
    <col min="429" max="432" width="5.28515625" customWidth="1"/>
    <col min="433" max="433" width="4.42578125" bestFit="1" customWidth="1"/>
    <col min="434" max="434" width="4" bestFit="1" customWidth="1"/>
    <col min="435" max="435" width="4.42578125" bestFit="1" customWidth="1"/>
    <col min="436" max="436" width="4" bestFit="1" customWidth="1"/>
    <col min="437" max="438" width="4.85546875" bestFit="1" customWidth="1"/>
    <col min="439" max="441" width="5.2851562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0.5703125" bestFit="1" customWidth="1"/>
    <col min="470" max="470" width="10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bestFit="1" customWidth="1"/>
    <col min="475" max="475" width="11.5703125" bestFit="1" customWidth="1"/>
    <col min="476" max="476" width="11.7109375" customWidth="1"/>
    <col min="477" max="477" width="10.5703125" bestFit="1" customWidth="1"/>
    <col min="478" max="478" width="10.7109375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0.5703125" bestFit="1" customWidth="1"/>
    <col min="486" max="486" width="10.7109375" bestFit="1" customWidth="1"/>
    <col min="487" max="487" width="11.5703125" bestFit="1" customWidth="1"/>
    <col min="488" max="488" width="11.7109375" bestFit="1" customWidth="1"/>
    <col min="539" max="539" width="8" bestFit="1" customWidth="1"/>
    <col min="540" max="540" width="9" bestFit="1" customWidth="1"/>
    <col min="541" max="541" width="8.85546875" bestFit="1" customWidth="1"/>
    <col min="542" max="542" width="10" bestFit="1" customWidth="1"/>
    <col min="543" max="543" width="14.42578125" bestFit="1" customWidth="1"/>
    <col min="544" max="544" width="9.7109375" bestFit="1" customWidth="1"/>
    <col min="545" max="545" width="9.5703125" bestFit="1" customWidth="1"/>
    <col min="546" max="546" width="10.7109375" bestFit="1" customWidth="1"/>
    <col min="547" max="547" width="6.42578125" bestFit="1" customWidth="1"/>
    <col min="574" max="575" width="9.7109375" bestFit="1" customWidth="1"/>
    <col min="595" max="595" width="10.28515625" bestFit="1" customWidth="1"/>
    <col min="596" max="596" width="10.28515625" customWidth="1"/>
    <col min="597" max="598" width="6.85546875" bestFit="1" customWidth="1"/>
    <col min="792" max="793" width="9.42578125" bestFit="1" customWidth="1"/>
    <col min="794" max="794" width="10.5703125" bestFit="1" customWidth="1"/>
  </cols>
  <sheetData>
    <row r="1" spans="1:80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142</v>
      </c>
      <c r="W1" s="7" t="s">
        <v>141</v>
      </c>
      <c r="X1" s="8" t="s">
        <v>161</v>
      </c>
      <c r="Y1" s="5" t="s">
        <v>345</v>
      </c>
      <c r="Z1" s="5" t="s">
        <v>346</v>
      </c>
      <c r="AA1" s="5" t="s">
        <v>162</v>
      </c>
      <c r="AB1" s="5" t="s">
        <v>163</v>
      </c>
      <c r="AC1" s="8" t="s">
        <v>21</v>
      </c>
      <c r="AD1" s="5" t="s">
        <v>355</v>
      </c>
      <c r="AE1" s="5" t="s">
        <v>356</v>
      </c>
      <c r="AF1" s="5" t="s">
        <v>23</v>
      </c>
      <c r="AG1" s="5" t="s">
        <v>24</v>
      </c>
      <c r="AH1" s="8" t="s">
        <v>22</v>
      </c>
      <c r="AI1" s="47" t="s">
        <v>357</v>
      </c>
      <c r="AJ1" s="47" t="s">
        <v>358</v>
      </c>
      <c r="AK1" s="5" t="s">
        <v>25</v>
      </c>
      <c r="AL1" s="5" t="s">
        <v>26</v>
      </c>
      <c r="AM1" s="8" t="s">
        <v>31</v>
      </c>
      <c r="AN1" s="8" t="s">
        <v>139</v>
      </c>
      <c r="AO1" s="8" t="s">
        <v>140</v>
      </c>
      <c r="AP1" s="8" t="s">
        <v>27</v>
      </c>
      <c r="AQ1" s="8" t="s">
        <v>28</v>
      </c>
      <c r="AR1" s="8" t="s">
        <v>151</v>
      </c>
      <c r="AS1" s="8" t="s">
        <v>159</v>
      </c>
      <c r="AT1" s="8" t="s">
        <v>29</v>
      </c>
      <c r="AU1" s="8" t="s">
        <v>30</v>
      </c>
      <c r="AV1" s="23" t="s">
        <v>32</v>
      </c>
      <c r="AW1" s="23" t="s">
        <v>33</v>
      </c>
      <c r="AX1" s="23" t="s">
        <v>34</v>
      </c>
      <c r="AY1" s="23" t="s">
        <v>153</v>
      </c>
      <c r="AZ1" s="23" t="s">
        <v>154</v>
      </c>
      <c r="BA1" s="23" t="s">
        <v>155</v>
      </c>
      <c r="BB1" s="23" t="s">
        <v>156</v>
      </c>
      <c r="BC1" s="23" t="s">
        <v>157</v>
      </c>
      <c r="BD1" s="23" t="s">
        <v>158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143</v>
      </c>
      <c r="FO1" s="5" t="s">
        <v>152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144</v>
      </c>
      <c r="GL1" s="5" t="s">
        <v>145</v>
      </c>
      <c r="GM1" s="5" t="s">
        <v>146</v>
      </c>
      <c r="GN1" s="5" t="s">
        <v>147</v>
      </c>
      <c r="GO1" s="5" t="s">
        <v>148</v>
      </c>
      <c r="GP1" s="5" t="s">
        <v>122</v>
      </c>
      <c r="GQ1" s="5" t="s">
        <v>123</v>
      </c>
      <c r="GR1" s="5" t="s">
        <v>149</v>
      </c>
      <c r="GS1" s="27" t="s">
        <v>150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165</v>
      </c>
      <c r="HH1" s="5" t="s">
        <v>166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167</v>
      </c>
      <c r="IH1" s="5" t="s">
        <v>179</v>
      </c>
      <c r="II1" s="5" t="s">
        <v>168</v>
      </c>
      <c r="IJ1" s="5" t="s">
        <v>169</v>
      </c>
      <c r="IK1" s="5" t="s">
        <v>170</v>
      </c>
      <c r="IL1" s="5" t="s">
        <v>171</v>
      </c>
      <c r="IM1" s="5" t="s">
        <v>172</v>
      </c>
      <c r="IN1" s="5" t="s">
        <v>173</v>
      </c>
      <c r="IO1" s="5" t="s">
        <v>174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175</v>
      </c>
      <c r="IW1" s="5" t="s">
        <v>176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0" t="s">
        <v>35</v>
      </c>
      <c r="KA1" s="20" t="s">
        <v>194</v>
      </c>
      <c r="KB1" s="20" t="s">
        <v>195</v>
      </c>
      <c r="KC1" s="28" t="s">
        <v>165</v>
      </c>
      <c r="KD1" s="5" t="s">
        <v>166</v>
      </c>
      <c r="KE1" s="28" t="s">
        <v>192</v>
      </c>
      <c r="KF1" s="5" t="s">
        <v>193</v>
      </c>
      <c r="KG1" s="5" t="s">
        <v>176</v>
      </c>
      <c r="KH1" s="5" t="s">
        <v>175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26" t="s">
        <v>183</v>
      </c>
      <c r="KO1" s="29" t="s">
        <v>185</v>
      </c>
      <c r="KP1" s="26" t="s">
        <v>184</v>
      </c>
      <c r="KQ1" s="29" t="s">
        <v>191</v>
      </c>
      <c r="KR1" s="18" t="s">
        <v>189</v>
      </c>
      <c r="KS1" s="18" t="s">
        <v>190</v>
      </c>
      <c r="KT1" s="4" t="s">
        <v>35</v>
      </c>
      <c r="KU1" s="5" t="s">
        <v>197</v>
      </c>
      <c r="KV1" s="5" t="s">
        <v>168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198</v>
      </c>
      <c r="LC1" s="5" t="s">
        <v>199</v>
      </c>
      <c r="LD1" s="5" t="s">
        <v>200</v>
      </c>
      <c r="LE1" s="5" t="s">
        <v>201</v>
      </c>
      <c r="LF1" s="5" t="s">
        <v>98</v>
      </c>
      <c r="LG1" s="5" t="s">
        <v>99</v>
      </c>
      <c r="LH1" s="5" t="s">
        <v>100</v>
      </c>
      <c r="LI1" s="5" t="s">
        <v>202</v>
      </c>
      <c r="LJ1" s="5" t="s">
        <v>203</v>
      </c>
      <c r="LK1" s="5" t="s">
        <v>204</v>
      </c>
      <c r="LL1" s="5" t="s">
        <v>205</v>
      </c>
      <c r="LM1" s="9" t="s">
        <v>206</v>
      </c>
      <c r="LN1" s="32" t="s">
        <v>35</v>
      </c>
      <c r="LO1" s="28" t="s">
        <v>165</v>
      </c>
      <c r="LP1" s="5" t="s">
        <v>166</v>
      </c>
      <c r="LQ1" s="5" t="s">
        <v>98</v>
      </c>
      <c r="LR1" s="5" t="s">
        <v>99</v>
      </c>
      <c r="LS1" s="5" t="s">
        <v>100</v>
      </c>
      <c r="LT1" s="30" t="s">
        <v>31</v>
      </c>
      <c r="LU1" s="26" t="s">
        <v>112</v>
      </c>
      <c r="LV1" s="31" t="s">
        <v>113</v>
      </c>
      <c r="LW1" s="18" t="s">
        <v>114</v>
      </c>
      <c r="LX1" s="4" t="s">
        <v>35</v>
      </c>
      <c r="LY1" s="5" t="s">
        <v>51</v>
      </c>
      <c r="LZ1" s="5" t="s">
        <v>50</v>
      </c>
      <c r="MA1" s="5" t="s">
        <v>168</v>
      </c>
      <c r="MB1" s="5" t="s">
        <v>73</v>
      </c>
      <c r="MC1" s="5" t="s">
        <v>70</v>
      </c>
      <c r="MD1" s="5" t="s">
        <v>71</v>
      </c>
      <c r="ME1" s="5" t="s">
        <v>68</v>
      </c>
      <c r="MF1" s="5" t="s">
        <v>69</v>
      </c>
      <c r="MG1" s="5" t="s">
        <v>198</v>
      </c>
      <c r="MH1" s="5" t="s">
        <v>199</v>
      </c>
      <c r="MI1" s="5" t="s">
        <v>200</v>
      </c>
      <c r="MJ1" s="5" t="s">
        <v>201</v>
      </c>
      <c r="MK1" s="5" t="s">
        <v>98</v>
      </c>
      <c r="ML1" s="5" t="s">
        <v>99</v>
      </c>
      <c r="MM1" s="5" t="s">
        <v>100</v>
      </c>
      <c r="MN1" s="5" t="s">
        <v>101</v>
      </c>
      <c r="MO1" s="5" t="s">
        <v>202</v>
      </c>
      <c r="MP1" s="5" t="s">
        <v>203</v>
      </c>
      <c r="MQ1" s="5" t="s">
        <v>204</v>
      </c>
      <c r="MR1" s="5" t="s">
        <v>205</v>
      </c>
      <c r="MS1" s="9" t="s">
        <v>206</v>
      </c>
      <c r="MT1" s="33" t="s">
        <v>214</v>
      </c>
      <c r="MU1" s="30" t="s">
        <v>215</v>
      </c>
      <c r="MV1" s="34" t="s">
        <v>216</v>
      </c>
      <c r="MW1" s="34" t="s">
        <v>217</v>
      </c>
      <c r="MX1" s="34" t="s">
        <v>218</v>
      </c>
      <c r="MY1" s="34" t="s">
        <v>35</v>
      </c>
      <c r="MZ1" s="34" t="s">
        <v>37</v>
      </c>
      <c r="NA1" s="34" t="s">
        <v>36</v>
      </c>
      <c r="NB1" s="34" t="s">
        <v>39</v>
      </c>
      <c r="NC1" s="34" t="s">
        <v>38</v>
      </c>
      <c r="ND1" s="34" t="s">
        <v>41</v>
      </c>
      <c r="NE1" s="34" t="s">
        <v>40</v>
      </c>
      <c r="NF1" s="34" t="s">
        <v>194</v>
      </c>
      <c r="NG1" s="34" t="s">
        <v>195</v>
      </c>
      <c r="NH1" s="5" t="s">
        <v>197</v>
      </c>
      <c r="NI1" s="5" t="s">
        <v>208</v>
      </c>
      <c r="NJ1" s="5" t="s">
        <v>209</v>
      </c>
      <c r="NK1" s="5" t="s">
        <v>210</v>
      </c>
      <c r="NL1" s="5" t="s">
        <v>211</v>
      </c>
      <c r="NM1" s="5" t="s">
        <v>212</v>
      </c>
      <c r="NN1" s="5" t="s">
        <v>213</v>
      </c>
      <c r="NO1" s="5" t="s">
        <v>168</v>
      </c>
      <c r="NP1" s="5" t="s">
        <v>169</v>
      </c>
      <c r="NQ1" s="5" t="s">
        <v>170</v>
      </c>
      <c r="NR1" s="5" t="s">
        <v>171</v>
      </c>
      <c r="NS1" s="5" t="s">
        <v>73</v>
      </c>
      <c r="NT1" s="5" t="s">
        <v>74</v>
      </c>
      <c r="NU1" s="5" t="s">
        <v>75</v>
      </c>
      <c r="NV1" s="5" t="s">
        <v>76</v>
      </c>
      <c r="NW1" s="5" t="s">
        <v>70</v>
      </c>
      <c r="NX1" s="5" t="s">
        <v>71</v>
      </c>
      <c r="NY1" s="5" t="s">
        <v>68</v>
      </c>
      <c r="NZ1" s="5" t="s">
        <v>69</v>
      </c>
      <c r="OA1" s="5" t="s">
        <v>198</v>
      </c>
      <c r="OB1" s="5" t="s">
        <v>199</v>
      </c>
      <c r="OC1" s="5" t="s">
        <v>200</v>
      </c>
      <c r="OD1" s="9" t="s">
        <v>201</v>
      </c>
      <c r="OE1" s="5" t="s">
        <v>219</v>
      </c>
      <c r="OF1" s="9" t="s">
        <v>220</v>
      </c>
      <c r="OG1" s="20" t="s">
        <v>35</v>
      </c>
      <c r="OH1" s="20" t="s">
        <v>214</v>
      </c>
      <c r="OI1" s="20" t="s">
        <v>215</v>
      </c>
      <c r="OJ1" s="20" t="s">
        <v>270</v>
      </c>
      <c r="OK1" s="20" t="s">
        <v>271</v>
      </c>
      <c r="OL1" s="20" t="s">
        <v>194</v>
      </c>
      <c r="OM1" s="20" t="s">
        <v>195</v>
      </c>
      <c r="ON1" s="20" t="s">
        <v>262</v>
      </c>
      <c r="OO1" s="20" t="s">
        <v>263</v>
      </c>
      <c r="OP1" s="20" t="s">
        <v>264</v>
      </c>
      <c r="OQ1" s="20" t="s">
        <v>265</v>
      </c>
      <c r="OR1" s="20" t="s">
        <v>272</v>
      </c>
      <c r="OS1" s="20" t="s">
        <v>273</v>
      </c>
      <c r="OT1" s="20" t="s">
        <v>274</v>
      </c>
      <c r="OU1" s="20" t="s">
        <v>275</v>
      </c>
      <c r="OV1" s="28" t="s">
        <v>165</v>
      </c>
      <c r="OW1" s="5" t="s">
        <v>166</v>
      </c>
      <c r="OX1" s="28" t="s">
        <v>192</v>
      </c>
      <c r="OY1" s="5" t="s">
        <v>193</v>
      </c>
      <c r="OZ1" s="28" t="s">
        <v>266</v>
      </c>
      <c r="PA1" s="5" t="s">
        <v>267</v>
      </c>
      <c r="PB1" s="28" t="s">
        <v>268</v>
      </c>
      <c r="PC1" s="5" t="s">
        <v>269</v>
      </c>
      <c r="PD1" s="28" t="s">
        <v>276</v>
      </c>
      <c r="PE1" s="5" t="s">
        <v>277</v>
      </c>
      <c r="PF1" s="28" t="s">
        <v>278</v>
      </c>
      <c r="PG1" s="5" t="s">
        <v>279</v>
      </c>
      <c r="PH1" s="5" t="s">
        <v>98</v>
      </c>
      <c r="PI1" s="5" t="s">
        <v>99</v>
      </c>
      <c r="PJ1" s="5" t="s">
        <v>100</v>
      </c>
      <c r="PK1" s="5" t="s">
        <v>101</v>
      </c>
      <c r="PL1" s="5" t="s">
        <v>102</v>
      </c>
      <c r="PM1" s="5" t="s">
        <v>103</v>
      </c>
      <c r="PN1" s="5" t="s">
        <v>104</v>
      </c>
      <c r="PO1" s="5" t="s">
        <v>105</v>
      </c>
      <c r="PP1" s="5" t="s">
        <v>106</v>
      </c>
      <c r="PQ1" s="26" t="s">
        <v>144</v>
      </c>
      <c r="PR1" s="26" t="s">
        <v>145</v>
      </c>
      <c r="PS1" s="26" t="s">
        <v>146</v>
      </c>
      <c r="PT1" s="26" t="s">
        <v>147</v>
      </c>
      <c r="PU1" s="26" t="s">
        <v>148</v>
      </c>
      <c r="PV1" s="26" t="s">
        <v>261</v>
      </c>
      <c r="PW1" s="26" t="s">
        <v>280</v>
      </c>
      <c r="PX1" s="26" t="s">
        <v>281</v>
      </c>
      <c r="PY1" s="26" t="s">
        <v>282</v>
      </c>
      <c r="PZ1" s="35" t="s">
        <v>283</v>
      </c>
      <c r="QA1" s="35" t="s">
        <v>195</v>
      </c>
      <c r="QB1" s="35" t="s">
        <v>194</v>
      </c>
      <c r="QC1" s="35" t="s">
        <v>263</v>
      </c>
      <c r="QD1" s="35" t="s">
        <v>262</v>
      </c>
      <c r="QE1" s="35" t="s">
        <v>265</v>
      </c>
      <c r="QF1" s="35" t="s">
        <v>264</v>
      </c>
      <c r="QG1" s="35" t="s">
        <v>273</v>
      </c>
      <c r="QH1" s="35" t="s">
        <v>272</v>
      </c>
      <c r="QI1" s="35" t="s">
        <v>275</v>
      </c>
      <c r="QJ1" s="35" t="s">
        <v>274</v>
      </c>
      <c r="QK1" s="35" t="s">
        <v>284</v>
      </c>
      <c r="QL1" s="35" t="s">
        <v>285</v>
      </c>
      <c r="QM1" s="35" t="s">
        <v>286</v>
      </c>
      <c r="QN1" s="35" t="s">
        <v>287</v>
      </c>
      <c r="QO1" s="35" t="s">
        <v>288</v>
      </c>
      <c r="QP1" s="35" t="s">
        <v>289</v>
      </c>
      <c r="QQ1" s="35" t="s">
        <v>290</v>
      </c>
      <c r="QR1" s="35" t="s">
        <v>291</v>
      </c>
      <c r="QS1" s="35" t="s">
        <v>292</v>
      </c>
      <c r="QT1" s="35" t="s">
        <v>293</v>
      </c>
      <c r="QU1" s="35" t="s">
        <v>294</v>
      </c>
      <c r="QV1" s="35" t="s">
        <v>295</v>
      </c>
      <c r="QW1" s="35" t="s">
        <v>166</v>
      </c>
      <c r="QX1" s="35" t="s">
        <v>165</v>
      </c>
      <c r="QY1" s="35" t="s">
        <v>193</v>
      </c>
      <c r="QZ1" s="35" t="s">
        <v>192</v>
      </c>
      <c r="RA1" s="35" t="s">
        <v>267</v>
      </c>
      <c r="RB1" s="35" t="s">
        <v>266</v>
      </c>
      <c r="RC1" s="35" t="s">
        <v>269</v>
      </c>
      <c r="RD1" s="35" t="s">
        <v>268</v>
      </c>
      <c r="RE1" s="35" t="s">
        <v>277</v>
      </c>
      <c r="RF1" s="35" t="s">
        <v>276</v>
      </c>
      <c r="RG1" s="35" t="s">
        <v>279</v>
      </c>
      <c r="RH1" s="35" t="s">
        <v>278</v>
      </c>
      <c r="RI1" s="35" t="s">
        <v>296</v>
      </c>
      <c r="RJ1" s="35" t="s">
        <v>297</v>
      </c>
      <c r="RK1" s="35" t="s">
        <v>298</v>
      </c>
      <c r="RL1" s="35" t="s">
        <v>299</v>
      </c>
      <c r="RM1" s="35" t="s">
        <v>300</v>
      </c>
      <c r="RN1" s="35" t="s">
        <v>301</v>
      </c>
      <c r="RO1" s="35" t="s">
        <v>302</v>
      </c>
      <c r="RP1" s="35" t="s">
        <v>303</v>
      </c>
      <c r="RQ1" s="35" t="s">
        <v>304</v>
      </c>
      <c r="RR1" s="35" t="s">
        <v>305</v>
      </c>
      <c r="RS1" s="35" t="s">
        <v>306</v>
      </c>
      <c r="RT1" s="35" t="s">
        <v>307</v>
      </c>
      <c r="RU1" s="35" t="s">
        <v>35</v>
      </c>
      <c r="RV1" s="35" t="s">
        <v>98</v>
      </c>
      <c r="RW1" s="35" t="s">
        <v>99</v>
      </c>
      <c r="RX1" s="35" t="s">
        <v>100</v>
      </c>
      <c r="RY1" s="35" t="s">
        <v>101</v>
      </c>
      <c r="RZ1" s="35" t="s">
        <v>102</v>
      </c>
      <c r="SA1" s="35" t="s">
        <v>103</v>
      </c>
      <c r="SB1" s="35" t="s">
        <v>104</v>
      </c>
      <c r="SC1" s="35" t="s">
        <v>105</v>
      </c>
      <c r="SD1" s="35" t="s">
        <v>106</v>
      </c>
      <c r="SE1" s="35" t="s">
        <v>107</v>
      </c>
      <c r="SF1" s="35" t="s">
        <v>108</v>
      </c>
      <c r="SG1" s="35" t="s">
        <v>109</v>
      </c>
      <c r="SH1" s="35" t="s">
        <v>110</v>
      </c>
      <c r="SI1" s="35" t="s">
        <v>111</v>
      </c>
      <c r="SJ1" s="35" t="s">
        <v>308</v>
      </c>
      <c r="SK1" s="35" t="s">
        <v>309</v>
      </c>
      <c r="SL1" s="35" t="s">
        <v>310</v>
      </c>
      <c r="SM1" s="35" t="s">
        <v>311</v>
      </c>
      <c r="SN1" s="35" t="s">
        <v>312</v>
      </c>
      <c r="SO1" s="35" t="s">
        <v>313</v>
      </c>
      <c r="SP1" s="35" t="s">
        <v>314</v>
      </c>
      <c r="SQ1" s="35" t="s">
        <v>315</v>
      </c>
      <c r="SR1" s="35" t="s">
        <v>316</v>
      </c>
      <c r="SS1" s="35" t="s">
        <v>317</v>
      </c>
      <c r="ST1" s="35" t="s">
        <v>318</v>
      </c>
      <c r="SU1" s="35" t="s">
        <v>337</v>
      </c>
      <c r="SV1" s="35" t="s">
        <v>214</v>
      </c>
      <c r="SW1" s="35" t="s">
        <v>270</v>
      </c>
      <c r="SX1" s="35" t="s">
        <v>319</v>
      </c>
      <c r="SY1" s="35" t="s">
        <v>320</v>
      </c>
      <c r="SZ1" s="35" t="s">
        <v>321</v>
      </c>
      <c r="TA1" s="35" t="s">
        <v>322</v>
      </c>
      <c r="TB1" s="35" t="s">
        <v>323</v>
      </c>
      <c r="TC1" s="35" t="s">
        <v>324</v>
      </c>
      <c r="TD1" s="35" t="s">
        <v>325</v>
      </c>
      <c r="TE1" s="35" t="s">
        <v>326</v>
      </c>
      <c r="TF1" s="35" t="s">
        <v>327</v>
      </c>
      <c r="TG1" s="35" t="s">
        <v>338</v>
      </c>
      <c r="TH1" s="35" t="s">
        <v>215</v>
      </c>
      <c r="TI1" s="35" t="s">
        <v>271</v>
      </c>
      <c r="TJ1" s="35" t="s">
        <v>328</v>
      </c>
      <c r="TK1" s="35" t="s">
        <v>329</v>
      </c>
      <c r="TL1" s="35" t="s">
        <v>330</v>
      </c>
      <c r="TM1" s="35" t="s">
        <v>331</v>
      </c>
      <c r="TN1" s="35" t="s">
        <v>332</v>
      </c>
      <c r="TO1" s="35" t="s">
        <v>333</v>
      </c>
      <c r="TP1" s="35" t="s">
        <v>334</v>
      </c>
      <c r="TQ1" s="35" t="s">
        <v>335</v>
      </c>
      <c r="TR1" s="39" t="s">
        <v>336</v>
      </c>
      <c r="TS1" s="32" t="s">
        <v>394</v>
      </c>
      <c r="TT1" s="20" t="s">
        <v>395</v>
      </c>
      <c r="TU1" s="20" t="s">
        <v>396</v>
      </c>
      <c r="TV1" s="20" t="s">
        <v>401</v>
      </c>
      <c r="TW1" s="20" t="s">
        <v>397</v>
      </c>
      <c r="TX1" s="20" t="s">
        <v>398</v>
      </c>
      <c r="TY1" s="20" t="s">
        <v>399</v>
      </c>
      <c r="TZ1" s="20" t="s">
        <v>400</v>
      </c>
      <c r="UA1" s="20" t="s">
        <v>35</v>
      </c>
      <c r="UB1" s="20" t="s">
        <v>98</v>
      </c>
      <c r="UC1" s="20" t="s">
        <v>99</v>
      </c>
      <c r="UD1" s="20" t="s">
        <v>100</v>
      </c>
      <c r="UE1" s="20" t="s">
        <v>31</v>
      </c>
      <c r="UF1" s="20" t="s">
        <v>112</v>
      </c>
      <c r="UG1" s="20" t="s">
        <v>113</v>
      </c>
      <c r="UH1" s="21" t="s">
        <v>114</v>
      </c>
      <c r="UI1" s="32" t="s">
        <v>35</v>
      </c>
      <c r="UJ1" s="20" t="s">
        <v>214</v>
      </c>
      <c r="UK1" s="20" t="s">
        <v>215</v>
      </c>
      <c r="UL1" s="20" t="s">
        <v>37</v>
      </c>
      <c r="UM1" s="20" t="s">
        <v>36</v>
      </c>
      <c r="UN1" s="20" t="s">
        <v>51</v>
      </c>
      <c r="UO1" s="20" t="s">
        <v>50</v>
      </c>
      <c r="UP1" s="20" t="s">
        <v>53</v>
      </c>
      <c r="UQ1" s="20" t="s">
        <v>52</v>
      </c>
      <c r="UR1" s="20" t="s">
        <v>73</v>
      </c>
      <c r="US1" s="20" t="s">
        <v>74</v>
      </c>
      <c r="UT1" s="20" t="s">
        <v>70</v>
      </c>
      <c r="UU1" s="20" t="s">
        <v>71</v>
      </c>
      <c r="UV1" s="20" t="s">
        <v>68</v>
      </c>
      <c r="UW1" s="20" t="s">
        <v>69</v>
      </c>
      <c r="UX1" s="20" t="s">
        <v>98</v>
      </c>
      <c r="UY1" s="20" t="s">
        <v>99</v>
      </c>
      <c r="UZ1" s="20" t="s">
        <v>100</v>
      </c>
      <c r="VA1" s="20" t="s">
        <v>101</v>
      </c>
      <c r="VB1" s="20" t="s">
        <v>417</v>
      </c>
      <c r="VC1" s="20" t="s">
        <v>421</v>
      </c>
      <c r="VD1" s="20" t="s">
        <v>418</v>
      </c>
      <c r="VE1" s="20" t="s">
        <v>419</v>
      </c>
      <c r="VF1" s="20" t="s">
        <v>112</v>
      </c>
      <c r="VG1" s="20" t="s">
        <v>113</v>
      </c>
      <c r="VH1" s="21" t="s">
        <v>114</v>
      </c>
      <c r="VI1" s="25" t="s">
        <v>133</v>
      </c>
      <c r="VJ1" s="18" t="s">
        <v>464</v>
      </c>
      <c r="VK1" s="19" t="s">
        <v>465</v>
      </c>
      <c r="VL1" s="4" t="s">
        <v>35</v>
      </c>
      <c r="VM1" s="28" t="s">
        <v>98</v>
      </c>
      <c r="VN1" s="28" t="s">
        <v>99</v>
      </c>
      <c r="VO1" s="28" t="s">
        <v>100</v>
      </c>
      <c r="VP1" s="28" t="s">
        <v>101</v>
      </c>
      <c r="VQ1" s="28" t="s">
        <v>37</v>
      </c>
      <c r="VR1" s="28" t="s">
        <v>36</v>
      </c>
      <c r="VS1" s="5" t="s">
        <v>51</v>
      </c>
      <c r="VT1" s="5" t="s">
        <v>50</v>
      </c>
      <c r="VU1" s="5" t="s">
        <v>53</v>
      </c>
      <c r="VV1" s="5" t="s">
        <v>52</v>
      </c>
      <c r="VW1" s="5" t="s">
        <v>168</v>
      </c>
      <c r="VX1" s="5" t="s">
        <v>169</v>
      </c>
      <c r="VY1" s="5" t="s">
        <v>73</v>
      </c>
      <c r="VZ1" s="5" t="s">
        <v>74</v>
      </c>
      <c r="WA1" s="5" t="s">
        <v>70</v>
      </c>
      <c r="WB1" s="5" t="s">
        <v>71</v>
      </c>
      <c r="WC1" s="5" t="s">
        <v>68</v>
      </c>
      <c r="WD1" s="5" t="s">
        <v>69</v>
      </c>
      <c r="WE1" s="5" t="s">
        <v>200</v>
      </c>
      <c r="WF1" s="5" t="s">
        <v>201</v>
      </c>
      <c r="WG1" s="5" t="s">
        <v>204</v>
      </c>
      <c r="WH1" s="5" t="s">
        <v>205</v>
      </c>
      <c r="WI1" s="27" t="s">
        <v>206</v>
      </c>
      <c r="WJ1" s="20" t="s">
        <v>494</v>
      </c>
      <c r="WK1" s="18" t="s">
        <v>495</v>
      </c>
      <c r="WL1" s="19" t="s">
        <v>496</v>
      </c>
      <c r="WM1" t="s">
        <v>35</v>
      </c>
      <c r="WN1" t="s">
        <v>98</v>
      </c>
      <c r="WO1" t="s">
        <v>99</v>
      </c>
      <c r="WP1" t="s">
        <v>100</v>
      </c>
      <c r="WQ1" t="s">
        <v>101</v>
      </c>
      <c r="WR1" t="s">
        <v>102</v>
      </c>
      <c r="WS1" t="s">
        <v>103</v>
      </c>
      <c r="WT1" t="s">
        <v>104</v>
      </c>
      <c r="WU1" t="s">
        <v>105</v>
      </c>
      <c r="WV1" t="s">
        <v>106</v>
      </c>
      <c r="WW1" t="s">
        <v>107</v>
      </c>
      <c r="WX1" t="s">
        <v>108</v>
      </c>
      <c r="WY1" t="s">
        <v>109</v>
      </c>
      <c r="WZ1" t="s">
        <v>110</v>
      </c>
      <c r="XA1" t="s">
        <v>111</v>
      </c>
      <c r="XB1" t="s">
        <v>308</v>
      </c>
      <c r="XC1" t="s">
        <v>309</v>
      </c>
      <c r="XD1" t="s">
        <v>310</v>
      </c>
      <c r="XE1" t="s">
        <v>311</v>
      </c>
      <c r="XF1" t="s">
        <v>312</v>
      </c>
      <c r="XG1" t="s">
        <v>313</v>
      </c>
      <c r="XH1" t="s">
        <v>46</v>
      </c>
      <c r="XI1" t="s">
        <v>47</v>
      </c>
      <c r="XJ1" t="s">
        <v>48</v>
      </c>
      <c r="XK1" t="s">
        <v>49</v>
      </c>
      <c r="XL1" t="s">
        <v>524</v>
      </c>
      <c r="XM1" t="s">
        <v>523</v>
      </c>
      <c r="XN1" t="s">
        <v>525</v>
      </c>
      <c r="XO1" t="s">
        <v>522</v>
      </c>
      <c r="XP1" t="s">
        <v>526</v>
      </c>
      <c r="XQ1" t="s">
        <v>521</v>
      </c>
      <c r="XR1" t="s">
        <v>527</v>
      </c>
      <c r="XS1" t="s">
        <v>520</v>
      </c>
      <c r="XT1" t="s">
        <v>528</v>
      </c>
      <c r="XU1" t="s">
        <v>519</v>
      </c>
      <c r="XV1" t="s">
        <v>518</v>
      </c>
      <c r="XW1" t="s">
        <v>517</v>
      </c>
      <c r="XX1" t="s">
        <v>516</v>
      </c>
      <c r="XY1" t="s">
        <v>515</v>
      </c>
      <c r="XZ1" t="s">
        <v>62</v>
      </c>
      <c r="YA1" t="s">
        <v>63</v>
      </c>
      <c r="YB1" t="s">
        <v>64</v>
      </c>
      <c r="YC1" t="s">
        <v>65</v>
      </c>
      <c r="YD1" t="s">
        <v>66</v>
      </c>
      <c r="YE1" t="s">
        <v>67</v>
      </c>
      <c r="YF1" t="s">
        <v>530</v>
      </c>
      <c r="YG1" t="s">
        <v>529</v>
      </c>
      <c r="YH1" t="s">
        <v>532</v>
      </c>
      <c r="YI1" t="s">
        <v>531</v>
      </c>
      <c r="YJ1" t="s">
        <v>534</v>
      </c>
      <c r="YK1" t="s">
        <v>533</v>
      </c>
      <c r="YL1" t="s">
        <v>536</v>
      </c>
      <c r="YM1" t="s">
        <v>535</v>
      </c>
      <c r="YN1" t="s">
        <v>538</v>
      </c>
      <c r="YO1" t="s">
        <v>537</v>
      </c>
      <c r="YP1" t="s">
        <v>540</v>
      </c>
      <c r="YQ1" t="s">
        <v>539</v>
      </c>
      <c r="YR1" t="s">
        <v>541</v>
      </c>
      <c r="YS1" t="s">
        <v>542</v>
      </c>
      <c r="YT1" t="s">
        <v>73</v>
      </c>
      <c r="YU1" t="s">
        <v>74</v>
      </c>
      <c r="YV1" t="s">
        <v>75</v>
      </c>
      <c r="YW1" t="s">
        <v>76</v>
      </c>
      <c r="YX1" t="s">
        <v>77</v>
      </c>
      <c r="YY1" t="s">
        <v>78</v>
      </c>
      <c r="YZ1" t="s">
        <v>79</v>
      </c>
      <c r="ZA1" t="s">
        <v>80</v>
      </c>
      <c r="ZB1" t="s">
        <v>81</v>
      </c>
      <c r="ZC1" t="s">
        <v>543</v>
      </c>
      <c r="ZD1" t="s">
        <v>544</v>
      </c>
      <c r="ZE1" t="s">
        <v>82</v>
      </c>
      <c r="ZF1" t="s">
        <v>545</v>
      </c>
      <c r="ZG1" t="s">
        <v>83</v>
      </c>
      <c r="ZH1" t="s">
        <v>546</v>
      </c>
      <c r="ZI1" t="s">
        <v>84</v>
      </c>
      <c r="ZJ1" t="s">
        <v>547</v>
      </c>
      <c r="ZK1" t="s">
        <v>85</v>
      </c>
      <c r="ZL1" t="s">
        <v>87</v>
      </c>
      <c r="ZM1" t="s">
        <v>86</v>
      </c>
      <c r="ZN1" t="s">
        <v>89</v>
      </c>
      <c r="ZO1" t="s">
        <v>88</v>
      </c>
      <c r="ZP1" t="s">
        <v>91</v>
      </c>
      <c r="ZQ1" t="s">
        <v>90</v>
      </c>
      <c r="ZR1" t="s">
        <v>93</v>
      </c>
      <c r="ZS1" t="s">
        <v>92</v>
      </c>
      <c r="ZT1" t="s">
        <v>95</v>
      </c>
      <c r="ZU1" t="s">
        <v>94</v>
      </c>
      <c r="ZV1" t="s">
        <v>548</v>
      </c>
      <c r="ZW1" t="s">
        <v>549</v>
      </c>
      <c r="ZX1" t="s">
        <v>464</v>
      </c>
      <c r="ZY1" t="s">
        <v>465</v>
      </c>
      <c r="ZZ1" t="s">
        <v>550</v>
      </c>
      <c r="AAA1" t="s">
        <v>551</v>
      </c>
      <c r="AAB1" t="s">
        <v>552</v>
      </c>
      <c r="AAC1" t="s">
        <v>553</v>
      </c>
      <c r="AAD1" t="s">
        <v>554</v>
      </c>
      <c r="AAE1" t="s">
        <v>555</v>
      </c>
      <c r="AAF1" t="s">
        <v>556</v>
      </c>
      <c r="AAG1" t="s">
        <v>557</v>
      </c>
      <c r="AAH1" t="s">
        <v>31</v>
      </c>
      <c r="AAI1" t="s">
        <v>112</v>
      </c>
      <c r="AAJ1" t="s">
        <v>113</v>
      </c>
      <c r="AAK1" t="s">
        <v>114</v>
      </c>
      <c r="AAL1" t="s">
        <v>115</v>
      </c>
      <c r="AAM1" t="s">
        <v>116</v>
      </c>
      <c r="AAN1" t="s">
        <v>117</v>
      </c>
      <c r="AAO1" t="s">
        <v>118</v>
      </c>
      <c r="AAP1" t="s">
        <v>119</v>
      </c>
      <c r="AAQ1" t="s">
        <v>120</v>
      </c>
      <c r="AAR1" t="s">
        <v>121</v>
      </c>
      <c r="AAS1" t="s">
        <v>122</v>
      </c>
      <c r="AAT1" t="s">
        <v>123</v>
      </c>
      <c r="AAU1" t="s">
        <v>124</v>
      </c>
      <c r="AAV1" t="s">
        <v>125</v>
      </c>
      <c r="AAW1" t="s">
        <v>558</v>
      </c>
      <c r="AAX1" t="s">
        <v>559</v>
      </c>
      <c r="AAY1" t="s">
        <v>560</v>
      </c>
      <c r="AAZ1" t="s">
        <v>561</v>
      </c>
      <c r="ABA1" t="s">
        <v>562</v>
      </c>
      <c r="ABB1" s="16" t="s">
        <v>563</v>
      </c>
      <c r="ABC1" s="18" t="s">
        <v>464</v>
      </c>
      <c r="ABD1" s="19" t="s">
        <v>465</v>
      </c>
      <c r="ABE1" s="18" t="s">
        <v>550</v>
      </c>
      <c r="ABF1" s="18" t="s">
        <v>551</v>
      </c>
      <c r="ABG1" s="4" t="s">
        <v>35</v>
      </c>
      <c r="ABH1" s="28" t="s">
        <v>98</v>
      </c>
      <c r="ABI1" s="28" t="s">
        <v>99</v>
      </c>
      <c r="ABJ1" s="28" t="s">
        <v>100</v>
      </c>
      <c r="ABK1" s="28" t="s">
        <v>101</v>
      </c>
      <c r="ABL1" s="28" t="s">
        <v>102</v>
      </c>
      <c r="ABM1" s="28" t="s">
        <v>103</v>
      </c>
      <c r="ABN1" s="28" t="s">
        <v>104</v>
      </c>
      <c r="ABO1" s="28" t="s">
        <v>105</v>
      </c>
      <c r="ABP1" s="28" t="s">
        <v>37</v>
      </c>
      <c r="ABQ1" s="28" t="s">
        <v>36</v>
      </c>
      <c r="ABR1" s="28" t="s">
        <v>39</v>
      </c>
      <c r="ABS1" s="28" t="s">
        <v>38</v>
      </c>
      <c r="ABT1" s="28" t="s">
        <v>41</v>
      </c>
      <c r="ABU1" s="28" t="s">
        <v>40</v>
      </c>
      <c r="ABV1" s="5" t="s">
        <v>51</v>
      </c>
      <c r="ABW1" s="5" t="s">
        <v>50</v>
      </c>
      <c r="ABX1" s="5" t="s">
        <v>53</v>
      </c>
      <c r="ABY1" s="5" t="s">
        <v>52</v>
      </c>
      <c r="ABZ1" s="5" t="s">
        <v>55</v>
      </c>
      <c r="ACA1" s="5" t="s">
        <v>54</v>
      </c>
      <c r="ACB1" s="5" t="s">
        <v>57</v>
      </c>
      <c r="ACC1" s="5" t="s">
        <v>56</v>
      </c>
      <c r="ACD1" s="5" t="s">
        <v>168</v>
      </c>
      <c r="ACE1" s="5" t="s">
        <v>169</v>
      </c>
      <c r="ACF1" s="5" t="s">
        <v>170</v>
      </c>
      <c r="ACG1" s="5" t="s">
        <v>171</v>
      </c>
      <c r="ACH1" s="5" t="s">
        <v>172</v>
      </c>
      <c r="ACI1" s="5" t="s">
        <v>173</v>
      </c>
      <c r="ACJ1" s="5" t="s">
        <v>174</v>
      </c>
      <c r="ACK1" s="5" t="s">
        <v>564</v>
      </c>
      <c r="ACL1" s="5" t="s">
        <v>73</v>
      </c>
      <c r="ACM1" s="5" t="s">
        <v>74</v>
      </c>
      <c r="ACN1" s="5" t="s">
        <v>75</v>
      </c>
      <c r="ACO1" s="5" t="s">
        <v>76</v>
      </c>
      <c r="ACP1" s="5" t="s">
        <v>68</v>
      </c>
      <c r="ACQ1" s="5" t="s">
        <v>69</v>
      </c>
      <c r="ACR1" s="5" t="s">
        <v>70</v>
      </c>
      <c r="ACS1" s="5" t="s">
        <v>71</v>
      </c>
      <c r="ACT1" s="5" t="s">
        <v>200</v>
      </c>
      <c r="ACU1" s="5" t="s">
        <v>201</v>
      </c>
      <c r="ACV1" s="5" t="s">
        <v>31</v>
      </c>
      <c r="ACW1" s="5" t="s">
        <v>112</v>
      </c>
      <c r="ACX1" s="5" t="s">
        <v>113</v>
      </c>
      <c r="ACY1" s="5" t="s">
        <v>114</v>
      </c>
      <c r="ACZ1" s="5" t="s">
        <v>115</v>
      </c>
      <c r="ADA1" s="5" t="s">
        <v>116</v>
      </c>
      <c r="ADB1" s="5" t="s">
        <v>117</v>
      </c>
      <c r="ADC1" s="5" t="s">
        <v>118</v>
      </c>
      <c r="ADD1" s="5" t="s">
        <v>119</v>
      </c>
      <c r="ADE1" s="35" t="s">
        <v>35</v>
      </c>
      <c r="ADF1" s="35" t="s">
        <v>98</v>
      </c>
      <c r="ADG1" s="35" t="s">
        <v>99</v>
      </c>
      <c r="ADH1" s="35" t="s">
        <v>100</v>
      </c>
      <c r="ADI1" s="35" t="s">
        <v>101</v>
      </c>
      <c r="ADJ1" s="35" t="s">
        <v>195</v>
      </c>
      <c r="ADK1" s="35" t="s">
        <v>194</v>
      </c>
      <c r="ADL1" s="35" t="s">
        <v>211</v>
      </c>
      <c r="ADM1" s="35" t="s">
        <v>212</v>
      </c>
      <c r="ADN1" s="35" t="s">
        <v>213</v>
      </c>
      <c r="ADO1" s="35" t="s">
        <v>204</v>
      </c>
      <c r="ADP1" s="35" t="s">
        <v>205</v>
      </c>
      <c r="ADQ1" s="35" t="s">
        <v>206</v>
      </c>
      <c r="ADR1" s="35" t="s">
        <v>565</v>
      </c>
      <c r="ADS1" s="35" t="s">
        <v>566</v>
      </c>
      <c r="ADT1" s="35" t="s">
        <v>567</v>
      </c>
      <c r="ADU1" s="35" t="s">
        <v>214</v>
      </c>
      <c r="ADV1" s="35" t="s">
        <v>215</v>
      </c>
    </row>
    <row r="2" spans="1:802" x14ac:dyDescent="0.25">
      <c r="A2" t="s">
        <v>404</v>
      </c>
      <c r="B2" t="s">
        <v>402</v>
      </c>
      <c r="C2" t="s">
        <v>186</v>
      </c>
      <c r="P2" t="s">
        <v>180</v>
      </c>
      <c r="T2" s="10" t="s">
        <v>406</v>
      </c>
      <c r="U2">
        <v>1</v>
      </c>
      <c r="V2" t="s">
        <v>414</v>
      </c>
      <c r="X2" t="s">
        <v>164</v>
      </c>
      <c r="Y2" s="36" t="str" cm="1">
        <f t="array" ref="Y2">IF(COUNTIFS($X$2:$X2,$X2)=1,"1",VALUE(SUBSTITUTE(INDEX(Y:Y,_xlfn.XMATCH($X2,$X$1:$X1,0,-1)),"A",""))+INDEX(Z:Z,_xlfn.XMATCH($X2,$X$1:$X1,0,-1))+1)</f>
        <v>1</v>
      </c>
      <c r="Z2" s="36" cm="1">
        <f t="array" ref="Z2">SUM(IF(ISNUMBER(FIND("TmAi",$BE$1:$AAL$1)),IF(IFERROR(ISODD(SUBSTITUTE($BE2:$AAL2,"A","")),FALSE),IF(ISODD(SUBSTITUTE($BE2:$AAL2,"A","")),1,0),0)))</f>
        <v>0</v>
      </c>
      <c r="AA2" t="str">
        <f t="shared" ref="AA2:AA6" si="0">CONCATENATE($Y2*2-1,"B")</f>
        <v>1B</v>
      </c>
      <c r="AB2" t="str">
        <f t="shared" ref="AB2:AB6" si="1">CONCATENATE($Y2*2,"B")</f>
        <v>2B</v>
      </c>
      <c r="AP2" t="s">
        <v>407</v>
      </c>
      <c r="AS2" t="s">
        <v>160</v>
      </c>
      <c r="JZ2" s="24" t="str">
        <f t="shared" ref="JZ2" si="2">CONCATENATE("XT",U2)</f>
        <v>XT1</v>
      </c>
      <c r="KC2" t="str">
        <f t="shared" ref="KC2" si="3">CONCATENATE(T2,"-AI",REPLACE($X2,1,3,""),"-",AA2)</f>
        <v>E1-AI1-1B</v>
      </c>
      <c r="KD2" t="str">
        <f t="shared" ref="KD2" si="4">CONCATENATE(T2,"-AI",REPLACE($X2,1,3,""),"-",AB2)</f>
        <v>E1-AI1-2B</v>
      </c>
      <c r="KI2">
        <v>1</v>
      </c>
      <c r="KJ2">
        <f t="shared" ref="KJ2" si="5">KI2+1</f>
        <v>2</v>
      </c>
      <c r="KK2">
        <f t="shared" ref="KK2" si="6">KJ2+1</f>
        <v>3</v>
      </c>
      <c r="KN2">
        <v>1</v>
      </c>
      <c r="KO2" s="16">
        <v>2</v>
      </c>
      <c r="KS2" s="16"/>
    </row>
    <row r="3" spans="1:802" ht="15.75" thickBot="1" x14ac:dyDescent="0.3">
      <c r="A3" t="s">
        <v>405</v>
      </c>
      <c r="B3" t="s">
        <v>403</v>
      </c>
      <c r="C3" t="s">
        <v>186</v>
      </c>
      <c r="P3" t="s">
        <v>180</v>
      </c>
      <c r="T3" s="14" t="s">
        <v>406</v>
      </c>
      <c r="U3">
        <v>1</v>
      </c>
      <c r="V3" t="s">
        <v>413</v>
      </c>
      <c r="X3" t="str">
        <f>IF(COUNTIF(X$2:X2,X2)&gt;7,REPLACE(X2,LEN(X2),1,VALUE(RIGHT(X2,1))+1),X2)</f>
        <v>A3.1</v>
      </c>
      <c r="Y3" s="36" cm="1">
        <f t="array" ref="Y3">IF(COUNTIFS($X$2:$X3,$X3)=1,"1",VALUE(SUBSTITUTE(INDEX(Y:Y,_xlfn.XMATCH($X3,$X$1:$X2,0,-1)),"A",""))+INDEX(Z:Z,_xlfn.XMATCH($X3,$X$1:$X2,0,-1))+1)</f>
        <v>2</v>
      </c>
      <c r="Z3" s="36" cm="1">
        <f t="array" ref="Z3">SUM(IF(ISNUMBER(FIND("TmAi",$BE$1:$AAL$1)),IF(IFERROR(ISODD(SUBSTITUTE($BE3:$AAL3,"A","")),FALSE),IF(ISODD(SUBSTITUTE($BE3:$AAL3,"A","")),1,0),0)))</f>
        <v>0</v>
      </c>
      <c r="AA3" t="str">
        <f t="shared" si="0"/>
        <v>3B</v>
      </c>
      <c r="AB3" t="str">
        <f t="shared" si="1"/>
        <v>4B</v>
      </c>
      <c r="AP3" t="s">
        <v>407</v>
      </c>
      <c r="AS3" t="s">
        <v>160</v>
      </c>
      <c r="JZ3" s="24" t="str">
        <f t="shared" ref="JZ3" si="7">CONCATENATE("XT",U3)</f>
        <v>XT1</v>
      </c>
      <c r="KC3" t="str">
        <f t="shared" ref="KC3" si="8">CONCATENATE(T3,"-AI",REPLACE($X3,1,3,""),"-",AA3)</f>
        <v>E1-AI1-3B</v>
      </c>
      <c r="KD3" t="str">
        <f t="shared" ref="KD3" si="9">CONCATENATE(T3,"-AI",REPLACE($X3,1,3,""),"-",AB3)</f>
        <v>E1-AI1-4B</v>
      </c>
      <c r="KI3" cm="1">
        <f t="array" ref="KI3">IF(COUNTIFS($U$2:$U3,$U3)=1,1,INDEX(KI:KI,_xlfn.XMATCH(U3,U$1:U2,0,-1))+COUNT(KI2:KM2))</f>
        <v>4</v>
      </c>
      <c r="KJ3">
        <f t="shared" ref="KJ3" si="10">KI3+1</f>
        <v>5</v>
      </c>
      <c r="KK3">
        <f t="shared" ref="KK3" si="11">KJ3+1</f>
        <v>6</v>
      </c>
      <c r="KN3">
        <v>1</v>
      </c>
      <c r="KO3" s="16">
        <v>2</v>
      </c>
      <c r="KS3" s="16"/>
    </row>
    <row r="4" spans="1:802" ht="15.75" thickBot="1" x14ac:dyDescent="0.3">
      <c r="A4" s="40" t="s">
        <v>409</v>
      </c>
      <c r="B4" t="s">
        <v>408</v>
      </c>
      <c r="C4" t="s">
        <v>410</v>
      </c>
      <c r="P4" t="s">
        <v>411</v>
      </c>
      <c r="T4" s="24" t="s">
        <v>406</v>
      </c>
      <c r="U4">
        <v>2</v>
      </c>
      <c r="V4" t="s">
        <v>412</v>
      </c>
      <c r="Y4" s="36"/>
      <c r="Z4" s="36"/>
      <c r="AC4" t="s">
        <v>126</v>
      </c>
      <c r="AD4" s="36">
        <v>1</v>
      </c>
      <c r="AE4" s="36" cm="1">
        <f t="array" ref="AE4">SUM(IF(ISNUMBER(FIND("TmDi",$BE$1:$AAL$1)),IF(IFERROR(ISNUMBER(VALUE(SUBSTITUTE($BE4:$AAL4,"B",""))),FALSE),IF(ISNUMBER(VALUE(SUBSTITUTE($BE4:$AAL4,"B",""))),1,0),0)))</f>
        <v>1</v>
      </c>
      <c r="AF4" t="str">
        <f t="shared" ref="AF4" si="12">CONCATENATE("C",$AD4)</f>
        <v>C1</v>
      </c>
      <c r="AG4" t="str">
        <f t="shared" ref="AG4" si="13">CONCATENATE("B",$AD4)</f>
        <v>B1</v>
      </c>
      <c r="AP4" t="s">
        <v>407</v>
      </c>
      <c r="AQ4" t="s">
        <v>428</v>
      </c>
      <c r="AT4" t="s">
        <v>196</v>
      </c>
      <c r="UI4" s="22" t="str">
        <f t="shared" ref="UI4" si="14">CONCATENATE("XT",$U4)</f>
        <v>XT2</v>
      </c>
      <c r="UJ4" s="41" t="s">
        <v>415</v>
      </c>
      <c r="UK4" s="12" t="s">
        <v>416</v>
      </c>
      <c r="UL4" s="12" t="str">
        <f>CONCATENATE("B",REPLACE($AF4,1,1,"")+1)</f>
        <v>B2</v>
      </c>
      <c r="UM4" s="12" t="str">
        <f>CONCATENATE("C",REPLACE($AG4,1,1,"")+1)</f>
        <v>C2</v>
      </c>
      <c r="UN4" s="12" t="str">
        <f>CONCATENATE("DI",REPLACE($AC4,1,3,""),"-",$AG4)</f>
        <v>DI1-B1</v>
      </c>
      <c r="UO4" s="12" t="str">
        <f>CONCATENATE("DI",REPLACE($AC4,1,3,""),"-",$AF4)</f>
        <v>DI1-C1</v>
      </c>
      <c r="UP4" s="12" t="str">
        <f>CONCATENATE("DI",REPLACE($AC4,1,3,""),"-",UL4)</f>
        <v>DI1-B2</v>
      </c>
      <c r="UQ4" s="12" t="str">
        <f>CONCATENATE("DI",REPLACE($AC4,1,3,""),"-",UM4)</f>
        <v>DI1-C2</v>
      </c>
      <c r="UR4" s="12" t="str">
        <f>CONCATENATE("K",$U4,"-01")</f>
        <v>K2-01</v>
      </c>
      <c r="US4" s="12" t="str">
        <f>CONCATENATE("K",$U4,"-02")</f>
        <v>K2-02</v>
      </c>
      <c r="UT4" s="12">
        <v>11</v>
      </c>
      <c r="UU4" s="12">
        <v>14</v>
      </c>
      <c r="UV4" s="12" t="s">
        <v>131</v>
      </c>
      <c r="UW4" s="12" t="s">
        <v>132</v>
      </c>
      <c r="UX4" s="12">
        <v>1</v>
      </c>
      <c r="UY4" s="12">
        <f>UX4+1</f>
        <v>2</v>
      </c>
      <c r="UZ4" s="12">
        <f t="shared" ref="UZ4:VA4" si="15">UY4+1</f>
        <v>3</v>
      </c>
      <c r="VA4" s="12">
        <f t="shared" si="15"/>
        <v>4</v>
      </c>
      <c r="VB4" s="12" t="s">
        <v>420</v>
      </c>
      <c r="VC4" s="12" t="s">
        <v>422</v>
      </c>
      <c r="VD4" s="12" t="s">
        <v>426</v>
      </c>
      <c r="VE4" s="12" t="s">
        <v>427</v>
      </c>
      <c r="VF4" s="12" t="s">
        <v>423</v>
      </c>
      <c r="VG4" s="12" t="s">
        <v>424</v>
      </c>
      <c r="VH4" s="13" t="s">
        <v>425</v>
      </c>
    </row>
    <row r="5" spans="1:802" x14ac:dyDescent="0.25">
      <c r="A5" s="40" t="s">
        <v>431</v>
      </c>
      <c r="B5" s="42" t="s">
        <v>429</v>
      </c>
      <c r="C5" t="s">
        <v>187</v>
      </c>
      <c r="P5" t="s">
        <v>188</v>
      </c>
      <c r="T5" s="24" t="s">
        <v>406</v>
      </c>
      <c r="U5">
        <v>1</v>
      </c>
      <c r="V5" t="s">
        <v>433</v>
      </c>
      <c r="X5" t="s">
        <v>435</v>
      </c>
      <c r="Y5" s="36" t="str" cm="1">
        <f t="array" ref="Y5">IF(COUNTIFS($X$2:$X5,$X5)=1,"1",VALUE(SUBSTITUTE(INDEX(Y:Y,_xlfn.XMATCH($X5,$X$1:$X4,0,-1)),"A",""))+INDEX(Z:Z,_xlfn.XMATCH($X5,$X$1:$X4,0,-1))+1)</f>
        <v>1</v>
      </c>
      <c r="Z5" s="36" cm="1">
        <f t="array" ref="Z5">SUM(IF(ISNUMBER(FIND("TmAi",$BE$1:$AAL$1)),IF(IFERROR(ISODD(SUBSTITUTE($BE5:$AAL5,"A","")),FALSE),IF(ISODD(SUBSTITUTE($BE5:$AAL5,"A","")),1,0),0)))</f>
        <v>0</v>
      </c>
      <c r="AA5" t="str">
        <f t="shared" si="0"/>
        <v>1B</v>
      </c>
      <c r="AB5" t="str">
        <f t="shared" si="1"/>
        <v>2B</v>
      </c>
      <c r="AD5" s="36"/>
      <c r="AE5" s="36"/>
      <c r="AP5" t="s">
        <v>407</v>
      </c>
      <c r="AQ5" t="s">
        <v>428</v>
      </c>
      <c r="AS5" t="s">
        <v>160</v>
      </c>
      <c r="JZ5" s="24" t="str">
        <f t="shared" ref="JZ5" si="16">CONCATENATE("XT",U5)</f>
        <v>XT1</v>
      </c>
      <c r="KA5" t="str">
        <f>REPLACE($AA5,1,1,LEFT($AA5,1)+1)</f>
        <v>2B</v>
      </c>
      <c r="KB5" t="str">
        <f>REPLACE(AB5,1,1,LEFT(AB5,1)+1)</f>
        <v>3B</v>
      </c>
      <c r="KC5" t="str">
        <f t="shared" ref="KC5" si="17">CONCATENATE(T5,"-AI",REPLACE($X5,1,3,""),"-",AA5)</f>
        <v>E1-AI2-1B</v>
      </c>
      <c r="KD5" t="str">
        <f t="shared" ref="KD5" si="18">CONCATENATE(T5,"-AI",REPLACE($X5,1,3,""),"-",AB5)</f>
        <v>E1-AI2-2B</v>
      </c>
      <c r="KE5" t="str">
        <f>CONCATENATE($T5,"-AI",REPLACE($X5,1,3,""),"-",KA5)</f>
        <v>E1-AI2-2B</v>
      </c>
      <c r="KF5" t="str">
        <f>CONCATENATE($T5,"-AI",REPLACE($X5,1,3,""),"-",KB5)</f>
        <v>E1-AI2-3B</v>
      </c>
      <c r="KI5">
        <v>7</v>
      </c>
      <c r="KJ5">
        <f t="shared" ref="KJ5" si="19">KI5+1</f>
        <v>8</v>
      </c>
      <c r="KK5">
        <f t="shared" ref="KK5" si="20">KJ5+1</f>
        <v>9</v>
      </c>
      <c r="KL5">
        <f>KK5+1</f>
        <v>10</v>
      </c>
      <c r="KN5">
        <v>1</v>
      </c>
      <c r="KO5" s="16">
        <v>2</v>
      </c>
      <c r="KP5">
        <v>3</v>
      </c>
      <c r="KQ5">
        <v>4</v>
      </c>
      <c r="KS5" s="16"/>
      <c r="LN5" s="22"/>
      <c r="LO5" s="12"/>
      <c r="LP5" s="12"/>
      <c r="LQ5" s="12"/>
      <c r="LR5" s="12"/>
      <c r="LS5" s="12"/>
      <c r="LT5" s="12"/>
      <c r="LU5" s="12"/>
      <c r="LV5" s="12"/>
      <c r="LW5" s="13"/>
    </row>
    <row r="6" spans="1:802" ht="15.75" thickBot="1" x14ac:dyDescent="0.3">
      <c r="A6" t="s">
        <v>432</v>
      </c>
      <c r="B6" s="42" t="s">
        <v>430</v>
      </c>
      <c r="C6" t="s">
        <v>187</v>
      </c>
      <c r="P6" t="s">
        <v>188</v>
      </c>
      <c r="T6" s="24" t="s">
        <v>406</v>
      </c>
      <c r="U6">
        <v>1</v>
      </c>
      <c r="V6" t="s">
        <v>434</v>
      </c>
      <c r="X6" t="str">
        <f>IF(COUNTIF(X$2:X5,X5)&gt;7,REPLACE(X5,LEN(X5),1,VALUE(RIGHT(X5,1))+1),X5)</f>
        <v>A3.2</v>
      </c>
      <c r="Y6" s="36" cm="1">
        <f t="array" ref="Y6">IF(COUNTIFS($X$2:$X6,$X6)=1,"1",VALUE(SUBSTITUTE(INDEX(Y:Y,_xlfn.XMATCH($X6,$X$1:$X5,0,-1)),"A",""))+INDEX(Z:Z,_xlfn.XMATCH($X6,$X$1:$X5,0,-1))+1)</f>
        <v>2</v>
      </c>
      <c r="Z6" s="36" cm="1">
        <f t="array" ref="Z6">SUM(IF(ISNUMBER(FIND("TmAi",$BE$1:$AAL$1)),IF(IFERROR(ISODD(SUBSTITUTE($BE6:$AAL6,"A","")),FALSE),IF(ISODD(SUBSTITUTE($BE6:$AAL6,"A","")),1,0),0)))</f>
        <v>0</v>
      </c>
      <c r="AA6" t="str">
        <f t="shared" si="0"/>
        <v>3B</v>
      </c>
      <c r="AB6" t="str">
        <f t="shared" si="1"/>
        <v>4B</v>
      </c>
      <c r="AP6" t="s">
        <v>407</v>
      </c>
      <c r="AQ6" t="s">
        <v>428</v>
      </c>
      <c r="AS6" t="s">
        <v>160</v>
      </c>
      <c r="JZ6" s="24" t="str">
        <f t="shared" ref="JZ6" si="21">CONCATENATE("XT",U6)</f>
        <v>XT1</v>
      </c>
      <c r="KA6" t="str">
        <f>REPLACE($AA6,1,1,LEFT($AA6,1)+1)</f>
        <v>4B</v>
      </c>
      <c r="KB6" t="str">
        <f>REPLACE(AB6,1,1,LEFT(AB6,1)+1)</f>
        <v>5B</v>
      </c>
      <c r="KC6" t="str">
        <f t="shared" ref="KC6" si="22">CONCATENATE(T6,"-AI",REPLACE($X6,1,3,""),"-",AA6)</f>
        <v>E1-AI2-3B</v>
      </c>
      <c r="KD6" t="str">
        <f t="shared" ref="KD6" si="23">CONCATENATE(T6,"-AI",REPLACE($X6,1,3,""),"-",AB6)</f>
        <v>E1-AI2-4B</v>
      </c>
      <c r="KE6" t="str">
        <f>CONCATENATE($T6,"-AI",REPLACE($X6,1,3,""),"-",KA6)</f>
        <v>E1-AI2-4B</v>
      </c>
      <c r="KF6" t="str">
        <f>CONCATENATE($T6,"-AI",REPLACE($X6,1,3,""),"-",KB6)</f>
        <v>E1-AI2-5B</v>
      </c>
      <c r="KI6" cm="1">
        <f t="array" ref="KI6">IF(COUNTIFS($U$2:$U6,$U6)=1,1,INDEX(KI:KI,_xlfn.XMATCH(U6,U$1:U5,0,-1))+COUNT(KI5:KM5))</f>
        <v>11</v>
      </c>
      <c r="KJ6">
        <f t="shared" ref="KJ6" si="24">KI6+1</f>
        <v>12</v>
      </c>
      <c r="KK6">
        <f t="shared" ref="KK6" si="25">KJ6+1</f>
        <v>13</v>
      </c>
      <c r="KL6">
        <f>KK6+1</f>
        <v>14</v>
      </c>
      <c r="KN6">
        <v>1</v>
      </c>
      <c r="KO6" s="16">
        <v>2</v>
      </c>
      <c r="KP6">
        <v>3</v>
      </c>
      <c r="KQ6">
        <v>4</v>
      </c>
      <c r="KS6" s="16"/>
      <c r="LN6" s="24"/>
      <c r="LW6" s="16"/>
    </row>
    <row r="7" spans="1:802" x14ac:dyDescent="0.25">
      <c r="A7" t="s">
        <v>438</v>
      </c>
      <c r="B7" s="42" t="s">
        <v>436</v>
      </c>
      <c r="P7" t="s">
        <v>207</v>
      </c>
      <c r="T7" s="24" t="s">
        <v>406</v>
      </c>
      <c r="U7">
        <v>1</v>
      </c>
      <c r="V7" t="s">
        <v>444</v>
      </c>
      <c r="X7" t="s">
        <v>164</v>
      </c>
      <c r="Y7" s="36" cm="1">
        <f t="array" ref="Y7">IF(COUNTIFS($X$2:$X7,$X7)=1,"1",VALUE(SUBSTITUTE(INDEX(Y:Y,_xlfn.XMATCH($X7,$X$1:$X6,0,-1)),"A",""))+INDEX(Z:Z,_xlfn.XMATCH($X7,$X$1:$X6,0,-1))+1)</f>
        <v>3</v>
      </c>
      <c r="Z7" s="36" cm="1">
        <f t="array" ref="Z7">SUM(IF(ISNUMBER(FIND("TmAi",$BE$1:$AAL$1)),IF(IFERROR(ISODD(SUBSTITUTE($BE7:$AAL7,"A","")),FALSE),IF(ISODD(SUBSTITUTE($BE7:$AAL7,"A","")),1,0),0)))</f>
        <v>0</v>
      </c>
      <c r="AA7" t="str">
        <f t="shared" ref="AA7:AA8" si="26">CONCATENATE($Y7*2-1,"A")</f>
        <v>5A</v>
      </c>
      <c r="AB7" t="str">
        <f t="shared" ref="AB7:AB8" si="27">CONCATENATE($Y7*2-1,"B")</f>
        <v>5B</v>
      </c>
      <c r="AP7" t="s">
        <v>407</v>
      </c>
      <c r="AQ7" t="s">
        <v>428</v>
      </c>
      <c r="AS7" t="s">
        <v>160</v>
      </c>
      <c r="LN7" s="22" t="str">
        <f t="shared" ref="LN7:LN10" si="28">CONCATENATE("XT",U7)</f>
        <v>XT1</v>
      </c>
      <c r="LO7" s="12" t="str">
        <f t="shared" ref="LO7:LO10" si="29">CONCATENATE(T7,"-AI",REPLACE($X7,1,3,""),"-",AA7)</f>
        <v>E1-AI1-5A</v>
      </c>
      <c r="LP7" s="12" t="str">
        <f t="shared" ref="LP7:LP10" si="30">CONCATENATE(T7,"-AI",REPLACE($X7,1,3,""),"-",AB7)</f>
        <v>E1-AI1-5B</v>
      </c>
      <c r="LQ7" s="12">
        <v>15</v>
      </c>
      <c r="LR7" s="12">
        <f t="shared" ref="LR7:LR10" si="31">LQ7+1</f>
        <v>16</v>
      </c>
      <c r="LS7" s="12">
        <f t="shared" ref="LS7:LS10" si="32">LR7+1</f>
        <v>17</v>
      </c>
      <c r="LT7" s="12"/>
      <c r="LU7" s="12" t="s">
        <v>448</v>
      </c>
      <c r="LV7" s="12" t="s">
        <v>449</v>
      </c>
      <c r="LW7" s="13" t="s">
        <v>568</v>
      </c>
    </row>
    <row r="8" spans="1:802" x14ac:dyDescent="0.25">
      <c r="A8" t="s">
        <v>439</v>
      </c>
      <c r="B8" s="42" t="s">
        <v>437</v>
      </c>
      <c r="P8" t="s">
        <v>207</v>
      </c>
      <c r="T8" s="24" t="s">
        <v>406</v>
      </c>
      <c r="U8">
        <v>1</v>
      </c>
      <c r="V8" t="s">
        <v>445</v>
      </c>
      <c r="X8" t="str">
        <f>IF(COUNTIF(X$2:X7,X7)&gt;7,REPLACE(X7,LEN(X7),1,VALUE(RIGHT(X7,1))+1),X7)</f>
        <v>A3.1</v>
      </c>
      <c r="Y8" s="36" cm="1">
        <f t="array" ref="Y8">IF(COUNTIFS($X$2:$X8,$X8)=1,"1",VALUE(SUBSTITUTE(INDEX(Y:Y,_xlfn.XMATCH($X8,$X$1:$X7,0,-1)),"A",""))+INDEX(Z:Z,_xlfn.XMATCH($X8,$X$1:$X7,0,-1))+1)</f>
        <v>4</v>
      </c>
      <c r="Z8" s="36" cm="1">
        <f t="array" ref="Z8">SUM(IF(ISNUMBER(FIND("TmAi",$BE$1:$AAL$1)),IF(IFERROR(ISODD(SUBSTITUTE($BE8:$AAL8,"A","")),FALSE),IF(ISODD(SUBSTITUTE($BE8:$AAL8,"A","")),1,0),0)))</f>
        <v>0</v>
      </c>
      <c r="AA8" t="str">
        <f t="shared" si="26"/>
        <v>7A</v>
      </c>
      <c r="AB8" t="str">
        <f t="shared" si="27"/>
        <v>7B</v>
      </c>
      <c r="AP8" t="s">
        <v>407</v>
      </c>
      <c r="AQ8" t="s">
        <v>428</v>
      </c>
      <c r="AS8" t="s">
        <v>160</v>
      </c>
      <c r="LN8" s="24" t="str">
        <f t="shared" si="28"/>
        <v>XT1</v>
      </c>
      <c r="LO8" t="str">
        <f t="shared" si="29"/>
        <v>E1-AI1-7A</v>
      </c>
      <c r="LP8" t="str">
        <f t="shared" si="30"/>
        <v>E1-AI1-7B</v>
      </c>
      <c r="LQ8">
        <f>LQ7+3</f>
        <v>18</v>
      </c>
      <c r="LR8">
        <f t="shared" si="31"/>
        <v>19</v>
      </c>
      <c r="LS8">
        <f t="shared" si="32"/>
        <v>20</v>
      </c>
      <c r="LU8" t="s">
        <v>450</v>
      </c>
      <c r="LV8" t="s">
        <v>451</v>
      </c>
      <c r="LW8" s="16" t="s">
        <v>568</v>
      </c>
    </row>
    <row r="9" spans="1:802" x14ac:dyDescent="0.25">
      <c r="A9" s="40" t="s">
        <v>442</v>
      </c>
      <c r="B9" s="42" t="s">
        <v>440</v>
      </c>
      <c r="P9" t="s">
        <v>207</v>
      </c>
      <c r="T9" s="24" t="s">
        <v>406</v>
      </c>
      <c r="U9">
        <v>1</v>
      </c>
      <c r="V9" t="s">
        <v>446</v>
      </c>
      <c r="X9" t="str">
        <f>IF(COUNTIF(X$2:X8,X8)&gt;7,REPLACE(X8,LEN(X8),1,VALUE(RIGHT(X8,1))+1),X8)</f>
        <v>A3.1</v>
      </c>
      <c r="Y9" s="36" cm="1">
        <f t="array" ref="Y9">IF(COUNTIFS($X$2:$X9,$X9)=1,"1",VALUE(SUBSTITUTE(INDEX(Y:Y,_xlfn.XMATCH($X9,$X$1:$X8,0,-1)),"A",""))+INDEX(Z:Z,_xlfn.XMATCH($X9,$X$1:$X8,0,-1))+1)</f>
        <v>5</v>
      </c>
      <c r="Z9" s="36" cm="1">
        <f t="array" ref="Z9">SUM(IF(ISNUMBER(FIND("TmAi",$BE$1:$AAL$1)),IF(IFERROR(ISODD(SUBSTITUTE($BE9:$AAL9,"A","")),FALSE),IF(ISODD(SUBSTITUTE($BE9:$AAL9,"A","")),1,0),0)))</f>
        <v>0</v>
      </c>
      <c r="AA9" t="str">
        <f>CONCATENATE($Y9*2-1,"A")</f>
        <v>9A</v>
      </c>
      <c r="AB9" t="str">
        <f>CONCATENATE($Y9*2-1,"B")</f>
        <v>9B</v>
      </c>
      <c r="AP9" t="s">
        <v>407</v>
      </c>
      <c r="AQ9" t="s">
        <v>428</v>
      </c>
      <c r="AS9" t="s">
        <v>160</v>
      </c>
      <c r="LN9" s="24" t="str">
        <f t="shared" si="28"/>
        <v>XT1</v>
      </c>
      <c r="LO9" t="str">
        <f t="shared" si="29"/>
        <v>E1-AI1-9A</v>
      </c>
      <c r="LP9" t="str">
        <f t="shared" si="30"/>
        <v>E1-AI1-9B</v>
      </c>
      <c r="LQ9">
        <f t="shared" ref="LQ9:LQ10" si="33">LQ8+3</f>
        <v>21</v>
      </c>
      <c r="LR9">
        <f t="shared" si="31"/>
        <v>22</v>
      </c>
      <c r="LS9">
        <f t="shared" si="32"/>
        <v>23</v>
      </c>
      <c r="LU9" t="s">
        <v>452</v>
      </c>
      <c r="LV9" t="s">
        <v>453</v>
      </c>
      <c r="LW9" s="16" t="s">
        <v>569</v>
      </c>
    </row>
    <row r="10" spans="1:802" ht="15.75" thickBot="1" x14ac:dyDescent="0.3">
      <c r="A10" t="s">
        <v>443</v>
      </c>
      <c r="B10" s="42" t="s">
        <v>441</v>
      </c>
      <c r="P10" t="s">
        <v>207</v>
      </c>
      <c r="T10" s="24" t="s">
        <v>406</v>
      </c>
      <c r="U10">
        <v>1</v>
      </c>
      <c r="V10" t="s">
        <v>447</v>
      </c>
      <c r="X10" t="str">
        <f>IF(COUNTIF(X$2:X9,X9)&gt;7,REPLACE(X9,LEN(X9),1,VALUE(RIGHT(X9,1))+1),X9)</f>
        <v>A3.1</v>
      </c>
      <c r="Y10" s="36" cm="1">
        <f t="array" ref="Y10">IF(COUNTIFS($X$2:$X10,$X10)=1,"1",VALUE(SUBSTITUTE(INDEX(Y:Y,_xlfn.XMATCH($X10,$X$1:$X9,0,-1)),"A",""))+INDEX(Z:Z,_xlfn.XMATCH($X10,$X$1:$X9,0,-1))+1)</f>
        <v>6</v>
      </c>
      <c r="Z10" s="36" cm="1">
        <f t="array" ref="Z10">SUM(IF(ISNUMBER(FIND("TmAi",$BE$1:$AAL$1)),IF(IFERROR(ISODD(SUBSTITUTE($BE10:$AAL10,"A","")),FALSE),IF(ISODD(SUBSTITUTE($BE10:$AAL10,"A","")),1,0),0)))</f>
        <v>0</v>
      </c>
      <c r="AA10" t="str">
        <f>CONCATENATE($Y10*2-1,"A")</f>
        <v>11A</v>
      </c>
      <c r="AB10" t="str">
        <f>CONCATENATE($Y10*2-1,"B")</f>
        <v>11B</v>
      </c>
      <c r="AP10" t="s">
        <v>407</v>
      </c>
      <c r="AQ10" t="s">
        <v>428</v>
      </c>
      <c r="AS10" t="s">
        <v>160</v>
      </c>
      <c r="LN10" s="24" t="str">
        <f t="shared" si="28"/>
        <v>XT1</v>
      </c>
      <c r="LO10" t="str">
        <f t="shared" si="29"/>
        <v>E1-AI1-11A</v>
      </c>
      <c r="LP10" t="str">
        <f t="shared" si="30"/>
        <v>E1-AI1-11B</v>
      </c>
      <c r="LQ10">
        <f t="shared" si="33"/>
        <v>24</v>
      </c>
      <c r="LR10">
        <f t="shared" si="31"/>
        <v>25</v>
      </c>
      <c r="LS10">
        <f t="shared" si="32"/>
        <v>26</v>
      </c>
      <c r="LU10" t="s">
        <v>454</v>
      </c>
      <c r="LV10" t="s">
        <v>455</v>
      </c>
      <c r="LW10" s="16" t="s">
        <v>569</v>
      </c>
    </row>
    <row r="11" spans="1:802" ht="15.75" thickBot="1" x14ac:dyDescent="0.3">
      <c r="A11" t="s">
        <v>458</v>
      </c>
      <c r="B11" t="s">
        <v>460</v>
      </c>
      <c r="P11" t="s">
        <v>459</v>
      </c>
      <c r="T11" s="24" t="s">
        <v>406</v>
      </c>
      <c r="U11">
        <v>2</v>
      </c>
      <c r="V11" t="s">
        <v>456</v>
      </c>
      <c r="AC11" t="s">
        <v>126</v>
      </c>
      <c r="AD11" s="36" cm="1">
        <f t="array" ref="AD11">IF(COUNTIFS(AC$2:AC11,AC11)=1,"1",VALUE(SUBSTITUTE(INDEX(AD:AD,_xlfn.XMATCH(AC11,AC$1:AC10,0,-1)),"A",""))+INDEX(AE:AE,_xlfn.XMATCH(AC11,AC$1:AC10,0,-1))+1)</f>
        <v>3</v>
      </c>
      <c r="AE11" s="36" cm="1">
        <f t="array" ref="AE11">SUM(IF(ISNUMBER(FIND("TmDi",$BE$1:$AAL$1)),IF(IFERROR(ISNUMBER(VALUE(SUBSTITUTE($BE11:$AAL11,"B",""))),FALSE),IF(ISNUMBER(VALUE(SUBSTITUTE($BE11:$AAL11,"B",""))),1,0),0)))</f>
        <v>1</v>
      </c>
      <c r="AF11" t="str">
        <f t="shared" ref="AF11:AF26" si="34">CONCATENATE("C",$AD11)</f>
        <v>C3</v>
      </c>
      <c r="AG11" t="str">
        <f t="shared" ref="AG11:AG26" si="35">CONCATENATE("B",$AD11)</f>
        <v>B3</v>
      </c>
      <c r="AP11" t="s">
        <v>407</v>
      </c>
      <c r="AQ11" t="s">
        <v>428</v>
      </c>
      <c r="AT11" t="s">
        <v>196</v>
      </c>
      <c r="UI11" s="22" t="str">
        <f t="shared" ref="UI11" si="36">CONCATENATE("XT",$U11)</f>
        <v>XT2</v>
      </c>
      <c r="UJ11" s="41"/>
      <c r="UK11" s="12"/>
      <c r="UL11" s="12" t="str">
        <f>CONCATENATE("B",REPLACE($AF11,1,1,"")+1)</f>
        <v>B4</v>
      </c>
      <c r="UM11" s="12" t="str">
        <f>CONCATENATE("C",REPLACE($AG11,1,1,"")+1)</f>
        <v>C4</v>
      </c>
      <c r="UN11" s="12" t="str">
        <f>CONCATENATE("DI",REPLACE($AC11,1,3,""),"-",$AG11)</f>
        <v>DI1-B3</v>
      </c>
      <c r="UO11" s="12" t="str">
        <f>CONCATENATE("DI",REPLACE($AC11,1,3,""),"-",$AF11)</f>
        <v>DI1-C3</v>
      </c>
      <c r="UP11" s="12" t="str">
        <f>CONCATENATE("DI",REPLACE($AC11,1,3,""),"-",UL11)</f>
        <v>DI1-B4</v>
      </c>
      <c r="UQ11" s="12" t="str">
        <f>CONCATENATE("DI",REPLACE($AC11,1,3,""),"-",UM11)</f>
        <v>DI1-C4</v>
      </c>
      <c r="UR11" s="12" t="str">
        <f>CONCATENATE("K",$U11,"-03")</f>
        <v>K2-03</v>
      </c>
      <c r="US11" s="12" t="str">
        <f>CONCATENATE("K",$U11,"-04")</f>
        <v>K2-04</v>
      </c>
      <c r="UT11" s="12">
        <v>11</v>
      </c>
      <c r="UU11" s="12">
        <v>14</v>
      </c>
      <c r="UV11" s="12" t="s">
        <v>131</v>
      </c>
      <c r="UW11" s="12" t="s">
        <v>132</v>
      </c>
      <c r="UX11" s="12">
        <v>5</v>
      </c>
      <c r="UY11" s="12">
        <f>UX11+1</f>
        <v>6</v>
      </c>
      <c r="UZ11" s="12"/>
      <c r="VA11" s="12"/>
      <c r="VB11" s="12" t="s">
        <v>461</v>
      </c>
      <c r="VC11" s="12" t="s">
        <v>462</v>
      </c>
      <c r="VD11" s="12"/>
      <c r="VE11" s="12"/>
      <c r="VF11" s="43" t="s">
        <v>463</v>
      </c>
      <c r="VG11" s="43" t="s">
        <v>463</v>
      </c>
      <c r="VH11" s="13"/>
      <c r="VI11" s="22" t="s">
        <v>133</v>
      </c>
      <c r="VJ11" s="12" t="s">
        <v>457</v>
      </c>
      <c r="VK11" s="13" t="s">
        <v>466</v>
      </c>
    </row>
    <row r="12" spans="1:802" ht="15.75" thickBot="1" x14ac:dyDescent="0.3">
      <c r="A12" t="s">
        <v>468</v>
      </c>
      <c r="B12" s="42" t="s">
        <v>467</v>
      </c>
      <c r="P12" t="s">
        <v>347</v>
      </c>
      <c r="T12" s="24" t="s">
        <v>406</v>
      </c>
      <c r="U12">
        <v>2</v>
      </c>
      <c r="V12" t="s">
        <v>469</v>
      </c>
      <c r="AC12" t="str">
        <f t="shared" ref="AC12:AC13" si="37">IF(AD11+AE11&gt;31,REPLACE(AC11,LEN(AC11),1,VALUE(RIGHT(AC11,1))+1),AC11)</f>
        <v>A5.1</v>
      </c>
      <c r="AD12" s="36" cm="1">
        <f t="array" ref="AD12">IF(COUNTIFS(AC$2:AC12,AC12)=1,"1",VALUE(SUBSTITUTE(INDEX(AD:AD,_xlfn.XMATCH(AC12,AC$1:AC11,0,-1)),"A",""))+INDEX(AE:AE,_xlfn.XMATCH(AC12,AC$1:AC11,0,-1))+1)</f>
        <v>5</v>
      </c>
      <c r="AE12" s="36" cm="1">
        <f t="array" ref="AE12">SUM(IF(ISNUMBER(FIND("TmDi",$BE$1:$AAL$1)),IF(IFERROR(ISNUMBER(VALUE(SUBSTITUTE($BE12:$AAL12,"B",""))),FALSE),IF(ISNUMBER(VALUE(SUBSTITUTE($BE12:$AAL12,"B",""))),1,0),0)))</f>
        <v>0</v>
      </c>
      <c r="AF12" t="str">
        <f t="shared" si="34"/>
        <v>C5</v>
      </c>
      <c r="AG12" t="str">
        <f t="shared" si="35"/>
        <v>B5</v>
      </c>
      <c r="AP12" t="s">
        <v>407</v>
      </c>
      <c r="AQ12" t="s">
        <v>470</v>
      </c>
      <c r="AT12" t="s">
        <v>196</v>
      </c>
      <c r="LT12" t="s">
        <v>471</v>
      </c>
      <c r="LX12" s="22" t="str">
        <f>CONCATENATE("XT",U12)</f>
        <v>XT2</v>
      </c>
      <c r="LY12" s="12" t="str">
        <f>CONCATENATE("DI",REPLACE($AC12,1,3,""),"-",$AG12)</f>
        <v>DI1-B5</v>
      </c>
      <c r="LZ12" s="12" t="str">
        <f>CONCATENATE("DI",REPLACE($AC12,1,3,""),"-",$AF12)</f>
        <v>DI1-C5</v>
      </c>
      <c r="MA12" s="12" t="s">
        <v>473</v>
      </c>
      <c r="MB12" s="12" t="s">
        <v>472</v>
      </c>
      <c r="MC12" s="12">
        <v>11</v>
      </c>
      <c r="MD12" s="12">
        <v>14</v>
      </c>
      <c r="ME12" s="12" t="s">
        <v>131</v>
      </c>
      <c r="MF12" s="12" t="s">
        <v>132</v>
      </c>
      <c r="MG12" s="12" t="s">
        <v>182</v>
      </c>
      <c r="MH12" s="12" t="s">
        <v>181</v>
      </c>
      <c r="MI12" s="12" t="s">
        <v>178</v>
      </c>
      <c r="MJ12" s="12" t="s">
        <v>177</v>
      </c>
      <c r="MK12" s="12">
        <v>5</v>
      </c>
      <c r="ML12" s="12">
        <v>6</v>
      </c>
      <c r="MM12" s="12"/>
      <c r="MN12" s="12"/>
      <c r="MO12" s="12"/>
      <c r="MP12" s="12"/>
      <c r="MQ12" s="12">
        <v>3</v>
      </c>
      <c r="MR12" s="12">
        <v>7</v>
      </c>
      <c r="MS12" s="13"/>
    </row>
    <row r="13" spans="1:802" ht="15.75" thickBot="1" x14ac:dyDescent="0.3">
      <c r="A13" t="s">
        <v>475</v>
      </c>
      <c r="B13" t="s">
        <v>474</v>
      </c>
      <c r="P13" t="s">
        <v>478</v>
      </c>
      <c r="T13" s="14" t="s">
        <v>406</v>
      </c>
      <c r="U13" s="44">
        <v>3</v>
      </c>
      <c r="V13" t="s">
        <v>476</v>
      </c>
      <c r="W13" t="s">
        <v>477</v>
      </c>
      <c r="X13" t="s">
        <v>164</v>
      </c>
      <c r="Y13" s="36" cm="1">
        <f t="array" ref="Y13">IF(COUNTIFS($X$2:$X13,$X13)=1,"1",VALUE(SUBSTITUTE(INDEX(Y:Y,_xlfn.XMATCH($X13,$X$1:$X12,0,-1)),"A",""))+INDEX(Z:Z,_xlfn.XMATCH($X13,$X$1:$X12,0,-1))+1)</f>
        <v>7</v>
      </c>
      <c r="Z13" s="36" cm="1">
        <f t="array" ref="Z13">SUM(IF(ISNUMBER(FIND("TmAi",$BE$1:$AAL$1)),IF(IFERROR(ISODD(SUBSTITUTE($BE13:$AAL13,"A","")),FALSE),IF(ISODD(SUBSTITUTE($BE13:$AAL13,"A","")),1,0),0)))</f>
        <v>0</v>
      </c>
      <c r="AA13" t="str">
        <f t="shared" ref="AA13:AA14" si="38">CONCATENATE($Y13*2-1,"A")</f>
        <v>13A</v>
      </c>
      <c r="AB13" t="str">
        <f t="shared" ref="AB13:AB14" si="39">CONCATENATE($Y13*2-1,"B")</f>
        <v>13B</v>
      </c>
      <c r="AC13" t="str">
        <f t="shared" si="37"/>
        <v>A5.1</v>
      </c>
      <c r="AD13" s="36" cm="1">
        <f t="array" ref="AD13">IF(COUNTIFS(AC$2:AC13,AC13)=1,"1",VALUE(SUBSTITUTE(INDEX(AD:AD,_xlfn.XMATCH(AC13,AC$1:AC12,0,-1)),"A",""))+INDEX(AE:AE,_xlfn.XMATCH(AC13,AC$1:AC12,0,-1))+1)</f>
        <v>6</v>
      </c>
      <c r="AE13" s="36" cm="1">
        <f t="array" ref="AE13">SUM(IF(ISNUMBER(FIND("TmDi",$BE$1:$AAL$1)),IF(IFERROR(ISNUMBER(VALUE(SUBSTITUTE($BE13:$AAL13,"B",""))),FALSE),IF(ISNUMBER(VALUE(SUBSTITUTE($BE13:$AAL13,"B",""))),1,0),0)))</f>
        <v>1</v>
      </c>
      <c r="AF13" t="str">
        <f t="shared" si="34"/>
        <v>C6</v>
      </c>
      <c r="AG13" t="str">
        <f t="shared" si="35"/>
        <v>B6</v>
      </c>
      <c r="AH13" s="15" t="s">
        <v>127</v>
      </c>
      <c r="AI13" s="46">
        <v>1</v>
      </c>
      <c r="AJ13" s="46" cm="1">
        <f t="array" ref="AJ13">SUM(IF(ISNUMBER(FIND("TmDo",$BE$1:$AAL$1)),IF(IFERROR(ISNUMBER(VALUE(SUBSTITUTE($BE13:$AAL13,"B",""))),FALSE),IF(ISNUMBER(VALUE(SUBSTITUTE($BE13:$AAL13,"B",""))),1,0),0)))</f>
        <v>1</v>
      </c>
      <c r="AK13" t="str">
        <f>CONCATENATE($AI13,"A")</f>
        <v>1A</v>
      </c>
      <c r="AL13" t="str">
        <f>CONCATENATE($AI13,"B")</f>
        <v>1B</v>
      </c>
      <c r="AM13" t="s">
        <v>130</v>
      </c>
      <c r="AP13" t="s">
        <v>407</v>
      </c>
      <c r="AQ13" t="s">
        <v>470</v>
      </c>
      <c r="AS13" t="s">
        <v>160</v>
      </c>
      <c r="AT13" t="s">
        <v>128</v>
      </c>
      <c r="AU13" t="s">
        <v>129</v>
      </c>
      <c r="BD13" s="16"/>
      <c r="GT13" s="22" t="str">
        <f t="shared" ref="GT13" si="40">CONCATENATE("XT",U13)</f>
        <v>XT3</v>
      </c>
      <c r="GU13" s="12" t="str">
        <f t="shared" ref="GU13" si="41">CONCATENATE("C",REPLACE(AF13,1,1,"")+1)</f>
        <v>C7</v>
      </c>
      <c r="GV13" s="12" t="str">
        <f t="shared" ref="GV13" si="42">CONCATENATE("B",REPLACE(AG13,1,1,"")+1)</f>
        <v>B7</v>
      </c>
      <c r="GW13" s="12"/>
      <c r="GX13" s="12"/>
      <c r="GY13" s="12"/>
      <c r="GZ13" s="12"/>
      <c r="HA13" s="12"/>
      <c r="HB13" s="12"/>
      <c r="HC13" s="12"/>
      <c r="HD13" s="12"/>
      <c r="HE13" s="12" t="str">
        <f>CONCATENATE(REPLACE(AK13,LEN(AK13),1,"")+1,"A")</f>
        <v>2A</v>
      </c>
      <c r="HF13" s="12" t="str">
        <f>CONCATENATE(REPLACE(AL13,LEN(AL13),1,"")+1,"B")</f>
        <v>2B</v>
      </c>
      <c r="HG13" s="12" t="str">
        <f>CONCATENATE($T13,"-M",$U13,"-РНЕ-2")</f>
        <v>E1-M3-РНЕ-2</v>
      </c>
      <c r="HH13" s="12" t="str">
        <f>CONCATENATE($T13,"-M",$U13,"-РНЕ-1")</f>
        <v>E1-M3-РНЕ-1</v>
      </c>
      <c r="HI13" s="12" t="str">
        <f t="shared" ref="HI13" si="43">CONCATENATE("DI",REPLACE($AC13,1,3,""),"-",AF13)</f>
        <v>DI1-C6</v>
      </c>
      <c r="HJ13" s="12" t="str">
        <f t="shared" ref="HJ13" si="44">CONCATENATE("DI",REPLACE($AC13,1,3,""),"-",AG13)</f>
        <v>DI1-B6</v>
      </c>
      <c r="HK13" s="12" t="str">
        <f t="shared" ref="HK13" si="45">CONCATENATE("DI",REPLACE($AC13,1,3,""),"-",GU13)</f>
        <v>DI1-C7</v>
      </c>
      <c r="HL13" s="12" t="str">
        <f t="shared" ref="HL13" si="46">CONCATENATE("DI",REPLACE($AC13,1,3,""),"-",GV13)</f>
        <v>DI1-B7</v>
      </c>
      <c r="HM13" s="12"/>
      <c r="HN13" s="12"/>
      <c r="HO13" s="12"/>
      <c r="HP13" s="12"/>
      <c r="HQ13" s="12"/>
      <c r="HR13" s="12"/>
      <c r="HS13" s="12"/>
      <c r="HT13" s="12"/>
      <c r="HU13" s="12" t="str">
        <f t="shared" ref="HU13" si="47">CONCATENATE("DO",REPLACE($AH13,1,3,""),"-",AK13)</f>
        <v>DO1-1A</v>
      </c>
      <c r="HV13" s="12" t="str">
        <f t="shared" ref="HV13" si="48">CONCATENATE("DO",REPLACE($AH13,1,3,""),"-",AL13)</f>
        <v>DO1-1B</v>
      </c>
      <c r="HW13" s="12" t="str">
        <f t="shared" ref="HW13" si="49">CONCATENATE("DO",REPLACE($AH13,1,3,""),"-",HE13)</f>
        <v>DO1-2A</v>
      </c>
      <c r="HX13" s="12" t="str">
        <f t="shared" ref="HX13" si="50">CONCATENATE("DO",REPLACE($AH13,1,3,""),"-",HF13)</f>
        <v>DO1-2B</v>
      </c>
      <c r="HY13" s="12" t="str">
        <f>CONCATENATE("K",$U13,"-03")</f>
        <v>K3-03</v>
      </c>
      <c r="HZ13" s="12" t="str">
        <f>CONCATENATE("K",$U13,"-04")</f>
        <v>K3-04</v>
      </c>
      <c r="IA13" s="12" t="str">
        <f>CONCATENATE("K",$U13,"-01")</f>
        <v>K3-01</v>
      </c>
      <c r="IB13" s="12" t="str">
        <f>CONCATENATE("K",$U13,"-02")</f>
        <v>K3-02</v>
      </c>
      <c r="IC13" s="12"/>
      <c r="ID13" s="12"/>
      <c r="IE13" s="12"/>
      <c r="IF13" s="12"/>
      <c r="IG13" s="12" t="str">
        <f>CONCATENATE($T13,"-M",$U13,"-MAM-12")</f>
        <v>E1-M3-MAM-12</v>
      </c>
      <c r="IH13" s="12" t="str">
        <f>CONCATENATE($T13,"-M",$U13,"-AMS-10")</f>
        <v>E1-M3-AMS-10</v>
      </c>
      <c r="II13" s="12" t="str">
        <f>CONCATENATE($T13,"-M",$U13,"-AMS-91")</f>
        <v>E1-M3-AMS-91</v>
      </c>
      <c r="IJ13" s="12" t="str">
        <f>CONCATENATE($T13,"-M",$U13,"-AMS-71")</f>
        <v>E1-M3-AMS-71</v>
      </c>
      <c r="IK13" s="12" t="str">
        <f>CONCATENATE($T13,"-M",$U13,"-MAM-21")</f>
        <v>E1-M3-MAM-21</v>
      </c>
      <c r="IL13" s="12" t="str">
        <f>CONCATENATE($T13,"-M",$U13,"-MAM-11")</f>
        <v>E1-M3-MAM-11</v>
      </c>
      <c r="IM13" s="12"/>
      <c r="IN13" s="12"/>
      <c r="IO13" s="12"/>
      <c r="IP13" s="12"/>
      <c r="IQ13" s="12"/>
      <c r="IR13" s="12" t="s">
        <v>131</v>
      </c>
      <c r="IS13" s="12" t="s">
        <v>132</v>
      </c>
      <c r="IT13" s="12">
        <v>11</v>
      </c>
      <c r="IU13" s="12">
        <v>14</v>
      </c>
      <c r="IV13" s="12" t="s">
        <v>177</v>
      </c>
      <c r="IW13" s="12" t="s">
        <v>178</v>
      </c>
      <c r="IX13" s="12">
        <v>1</v>
      </c>
      <c r="IY13" s="12">
        <v>2</v>
      </c>
      <c r="IZ13" s="12">
        <v>3</v>
      </c>
      <c r="JA13" s="12">
        <v>4</v>
      </c>
      <c r="JB13" s="12">
        <v>5</v>
      </c>
      <c r="JC13" s="12">
        <v>6</v>
      </c>
      <c r="JD13" s="12">
        <v>7</v>
      </c>
      <c r="JE13" s="12">
        <v>8</v>
      </c>
      <c r="JF13" s="12">
        <v>9</v>
      </c>
      <c r="JG13" s="12"/>
      <c r="JH13" s="12"/>
      <c r="JI13" s="12"/>
      <c r="JJ13" s="12"/>
      <c r="JK13" s="12"/>
      <c r="JL13" s="12">
        <v>18</v>
      </c>
      <c r="JM13" s="12">
        <v>19</v>
      </c>
      <c r="JN13" s="12">
        <v>20</v>
      </c>
      <c r="JO13" s="12">
        <v>21</v>
      </c>
      <c r="JP13" s="12">
        <v>23</v>
      </c>
      <c r="JQ13" s="12">
        <v>22</v>
      </c>
      <c r="JR13" s="12">
        <v>29</v>
      </c>
      <c r="JS13" s="12">
        <v>28</v>
      </c>
      <c r="JT13" s="12">
        <v>30</v>
      </c>
      <c r="JU13" s="12"/>
      <c r="JV13" s="12"/>
      <c r="JW13" s="12"/>
      <c r="JX13" s="12"/>
      <c r="JY13" s="13"/>
    </row>
    <row r="14" spans="1:802" ht="15.75" thickBot="1" x14ac:dyDescent="0.3">
      <c r="A14" t="s">
        <v>481</v>
      </c>
      <c r="B14" t="s">
        <v>479</v>
      </c>
      <c r="P14" t="s">
        <v>478</v>
      </c>
      <c r="T14" s="14" t="s">
        <v>406</v>
      </c>
      <c r="U14" s="44">
        <v>4</v>
      </c>
      <c r="V14" t="s">
        <v>482</v>
      </c>
      <c r="W14" t="s">
        <v>483</v>
      </c>
      <c r="X14" t="str">
        <f>IF(COUNTIF(X$2:X13,X13)&gt;7,REPLACE(X13,LEN(X13),1,VALUE(RIGHT(X13,1))+1),X13)</f>
        <v>A3.1</v>
      </c>
      <c r="Y14" s="36" cm="1">
        <f t="array" ref="Y14">IF(COUNTIFS($X$2:$X14,$X14)=1,"1",VALUE(SUBSTITUTE(INDEX(Y:Y,_xlfn.XMATCH($X14,$X$1:$X13,0,-1)),"A",""))+INDEX(Z:Z,_xlfn.XMATCH($X14,$X$1:$X13,0,-1))+1)</f>
        <v>8</v>
      </c>
      <c r="Z14" s="36" cm="1">
        <f t="array" ref="Z14">SUM(IF(ISNUMBER(FIND("TmAi",$BE$1:$AAL$1)),IF(IFERROR(ISODD(SUBSTITUTE($BE14:$AAL14,"A","")),FALSE),IF(ISODD(SUBSTITUTE($BE14:$AAL14,"A","")),1,0),0)))</f>
        <v>0</v>
      </c>
      <c r="AA14" t="str">
        <f t="shared" si="38"/>
        <v>15A</v>
      </c>
      <c r="AB14" t="str">
        <f t="shared" si="39"/>
        <v>15B</v>
      </c>
      <c r="AC14" t="str">
        <f t="shared" ref="AC14:AC15" si="51">IF(AD13+AE13&gt;31,REPLACE(AC13,LEN(AC13),1,VALUE(RIGHT(AC13,1))+1),AC13)</f>
        <v>A5.1</v>
      </c>
      <c r="AD14" s="36" cm="1">
        <f t="array" ref="AD14">IF(COUNTIFS(AC$2:AC14,AC14)=1,"1",VALUE(SUBSTITUTE(INDEX(AD:AD,_xlfn.XMATCH(AC14,AC$1:AC13,0,-1)),"A",""))+INDEX(AE:AE,_xlfn.XMATCH(AC14,AC$1:AC13,0,-1))+1)</f>
        <v>8</v>
      </c>
      <c r="AE14" s="36" cm="1">
        <f t="array" ref="AE14">SUM(IF(ISNUMBER(FIND("TmDi",$BE$1:$AAL$1)),IF(IFERROR(ISNUMBER(VALUE(SUBSTITUTE($BE14:$AAL14,"B",""))),FALSE),IF(ISNUMBER(VALUE(SUBSTITUTE($BE14:$AAL14,"B",""))),1,0),0)))</f>
        <v>1</v>
      </c>
      <c r="AF14" t="str">
        <f t="shared" si="34"/>
        <v>C8</v>
      </c>
      <c r="AG14" t="str">
        <f t="shared" si="35"/>
        <v>B8</v>
      </c>
      <c r="AH14" t="str">
        <f t="shared" ref="AH14:AH15" si="52">IF(AI13+AJ13&gt;31,REPLACE(AH13,LEN(AH13),1,VALUE(RIGHT(AH13,1))+1),AH13)</f>
        <v>A6.1</v>
      </c>
      <c r="AI14" s="46" cm="1">
        <f t="array" ref="AI14">IF(COUNTIFS(AH$2:AH14,AH14)=1,"1",VALUE(SUBSTITUTE(INDEX(AI:AI,_xlfn.XMATCH(AH14,AH$1:AH13,0,-1)),"A",""))+INDEX(AJ:AJ,_xlfn.XMATCH(AH14,AH$1:AH13,0,-1))+1)</f>
        <v>3</v>
      </c>
      <c r="AJ14" s="46" cm="1">
        <f t="array" ref="AJ14">SUM(IF(ISNUMBER(FIND("TmDo",$BE$1:$AAL$1)),IF(IFERROR(ISNUMBER(VALUE(SUBSTITUTE($BE14:$AAL14,"B",""))),FALSE),IF(ISNUMBER(VALUE(SUBSTITUTE($BE14:$AAL14,"B",""))),1,0),0)))</f>
        <v>1</v>
      </c>
      <c r="AK14" t="str">
        <f>CONCATENATE($AI14,"A")</f>
        <v>3A</v>
      </c>
      <c r="AL14" t="str">
        <f>CONCATENATE($AI14,"B")</f>
        <v>3B</v>
      </c>
      <c r="AM14" t="s">
        <v>134</v>
      </c>
      <c r="AP14" t="s">
        <v>407</v>
      </c>
      <c r="AQ14" t="s">
        <v>470</v>
      </c>
      <c r="AS14" t="s">
        <v>160</v>
      </c>
      <c r="AT14" t="s">
        <v>128</v>
      </c>
      <c r="AU14" t="s">
        <v>129</v>
      </c>
      <c r="BD14" s="16"/>
      <c r="GT14" s="22" t="str">
        <f t="shared" ref="GT14" si="53">CONCATENATE("XT",U14)</f>
        <v>XT4</v>
      </c>
      <c r="GU14" s="12" t="str">
        <f t="shared" ref="GU14" si="54">CONCATENATE("C",REPLACE(AF14,1,1,"")+1)</f>
        <v>C9</v>
      </c>
      <c r="GV14" s="12" t="str">
        <f t="shared" ref="GV14" si="55">CONCATENATE("B",REPLACE(AG14,1,1,"")+1)</f>
        <v>B9</v>
      </c>
      <c r="GW14" s="12"/>
      <c r="GX14" s="12"/>
      <c r="GY14" s="12"/>
      <c r="GZ14" s="12"/>
      <c r="HA14" s="12"/>
      <c r="HB14" s="12"/>
      <c r="HC14" s="12"/>
      <c r="HD14" s="12"/>
      <c r="HE14" s="12" t="str">
        <f>CONCATENATE(REPLACE(AK14,LEN(AK14),1,"")+1,"A")</f>
        <v>4A</v>
      </c>
      <c r="HF14" s="12" t="str">
        <f>CONCATENATE(REPLACE(AL14,LEN(AL14),1,"")+1,"B")</f>
        <v>4B</v>
      </c>
      <c r="HG14" s="12" t="str">
        <f>CONCATENATE($T14,"-M",$U14,"-РНЕ-2")</f>
        <v>E1-M4-РНЕ-2</v>
      </c>
      <c r="HH14" s="12" t="str">
        <f>CONCATENATE($T14,"-M",$U14,"-РНЕ-1")</f>
        <v>E1-M4-РНЕ-1</v>
      </c>
      <c r="HI14" s="12" t="str">
        <f t="shared" ref="HI14" si="56">CONCATENATE("DI",REPLACE($AC14,1,3,""),"-",AF14)</f>
        <v>DI1-C8</v>
      </c>
      <c r="HJ14" s="12" t="str">
        <f t="shared" ref="HJ14" si="57">CONCATENATE("DI",REPLACE($AC14,1,3,""),"-",AG14)</f>
        <v>DI1-B8</v>
      </c>
      <c r="HK14" s="12" t="str">
        <f t="shared" ref="HK14" si="58">CONCATENATE("DI",REPLACE($AC14,1,3,""),"-",GU14)</f>
        <v>DI1-C9</v>
      </c>
      <c r="HL14" s="12" t="str">
        <f t="shared" ref="HL14" si="59">CONCATENATE("DI",REPLACE($AC14,1,3,""),"-",GV14)</f>
        <v>DI1-B9</v>
      </c>
      <c r="HM14" s="12"/>
      <c r="HN14" s="12"/>
      <c r="HO14" s="12"/>
      <c r="HP14" s="12"/>
      <c r="HQ14" s="12"/>
      <c r="HR14" s="12"/>
      <c r="HS14" s="12"/>
      <c r="HT14" s="12"/>
      <c r="HU14" s="12" t="str">
        <f t="shared" ref="HU14" si="60">CONCATENATE("DO",REPLACE($AH14,1,3,""),"-",AK14)</f>
        <v>DO1-3A</v>
      </c>
      <c r="HV14" s="12" t="str">
        <f t="shared" ref="HV14" si="61">CONCATENATE("DO",REPLACE($AH14,1,3,""),"-",AL14)</f>
        <v>DO1-3B</v>
      </c>
      <c r="HW14" s="12" t="str">
        <f t="shared" ref="HW14" si="62">CONCATENATE("DO",REPLACE($AH14,1,3,""),"-",HE14)</f>
        <v>DO1-4A</v>
      </c>
      <c r="HX14" s="12" t="str">
        <f t="shared" ref="HX14" si="63">CONCATENATE("DO",REPLACE($AH14,1,3,""),"-",HF14)</f>
        <v>DO1-4B</v>
      </c>
      <c r="HY14" s="12" t="str">
        <f>CONCATENATE("K",$U14,"-03")</f>
        <v>K4-03</v>
      </c>
      <c r="HZ14" s="12" t="str">
        <f>CONCATENATE("K",$U14,"-04")</f>
        <v>K4-04</v>
      </c>
      <c r="IA14" s="12" t="str">
        <f>CONCATENATE("K",$U14,"-01")</f>
        <v>K4-01</v>
      </c>
      <c r="IB14" s="12" t="str">
        <f>CONCATENATE("K",$U14,"-02")</f>
        <v>K4-02</v>
      </c>
      <c r="IC14" s="12"/>
      <c r="ID14" s="12"/>
      <c r="IE14" s="12"/>
      <c r="IF14" s="12"/>
      <c r="IG14" s="12" t="str">
        <f>CONCATENATE($T14,"-M",$U14,"-MAM-12")</f>
        <v>E1-M4-MAM-12</v>
      </c>
      <c r="IH14" s="12" t="str">
        <f>CONCATENATE($T14,"-M",$U14,"-AMS-10")</f>
        <v>E1-M4-AMS-10</v>
      </c>
      <c r="II14" s="12" t="str">
        <f>CONCATENATE($T14,"-M",$U14,"-AMS-91")</f>
        <v>E1-M4-AMS-91</v>
      </c>
      <c r="IJ14" s="12" t="str">
        <f>CONCATENATE($T14,"-M",$U14,"-AMS-71")</f>
        <v>E1-M4-AMS-71</v>
      </c>
      <c r="IK14" s="12" t="str">
        <f>CONCATENATE($T14,"-M",$U14,"-MAM-21")</f>
        <v>E1-M4-MAM-21</v>
      </c>
      <c r="IL14" s="12" t="str">
        <f>CONCATENATE($T14,"-M",$U14,"-MAM-11")</f>
        <v>E1-M4-MAM-11</v>
      </c>
      <c r="IM14" s="12"/>
      <c r="IN14" s="12"/>
      <c r="IO14" s="12"/>
      <c r="IP14" s="12"/>
      <c r="IQ14" s="12"/>
      <c r="IR14" s="12" t="s">
        <v>131</v>
      </c>
      <c r="IS14" s="12" t="s">
        <v>132</v>
      </c>
      <c r="IT14" s="12">
        <v>11</v>
      </c>
      <c r="IU14" s="12">
        <v>14</v>
      </c>
      <c r="IV14" s="12" t="str">
        <f>IV13</f>
        <v>24v6</v>
      </c>
      <c r="IW14" s="12" t="str">
        <f>IW13</f>
        <v>0v6</v>
      </c>
      <c r="IX14" s="12">
        <v>1</v>
      </c>
      <c r="IY14" s="12">
        <v>2</v>
      </c>
      <c r="IZ14" s="12">
        <v>3</v>
      </c>
      <c r="JA14" s="12">
        <v>4</v>
      </c>
      <c r="JB14" s="12">
        <v>5</v>
      </c>
      <c r="JC14" s="12">
        <v>6</v>
      </c>
      <c r="JD14" s="12">
        <v>7</v>
      </c>
      <c r="JE14" s="12">
        <v>8</v>
      </c>
      <c r="JF14" s="12">
        <v>9</v>
      </c>
      <c r="JG14" s="12"/>
      <c r="JH14" s="12"/>
      <c r="JI14" s="12"/>
      <c r="JJ14" s="12"/>
      <c r="JK14" s="12"/>
      <c r="JL14" s="12">
        <v>18</v>
      </c>
      <c r="JM14" s="12">
        <v>19</v>
      </c>
      <c r="JN14" s="12">
        <v>20</v>
      </c>
      <c r="JO14" s="12">
        <v>21</v>
      </c>
      <c r="JP14" s="12">
        <v>23</v>
      </c>
      <c r="JQ14" s="12">
        <v>22</v>
      </c>
      <c r="JR14" s="12">
        <v>29</v>
      </c>
      <c r="JS14" s="12">
        <v>28</v>
      </c>
      <c r="JT14" s="12">
        <v>30</v>
      </c>
      <c r="JU14" s="12"/>
      <c r="JV14" s="12"/>
      <c r="JW14" s="12"/>
      <c r="JX14" s="12"/>
      <c r="JY14" s="13"/>
    </row>
    <row r="15" spans="1:802" x14ac:dyDescent="0.25">
      <c r="A15" t="s">
        <v>485</v>
      </c>
      <c r="B15" t="s">
        <v>484</v>
      </c>
      <c r="C15" s="3"/>
      <c r="O15" s="2"/>
      <c r="P15" t="s">
        <v>480</v>
      </c>
      <c r="Q15" s="1"/>
      <c r="S15" s="1"/>
      <c r="T15" s="10" t="s">
        <v>406</v>
      </c>
      <c r="U15" s="38">
        <v>5</v>
      </c>
      <c r="V15" s="11" t="s">
        <v>486</v>
      </c>
      <c r="W15" s="11"/>
      <c r="X15" s="12"/>
      <c r="Y15" s="12"/>
      <c r="Z15" s="12"/>
      <c r="AA15" s="12"/>
      <c r="AB15" s="12"/>
      <c r="AC15" s="12" t="str">
        <f t="shared" si="51"/>
        <v>A5.1</v>
      </c>
      <c r="AD15" s="45" cm="1">
        <f t="array" ref="AD15">IF(COUNTIFS(AC$2:AC15,AC15)=1,"1",VALUE(SUBSTITUTE(INDEX(AD:AD,_xlfn.XMATCH(AC15,AC$1:AC14,0,-1)),"A",""))+INDEX(AE:AE,_xlfn.XMATCH(AC15,AC$1:AC14,0,-1))+1)</f>
        <v>10</v>
      </c>
      <c r="AE15" s="45" cm="1">
        <f t="array" ref="AE15">SUM(IF(ISNUMBER(FIND("TmDi",$BE$1:$AAL$1)),IF(IFERROR(ISNUMBER(VALUE(SUBSTITUTE($BE15:$AAL15,"B",""))),FALSE),IF(ISNUMBER(VALUE(SUBSTITUTE($BE15:$AAL15,"B",""))),1,0),0)))</f>
        <v>3</v>
      </c>
      <c r="AF15" s="12" t="str">
        <f t="shared" si="34"/>
        <v>C10</v>
      </c>
      <c r="AG15" s="12" t="str">
        <f t="shared" si="35"/>
        <v>B10</v>
      </c>
      <c r="AH15" s="12" t="str">
        <f t="shared" si="52"/>
        <v>A6.1</v>
      </c>
      <c r="AI15" s="50" cm="1">
        <f t="array" ref="AI15">IF(COUNTIFS(AH$2:AH15,AH15)=1,"1",VALUE(SUBSTITUTE(INDEX(AI:AI,_xlfn.XMATCH(AH15,AH$1:AH14,0,-1)),"A",""))+INDEX(AJ:AJ,_xlfn.XMATCH(AH15,AH$1:AH14,0,-1))+1)</f>
        <v>5</v>
      </c>
      <c r="AJ15" s="50" cm="1">
        <f t="array" ref="AJ15">SUM(IF(ISNUMBER(FIND("TmDo",$BE$1:$AAL$1)),IF(IFERROR(ISNUMBER(VALUE(SUBSTITUTE($BE15:$AAL15,"B",""))),FALSE),IF(ISNUMBER(VALUE(SUBSTITUTE($BE15:$AAL15,"B",""))),1,0),0)))</f>
        <v>2</v>
      </c>
      <c r="AK15" s="11" t="str">
        <f>CONCATENATE($AI15,"A")</f>
        <v>5A</v>
      </c>
      <c r="AL15" s="11" t="str">
        <f>CONCATENATE($AI15,"B")</f>
        <v>5B</v>
      </c>
      <c r="AM15" s="12" t="s">
        <v>135</v>
      </c>
      <c r="AN15" s="12"/>
      <c r="AO15" s="12"/>
      <c r="AP15" s="12" t="s">
        <v>407</v>
      </c>
      <c r="AQ15" s="12" t="s">
        <v>470</v>
      </c>
      <c r="AR15" s="12"/>
      <c r="AS15" s="12"/>
      <c r="AT15" s="12" t="s">
        <v>128</v>
      </c>
      <c r="AU15" s="12" t="s">
        <v>129</v>
      </c>
      <c r="AV15" s="12"/>
      <c r="AW15" s="12"/>
      <c r="AX15" s="12"/>
      <c r="AY15" s="12"/>
      <c r="AZ15" s="12"/>
      <c r="BA15" s="12"/>
      <c r="BB15" s="12"/>
      <c r="BC15" s="12"/>
      <c r="BD15" s="13"/>
      <c r="BE15" s="22" t="str">
        <f t="shared" ref="BE15" si="64">CONCATENATE("XT",U15)</f>
        <v>XT5</v>
      </c>
      <c r="BF15" s="12" t="str">
        <f t="shared" ref="BF15" si="65">CONCATENATE("C",REPLACE(AF15,1,1,"")+1)</f>
        <v>C11</v>
      </c>
      <c r="BG15" s="12" t="str">
        <f t="shared" ref="BG15" si="66">CONCATENATE("B",REPLACE(AG15,1,1,"")+1)</f>
        <v>B11</v>
      </c>
      <c r="BH15" s="12" t="str">
        <f t="shared" ref="BH15" si="67">CONCATENATE("C",REPLACE(BF15,1,1,"")+1)</f>
        <v>C12</v>
      </c>
      <c r="BI15" s="12" t="str">
        <f t="shared" ref="BI15" si="68">CONCATENATE("B",REPLACE(BG15,1,1,"")+1)</f>
        <v>B12</v>
      </c>
      <c r="BJ15" s="12" t="str">
        <f t="shared" ref="BJ15" si="69">CONCATENATE("C",REPLACE(BH15,1,1,"")+1)</f>
        <v>C13</v>
      </c>
      <c r="BK15" s="12" t="str">
        <f t="shared" ref="BK15" si="70">CONCATENATE("B",REPLACE(BI15,1,1,"")+1)</f>
        <v>B13</v>
      </c>
      <c r="BL15" s="12"/>
      <c r="BM15" s="12"/>
      <c r="BN15" s="12"/>
      <c r="BO15" s="12"/>
      <c r="BP15" s="12" t="str">
        <f>CONCATENATE(REPLACE(AK15,LEN(AK15),1,"")+1,"A")</f>
        <v>6A</v>
      </c>
      <c r="BQ15" s="12" t="str">
        <f>CONCATENATE(REPLACE(AL15,LEN(AL15),1,"")+1,"B")</f>
        <v>6B</v>
      </c>
      <c r="BR15" s="12" t="str">
        <f>CONCATENATE(REPLACE(BP15,LEN(BP15),1,"")+1,"A")</f>
        <v>7A</v>
      </c>
      <c r="BS15" s="12" t="str">
        <f>CONCATENATE(REPLACE(BQ15,LEN(BQ15),1,"")+1,"B")</f>
        <v>7B</v>
      </c>
      <c r="BT15" s="12" t="str">
        <f t="shared" ref="BT15" si="71">CONCATENATE("DI",REPLACE($AC15,1,3,""),"-",AF15)</f>
        <v>DI1-C10</v>
      </c>
      <c r="BU15" s="12" t="str">
        <f t="shared" ref="BU15" si="72">CONCATENATE("DI",REPLACE($AC15,1,3,""),"-",AG15)</f>
        <v>DI1-B10</v>
      </c>
      <c r="BV15" s="12" t="str">
        <f t="shared" ref="BV15" si="73">CONCATENATE("DI",REPLACE($AC15,1,3,""),"-",BF15)</f>
        <v>DI1-C11</v>
      </c>
      <c r="BW15" s="12" t="str">
        <f t="shared" ref="BW15" si="74">CONCATENATE("DI",REPLACE($AC15,1,3,""),"-",BG15)</f>
        <v>DI1-B11</v>
      </c>
      <c r="BX15" s="12" t="str">
        <f t="shared" ref="BX15" si="75">CONCATENATE("DI",REPLACE($AC15,1,3,""),"-",BH15)</f>
        <v>DI1-C12</v>
      </c>
      <c r="BY15" s="12" t="str">
        <f t="shared" ref="BY15" si="76">CONCATENATE("DI",REPLACE($AC15,1,3,""),"-",BI15)</f>
        <v>DI1-B12</v>
      </c>
      <c r="BZ15" s="12" t="str">
        <f t="shared" ref="BZ15" si="77">CONCATENATE("DI",REPLACE($AC15,1,3,""),"-",BJ15)</f>
        <v>DI1-C13</v>
      </c>
      <c r="CA15" s="12" t="str">
        <f t="shared" ref="CA15" si="78">CONCATENATE("DI",REPLACE($AC15,1,3,""),"-",BK15)</f>
        <v>DI1-B13</v>
      </c>
      <c r="CB15" s="12"/>
      <c r="CC15" s="12"/>
      <c r="CD15" s="12"/>
      <c r="CE15" s="12"/>
      <c r="CF15" s="12" t="str">
        <f t="shared" ref="CF15" si="79">CONCATENATE("DO",REPLACE($AH15,1,3,""),"-",AK15)</f>
        <v>DO1-5A</v>
      </c>
      <c r="CG15" s="12" t="str">
        <f t="shared" ref="CG15" si="80">CONCATENATE("DO",REPLACE($AH15,1,3,""),"-",AL15)</f>
        <v>DO1-5B</v>
      </c>
      <c r="CH15" s="12" t="str">
        <f t="shared" ref="CH15" si="81">CONCATENATE("DO",REPLACE($AH15,1,3,""),"-",BP15)</f>
        <v>DO1-6A</v>
      </c>
      <c r="CI15" s="12" t="str">
        <f t="shared" ref="CI15" si="82">CONCATENATE("DO",REPLACE($AH15,1,3,""),"-",BQ15)</f>
        <v>DO1-6B</v>
      </c>
      <c r="CJ15" s="12" t="str">
        <f t="shared" ref="CJ15" si="83">CONCATENATE("DO",REPLACE($AH15,1,3,""),"-",BR15)</f>
        <v>DO1-7A</v>
      </c>
      <c r="CK15" s="12" t="str">
        <f t="shared" ref="CK15" si="84">CONCATENATE("DO",REPLACE($AH15,1,3,""),"-",BS15)</f>
        <v>DO1-7B</v>
      </c>
      <c r="CL15" s="12" t="str">
        <f t="shared" ref="CL15:CL16" si="85">CONCATENATE("K",$U15,"-10")</f>
        <v>K5-10</v>
      </c>
      <c r="CM15" s="12" t="str">
        <f t="shared" ref="CM15:CM16" si="86">CONCATENATE("K",$U15,"-03")</f>
        <v>K5-03</v>
      </c>
      <c r="CN15" s="12" t="str">
        <f t="shared" ref="CN15:CN16" si="87">CONCATENATE("K",$U15,"-04")</f>
        <v>K5-04</v>
      </c>
      <c r="CO15" s="12"/>
      <c r="CP15" s="12" t="str">
        <f t="shared" ref="CP15:CP16" si="88">CONCATENATE("K",$U15,"-08")</f>
        <v>K5-08</v>
      </c>
      <c r="CQ15" s="12" t="str">
        <f t="shared" ref="CQ15:CQ16" si="89">CONCATENATE("K",$U15,"-02")</f>
        <v>K5-02</v>
      </c>
      <c r="CR15" s="12" t="str">
        <f t="shared" ref="CR15:CR16" si="90">CONCATENATE("K",$U15,"-09")</f>
        <v>K5-09</v>
      </c>
      <c r="CS15" s="12" t="str">
        <f>CONCATENATE("K",$U15,"-06")</f>
        <v>K5-06</v>
      </c>
      <c r="CT15" s="12" t="str">
        <f>CONCATENATE("K",$U15,"-05")</f>
        <v>K5-05</v>
      </c>
      <c r="CU15" s="12" t="str">
        <f t="shared" ref="CU15:CU17" si="91">CONCATENATE($T15,"-M",$U15,"-A9")</f>
        <v>E1-M5-A9</v>
      </c>
      <c r="CV15" s="12" t="str">
        <f t="shared" ref="CV15:CV16" si="92">CONCATENATE($T15,"-M",$U15,"-A7")</f>
        <v>E1-M5-A7</v>
      </c>
      <c r="CW15" s="12" t="str">
        <f t="shared" ref="CW15:CW16" si="93">CONCATENATE($T15,"-M",$U15,"-A8")</f>
        <v>E1-M5-A8</v>
      </c>
      <c r="CX15" s="12" t="str">
        <f t="shared" ref="CX15:CX17" si="94">CONCATENATE($T15,"-M",$U15,"-A6")</f>
        <v>E1-M5-A6</v>
      </c>
      <c r="CY15" s="12" t="str">
        <f t="shared" ref="CY15:CY17" si="95">CONCATENATE($T15,"-M",$U15,"-A30")</f>
        <v>E1-M5-A30</v>
      </c>
      <c r="CZ15" s="12" t="str">
        <f t="shared" ref="CZ15:CZ17" si="96">CONCATENATE($T15,"-M",$U15,"-N")</f>
        <v>E1-M5-N</v>
      </c>
      <c r="DA15" s="12" t="str">
        <f>CONCATENATE($T15,"-M",U15,"-A7")</f>
        <v>E1-M5-A7</v>
      </c>
      <c r="DB15" s="12" t="str">
        <f>CONCATENATE($T15,"-M",$U15,"-H1")</f>
        <v>E1-M5-H1</v>
      </c>
      <c r="DC15" s="12" t="str">
        <f t="shared" ref="DC15:DC17" si="97">CONCATENATE($T15,"-M",$U15,"-A1")</f>
        <v>E1-M5-A1</v>
      </c>
      <c r="DD15" s="12" t="str">
        <f t="shared" ref="DD15:DD17" si="98">CONCATENATE($T15,"-M",$U15,"-A5")</f>
        <v>E1-M5-A5</v>
      </c>
      <c r="DE15" s="12" t="str">
        <f t="shared" ref="DE15:DE17" si="99">CONCATENATE($T15,"-M",$U15,"-A11")</f>
        <v>E1-M5-A11</v>
      </c>
      <c r="DF15" s="12" t="str">
        <f t="shared" ref="DF15:DF17" si="100">CONCATENATE($T15,"-M",$U15,"-A12")</f>
        <v>E1-M5-A12</v>
      </c>
      <c r="DG15" s="12" t="str">
        <f>CONCATENATE($T15,"-M",$U15,"-A20")</f>
        <v>E1-M5-A20</v>
      </c>
      <c r="DH15" s="12" t="str">
        <f>CONCATENATE($T15,"-M",$U15,"-A19")</f>
        <v>E1-M5-A19</v>
      </c>
      <c r="DI15" s="12" t="s">
        <v>131</v>
      </c>
      <c r="DJ15" s="12" t="s">
        <v>132</v>
      </c>
      <c r="DK15" s="12">
        <v>11</v>
      </c>
      <c r="DL15" s="12">
        <v>14</v>
      </c>
      <c r="DM15" s="12">
        <v>12</v>
      </c>
      <c r="DN15" s="12"/>
      <c r="DO15" s="12"/>
      <c r="DP15" s="12">
        <v>1</v>
      </c>
      <c r="DQ15" s="12">
        <v>2</v>
      </c>
      <c r="DR15" s="12">
        <v>3</v>
      </c>
      <c r="DS15" s="12">
        <v>4</v>
      </c>
      <c r="DT15" s="12">
        <v>5</v>
      </c>
      <c r="DU15" s="12">
        <v>6</v>
      </c>
      <c r="DV15" s="12">
        <v>7</v>
      </c>
      <c r="DW15" s="12">
        <v>8</v>
      </c>
      <c r="DX15" s="12">
        <v>9</v>
      </c>
      <c r="DY15" s="12">
        <v>10</v>
      </c>
      <c r="DZ15" s="12">
        <v>11</v>
      </c>
      <c r="EA15" s="12">
        <v>12</v>
      </c>
      <c r="EB15" s="12">
        <v>13</v>
      </c>
      <c r="EC15" s="12">
        <v>14</v>
      </c>
      <c r="ED15" s="12">
        <v>1</v>
      </c>
      <c r="EE15" s="12">
        <v>3</v>
      </c>
      <c r="EF15" s="12">
        <v>5</v>
      </c>
      <c r="EG15" s="12">
        <v>7</v>
      </c>
      <c r="EH15" s="12">
        <v>13</v>
      </c>
      <c r="EI15" s="12">
        <v>17</v>
      </c>
      <c r="EJ15" s="12">
        <v>18</v>
      </c>
      <c r="EK15" s="12">
        <v>19</v>
      </c>
      <c r="EL15" s="12">
        <v>20</v>
      </c>
      <c r="EM15" s="12">
        <v>25</v>
      </c>
      <c r="EN15" s="12"/>
      <c r="EO15" s="12"/>
      <c r="EP15" s="12"/>
      <c r="EQ15" s="13"/>
    </row>
    <row r="16" spans="1:802" x14ac:dyDescent="0.25">
      <c r="A16" s="40" t="s">
        <v>489</v>
      </c>
      <c r="B16" t="s">
        <v>488</v>
      </c>
      <c r="C16" s="3"/>
      <c r="O16" s="2"/>
      <c r="P16" t="s">
        <v>480</v>
      </c>
      <c r="Q16" s="1"/>
      <c r="S16" s="1"/>
      <c r="T16" s="14" t="s">
        <v>406</v>
      </c>
      <c r="U16" s="44">
        <v>6</v>
      </c>
      <c r="V16" s="15" t="s">
        <v>490</v>
      </c>
      <c r="W16" s="15"/>
      <c r="AC16" t="str">
        <f t="shared" ref="AC16" si="101">IF(AD15+AE15&gt;31,REPLACE(AC15,LEN(AC15),1,VALUE(RIGHT(AC15,1))+1),AC15)</f>
        <v>A5.1</v>
      </c>
      <c r="AD16" s="36" cm="1">
        <f t="array" ref="AD16">IF(COUNTIFS(AC$2:AC16,AC16)=1,"1",VALUE(SUBSTITUTE(INDEX(AD:AD,_xlfn.XMATCH(AC16,AC$1:AC15,0,-1)),"A",""))+INDEX(AE:AE,_xlfn.XMATCH(AC16,AC$1:AC15,0,-1))+1)</f>
        <v>14</v>
      </c>
      <c r="AE16" s="36" cm="1">
        <f t="array" ref="AE16">SUM(IF(ISNUMBER(FIND("TmDi",$BE$1:$AAL$1)),IF(IFERROR(ISNUMBER(VALUE(SUBSTITUTE($BE16:$AAL16,"B",""))),FALSE),IF(ISNUMBER(VALUE(SUBSTITUTE($BE16:$AAL16,"B",""))),1,0),0)))</f>
        <v>3</v>
      </c>
      <c r="AF16" t="str">
        <f t="shared" si="34"/>
        <v>C14</v>
      </c>
      <c r="AG16" t="str">
        <f t="shared" si="35"/>
        <v>B14</v>
      </c>
      <c r="AH16" t="str">
        <f t="shared" ref="AH16" si="102">IF(AI15+AJ15&gt;31,REPLACE(AH15,LEN(AH15),1,VALUE(RIGHT(AH15,1))+1),AH15)</f>
        <v>A6.1</v>
      </c>
      <c r="AI16" s="46" cm="1">
        <f t="array" ref="AI16">IF(COUNTIFS(AH$2:AH16,AH16)=1,"1",VALUE(SUBSTITUTE(INDEX(AI:AI,_xlfn.XMATCH(AH16,AH$1:AH15,0,-1)),"A",""))+INDEX(AJ:AJ,_xlfn.XMATCH(AH16,AH$1:AH15,0,-1))+1)</f>
        <v>8</v>
      </c>
      <c r="AJ16" s="46" cm="1">
        <f t="array" ref="AJ16">SUM(IF(ISNUMBER(FIND("TmDo",$BE$1:$AAL$1)),IF(IFERROR(ISNUMBER(VALUE(SUBSTITUTE($BE16:$AAL16,"B",""))),FALSE),IF(ISNUMBER(VALUE(SUBSTITUTE($BE16:$AAL16,"B",""))),1,0),0)))</f>
        <v>2</v>
      </c>
      <c r="AK16" s="15" t="str">
        <f>CONCATENATE($AI16,"A")</f>
        <v>8A</v>
      </c>
      <c r="AL16" s="15" t="str">
        <f>CONCATENATE($AI16,"B")</f>
        <v>8B</v>
      </c>
      <c r="AM16" t="s">
        <v>136</v>
      </c>
      <c r="AP16" t="s">
        <v>407</v>
      </c>
      <c r="AQ16" t="s">
        <v>470</v>
      </c>
      <c r="AT16" t="s">
        <v>128</v>
      </c>
      <c r="AU16" t="s">
        <v>129</v>
      </c>
      <c r="BD16" s="16"/>
      <c r="BE16" s="24" t="str">
        <f t="shared" ref="BE16" si="103">CONCATENATE("XT",U16)</f>
        <v>XT6</v>
      </c>
      <c r="BF16" t="str">
        <f t="shared" ref="BF16" si="104">CONCATENATE("C",REPLACE(AF16,1,1,"")+1)</f>
        <v>C15</v>
      </c>
      <c r="BG16" t="str">
        <f t="shared" ref="BG16" si="105">CONCATENATE("B",REPLACE(AG16,1,1,"")+1)</f>
        <v>B15</v>
      </c>
      <c r="BH16" t="str">
        <f t="shared" ref="BH16" si="106">CONCATENATE("C",REPLACE(BF16,1,1,"")+1)</f>
        <v>C16</v>
      </c>
      <c r="BI16" t="str">
        <f t="shared" ref="BI16" si="107">CONCATENATE("B",REPLACE(BG16,1,1,"")+1)</f>
        <v>B16</v>
      </c>
      <c r="BJ16" t="str">
        <f t="shared" ref="BJ16" si="108">CONCATENATE("C",REPLACE(BH16,1,1,"")+1)</f>
        <v>C17</v>
      </c>
      <c r="BK16" t="str">
        <f t="shared" ref="BK16" si="109">CONCATENATE("B",REPLACE(BI16,1,1,"")+1)</f>
        <v>B17</v>
      </c>
      <c r="BP16" t="str">
        <f>CONCATENATE(REPLACE(AK16,LEN(AK16),1,"")+1,"A")</f>
        <v>9A</v>
      </c>
      <c r="BQ16" t="str">
        <f>CONCATENATE(REPLACE(AL16,LEN(AL16),1,"")+1,"B")</f>
        <v>9B</v>
      </c>
      <c r="BR16" t="str">
        <f>CONCATENATE(REPLACE(BP16,LEN(BP16),1,"")+1,"A")</f>
        <v>10A</v>
      </c>
      <c r="BS16" t="str">
        <f>CONCATENATE(REPLACE(BQ16,LEN(BQ16),1,"")+1,"B")</f>
        <v>10B</v>
      </c>
      <c r="BT16" t="str">
        <f t="shared" ref="BT16" si="110">CONCATENATE("DI",REPLACE($AC16,1,3,""),"-",AF16)</f>
        <v>DI1-C14</v>
      </c>
      <c r="BU16" t="str">
        <f t="shared" ref="BU16" si="111">CONCATENATE("DI",REPLACE($AC16,1,3,""),"-",AG16)</f>
        <v>DI1-B14</v>
      </c>
      <c r="BV16" t="str">
        <f t="shared" ref="BV16" si="112">CONCATENATE("DI",REPLACE($AC16,1,3,""),"-",BF16)</f>
        <v>DI1-C15</v>
      </c>
      <c r="BW16" t="str">
        <f t="shared" ref="BW16" si="113">CONCATENATE("DI",REPLACE($AC16,1,3,""),"-",BG16)</f>
        <v>DI1-B15</v>
      </c>
      <c r="BX16" t="str">
        <f t="shared" ref="BX16" si="114">CONCATENATE("DI",REPLACE($AC16,1,3,""),"-",BH16)</f>
        <v>DI1-C16</v>
      </c>
      <c r="BY16" t="str">
        <f t="shared" ref="BY16" si="115">CONCATENATE("DI",REPLACE($AC16,1,3,""),"-",BI16)</f>
        <v>DI1-B16</v>
      </c>
      <c r="BZ16" t="str">
        <f t="shared" ref="BZ16" si="116">CONCATENATE("DI",REPLACE($AC16,1,3,""),"-",BJ16)</f>
        <v>DI1-C17</v>
      </c>
      <c r="CA16" t="str">
        <f t="shared" ref="CA16" si="117">CONCATENATE("DI",REPLACE($AC16,1,3,""),"-",BK16)</f>
        <v>DI1-B17</v>
      </c>
      <c r="CF16" t="str">
        <f t="shared" ref="CF16" si="118">CONCATENATE("DO",REPLACE($AH16,1,3,""),"-",AK16)</f>
        <v>DO1-8A</v>
      </c>
      <c r="CG16" t="str">
        <f t="shared" ref="CG16" si="119">CONCATENATE("DO",REPLACE($AH16,1,3,""),"-",AL16)</f>
        <v>DO1-8B</v>
      </c>
      <c r="CH16" t="str">
        <f t="shared" ref="CH16" si="120">CONCATENATE("DO",REPLACE($AH16,1,3,""),"-",BP16)</f>
        <v>DO1-9A</v>
      </c>
      <c r="CI16" t="str">
        <f t="shared" ref="CI16" si="121">CONCATENATE("DO",REPLACE($AH16,1,3,""),"-",BQ16)</f>
        <v>DO1-9B</v>
      </c>
      <c r="CJ16" t="str">
        <f t="shared" ref="CJ16" si="122">CONCATENATE("DO",REPLACE($AH16,1,3,""),"-",BR16)</f>
        <v>DO1-10A</v>
      </c>
      <c r="CK16" t="str">
        <f t="shared" ref="CK16" si="123">CONCATENATE("DO",REPLACE($AH16,1,3,""),"-",BS16)</f>
        <v>DO1-10B</v>
      </c>
      <c r="CL16" t="str">
        <f t="shared" si="85"/>
        <v>K6-10</v>
      </c>
      <c r="CM16" t="str">
        <f t="shared" si="86"/>
        <v>K6-03</v>
      </c>
      <c r="CN16" t="str">
        <f t="shared" si="87"/>
        <v>K6-04</v>
      </c>
      <c r="CP16" t="str">
        <f t="shared" si="88"/>
        <v>K6-08</v>
      </c>
      <c r="CQ16" t="str">
        <f t="shared" si="89"/>
        <v>K6-02</v>
      </c>
      <c r="CR16" t="str">
        <f t="shared" si="90"/>
        <v>K6-09</v>
      </c>
      <c r="CS16" t="str">
        <f>CONCATENATE("K",$U16,"-06")</f>
        <v>K6-06</v>
      </c>
      <c r="CT16" t="str">
        <f>CONCATENATE("K",$U16,"-05")</f>
        <v>K6-05</v>
      </c>
      <c r="CU16" t="str">
        <f t="shared" si="91"/>
        <v>E1-M6-A9</v>
      </c>
      <c r="CV16" t="str">
        <f t="shared" si="92"/>
        <v>E1-M6-A7</v>
      </c>
      <c r="CW16" t="str">
        <f t="shared" si="93"/>
        <v>E1-M6-A8</v>
      </c>
      <c r="CX16" t="str">
        <f t="shared" si="94"/>
        <v>E1-M6-A6</v>
      </c>
      <c r="CY16" t="str">
        <f t="shared" si="95"/>
        <v>E1-M6-A30</v>
      </c>
      <c r="CZ16" t="str">
        <f t="shared" si="96"/>
        <v>E1-M6-N</v>
      </c>
      <c r="DA16" t="str">
        <f>CONCATENATE($T16,"-M",U16,"-A7")</f>
        <v>E1-M6-A7</v>
      </c>
      <c r="DB16" t="str">
        <f>CONCATENATE($T16,"-M",$U16,"-H1")</f>
        <v>E1-M6-H1</v>
      </c>
      <c r="DC16" t="str">
        <f t="shared" si="97"/>
        <v>E1-M6-A1</v>
      </c>
      <c r="DD16" t="str">
        <f t="shared" si="98"/>
        <v>E1-M6-A5</v>
      </c>
      <c r="DE16" t="str">
        <f t="shared" si="99"/>
        <v>E1-M6-A11</v>
      </c>
      <c r="DF16" t="str">
        <f t="shared" si="100"/>
        <v>E1-M6-A12</v>
      </c>
      <c r="DG16" t="str">
        <f>CONCATENATE($T16,"-M",$U16,"-A20")</f>
        <v>E1-M6-A20</v>
      </c>
      <c r="DH16" t="str">
        <f>CONCATENATE($T16,"-M",$U16,"-A19")</f>
        <v>E1-M6-A19</v>
      </c>
      <c r="DI16" t="s">
        <v>131</v>
      </c>
      <c r="DJ16" t="s">
        <v>132</v>
      </c>
      <c r="DK16">
        <v>11</v>
      </c>
      <c r="DL16">
        <v>14</v>
      </c>
      <c r="DM16">
        <v>12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5</v>
      </c>
      <c r="EG16">
        <v>7</v>
      </c>
      <c r="EH16">
        <v>13</v>
      </c>
      <c r="EI16">
        <v>17</v>
      </c>
      <c r="EJ16">
        <v>18</v>
      </c>
      <c r="EK16">
        <v>19</v>
      </c>
      <c r="EL16">
        <v>20</v>
      </c>
      <c r="EM16">
        <v>25</v>
      </c>
      <c r="EQ16" s="16"/>
    </row>
    <row r="17" spans="1:357" ht="15.75" thickBot="1" x14ac:dyDescent="0.3">
      <c r="A17" s="40" t="s">
        <v>492</v>
      </c>
      <c r="B17" t="s">
        <v>491</v>
      </c>
      <c r="C17" s="3"/>
      <c r="O17" s="2"/>
      <c r="P17" t="s">
        <v>487</v>
      </c>
      <c r="Q17" s="1"/>
      <c r="S17" s="1"/>
      <c r="T17" s="14" t="s">
        <v>406</v>
      </c>
      <c r="U17" s="44">
        <v>7</v>
      </c>
      <c r="V17" s="15" t="s">
        <v>493</v>
      </c>
      <c r="W17" s="15"/>
      <c r="AC17" t="str">
        <f t="shared" ref="AC17" si="124">IF(AD16+AE16&gt;31,REPLACE(AC16,LEN(AC16),1,VALUE(RIGHT(AC16,1))+1),AC16)</f>
        <v>A5.1</v>
      </c>
      <c r="AD17" s="36" cm="1">
        <f t="array" ref="AD17">IF(COUNTIFS(AC$2:AC17,AC17)=1,"1",VALUE(SUBSTITUTE(INDEX(AD:AD,_xlfn.XMATCH(AC17,AC$1:AC16,0,-1)),"A",""))+INDEX(AE:AE,_xlfn.XMATCH(AC17,AC$1:AC16,0,-1))+1)</f>
        <v>18</v>
      </c>
      <c r="AE17" s="36" cm="1">
        <f t="array" ref="AE17">SUM(IF(ISNUMBER(FIND("TmDi",$BE$1:$AAL$1)),IF(IFERROR(ISNUMBER(VALUE(SUBSTITUTE($BE17:$AAL17,"B",""))),FALSE),IF(ISNUMBER(VALUE(SUBSTITUTE($BE17:$AAL17,"B",""))),1,0),0)))</f>
        <v>4</v>
      </c>
      <c r="AF17" t="str">
        <f t="shared" si="34"/>
        <v>C18</v>
      </c>
      <c r="AG17" t="str">
        <f t="shared" si="35"/>
        <v>B18</v>
      </c>
      <c r="AH17" t="str">
        <f t="shared" ref="AH17" si="125">IF(AI16+AJ16&gt;31,REPLACE(AH16,LEN(AH16),1,VALUE(RIGHT(AH16,1))+1),AH16)</f>
        <v>A6.1</v>
      </c>
      <c r="AI17" s="46" cm="1">
        <f t="array" ref="AI17">IF(COUNTIFS(AH$2:AH17,AH17)=1,"1",VALUE(SUBSTITUTE(INDEX(AI:AI,_xlfn.XMATCH(AH17,AH$1:AH16,0,-1)),"A",""))+INDEX(AJ:AJ,_xlfn.XMATCH(AH17,AH$1:AH16,0,-1))+1)</f>
        <v>11</v>
      </c>
      <c r="AJ17" s="46" cm="1">
        <f t="array" ref="AJ17">SUM(IF(ISNUMBER(FIND("TmDo",$BE$1:$AAL$1)),IF(IFERROR(ISNUMBER(VALUE(SUBSTITUTE($BE17:$AAL17,"B",""))),FALSE),IF(ISNUMBER(VALUE(SUBSTITUTE($BE17:$AAL17,"B",""))),1,0),0)))</f>
        <v>2</v>
      </c>
      <c r="AK17" s="15" t="str">
        <f>CONCATENATE($AI17,"A")</f>
        <v>11A</v>
      </c>
      <c r="AL17" s="15" t="str">
        <f>CONCATENATE($AI17,"B")</f>
        <v>11B</v>
      </c>
      <c r="AM17" t="s">
        <v>137</v>
      </c>
      <c r="AP17" t="s">
        <v>407</v>
      </c>
      <c r="AQ17" t="s">
        <v>470</v>
      </c>
      <c r="AT17" t="s">
        <v>128</v>
      </c>
      <c r="AU17" t="s">
        <v>129</v>
      </c>
      <c r="BD17" s="16"/>
      <c r="BE17" s="24" t="str">
        <f t="shared" ref="BE17" si="126">CONCATENATE("XT",U17)</f>
        <v>XT7</v>
      </c>
      <c r="BF17" t="str">
        <f t="shared" ref="BF17" si="127">CONCATENATE("C",REPLACE(AF17,1,1,"")+1)</f>
        <v>C19</v>
      </c>
      <c r="BG17" t="str">
        <f t="shared" ref="BG17" si="128">CONCATENATE("B",REPLACE(AG17,1,1,"")+1)</f>
        <v>B19</v>
      </c>
      <c r="BH17" t="str">
        <f t="shared" ref="BH17" si="129">CONCATENATE("C",REPLACE(BF17,1,1,"")+1)</f>
        <v>C20</v>
      </c>
      <c r="BI17" t="str">
        <f t="shared" ref="BI17" si="130">CONCATENATE("B",REPLACE(BG17,1,1,"")+1)</f>
        <v>B20</v>
      </c>
      <c r="BJ17" t="str">
        <f t="shared" ref="BJ17" si="131">CONCATENATE("C",REPLACE(BH17,1,1,"")+1)</f>
        <v>C21</v>
      </c>
      <c r="BK17" t="str">
        <f t="shared" ref="BK17" si="132">CONCATENATE("B",REPLACE(BI17,1,1,"")+1)</f>
        <v>B21</v>
      </c>
      <c r="BL17" t="str">
        <f t="shared" ref="BL17" si="133">CONCATENATE("C",REPLACE(BJ17,1,1,"")+1)</f>
        <v>C22</v>
      </c>
      <c r="BM17" t="str">
        <f t="shared" ref="BM17" si="134">CONCATENATE("B",REPLACE(BK17,1,1,"")+1)</f>
        <v>B22</v>
      </c>
      <c r="BP17" t="str">
        <f>CONCATENATE(REPLACE(AK17,LEN(AK17),1,"")+1,"A")</f>
        <v>12A</v>
      </c>
      <c r="BQ17" t="str">
        <f>CONCATENATE(REPLACE(AL17,LEN(AL17),1,"")+1,"B")</f>
        <v>12B</v>
      </c>
      <c r="BR17" t="str">
        <f>CONCATENATE(REPLACE(BP17,LEN(BP17),1,"")+1,"A")</f>
        <v>13A</v>
      </c>
      <c r="BS17" t="str">
        <f>CONCATENATE(REPLACE(BQ17,LEN(BQ17),1,"")+1,"B")</f>
        <v>13B</v>
      </c>
      <c r="BT17" t="str">
        <f t="shared" ref="BT17" si="135">CONCATENATE("DI",REPLACE($AC17,1,3,""),"-",AF17)</f>
        <v>DI1-C18</v>
      </c>
      <c r="BU17" t="str">
        <f t="shared" ref="BU17" si="136">CONCATENATE("DI",REPLACE($AC17,1,3,""),"-",AG17)</f>
        <v>DI1-B18</v>
      </c>
      <c r="BV17" t="str">
        <f t="shared" ref="BV17" si="137">CONCATENATE("DI",REPLACE($AC17,1,3,""),"-",BF17)</f>
        <v>DI1-C19</v>
      </c>
      <c r="BW17" t="str">
        <f t="shared" ref="BW17" si="138">CONCATENATE("DI",REPLACE($AC17,1,3,""),"-",BG17)</f>
        <v>DI1-B19</v>
      </c>
      <c r="BX17" t="str">
        <f t="shared" ref="BX17" si="139">CONCATENATE("DI",REPLACE($AC17,1,3,""),"-",BH17)</f>
        <v>DI1-C20</v>
      </c>
      <c r="BY17" t="str">
        <f t="shared" ref="BY17" si="140">CONCATENATE("DI",REPLACE($AC17,1,3,""),"-",BI17)</f>
        <v>DI1-B20</v>
      </c>
      <c r="BZ17" t="str">
        <f t="shared" ref="BZ17" si="141">CONCATENATE("DI",REPLACE($AC17,1,3,""),"-",BJ17)</f>
        <v>DI1-C21</v>
      </c>
      <c r="CA17" t="str">
        <f t="shared" ref="CA17" si="142">CONCATENATE("DI",REPLACE($AC17,1,3,""),"-",BK17)</f>
        <v>DI1-B21</v>
      </c>
      <c r="CB17" t="str">
        <f t="shared" ref="CB17" si="143">CONCATENATE("DI",REPLACE($AC17,1,3,""),"-",BL17)</f>
        <v>DI1-C22</v>
      </c>
      <c r="CC17" t="str">
        <f t="shared" ref="CC17" si="144">CONCATENATE("DI",REPLACE($AC17,1,3,""),"-",BM17)</f>
        <v>DI1-B22</v>
      </c>
      <c r="CF17" t="str">
        <f t="shared" ref="CF17" si="145">CONCATENATE("DO",REPLACE($AH17,1,3,""),"-",AK17)</f>
        <v>DO1-11A</v>
      </c>
      <c r="CG17" t="str">
        <f t="shared" ref="CG17" si="146">CONCATENATE("DO",REPLACE($AH17,1,3,""),"-",AL17)</f>
        <v>DO1-11B</v>
      </c>
      <c r="CH17" t="str">
        <f t="shared" ref="CH17" si="147">CONCATENATE("DO",REPLACE($AH17,1,3,""),"-",BP17)</f>
        <v>DO1-12A</v>
      </c>
      <c r="CI17" t="str">
        <f t="shared" ref="CI17" si="148">CONCATENATE("DO",REPLACE($AH17,1,3,""),"-",BQ17)</f>
        <v>DO1-12B</v>
      </c>
      <c r="CJ17" t="str">
        <f t="shared" ref="CJ17" si="149">CONCATENATE("DO",REPLACE($AH17,1,3,""),"-",BR17)</f>
        <v>DO1-13A</v>
      </c>
      <c r="CK17" t="str">
        <f t="shared" ref="CK17" si="150">CONCATENATE("DO",REPLACE($AH17,1,3,""),"-",BS17)</f>
        <v>DO1-13B</v>
      </c>
      <c r="CL17" t="str">
        <f>CONCATENATE("K",$U17,"-01")</f>
        <v>K7-01</v>
      </c>
      <c r="CM17" t="str">
        <f>CONCATENATE("K",$U17,"-02")</f>
        <v>K7-02</v>
      </c>
      <c r="CN17" t="str">
        <f>CONCATENATE("K",$U17,"-06")</f>
        <v>K7-06</v>
      </c>
      <c r="CP17" t="str">
        <f>CONCATENATE("K",$U17,"-07")</f>
        <v>K7-07</v>
      </c>
      <c r="CQ17" t="str">
        <f>CONCATENATE("K",$U17,"-05")</f>
        <v>K7-05</v>
      </c>
      <c r="CR17" t="str">
        <f>CONCATENATE("K",$U17,"-10")</f>
        <v>K7-10</v>
      </c>
      <c r="CS17" t="str">
        <f>CONCATENATE("K",$U17,"-03")</f>
        <v>K7-03</v>
      </c>
      <c r="CT17" t="str">
        <f>CONCATENATE("K",$U17,"-04")</f>
        <v>K7-04</v>
      </c>
      <c r="CU17" t="str">
        <f t="shared" si="91"/>
        <v>E1-M7-A9</v>
      </c>
      <c r="CV17" t="str">
        <f>CONCATENATE($T17,"-M",$U17,"-A8")</f>
        <v>E1-M7-A8</v>
      </c>
      <c r="CW17" t="str">
        <f>CONCATENATE($T17,"-M",$U17,"-A6")</f>
        <v>E1-M7-A6</v>
      </c>
      <c r="CX17" t="str">
        <f t="shared" si="94"/>
        <v>E1-M7-A6</v>
      </c>
      <c r="CY17" t="str">
        <f t="shared" si="95"/>
        <v>E1-M7-A30</v>
      </c>
      <c r="CZ17" t="str">
        <f t="shared" si="96"/>
        <v>E1-M7-N</v>
      </c>
      <c r="DA17" t="str">
        <f>CONCATENATE($T17,"-M",U17,"-A7")</f>
        <v>E1-M7-A7</v>
      </c>
      <c r="DB17" t="str">
        <f>CONCATENATE($T17,"-M",$U17,"-H1")</f>
        <v>E1-M7-H1</v>
      </c>
      <c r="DC17" t="str">
        <f t="shared" si="97"/>
        <v>E1-M7-A1</v>
      </c>
      <c r="DD17" t="str">
        <f t="shared" si="98"/>
        <v>E1-M7-A5</v>
      </c>
      <c r="DE17" t="str">
        <f t="shared" si="99"/>
        <v>E1-M7-A11</v>
      </c>
      <c r="DF17" t="str">
        <f t="shared" si="100"/>
        <v>E1-M7-A12</v>
      </c>
      <c r="DG17" t="str">
        <f>CONCATENATE($T17,"-M",$U17,"-A19")</f>
        <v>E1-M7-A19</v>
      </c>
      <c r="DH17" t="str">
        <f>CONCATENATE($T17,"-M",$U17,"-A20")</f>
        <v>E1-M7-A20</v>
      </c>
      <c r="DI17" t="s">
        <v>131</v>
      </c>
      <c r="DJ17" t="s">
        <v>132</v>
      </c>
      <c r="DK17">
        <v>11</v>
      </c>
      <c r="DL17">
        <v>14</v>
      </c>
      <c r="DM17">
        <v>12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2</v>
      </c>
      <c r="EF17">
        <v>5</v>
      </c>
      <c r="EG17">
        <v>7</v>
      </c>
      <c r="EH17">
        <v>8</v>
      </c>
      <c r="EI17">
        <v>11</v>
      </c>
      <c r="EJ17">
        <v>14</v>
      </c>
      <c r="EK17">
        <v>18</v>
      </c>
      <c r="EL17">
        <v>19</v>
      </c>
      <c r="EM17">
        <v>20</v>
      </c>
      <c r="EN17">
        <v>21</v>
      </c>
      <c r="EO17">
        <v>25</v>
      </c>
      <c r="EQ17" s="16"/>
    </row>
    <row r="18" spans="1:357" x14ac:dyDescent="0.25">
      <c r="A18" t="s">
        <v>506</v>
      </c>
      <c r="B18" t="s">
        <v>570</v>
      </c>
      <c r="P18" t="s">
        <v>359</v>
      </c>
      <c r="T18" s="14" t="s">
        <v>406</v>
      </c>
      <c r="AC18" t="s">
        <v>138</v>
      </c>
      <c r="AD18" s="36">
        <v>1</v>
      </c>
      <c r="AE18" s="36" cm="1">
        <f t="array" ref="AE18">SUM(IF(ISNUMBER(FIND("TmDi",$BE$1:$AAL$1)),IF(IFERROR(ISNUMBER(VALUE(SUBSTITUTE($BE18:$AAL18,"B",""))),FALSE),IF(ISNUMBER(VALUE(SUBSTITUTE($BE18:$AAL18,"B",""))),1,0),0)))</f>
        <v>0</v>
      </c>
      <c r="AF18" t="str">
        <f t="shared" si="34"/>
        <v>C1</v>
      </c>
      <c r="AG18" t="str">
        <f t="shared" si="35"/>
        <v>B1</v>
      </c>
      <c r="AP18" t="s">
        <v>407</v>
      </c>
      <c r="AT18" t="s">
        <v>196</v>
      </c>
      <c r="AU18" t="s">
        <v>348</v>
      </c>
      <c r="LY18" s="22" t="str">
        <f>CONCATENATE("DI",REPLACE($AC18,1,3,""),"-",$AF18)</f>
        <v>DI2-C1</v>
      </c>
      <c r="LZ18" s="12"/>
      <c r="MA18" s="12" t="s">
        <v>361</v>
      </c>
      <c r="MB18" s="12" t="s">
        <v>360</v>
      </c>
      <c r="MC18" s="12">
        <v>11</v>
      </c>
      <c r="MD18" s="12">
        <v>14</v>
      </c>
      <c r="ME18" s="12" t="s">
        <v>131</v>
      </c>
      <c r="MF18" s="12" t="s">
        <v>132</v>
      </c>
      <c r="MG18" s="12" t="s">
        <v>182</v>
      </c>
      <c r="MH18" s="12" t="s">
        <v>181</v>
      </c>
      <c r="MI18" s="12" t="s">
        <v>178</v>
      </c>
      <c r="MJ18" s="12" t="s">
        <v>177</v>
      </c>
      <c r="MK18" s="12"/>
      <c r="ML18" s="12"/>
      <c r="MM18" s="12"/>
      <c r="MN18" s="12"/>
      <c r="MO18" s="12"/>
      <c r="MP18" s="12"/>
      <c r="MQ18" s="12">
        <v>1</v>
      </c>
      <c r="MR18" s="13">
        <v>2</v>
      </c>
      <c r="MS18" s="24"/>
    </row>
    <row r="19" spans="1:357" x14ac:dyDescent="0.25">
      <c r="A19" t="s">
        <v>507</v>
      </c>
      <c r="B19" t="s">
        <v>571</v>
      </c>
      <c r="P19" t="s">
        <v>359</v>
      </c>
      <c r="T19" s="14" t="s">
        <v>406</v>
      </c>
      <c r="AC19" t="str">
        <f t="shared" ref="AC19:AC26" si="151">IF(AD18+AE18&gt;31,REPLACE(AC18,LEN(AC18),1,VALUE(RIGHT(AC18,1))+1),AC18)</f>
        <v>A5.2</v>
      </c>
      <c r="AD19" s="36" cm="1">
        <f t="array" ref="AD19">IF(COUNTIFS(AC$2:AC19,AC19)=1,"1",VALUE(SUBSTITUTE(INDEX(AD:AD,_xlfn.XMATCH(AC19,AC$1:AC18,0,-1)),"A",""))+INDEX(AE:AE,_xlfn.XMATCH(AC19,AC$1:AC18,0,-1))+1)</f>
        <v>2</v>
      </c>
      <c r="AE19" s="36" cm="1">
        <f t="array" ref="AE19">SUM(IF(ISNUMBER(FIND("TmDi",$BE$1:$AAL$1)),IF(IFERROR(ISNUMBER(VALUE(SUBSTITUTE($BE19:$AAL19,"B",""))),FALSE),IF(ISNUMBER(VALUE(SUBSTITUTE($BE19:$AAL19,"B",""))),1,0),0)))</f>
        <v>0</v>
      </c>
      <c r="AF19" t="str">
        <f t="shared" si="34"/>
        <v>C2</v>
      </c>
      <c r="AG19" t="str">
        <f t="shared" si="35"/>
        <v>B2</v>
      </c>
      <c r="AP19" t="s">
        <v>407</v>
      </c>
      <c r="AT19" t="s">
        <v>196</v>
      </c>
      <c r="AU19" t="s">
        <v>348</v>
      </c>
      <c r="LY19" s="24" t="str">
        <f>CONCATENATE("DI",REPLACE($AC19,1,3,""),"-",$AF19)</f>
        <v>DI2-C2</v>
      </c>
      <c r="MA19" t="s">
        <v>362</v>
      </c>
      <c r="MB19" t="s">
        <v>363</v>
      </c>
      <c r="MC19">
        <f t="shared" ref="MC19:MJ26" si="152">MC18</f>
        <v>11</v>
      </c>
      <c r="MD19">
        <f t="shared" si="152"/>
        <v>14</v>
      </c>
      <c r="ME19" t="str">
        <f t="shared" si="152"/>
        <v>A1</v>
      </c>
      <c r="MF19" t="str">
        <f t="shared" si="152"/>
        <v>A2</v>
      </c>
      <c r="MG19" t="str">
        <f t="shared" si="152"/>
        <v>0v3</v>
      </c>
      <c r="MH19" t="str">
        <f t="shared" si="152"/>
        <v>24v3</v>
      </c>
      <c r="MI19" t="str">
        <f t="shared" si="152"/>
        <v>0v6</v>
      </c>
      <c r="MJ19" t="str">
        <f t="shared" si="152"/>
        <v>24v6</v>
      </c>
      <c r="MQ19">
        <f>MQ18</f>
        <v>1</v>
      </c>
      <c r="MR19" s="16">
        <f>MR18</f>
        <v>2</v>
      </c>
    </row>
    <row r="20" spans="1:357" x14ac:dyDescent="0.25">
      <c r="A20" t="s">
        <v>508</v>
      </c>
      <c r="B20" t="s">
        <v>572</v>
      </c>
      <c r="P20" t="s">
        <v>359</v>
      </c>
      <c r="T20" s="14" t="s">
        <v>406</v>
      </c>
      <c r="AC20" t="str">
        <f t="shared" si="151"/>
        <v>A5.2</v>
      </c>
      <c r="AD20" s="36" cm="1">
        <f t="array" ref="AD20">IF(COUNTIFS(AC$2:AC20,AC20)=1,"1",VALUE(SUBSTITUTE(INDEX(AD:AD,_xlfn.XMATCH(AC20,AC$1:AC19,0,-1)),"A",""))+INDEX(AE:AE,_xlfn.XMATCH(AC20,AC$1:AC19,0,-1))+1)</f>
        <v>3</v>
      </c>
      <c r="AE20" s="36" cm="1">
        <f t="array" ref="AE20">SUM(IF(ISNUMBER(FIND("TmDi",$BE$1:$AAL$1)),IF(IFERROR(ISNUMBER(VALUE(SUBSTITUTE($BE20:$AAL20,"B",""))),FALSE),IF(ISNUMBER(VALUE(SUBSTITUTE($BE20:$AAL20,"B",""))),1,0),0)))</f>
        <v>0</v>
      </c>
      <c r="AF20" t="str">
        <f t="shared" si="34"/>
        <v>C3</v>
      </c>
      <c r="AG20" t="str">
        <f t="shared" si="35"/>
        <v>B3</v>
      </c>
      <c r="AP20" t="s">
        <v>407</v>
      </c>
      <c r="AT20" t="s">
        <v>196</v>
      </c>
      <c r="AU20" t="s">
        <v>348</v>
      </c>
      <c r="LY20" s="24" t="str">
        <f t="shared" ref="LY20:LY26" si="153">CONCATENATE("DI",REPLACE($AC20,1,3,""),"-",$AF20)</f>
        <v>DI2-C3</v>
      </c>
      <c r="MA20" t="s">
        <v>364</v>
      </c>
      <c r="MB20" t="s">
        <v>365</v>
      </c>
      <c r="MC20">
        <f t="shared" si="152"/>
        <v>11</v>
      </c>
      <c r="MD20">
        <f t="shared" si="152"/>
        <v>14</v>
      </c>
      <c r="ME20" t="str">
        <f t="shared" si="152"/>
        <v>A1</v>
      </c>
      <c r="MF20" t="str">
        <f t="shared" si="152"/>
        <v>A2</v>
      </c>
      <c r="MG20" t="str">
        <f t="shared" si="152"/>
        <v>0v3</v>
      </c>
      <c r="MH20" t="str">
        <f t="shared" si="152"/>
        <v>24v3</v>
      </c>
      <c r="MI20" t="str">
        <f t="shared" si="152"/>
        <v>0v6</v>
      </c>
      <c r="MJ20" t="str">
        <f t="shared" si="152"/>
        <v>24v6</v>
      </c>
      <c r="MQ20">
        <f t="shared" ref="MQ20:MR26" si="154">MQ19</f>
        <v>1</v>
      </c>
      <c r="MR20" s="16">
        <f t="shared" si="154"/>
        <v>2</v>
      </c>
    </row>
    <row r="21" spans="1:357" x14ac:dyDescent="0.25">
      <c r="A21" t="s">
        <v>509</v>
      </c>
      <c r="B21" t="s">
        <v>573</v>
      </c>
      <c r="P21" t="s">
        <v>359</v>
      </c>
      <c r="T21" s="14" t="s">
        <v>406</v>
      </c>
      <c r="AC21" t="str">
        <f t="shared" si="151"/>
        <v>A5.2</v>
      </c>
      <c r="AD21" s="36" cm="1">
        <f t="array" ref="AD21">IF(COUNTIFS(AC$2:AC21,AC21)=1,"1",VALUE(SUBSTITUTE(INDEX(AD:AD,_xlfn.XMATCH(AC21,AC$1:AC20,0,-1)),"A",""))+INDEX(AE:AE,_xlfn.XMATCH(AC21,AC$1:AC20,0,-1))+1)</f>
        <v>4</v>
      </c>
      <c r="AE21" s="36" cm="1">
        <f t="array" ref="AE21">SUM(IF(ISNUMBER(FIND("TmDi",$BE$1:$AAL$1)),IF(IFERROR(ISNUMBER(VALUE(SUBSTITUTE($BE21:$AAL21,"B",""))),FALSE),IF(ISNUMBER(VALUE(SUBSTITUTE($BE21:$AAL21,"B",""))),1,0),0)))</f>
        <v>0</v>
      </c>
      <c r="AF21" t="str">
        <f t="shared" si="34"/>
        <v>C4</v>
      </c>
      <c r="AG21" t="str">
        <f t="shared" si="35"/>
        <v>B4</v>
      </c>
      <c r="AP21" t="s">
        <v>407</v>
      </c>
      <c r="AT21" t="s">
        <v>196</v>
      </c>
      <c r="AU21" t="s">
        <v>348</v>
      </c>
      <c r="LY21" s="24" t="str">
        <f t="shared" si="153"/>
        <v>DI2-C4</v>
      </c>
      <c r="MA21" t="s">
        <v>366</v>
      </c>
      <c r="MB21" t="s">
        <v>367</v>
      </c>
      <c r="MC21">
        <f t="shared" si="152"/>
        <v>11</v>
      </c>
      <c r="MD21">
        <f t="shared" si="152"/>
        <v>14</v>
      </c>
      <c r="ME21" t="str">
        <f t="shared" si="152"/>
        <v>A1</v>
      </c>
      <c r="MF21" t="str">
        <f t="shared" si="152"/>
        <v>A2</v>
      </c>
      <c r="MG21" t="str">
        <f t="shared" si="152"/>
        <v>0v3</v>
      </c>
      <c r="MH21" t="str">
        <f t="shared" si="152"/>
        <v>24v3</v>
      </c>
      <c r="MI21" t="str">
        <f t="shared" si="152"/>
        <v>0v6</v>
      </c>
      <c r="MJ21" t="str">
        <f t="shared" si="152"/>
        <v>24v6</v>
      </c>
      <c r="MQ21">
        <f t="shared" si="154"/>
        <v>1</v>
      </c>
      <c r="MR21" s="16">
        <f t="shared" si="154"/>
        <v>2</v>
      </c>
    </row>
    <row r="22" spans="1:357" x14ac:dyDescent="0.25">
      <c r="A22" t="s">
        <v>510</v>
      </c>
      <c r="B22" t="s">
        <v>574</v>
      </c>
      <c r="P22" t="s">
        <v>359</v>
      </c>
      <c r="T22" s="14" t="s">
        <v>406</v>
      </c>
      <c r="AC22" t="str">
        <f t="shared" si="151"/>
        <v>A5.2</v>
      </c>
      <c r="AD22" s="36" cm="1">
        <f t="array" ref="AD22">IF(COUNTIFS(AC$2:AC22,AC22)=1,"1",VALUE(SUBSTITUTE(INDEX(AD:AD,_xlfn.XMATCH(AC22,AC$1:AC21,0,-1)),"A",""))+INDEX(AE:AE,_xlfn.XMATCH(AC22,AC$1:AC21,0,-1))+1)</f>
        <v>5</v>
      </c>
      <c r="AE22" s="36" cm="1">
        <f t="array" ref="AE22">SUM(IF(ISNUMBER(FIND("TmDi",$BE$1:$AAL$1)),IF(IFERROR(ISNUMBER(VALUE(SUBSTITUTE($BE22:$AAL22,"B",""))),FALSE),IF(ISNUMBER(VALUE(SUBSTITUTE($BE22:$AAL22,"B",""))),1,0),0)))</f>
        <v>0</v>
      </c>
      <c r="AF22" t="str">
        <f t="shared" si="34"/>
        <v>C5</v>
      </c>
      <c r="AG22" t="str">
        <f t="shared" si="35"/>
        <v>B5</v>
      </c>
      <c r="AP22" t="s">
        <v>407</v>
      </c>
      <c r="AT22" t="s">
        <v>196</v>
      </c>
      <c r="AU22" t="s">
        <v>348</v>
      </c>
      <c r="LY22" s="24" t="str">
        <f t="shared" si="153"/>
        <v>DI2-C5</v>
      </c>
      <c r="MA22" t="s">
        <v>368</v>
      </c>
      <c r="MB22" t="s">
        <v>369</v>
      </c>
      <c r="MC22">
        <f t="shared" si="152"/>
        <v>11</v>
      </c>
      <c r="MD22">
        <f t="shared" si="152"/>
        <v>14</v>
      </c>
      <c r="ME22" t="str">
        <f t="shared" si="152"/>
        <v>A1</v>
      </c>
      <c r="MF22" t="str">
        <f t="shared" si="152"/>
        <v>A2</v>
      </c>
      <c r="MG22" t="str">
        <f t="shared" si="152"/>
        <v>0v3</v>
      </c>
      <c r="MH22" t="str">
        <f t="shared" si="152"/>
        <v>24v3</v>
      </c>
      <c r="MI22" t="str">
        <f t="shared" si="152"/>
        <v>0v6</v>
      </c>
      <c r="MJ22" t="str">
        <f t="shared" si="152"/>
        <v>24v6</v>
      </c>
      <c r="MQ22">
        <f t="shared" si="154"/>
        <v>1</v>
      </c>
      <c r="MR22" s="16">
        <f t="shared" si="154"/>
        <v>2</v>
      </c>
    </row>
    <row r="23" spans="1:357" x14ac:dyDescent="0.25">
      <c r="A23" t="s">
        <v>511</v>
      </c>
      <c r="B23" t="s">
        <v>575</v>
      </c>
      <c r="P23" t="s">
        <v>359</v>
      </c>
      <c r="T23" s="14" t="s">
        <v>406</v>
      </c>
      <c r="AC23" t="str">
        <f t="shared" si="151"/>
        <v>A5.2</v>
      </c>
      <c r="AD23" s="36" cm="1">
        <f t="array" ref="AD23">IF(COUNTIFS(AC$2:AC23,AC23)=1,"1",VALUE(SUBSTITUTE(INDEX(AD:AD,_xlfn.XMATCH(AC23,AC$1:AC22,0,-1)),"A",""))+INDEX(AE:AE,_xlfn.XMATCH(AC23,AC$1:AC22,0,-1))+1)</f>
        <v>6</v>
      </c>
      <c r="AE23" s="36" cm="1">
        <f t="array" ref="AE23">SUM(IF(ISNUMBER(FIND("TmDi",$BE$1:$AAL$1)),IF(IFERROR(ISNUMBER(VALUE(SUBSTITUTE($BE23:$AAL23,"B",""))),FALSE),IF(ISNUMBER(VALUE(SUBSTITUTE($BE23:$AAL23,"B",""))),1,0),0)))</f>
        <v>0</v>
      </c>
      <c r="AF23" t="str">
        <f t="shared" si="34"/>
        <v>C6</v>
      </c>
      <c r="AG23" t="str">
        <f t="shared" si="35"/>
        <v>B6</v>
      </c>
      <c r="AP23" t="s">
        <v>407</v>
      </c>
      <c r="AT23" t="s">
        <v>196</v>
      </c>
      <c r="AU23" t="s">
        <v>348</v>
      </c>
      <c r="LY23" s="24" t="str">
        <f t="shared" si="153"/>
        <v>DI2-C6</v>
      </c>
      <c r="MA23" t="s">
        <v>370</v>
      </c>
      <c r="MB23" t="s">
        <v>371</v>
      </c>
      <c r="MC23">
        <f t="shared" si="152"/>
        <v>11</v>
      </c>
      <c r="MD23">
        <f t="shared" si="152"/>
        <v>14</v>
      </c>
      <c r="ME23" t="str">
        <f t="shared" si="152"/>
        <v>A1</v>
      </c>
      <c r="MF23" t="str">
        <f t="shared" si="152"/>
        <v>A2</v>
      </c>
      <c r="MG23" t="str">
        <f t="shared" si="152"/>
        <v>0v3</v>
      </c>
      <c r="MH23" t="str">
        <f t="shared" si="152"/>
        <v>24v3</v>
      </c>
      <c r="MI23" t="str">
        <f t="shared" si="152"/>
        <v>0v6</v>
      </c>
      <c r="MJ23" t="str">
        <f t="shared" si="152"/>
        <v>24v6</v>
      </c>
      <c r="MQ23">
        <f t="shared" si="154"/>
        <v>1</v>
      </c>
      <c r="MR23" s="16">
        <f t="shared" si="154"/>
        <v>2</v>
      </c>
    </row>
    <row r="24" spans="1:357" x14ac:dyDescent="0.25">
      <c r="A24" t="s">
        <v>512</v>
      </c>
      <c r="B24" t="s">
        <v>576</v>
      </c>
      <c r="P24" t="s">
        <v>359</v>
      </c>
      <c r="T24" s="14" t="s">
        <v>406</v>
      </c>
      <c r="AC24" t="str">
        <f t="shared" si="151"/>
        <v>A5.2</v>
      </c>
      <c r="AD24" s="36" cm="1">
        <f t="array" ref="AD24">IF(COUNTIFS(AC$2:AC24,AC24)=1,"1",VALUE(SUBSTITUTE(INDEX(AD:AD,_xlfn.XMATCH(AC24,AC$1:AC23,0,-1)),"A",""))+INDEX(AE:AE,_xlfn.XMATCH(AC24,AC$1:AC23,0,-1))+1)</f>
        <v>7</v>
      </c>
      <c r="AE24" s="36" cm="1">
        <f t="array" ref="AE24">SUM(IF(ISNUMBER(FIND("TmDi",$BE$1:$AAL$1)),IF(IFERROR(ISNUMBER(VALUE(SUBSTITUTE($BE24:$AAL24,"B",""))),FALSE),IF(ISNUMBER(VALUE(SUBSTITUTE($BE24:$AAL24,"B",""))),1,0),0)))</f>
        <v>0</v>
      </c>
      <c r="AF24" t="str">
        <f t="shared" si="34"/>
        <v>C7</v>
      </c>
      <c r="AG24" t="str">
        <f t="shared" si="35"/>
        <v>B7</v>
      </c>
      <c r="AP24" t="s">
        <v>407</v>
      </c>
      <c r="AT24" t="s">
        <v>196</v>
      </c>
      <c r="AU24" t="s">
        <v>348</v>
      </c>
      <c r="LY24" s="24" t="str">
        <f t="shared" si="153"/>
        <v>DI2-C7</v>
      </c>
      <c r="MA24" t="s">
        <v>372</v>
      </c>
      <c r="MB24" t="s">
        <v>373</v>
      </c>
      <c r="MC24">
        <f t="shared" si="152"/>
        <v>11</v>
      </c>
      <c r="MD24">
        <f t="shared" si="152"/>
        <v>14</v>
      </c>
      <c r="ME24" t="str">
        <f t="shared" si="152"/>
        <v>A1</v>
      </c>
      <c r="MF24" t="str">
        <f t="shared" si="152"/>
        <v>A2</v>
      </c>
      <c r="MG24" t="str">
        <f t="shared" si="152"/>
        <v>0v3</v>
      </c>
      <c r="MH24" t="str">
        <f t="shared" si="152"/>
        <v>24v3</v>
      </c>
      <c r="MI24" t="str">
        <f t="shared" si="152"/>
        <v>0v6</v>
      </c>
      <c r="MJ24" t="str">
        <f t="shared" si="152"/>
        <v>24v6</v>
      </c>
      <c r="MQ24">
        <f t="shared" si="154"/>
        <v>1</v>
      </c>
      <c r="MR24" s="16">
        <f t="shared" si="154"/>
        <v>2</v>
      </c>
    </row>
    <row r="25" spans="1:357" x14ac:dyDescent="0.25">
      <c r="A25" t="s">
        <v>513</v>
      </c>
      <c r="B25" t="s">
        <v>577</v>
      </c>
      <c r="P25" t="s">
        <v>359</v>
      </c>
      <c r="T25" s="14" t="s">
        <v>406</v>
      </c>
      <c r="AC25" t="str">
        <f t="shared" si="151"/>
        <v>A5.2</v>
      </c>
      <c r="AD25" s="36" cm="1">
        <f t="array" ref="AD25">IF(COUNTIFS(AC$2:AC25,AC25)=1,"1",VALUE(SUBSTITUTE(INDEX(AD:AD,_xlfn.XMATCH(AC25,AC$1:AC24,0,-1)),"A",""))+INDEX(AE:AE,_xlfn.XMATCH(AC25,AC$1:AC24,0,-1))+1)</f>
        <v>8</v>
      </c>
      <c r="AE25" s="36" cm="1">
        <f t="array" ref="AE25">SUM(IF(ISNUMBER(FIND("TmDi",$BE$1:$AAL$1)),IF(IFERROR(ISNUMBER(VALUE(SUBSTITUTE($BE25:$AAL25,"B",""))),FALSE),IF(ISNUMBER(VALUE(SUBSTITUTE($BE25:$AAL25,"B",""))),1,0),0)))</f>
        <v>0</v>
      </c>
      <c r="AF25" t="str">
        <f t="shared" si="34"/>
        <v>C8</v>
      </c>
      <c r="AG25" t="str">
        <f t="shared" si="35"/>
        <v>B8</v>
      </c>
      <c r="AP25" t="s">
        <v>407</v>
      </c>
      <c r="AT25" t="s">
        <v>196</v>
      </c>
      <c r="AU25" t="s">
        <v>348</v>
      </c>
      <c r="LY25" s="24" t="str">
        <f t="shared" si="153"/>
        <v>DI2-C8</v>
      </c>
      <c r="MA25" t="s">
        <v>374</v>
      </c>
      <c r="MB25" t="s">
        <v>375</v>
      </c>
      <c r="MC25">
        <f t="shared" si="152"/>
        <v>11</v>
      </c>
      <c r="MD25">
        <f t="shared" si="152"/>
        <v>14</v>
      </c>
      <c r="ME25" t="str">
        <f t="shared" si="152"/>
        <v>A1</v>
      </c>
      <c r="MF25" t="str">
        <f t="shared" si="152"/>
        <v>A2</v>
      </c>
      <c r="MG25" t="str">
        <f t="shared" si="152"/>
        <v>0v3</v>
      </c>
      <c r="MH25" t="str">
        <f t="shared" si="152"/>
        <v>24v3</v>
      </c>
      <c r="MI25" t="str">
        <f t="shared" si="152"/>
        <v>0v6</v>
      </c>
      <c r="MJ25" t="str">
        <f t="shared" si="152"/>
        <v>24v6</v>
      </c>
      <c r="MQ25">
        <f t="shared" si="154"/>
        <v>1</v>
      </c>
      <c r="MR25" s="16">
        <f t="shared" si="154"/>
        <v>2</v>
      </c>
    </row>
    <row r="26" spans="1:357" s="18" customFormat="1" ht="15.75" thickBot="1" x14ac:dyDescent="0.3">
      <c r="A26" s="18" t="s">
        <v>514</v>
      </c>
      <c r="B26" s="18" t="s">
        <v>578</v>
      </c>
      <c r="P26" s="18" t="s">
        <v>359</v>
      </c>
      <c r="T26" s="17" t="s">
        <v>406</v>
      </c>
      <c r="AC26" s="18" t="str">
        <f t="shared" si="151"/>
        <v>A5.2</v>
      </c>
      <c r="AD26" s="37" cm="1">
        <f t="array" ref="AD26">IF(COUNTIFS(AC$2:AC26,AC26)=1,"1",VALUE(SUBSTITUTE(INDEX(AD:AD,_xlfn.XMATCH(AC26,AC$1:AC25,0,-1)),"A",""))+INDEX(AE:AE,_xlfn.XMATCH(AC26,AC$1:AC25,0,-1))+1)</f>
        <v>9</v>
      </c>
      <c r="AE26" s="37" cm="1">
        <f t="array" ref="AE26">SUM(IF(ISNUMBER(FIND("TmDi",$BE$1:$AAL$1)),IF(IFERROR(ISNUMBER(VALUE(SUBSTITUTE($BE26:$AAL26,"B",""))),FALSE),IF(ISNUMBER(VALUE(SUBSTITUTE($BE26:$AAL26,"B",""))),1,0),0)))</f>
        <v>0</v>
      </c>
      <c r="AF26" s="18" t="str">
        <f t="shared" si="34"/>
        <v>C9</v>
      </c>
      <c r="AG26" s="18" t="str">
        <f t="shared" si="35"/>
        <v>B9</v>
      </c>
      <c r="AI26" s="49"/>
      <c r="AJ26" s="49"/>
      <c r="AP26" s="18" t="s">
        <v>407</v>
      </c>
      <c r="AT26" s="18" t="s">
        <v>196</v>
      </c>
      <c r="AU26" s="18" t="s">
        <v>348</v>
      </c>
      <c r="LY26" s="25" t="str">
        <f t="shared" si="153"/>
        <v>DI2-C9</v>
      </c>
      <c r="MA26" s="18" t="s">
        <v>376</v>
      </c>
      <c r="MB26" s="18" t="s">
        <v>377</v>
      </c>
      <c r="MC26" s="18">
        <f t="shared" si="152"/>
        <v>11</v>
      </c>
      <c r="MD26" s="18">
        <f t="shared" si="152"/>
        <v>14</v>
      </c>
      <c r="ME26" s="18" t="str">
        <f t="shared" si="152"/>
        <v>A1</v>
      </c>
      <c r="MF26" s="18" t="str">
        <f t="shared" si="152"/>
        <v>A2</v>
      </c>
      <c r="MG26" s="18" t="str">
        <f t="shared" si="152"/>
        <v>0v3</v>
      </c>
      <c r="MH26" s="18" t="str">
        <f t="shared" si="152"/>
        <v>24v3</v>
      </c>
      <c r="MI26" s="18" t="str">
        <f t="shared" si="152"/>
        <v>0v6</v>
      </c>
      <c r="MJ26" s="18" t="str">
        <f t="shared" si="152"/>
        <v>24v6</v>
      </c>
      <c r="MQ26" s="18">
        <f t="shared" si="154"/>
        <v>1</v>
      </c>
      <c r="MR26" s="19">
        <f t="shared" si="154"/>
        <v>2</v>
      </c>
    </row>
  </sheetData>
  <autoFilter ref="P1:P12" xr:uid="{00000000-0001-0000-0000-000000000000}"/>
  <customSheetViews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ADC63B3C-F6F2-4D91-85C2-AB21F5656CE0}"/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1C914084-93A8-48C9-BC68-5C567F1A4C74}">
        <filterColumn colId="0">
          <filters>
            <filter val="se0009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BFB671EE-7DD3-4EDB-980F-A5891B817CBD}">
        <filterColumn colId="0">
          <filters>
            <filter val="se0008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00A2C5CC-020F-4B58-B712-011529F7C8E4}">
        <filterColumn colId="0">
          <filters>
            <filter val="se0005"/>
            <filter val="se0006"/>
            <filter val="se0007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5D40F7F5-31EA-477C-9698-C5563B1383F6}">
        <filterColumn colId="0">
          <filters>
            <filter val="se0003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714C3D10-5433-4CE7-9ED5-88CEAB26824B}">
        <filterColumn colId="0">
          <filters>
            <filter val="se0001"/>
            <filter val="se0002"/>
          </filters>
        </filterColumn>
      </autoFilter>
    </customSheetView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A052FCBA-8291-4354-A701-EAC8EB0A1250}">
        <filterColumn colId="0">
          <filters>
            <filter val="se0004"/>
          </filters>
        </filterColumn>
      </autoFilter>
    </customSheetView>
  </customSheetViews>
  <phoneticPr fontId="3" type="noConversion"/>
  <conditionalFormatting sqref="V1:W1048576">
    <cfRule type="duplicateValues" dxfId="11" priority="36"/>
  </conditionalFormatting>
  <conditionalFormatting sqref="Y1:Y1048576">
    <cfRule type="cellIs" dxfId="10" priority="5" operator="greaterThan">
      <formula>8</formula>
    </cfRule>
    <cfRule type="cellIs" dxfId="9" priority="37" operator="equal">
      <formula>"Y:Y+Z:Z&gt;8"</formula>
    </cfRule>
  </conditionalFormatting>
  <conditionalFormatting sqref="AD1">
    <cfRule type="cellIs" dxfId="8" priority="35" operator="equal">
      <formula>"Y:Y+Z:Z&gt;8"</formula>
    </cfRule>
  </conditionalFormatting>
  <conditionalFormatting sqref="AD4:AD5">
    <cfRule type="cellIs" dxfId="7" priority="30" operator="equal">
      <formula>"Y:Y+Z:Z&gt;8"</formula>
    </cfRule>
  </conditionalFormatting>
  <conditionalFormatting sqref="AD11:AD26">
    <cfRule type="cellIs" dxfId="6" priority="24" operator="equal">
      <formula>"Y:Y+Z:Z&gt;8"</formula>
    </cfRule>
  </conditionalFormatting>
  <conditionalFormatting sqref="AI1">
    <cfRule type="cellIs" dxfId="5" priority="32" operator="equal">
      <formula>"Y:Y+Z:Z&gt;8"</formula>
    </cfRule>
  </conditionalFormatting>
  <conditionalFormatting sqref="AI13:AI17">
    <cfRule type="cellIs" dxfId="4" priority="25" operator="equal">
      <formula>"Y:Y+Z:Z&gt;8"</formula>
    </cfRule>
  </conditionalFormatting>
  <conditionalFormatting sqref="A6:A8 A10:A12 A18:A1048576 A1:A3">
    <cfRule type="duplicateValues" dxfId="3" priority="128"/>
  </conditionalFormatting>
  <conditionalFormatting sqref="B13:B1048576 B1">
    <cfRule type="duplicateValues" dxfId="2" priority="137"/>
  </conditionalFormatting>
  <conditionalFormatting sqref="V13:W14 V15:V1048576 V1:V12">
    <cfRule type="duplicateValues" dxfId="1" priority="147"/>
  </conditionalFormatting>
  <conditionalFormatting sqref="A1">
    <cfRule type="duplicateValues" dxfId="0" priority="148"/>
  </conditionalFormatting>
  <pageMargins left="0.7" right="0.7" top="0.75" bottom="0.75" header="0.3" footer="0.3"/>
  <pageSetup paperSize="9" orientation="portrait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4774-E616-40C5-A368-D4384F05BD61}">
  <dimension ref="A1:E38"/>
  <sheetViews>
    <sheetView workbookViewId="0">
      <selection activeCell="C27" sqref="C27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4" t="s">
        <v>224</v>
      </c>
      <c r="B1" s="5" t="s">
        <v>226</v>
      </c>
      <c r="C1" s="5" t="s">
        <v>227</v>
      </c>
      <c r="D1" s="9" t="s">
        <v>225</v>
      </c>
    </row>
    <row r="2" spans="1:5" x14ac:dyDescent="0.25">
      <c r="A2" t="s">
        <v>221</v>
      </c>
      <c r="B2" t="s">
        <v>222</v>
      </c>
      <c r="C2" t="s">
        <v>223</v>
      </c>
      <c r="D2" t="s">
        <v>228</v>
      </c>
      <c r="E2" t="s">
        <v>352</v>
      </c>
    </row>
    <row r="3" spans="1:5" x14ac:dyDescent="0.25">
      <c r="A3" t="s">
        <v>229</v>
      </c>
      <c r="B3" t="s">
        <v>230</v>
      </c>
      <c r="C3" t="s">
        <v>223</v>
      </c>
      <c r="D3" t="s">
        <v>228</v>
      </c>
      <c r="E3" t="s">
        <v>352</v>
      </c>
    </row>
    <row r="4" spans="1:5" x14ac:dyDescent="0.25">
      <c r="A4" t="s">
        <v>231</v>
      </c>
      <c r="B4" t="s">
        <v>232</v>
      </c>
      <c r="C4" t="s">
        <v>223</v>
      </c>
      <c r="D4" t="s">
        <v>228</v>
      </c>
      <c r="E4" t="s">
        <v>352</v>
      </c>
    </row>
    <row r="5" spans="1:5" x14ac:dyDescent="0.25">
      <c r="A5" t="s">
        <v>233</v>
      </c>
      <c r="B5" t="s">
        <v>234</v>
      </c>
      <c r="C5" t="s">
        <v>223</v>
      </c>
      <c r="D5" t="s">
        <v>228</v>
      </c>
      <c r="E5" t="s">
        <v>352</v>
      </c>
    </row>
    <row r="6" spans="1:5" x14ac:dyDescent="0.25">
      <c r="A6" t="s">
        <v>235</v>
      </c>
      <c r="B6" t="s">
        <v>236</v>
      </c>
      <c r="C6" t="s">
        <v>223</v>
      </c>
      <c r="D6" t="s">
        <v>228</v>
      </c>
      <c r="E6" t="s">
        <v>352</v>
      </c>
    </row>
    <row r="7" spans="1:5" x14ac:dyDescent="0.25">
      <c r="A7" t="s">
        <v>237</v>
      </c>
      <c r="B7" t="s">
        <v>238</v>
      </c>
      <c r="C7" t="s">
        <v>223</v>
      </c>
      <c r="D7" t="s">
        <v>228</v>
      </c>
      <c r="E7" t="s">
        <v>352</v>
      </c>
    </row>
    <row r="8" spans="1:5" x14ac:dyDescent="0.25">
      <c r="A8" t="s">
        <v>239</v>
      </c>
      <c r="B8" t="s">
        <v>240</v>
      </c>
      <c r="C8" t="s">
        <v>223</v>
      </c>
      <c r="D8" t="s">
        <v>228</v>
      </c>
      <c r="E8" t="s">
        <v>352</v>
      </c>
    </row>
    <row r="9" spans="1:5" x14ac:dyDescent="0.25">
      <c r="A9" t="s">
        <v>241</v>
      </c>
      <c r="B9" t="s">
        <v>242</v>
      </c>
      <c r="C9" t="s">
        <v>223</v>
      </c>
      <c r="D9" t="s">
        <v>228</v>
      </c>
      <c r="E9" t="s">
        <v>352</v>
      </c>
    </row>
    <row r="10" spans="1:5" x14ac:dyDescent="0.25">
      <c r="A10" t="s">
        <v>244</v>
      </c>
      <c r="B10" t="s">
        <v>243</v>
      </c>
      <c r="C10" t="s">
        <v>223</v>
      </c>
      <c r="D10" t="s">
        <v>228</v>
      </c>
      <c r="E10" t="s">
        <v>352</v>
      </c>
    </row>
    <row r="11" spans="1:5" x14ac:dyDescent="0.25">
      <c r="A11" t="s">
        <v>245</v>
      </c>
      <c r="B11" t="s">
        <v>246</v>
      </c>
      <c r="C11" t="s">
        <v>223</v>
      </c>
      <c r="D11" t="s">
        <v>228</v>
      </c>
      <c r="E11" t="s">
        <v>352</v>
      </c>
    </row>
    <row r="12" spans="1:5" x14ac:dyDescent="0.25">
      <c r="A12" t="s">
        <v>247</v>
      </c>
      <c r="B12" t="s">
        <v>248</v>
      </c>
      <c r="C12" t="s">
        <v>223</v>
      </c>
      <c r="D12" t="s">
        <v>228</v>
      </c>
      <c r="E12" t="s">
        <v>352</v>
      </c>
    </row>
    <row r="13" spans="1:5" x14ac:dyDescent="0.25">
      <c r="A13" t="s">
        <v>249</v>
      </c>
      <c r="B13" t="s">
        <v>250</v>
      </c>
      <c r="C13" t="s">
        <v>223</v>
      </c>
      <c r="D13" t="s">
        <v>228</v>
      </c>
      <c r="E13" t="s">
        <v>352</v>
      </c>
    </row>
    <row r="14" spans="1:5" x14ac:dyDescent="0.25">
      <c r="A14" t="s">
        <v>251</v>
      </c>
      <c r="B14" t="s">
        <v>252</v>
      </c>
      <c r="C14" t="s">
        <v>223</v>
      </c>
      <c r="D14" t="s">
        <v>228</v>
      </c>
      <c r="E14" t="s">
        <v>352</v>
      </c>
    </row>
    <row r="15" spans="1:5" x14ac:dyDescent="0.25">
      <c r="A15" t="s">
        <v>253</v>
      </c>
      <c r="B15" t="s">
        <v>254</v>
      </c>
      <c r="C15" t="s">
        <v>223</v>
      </c>
      <c r="D15" t="s">
        <v>228</v>
      </c>
      <c r="E15" t="s">
        <v>352</v>
      </c>
    </row>
    <row r="16" spans="1:5" x14ac:dyDescent="0.25">
      <c r="A16" t="s">
        <v>255</v>
      </c>
      <c r="B16" t="s">
        <v>256</v>
      </c>
      <c r="C16" t="s">
        <v>223</v>
      </c>
      <c r="D16" t="s">
        <v>228</v>
      </c>
      <c r="E16" t="s">
        <v>352</v>
      </c>
    </row>
    <row r="17" spans="1:5" x14ac:dyDescent="0.25">
      <c r="A17" t="s">
        <v>257</v>
      </c>
      <c r="B17" t="s">
        <v>258</v>
      </c>
      <c r="C17" t="s">
        <v>223</v>
      </c>
      <c r="D17" t="s">
        <v>228</v>
      </c>
      <c r="E17" t="s">
        <v>352</v>
      </c>
    </row>
    <row r="18" spans="1:5" x14ac:dyDescent="0.25">
      <c r="A18" t="s">
        <v>259</v>
      </c>
      <c r="B18" t="s">
        <v>386</v>
      </c>
      <c r="C18" t="s">
        <v>260</v>
      </c>
      <c r="D18" t="s">
        <v>228</v>
      </c>
      <c r="E18" t="s">
        <v>352</v>
      </c>
    </row>
    <row r="19" spans="1:5" x14ac:dyDescent="0.25">
      <c r="A19" t="s">
        <v>339</v>
      </c>
      <c r="B19" t="s">
        <v>388</v>
      </c>
      <c r="C19" t="s">
        <v>260</v>
      </c>
      <c r="D19" t="s">
        <v>228</v>
      </c>
      <c r="E19" t="s">
        <v>352</v>
      </c>
    </row>
    <row r="20" spans="1:5" x14ac:dyDescent="0.25">
      <c r="A20" t="s">
        <v>340</v>
      </c>
      <c r="B20" t="s">
        <v>389</v>
      </c>
      <c r="C20" t="s">
        <v>260</v>
      </c>
      <c r="D20" t="s">
        <v>228</v>
      </c>
      <c r="E20" t="s">
        <v>352</v>
      </c>
    </row>
    <row r="21" spans="1:5" x14ac:dyDescent="0.25">
      <c r="A21" t="s">
        <v>341</v>
      </c>
      <c r="B21" t="s">
        <v>390</v>
      </c>
      <c r="C21" t="s">
        <v>260</v>
      </c>
      <c r="D21" t="s">
        <v>228</v>
      </c>
      <c r="E21" t="s">
        <v>352</v>
      </c>
    </row>
    <row r="22" spans="1:5" x14ac:dyDescent="0.25">
      <c r="A22" t="s">
        <v>342</v>
      </c>
      <c r="B22" t="s">
        <v>391</v>
      </c>
      <c r="C22" t="s">
        <v>260</v>
      </c>
      <c r="D22" t="s">
        <v>228</v>
      </c>
      <c r="E22" t="s">
        <v>352</v>
      </c>
    </row>
    <row r="23" spans="1:5" x14ac:dyDescent="0.25">
      <c r="A23" t="s">
        <v>343</v>
      </c>
      <c r="B23" t="s">
        <v>392</v>
      </c>
      <c r="C23" t="s">
        <v>260</v>
      </c>
      <c r="D23" t="s">
        <v>228</v>
      </c>
      <c r="E23" t="s">
        <v>352</v>
      </c>
    </row>
    <row r="24" spans="1:5" x14ac:dyDescent="0.25">
      <c r="A24" t="s">
        <v>344</v>
      </c>
      <c r="B24" t="s">
        <v>393</v>
      </c>
      <c r="C24" t="s">
        <v>260</v>
      </c>
      <c r="D24" t="s">
        <v>228</v>
      </c>
      <c r="E24" t="s">
        <v>352</v>
      </c>
    </row>
    <row r="25" spans="1:5" x14ac:dyDescent="0.25">
      <c r="A25" t="s">
        <v>349</v>
      </c>
      <c r="B25" t="s">
        <v>387</v>
      </c>
      <c r="C25" t="s">
        <v>350</v>
      </c>
      <c r="D25" t="s">
        <v>228</v>
      </c>
      <c r="E25" t="s">
        <v>353</v>
      </c>
    </row>
    <row r="26" spans="1:5" x14ac:dyDescent="0.25">
      <c r="A26" t="s">
        <v>351</v>
      </c>
      <c r="B26" t="s">
        <v>385</v>
      </c>
      <c r="C26" t="s">
        <v>260</v>
      </c>
      <c r="D26" t="s">
        <v>228</v>
      </c>
      <c r="E26" t="s">
        <v>354</v>
      </c>
    </row>
    <row r="27" spans="1:5" x14ac:dyDescent="0.25">
      <c r="A27" t="s">
        <v>378</v>
      </c>
      <c r="B27" t="s">
        <v>497</v>
      </c>
      <c r="C27" t="s">
        <v>505</v>
      </c>
      <c r="D27" t="s">
        <v>228</v>
      </c>
      <c r="E27" t="s">
        <v>354</v>
      </c>
    </row>
    <row r="28" spans="1:5" x14ac:dyDescent="0.25">
      <c r="A28" t="s">
        <v>378</v>
      </c>
      <c r="B28" t="s">
        <v>501</v>
      </c>
      <c r="C28" t="s">
        <v>223</v>
      </c>
      <c r="D28" t="s">
        <v>228</v>
      </c>
      <c r="E28" t="s">
        <v>354</v>
      </c>
    </row>
    <row r="29" spans="1:5" x14ac:dyDescent="0.25">
      <c r="A29" t="s">
        <v>379</v>
      </c>
      <c r="B29" t="s">
        <v>498</v>
      </c>
      <c r="C29" t="s">
        <v>223</v>
      </c>
      <c r="D29" t="s">
        <v>228</v>
      </c>
      <c r="E29" t="s">
        <v>354</v>
      </c>
    </row>
    <row r="30" spans="1:5" x14ac:dyDescent="0.25">
      <c r="A30" t="s">
        <v>379</v>
      </c>
      <c r="B30" t="s">
        <v>502</v>
      </c>
      <c r="C30" t="s">
        <v>223</v>
      </c>
      <c r="D30" t="s">
        <v>228</v>
      </c>
      <c r="E30" t="s">
        <v>354</v>
      </c>
    </row>
    <row r="31" spans="1:5" x14ac:dyDescent="0.25">
      <c r="A31" t="s">
        <v>380</v>
      </c>
      <c r="B31" t="s">
        <v>499</v>
      </c>
      <c r="C31" t="s">
        <v>223</v>
      </c>
      <c r="D31" t="s">
        <v>228</v>
      </c>
      <c r="E31" t="s">
        <v>352</v>
      </c>
    </row>
    <row r="32" spans="1:5" x14ac:dyDescent="0.25">
      <c r="A32" t="s">
        <v>380</v>
      </c>
      <c r="B32" t="s">
        <v>503</v>
      </c>
      <c r="C32" t="s">
        <v>223</v>
      </c>
      <c r="D32" t="s">
        <v>228</v>
      </c>
      <c r="E32" t="s">
        <v>352</v>
      </c>
    </row>
    <row r="33" spans="1:5" x14ac:dyDescent="0.25">
      <c r="A33" t="s">
        <v>381</v>
      </c>
      <c r="B33" t="s">
        <v>500</v>
      </c>
      <c r="C33" t="s">
        <v>223</v>
      </c>
      <c r="D33" t="s">
        <v>228</v>
      </c>
      <c r="E33" t="s">
        <v>352</v>
      </c>
    </row>
    <row r="34" spans="1:5" x14ac:dyDescent="0.25">
      <c r="A34" t="s">
        <v>381</v>
      </c>
      <c r="B34" t="s">
        <v>504</v>
      </c>
      <c r="C34" t="s">
        <v>223</v>
      </c>
      <c r="D34" t="s">
        <v>228</v>
      </c>
      <c r="E34" t="s">
        <v>352</v>
      </c>
    </row>
    <row r="35" spans="1:5" x14ac:dyDescent="0.25">
      <c r="A35" t="s">
        <v>382</v>
      </c>
      <c r="C35" t="s">
        <v>223</v>
      </c>
      <c r="D35" t="s">
        <v>383</v>
      </c>
    </row>
    <row r="36" spans="1:5" x14ac:dyDescent="0.25">
      <c r="A36" t="s">
        <v>382</v>
      </c>
      <c r="C36" t="s">
        <v>223</v>
      </c>
      <c r="D36" t="s">
        <v>384</v>
      </c>
    </row>
    <row r="37" spans="1:5" x14ac:dyDescent="0.25">
      <c r="A37" t="s">
        <v>228</v>
      </c>
      <c r="B37" t="s">
        <v>222</v>
      </c>
      <c r="C37" t="s">
        <v>223</v>
      </c>
      <c r="D37" t="s">
        <v>383</v>
      </c>
    </row>
    <row r="38" spans="1:5" x14ac:dyDescent="0.25">
      <c r="A38" t="s">
        <v>228</v>
      </c>
      <c r="B38" t="s">
        <v>230</v>
      </c>
      <c r="C38" t="s">
        <v>223</v>
      </c>
      <c r="D38" t="s">
        <v>384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2025-07-23T09:28:20Z</dcterms:modified>
</cp:coreProperties>
</file>