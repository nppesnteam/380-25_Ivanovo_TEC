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ГРП-1\"/>
    </mc:Choice>
  </mc:AlternateContent>
  <xr:revisionPtr revIDLastSave="0" documentId="13_ncr:1_{3AA9B03B-C98A-400B-8481-91E8EC085C64}" xr6:coauthVersionLast="47" xr6:coauthVersionMax="47" xr10:uidLastSave="{00000000-0000-0000-0000-000000000000}"/>
  <bookViews>
    <workbookView xWindow="-28920" yWindow="-120" windowWidth="29040" windowHeight="15840" tabRatio="688" xr2:uid="{00000000-000D-0000-FFFF-FFFF00000000}"/>
  </bookViews>
  <sheets>
    <sheet name="Лист1" sheetId="1" r:id="rId1"/>
    <sheet name="250632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'2506320'!$P$1:$P$294</definedName>
    <definedName name="_xlnm._FilterDatabase" localSheetId="0" hidden="1">Лист1!$P$1:$P$12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'2506320'!$D:$O,'2506320'!$Q:$S,'2506320'!$W:$W,'2506320'!$AC:$AO,'2506320'!$AQ:$AR,'2506320'!$AT:$AU,'2506320'!$AY:$JY</definedName>
    <definedName name="Z_2AA7760F_427D_46EA_9E7F_EB5415B3542C_.wvu.Cols" localSheetId="0" hidden="1">Лист1!$D:$O,Лист1!$Q:$S,Лист1!$W:$W,Лист1!$AC:$AO,Лист1!$AQ:$AR,Лист1!$AT:$AU,Лист1!$AY:$HW</definedName>
    <definedName name="Z_2AA7760F_427D_46EA_9E7F_EB5415B3542C_.wvu.FilterData" localSheetId="2" hidden="1">'250620'!$P$1:$P$152</definedName>
    <definedName name="Z_2AA7760F_427D_46EA_9E7F_EB5415B3542C_.wvu.FilterData" localSheetId="1" hidden="1">'2506320'!$P$1:$P$152</definedName>
    <definedName name="Z_2AA7760F_427D_46EA_9E7F_EB5415B3542C_.wvu.FilterData" localSheetId="0" hidden="1">Лист1!$P$1:$P$1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'2506320'!$D:$O,'2506320'!$Q:$S,'2506320'!$W:$AB,'2506320'!$AH:$AO,'2506320'!$AQ:$AS,'2506320'!$AU:$AU,'2506320'!$AY:$KS</definedName>
    <definedName name="Z_6000112E_A5E6_4231_BD98_47DC722AA734_.wvu.Cols" localSheetId="0" hidden="1">Лист1!$D:$O,Лист1!$Q:$S,Лист1!$W:$AB,Лист1!$AH:$AO,Лист1!$AQ:$AS,Лист1!$AU:$AU,Лист1!$AY:$IQ</definedName>
    <definedName name="Z_6000112E_A5E6_4231_BD98_47DC722AA734_.wvu.FilterData" localSheetId="2" hidden="1">'250620'!$P$1:$P$186</definedName>
    <definedName name="Z_6000112E_A5E6_4231_BD98_47DC722AA734_.wvu.FilterData" localSheetId="1" hidden="1">'2506320'!$P$1:$P$186</definedName>
    <definedName name="Z_6000112E_A5E6_4231_BD98_47DC722AA734_.wvu.FilterData" localSheetId="0" hidden="1">Лист1!$P$1:$P$1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'2506320'!$D:$O,'2506320'!$Q:$S,'2506320'!$W:$W,'2506320'!$AC:$AO,'2506320'!$AR:$AR,'2506320'!$AT:$AU,'2506320'!$AY:$LM</definedName>
    <definedName name="Z_7FEA431A_A608_4A51_A317_26884A517696_.wvu.Cols" localSheetId="0" hidden="1">Лист1!$D:$O,Лист1!$Q:$S,Лист1!$W:$W,Лист1!$AC:$AO,Лист1!$AR:$AR,Лист1!$AT:$AU,Лист1!$AY:$IQ</definedName>
    <definedName name="Z_7FEA431A_A608_4A51_A317_26884A517696_.wvu.FilterData" localSheetId="2" hidden="1">'250620'!$P$1:$P$186</definedName>
    <definedName name="Z_7FEA431A_A608_4A51_A317_26884A517696_.wvu.FilterData" localSheetId="1" hidden="1">'2506320'!$P$1:$P$186</definedName>
    <definedName name="Z_7FEA431A_A608_4A51_A317_26884A517696_.wvu.FilterData" localSheetId="0" hidden="1">Лист1!$P$1:$P$1</definedName>
    <definedName name="Z_9CAC7FA4_7183_4976_BDEB_B1D0832FBE64_.wvu.Cols" localSheetId="2" hidden="1">'250620'!$D:$O,'250620'!$Q:$S</definedName>
    <definedName name="Z_9CAC7FA4_7183_4976_BDEB_B1D0832FBE64_.wvu.Cols" localSheetId="1" hidden="1">'2506320'!$D:$O,'2506320'!$Q:$S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'2506320'!$P$1:$P$186</definedName>
    <definedName name="Z_9CAC7FA4_7183_4976_BDEB_B1D0832FBE64_.wvu.FilterData" localSheetId="0" hidden="1">Лист1!$P$1:$P$1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'2506320'!$C:$O,'2506320'!$Q:$S,'2506320'!$AV:$AX,'2506320'!$BE:$EQ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'2506320'!$P$1:$P$42</definedName>
    <definedName name="Z_A7A1A132_6B40_4748_B234_5C4C7FE3C00A_.wvu.FilterData" localSheetId="0" hidden="1">Лист1!$P$1:$P$1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'2506320'!$C:$O,'2506320'!$Q:$S,'2506320'!$AN:$AO,'2506320'!$AR:$AR,'2506320'!$AY:$BD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'2506320'!$P$1:$P$42</definedName>
    <definedName name="Z_C835B057_266C_4AD9_BD8A_E692A165D221_.wvu.FilterData" localSheetId="0" hidden="1">Лист1!$P$1:$P$1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'2506320'!$C:$O,'2506320'!$Q:$S,'2506320'!$AN:$AO,'2506320'!$AR:$AR,'2506320'!$AV:$AX,'2506320'!$BE:$GS</definedName>
    <definedName name="Z_FF0A9AC6_3E8C_4AE0_B1AB_88458BDDC2AD_.wvu.Cols" localSheetId="0" hidden="1">Лист1!$C:$O,Лист1!$Q:$S,Лист1!$AN:$AO,Лист1!$AR:$AR,Лист1!$AV:$AX,Лист1!$BE:$EQ</definedName>
    <definedName name="Z_FF0A9AC6_3E8C_4AE0_B1AB_88458BDDC2AD_.wvu.FilterData" localSheetId="2" hidden="1">'250620'!$P$1:$P$44</definedName>
    <definedName name="Z_FF0A9AC6_3E8C_4AE0_B1AB_88458BDDC2AD_.wvu.FilterData" localSheetId="1" hidden="1">'2506320'!$P$1:$P$44</definedName>
    <definedName name="Z_FF0A9AC6_3E8C_4AE0_B1AB_88458BDDC2AD_.wvu.FilterData" localSheetId="0" hidden="1">Лист1!$P$1:$P$1</definedName>
  </definedNames>
  <calcPr calcId="191029"/>
  <customWorkbookViews>
    <customWorkbookView name="se0004" guid="{FF0A9AC6-3E8C-4AE0-B1AB-88458BDDC2AD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Общий" guid="{9CAC7FA4-7183-4976-BDEB-B1D0832FBE64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16" i="1" l="1"/>
  <c r="CO15" i="1"/>
  <c r="JU19" i="1"/>
  <c r="JU20" i="1" s="1"/>
  <c r="JU21" i="1" s="1"/>
  <c r="JU22" i="1" s="1"/>
  <c r="JU23" i="1" s="1"/>
  <c r="JU24" i="1" s="1"/>
  <c r="JU25" i="1" s="1"/>
  <c r="JU26" i="1" s="1"/>
  <c r="JT19" i="1"/>
  <c r="JT20" i="1" s="1"/>
  <c r="JT21" i="1" s="1"/>
  <c r="JT22" i="1" s="1"/>
  <c r="JT23" i="1" s="1"/>
  <c r="JT24" i="1" s="1"/>
  <c r="JT25" i="1" s="1"/>
  <c r="JT26" i="1" s="1"/>
  <c r="JM19" i="1"/>
  <c r="JM20" i="1" s="1"/>
  <c r="JM21" i="1" s="1"/>
  <c r="JM22" i="1" s="1"/>
  <c r="JM23" i="1" s="1"/>
  <c r="JM24" i="1" s="1"/>
  <c r="JM25" i="1" s="1"/>
  <c r="JM26" i="1" s="1"/>
  <c r="JL19" i="1"/>
  <c r="JL20" i="1" s="1"/>
  <c r="JL21" i="1" s="1"/>
  <c r="JL22" i="1" s="1"/>
  <c r="JL23" i="1" s="1"/>
  <c r="JL24" i="1" s="1"/>
  <c r="JL25" i="1" s="1"/>
  <c r="JL26" i="1" s="1"/>
  <c r="JK19" i="1"/>
  <c r="JK20" i="1" s="1"/>
  <c r="JK21" i="1" s="1"/>
  <c r="JK22" i="1" s="1"/>
  <c r="JK23" i="1" s="1"/>
  <c r="JK24" i="1" s="1"/>
  <c r="JK25" i="1" s="1"/>
  <c r="JK26" i="1" s="1"/>
  <c r="JJ19" i="1"/>
  <c r="JJ20" i="1" s="1"/>
  <c r="JJ21" i="1" s="1"/>
  <c r="JJ22" i="1" s="1"/>
  <c r="JJ23" i="1" s="1"/>
  <c r="JJ24" i="1" s="1"/>
  <c r="JJ25" i="1" s="1"/>
  <c r="JJ26" i="1" s="1"/>
  <c r="JI19" i="1"/>
  <c r="JI20" i="1" s="1"/>
  <c r="JI21" i="1" s="1"/>
  <c r="JI22" i="1" s="1"/>
  <c r="JI23" i="1" s="1"/>
  <c r="JI24" i="1" s="1"/>
  <c r="JI25" i="1" s="1"/>
  <c r="JI26" i="1" s="1"/>
  <c r="JH19" i="1"/>
  <c r="JH20" i="1" s="1"/>
  <c r="JH21" i="1" s="1"/>
  <c r="JH22" i="1" s="1"/>
  <c r="JH23" i="1" s="1"/>
  <c r="JH24" i="1" s="1"/>
  <c r="JH25" i="1" s="1"/>
  <c r="JH26" i="1" s="1"/>
  <c r="JG19" i="1"/>
  <c r="JG20" i="1" s="1"/>
  <c r="JG21" i="1" s="1"/>
  <c r="JG22" i="1" s="1"/>
  <c r="JG23" i="1" s="1"/>
  <c r="JG24" i="1" s="1"/>
  <c r="JG25" i="1" s="1"/>
  <c r="JG26" i="1" s="1"/>
  <c r="JF19" i="1"/>
  <c r="JF20" i="1" s="1"/>
  <c r="JF21" i="1" s="1"/>
  <c r="JF22" i="1" s="1"/>
  <c r="JF23" i="1" s="1"/>
  <c r="JF24" i="1" s="1"/>
  <c r="JF25" i="1" s="1"/>
  <c r="JF26" i="1" s="1"/>
  <c r="CW17" i="1"/>
  <c r="CV17" i="1"/>
  <c r="DH17" i="1"/>
  <c r="DG17" i="1"/>
  <c r="CT17" i="1"/>
  <c r="CS17" i="1"/>
  <c r="CR17" i="1"/>
  <c r="CQ17" i="1"/>
  <c r="CP17" i="1"/>
  <c r="CN17" i="1"/>
  <c r="CM17" i="1"/>
  <c r="CL17" i="1"/>
  <c r="BE17" i="1"/>
  <c r="CU17" i="1"/>
  <c r="CX17" i="1"/>
  <c r="CY17" i="1"/>
  <c r="CZ17" i="1"/>
  <c r="DA17" i="1"/>
  <c r="DB17" i="1"/>
  <c r="DC17" i="1"/>
  <c r="DD17" i="1"/>
  <c r="DE17" i="1"/>
  <c r="DF17" i="1"/>
  <c r="BE16" i="1" l="1"/>
  <c r="CL16" i="1"/>
  <c r="CM16" i="1"/>
  <c r="CN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CT15" i="1"/>
  <c r="CS15" i="1"/>
  <c r="DG15" i="1"/>
  <c r="DH15" i="1"/>
  <c r="DA15" i="1"/>
  <c r="DB15" i="1"/>
  <c r="DF15" i="1"/>
  <c r="DE15" i="1"/>
  <c r="DD15" i="1"/>
  <c r="DC15" i="1"/>
  <c r="CZ15" i="1"/>
  <c r="CY15" i="1"/>
  <c r="CX15" i="1"/>
  <c r="CW15" i="1"/>
  <c r="CV15" i="1"/>
  <c r="CU15" i="1"/>
  <c r="CR15" i="1"/>
  <c r="CQ15" i="1"/>
  <c r="CP15" i="1"/>
  <c r="CN15" i="1"/>
  <c r="CM15" i="1"/>
  <c r="CL15" i="1"/>
  <c r="BE15" i="1"/>
  <c r="GU14" i="1" l="1"/>
  <c r="GT14" i="1"/>
  <c r="ER14" i="1"/>
  <c r="FE14" i="1"/>
  <c r="FF14" i="1"/>
  <c r="FW14" i="1"/>
  <c r="FX14" i="1"/>
  <c r="FY14" i="1"/>
  <c r="FZ14" i="1"/>
  <c r="GE14" i="1"/>
  <c r="GF14" i="1"/>
  <c r="GG14" i="1"/>
  <c r="GH14" i="1"/>
  <c r="GI14" i="1"/>
  <c r="GJ14" i="1"/>
  <c r="FF13" i="1"/>
  <c r="FE13" i="1"/>
  <c r="GJ13" i="1"/>
  <c r="GI13" i="1"/>
  <c r="GH13" i="1"/>
  <c r="GG13" i="1"/>
  <c r="GF13" i="1"/>
  <c r="GE13" i="1"/>
  <c r="FX13" i="1"/>
  <c r="FW13" i="1"/>
  <c r="FZ13" i="1"/>
  <c r="FY13" i="1"/>
  <c r="ER13" i="1"/>
  <c r="JA12" i="1" l="1"/>
  <c r="KG11" i="1"/>
  <c r="KF11" i="1"/>
  <c r="KM11" i="1"/>
  <c r="JW11" i="1"/>
  <c r="IR10" i="1"/>
  <c r="IR9" i="1"/>
  <c r="IU8" i="1"/>
  <c r="IV8" i="1" s="1"/>
  <c r="IW8" i="1" s="1"/>
  <c r="IR8" i="1"/>
  <c r="IV7" i="1"/>
  <c r="IW7" i="1" s="1"/>
  <c r="IR7" i="1"/>
  <c r="Z5" i="1" a="1"/>
  <c r="Z5" i="1" s="1"/>
  <c r="Z6" i="1" a="1"/>
  <c r="Z6" i="1" s="1"/>
  <c r="KM4" i="1"/>
  <c r="KN4" i="1" s="1"/>
  <c r="KO4" i="1" s="1"/>
  <c r="KG4" i="1"/>
  <c r="KF4" i="1"/>
  <c r="JW4" i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UA298" i="5"/>
  <c r="UB298" i="5" s="1"/>
  <c r="TZ298" i="5"/>
  <c r="TZ299" i="5" s="1"/>
  <c r="TY298" i="5"/>
  <c r="V298" i="5"/>
  <c r="UB297" i="5"/>
  <c r="UA297" i="5"/>
  <c r="TZ297" i="5"/>
  <c r="TY297" i="5"/>
  <c r="V297" i="5"/>
  <c r="UB296" i="5"/>
  <c r="UA296" i="5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H288" i="5"/>
  <c r="MH289" i="5" s="1"/>
  <c r="MH290" i="5" s="1"/>
  <c r="MH291" i="5" s="1"/>
  <c r="MH292" i="5" s="1"/>
  <c r="MH293" i="5" s="1"/>
  <c r="MH294" i="5" s="1"/>
  <c r="MD288" i="5"/>
  <c r="MD289" i="5" s="1"/>
  <c r="MD290" i="5" s="1"/>
  <c r="MD291" i="5" s="1"/>
  <c r="MD292" i="5" s="1"/>
  <c r="MD293" i="5" s="1"/>
  <c r="MD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R285" i="5"/>
  <c r="BQ285" i="5"/>
  <c r="BS285" i="5" s="1"/>
  <c r="BP285" i="5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S284" i="5"/>
  <c r="BQ284" i="5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CE268" i="5"/>
  <c r="CD268" i="5"/>
  <c r="BE268" i="5"/>
  <c r="AC268" i="5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F267" i="5"/>
  <c r="AD267" i="5"/>
  <c r="AG267" i="5" s="1"/>
  <c r="HJ267" i="5" s="1"/>
  <c r="AD267" i="5" a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G227" i="5"/>
  <c r="FF227" i="5"/>
  <c r="FE227" i="5"/>
  <c r="FA227" i="5"/>
  <c r="EZ227" i="5"/>
  <c r="EY227" i="5"/>
  <c r="EX227" i="5"/>
  <c r="FH227" i="5" s="1"/>
  <c r="EW227" i="5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H226" i="5"/>
  <c r="FF226" i="5"/>
  <c r="FE226" i="5"/>
  <c r="FD226" i="5"/>
  <c r="FB226" i="5"/>
  <c r="EZ226" i="5"/>
  <c r="EY226" i="5"/>
  <c r="EX226" i="5"/>
  <c r="EW226" i="5"/>
  <c r="FG226" i="5" s="1"/>
  <c r="ET226" i="5"/>
  <c r="EV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G225" i="5"/>
  <c r="FF225" i="5"/>
  <c r="FE225" i="5"/>
  <c r="FB225" i="5"/>
  <c r="EZ225" i="5"/>
  <c r="EY225" i="5"/>
  <c r="EX225" i="5"/>
  <c r="FH225" i="5" s="1"/>
  <c r="EW225" i="5"/>
  <c r="EV225" i="5"/>
  <c r="FD225" i="5" s="1"/>
  <c r="ET225" i="5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K208" i="5"/>
  <c r="KJ208" i="5"/>
  <c r="JZ208" i="5"/>
  <c r="OE207" i="5"/>
  <c r="KK206" i="5"/>
  <c r="KJ206" i="5"/>
  <c r="JZ206" i="5"/>
  <c r="OE205" i="5"/>
  <c r="KJ204" i="5"/>
  <c r="KK204" i="5" s="1"/>
  <c r="JZ204" i="5"/>
  <c r="OE203" i="5"/>
  <c r="RS202" i="5"/>
  <c r="QP202" i="5"/>
  <c r="QR202" i="5" s="1"/>
  <c r="QT202" i="5" s="1"/>
  <c r="QM202" i="5"/>
  <c r="QO202" i="5" s="1"/>
  <c r="QQ202" i="5" s="1"/>
  <c r="QS202" i="5" s="1"/>
  <c r="QL202" i="5"/>
  <c r="QN202" i="5" s="1"/>
  <c r="QK202" i="5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R192" i="5"/>
  <c r="QT192" i="5" s="1"/>
  <c r="QO192" i="5"/>
  <c r="QQ192" i="5" s="1"/>
  <c r="QS192" i="5" s="1"/>
  <c r="QN192" i="5"/>
  <c r="QP192" i="5" s="1"/>
  <c r="QM192" i="5"/>
  <c r="QL192" i="5"/>
  <c r="QK192" i="5"/>
  <c r="KK191" i="5"/>
  <c r="KJ191" i="5"/>
  <c r="JZ191" i="5"/>
  <c r="OE190" i="5"/>
  <c r="OE189" i="5"/>
  <c r="OE188" i="5"/>
  <c r="RS187" i="5"/>
  <c r="QO187" i="5"/>
  <c r="QQ187" i="5" s="1"/>
  <c r="QS187" i="5" s="1"/>
  <c r="QN187" i="5"/>
  <c r="QP187" i="5" s="1"/>
  <c r="QR187" i="5" s="1"/>
  <c r="QT187" i="5" s="1"/>
  <c r="QM187" i="5"/>
  <c r="QL187" i="5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Z179" i="5"/>
  <c r="NB179" i="5" s="1"/>
  <c r="MY179" i="5"/>
  <c r="NA179" i="5" s="1"/>
  <c r="NH179" i="5" s="1"/>
  <c r="MX179" i="5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R172" i="5"/>
  <c r="LS172" i="5" s="1"/>
  <c r="LQ172" i="5"/>
  <c r="LQ173" i="5" s="1"/>
  <c r="LQ174" i="5" s="1"/>
  <c r="LR174" i="5" s="1"/>
  <c r="LS174" i="5" s="1"/>
  <c r="LN172" i="5"/>
  <c r="LS171" i="5"/>
  <c r="LR171" i="5"/>
  <c r="LQ171" i="5"/>
  <c r="LN171" i="5"/>
  <c r="LS170" i="5"/>
  <c r="LR170" i="5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JN54" i="5"/>
  <c r="JN55" i="5" s="1"/>
  <c r="HX54" i="5"/>
  <c r="HV54" i="5"/>
  <c r="HU54" i="5"/>
  <c r="HM54" i="5"/>
  <c r="HL54" i="5"/>
  <c r="HJ54" i="5"/>
  <c r="HI54" i="5"/>
  <c r="HF54" i="5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L52" i="5"/>
  <c r="HK52" i="5"/>
  <c r="HJ52" i="5"/>
  <c r="HI52" i="5"/>
  <c r="HF52" i="5"/>
  <c r="HE52" i="5"/>
  <c r="GZ52" i="5"/>
  <c r="GX52" i="5"/>
  <c r="HN52" i="5" s="1"/>
  <c r="GW52" i="5"/>
  <c r="GY52" i="5" s="1"/>
  <c r="GV52" i="5"/>
  <c r="GU52" i="5"/>
  <c r="IY51" i="5"/>
  <c r="IY52" i="5" s="1"/>
  <c r="IY53" i="5" s="1"/>
  <c r="IY54" i="5" s="1"/>
  <c r="IY55" i="5" s="1"/>
  <c r="HV51" i="5"/>
  <c r="HU51" i="5"/>
  <c r="HN51" i="5"/>
  <c r="HL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GU51" i="5"/>
  <c r="JK50" i="5"/>
  <c r="JK51" i="5" s="1"/>
  <c r="JK52" i="5" s="1"/>
  <c r="JK53" i="5" s="1"/>
  <c r="JK54" i="5" s="1"/>
  <c r="JK55" i="5" s="1"/>
  <c r="HX50" i="5"/>
  <c r="HV50" i="5"/>
  <c r="HU50" i="5"/>
  <c r="HO50" i="5"/>
  <c r="HL50" i="5"/>
  <c r="HK50" i="5"/>
  <c r="HJ50" i="5"/>
  <c r="HI50" i="5"/>
  <c r="HF50" i="5"/>
  <c r="HE50" i="5"/>
  <c r="HW50" i="5" s="1"/>
  <c r="GX50" i="5"/>
  <c r="GW50" i="5"/>
  <c r="GY50" i="5" s="1"/>
  <c r="HA50" i="5" s="1"/>
  <c r="GV50" i="5"/>
  <c r="GU50" i="5"/>
  <c r="JF49" i="5"/>
  <c r="JF50" i="5" s="1"/>
  <c r="JF51" i="5" s="1"/>
  <c r="JF52" i="5" s="1"/>
  <c r="JF53" i="5" s="1"/>
  <c r="JF54" i="5" s="1"/>
  <c r="JF55" i="5" s="1"/>
  <c r="IT49" i="5"/>
  <c r="IT50" i="5" s="1"/>
  <c r="IT51" i="5" s="1"/>
  <c r="IT52" i="5" s="1"/>
  <c r="IT53" i="5" s="1"/>
  <c r="IT54" i="5" s="1"/>
  <c r="IT55" i="5" s="1"/>
  <c r="HX49" i="5"/>
  <c r="HV49" i="5"/>
  <c r="HU49" i="5"/>
  <c r="HK49" i="5"/>
  <c r="HJ49" i="5"/>
  <c r="HI49" i="5"/>
  <c r="HF49" i="5"/>
  <c r="HE49" i="5"/>
  <c r="HW49" i="5" s="1"/>
  <c r="GX49" i="5"/>
  <c r="GW49" i="5"/>
  <c r="GY49" i="5" s="1"/>
  <c r="GV49" i="5"/>
  <c r="HL49" i="5" s="1"/>
  <c r="GU49" i="5"/>
  <c r="JR48" i="5"/>
  <c r="JR49" i="5" s="1"/>
  <c r="JR50" i="5" s="1"/>
  <c r="JR51" i="5" s="1"/>
  <c r="JR52" i="5" s="1"/>
  <c r="JR53" i="5" s="1"/>
  <c r="JR54" i="5" s="1"/>
  <c r="JR55" i="5" s="1"/>
  <c r="JM48" i="5"/>
  <c r="JM49" i="5" s="1"/>
  <c r="JM50" i="5" s="1"/>
  <c r="JM51" i="5" s="1"/>
  <c r="JM52" i="5" s="1"/>
  <c r="JM53" i="5" s="1"/>
  <c r="JM54" i="5" s="1"/>
  <c r="JM55" i="5" s="1"/>
  <c r="HX48" i="5"/>
  <c r="HV48" i="5"/>
  <c r="HU48" i="5"/>
  <c r="HL48" i="5"/>
  <c r="HJ48" i="5"/>
  <c r="HI48" i="5"/>
  <c r="HF48" i="5"/>
  <c r="HE48" i="5"/>
  <c r="HW48" i="5" s="1"/>
  <c r="GX48" i="5"/>
  <c r="GW48" i="5"/>
  <c r="GY48" i="5" s="1"/>
  <c r="HA48" i="5" s="1"/>
  <c r="HQ48" i="5" s="1"/>
  <c r="GV48" i="5"/>
  <c r="GU48" i="5"/>
  <c r="HK48" i="5" s="1"/>
  <c r="JX47" i="5"/>
  <c r="JX48" i="5" s="1"/>
  <c r="JX49" i="5" s="1"/>
  <c r="JX50" i="5" s="1"/>
  <c r="JX51" i="5" s="1"/>
  <c r="JX52" i="5" s="1"/>
  <c r="JX53" i="5" s="1"/>
  <c r="JX54" i="5" s="1"/>
  <c r="JX55" i="5" s="1"/>
  <c r="JS47" i="5"/>
  <c r="JS48" i="5" s="1"/>
  <c r="JS49" i="5" s="1"/>
  <c r="JS50" i="5" s="1"/>
  <c r="JS51" i="5" s="1"/>
  <c r="JS52" i="5" s="1"/>
  <c r="JS53" i="5" s="1"/>
  <c r="JS54" i="5" s="1"/>
  <c r="JS55" i="5" s="1"/>
  <c r="JM47" i="5"/>
  <c r="IZ47" i="5"/>
  <c r="IZ48" i="5" s="1"/>
  <c r="IZ49" i="5" s="1"/>
  <c r="IZ50" i="5" s="1"/>
  <c r="IZ51" i="5" s="1"/>
  <c r="IZ52" i="5" s="1"/>
  <c r="IZ53" i="5" s="1"/>
  <c r="IZ54" i="5" s="1"/>
  <c r="IZ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L47" i="5"/>
  <c r="HK47" i="5"/>
  <c r="HJ47" i="5"/>
  <c r="HI47" i="5"/>
  <c r="HF47" i="5"/>
  <c r="HE47" i="5"/>
  <c r="HW47" i="5" s="1"/>
  <c r="GX47" i="5"/>
  <c r="GW47" i="5"/>
  <c r="GY47" i="5" s="1"/>
  <c r="GV47" i="5"/>
  <c r="GU47" i="5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JO46" i="5"/>
  <c r="JO47" i="5" s="1"/>
  <c r="JO48" i="5" s="1"/>
  <c r="JO49" i="5" s="1"/>
  <c r="JO50" i="5" s="1"/>
  <c r="JO51" i="5" s="1"/>
  <c r="JO52" i="5" s="1"/>
  <c r="JO53" i="5" s="1"/>
  <c r="JO54" i="5" s="1"/>
  <c r="JO55" i="5" s="1"/>
  <c r="JN46" i="5"/>
  <c r="JN47" i="5" s="1"/>
  <c r="JN48" i="5" s="1"/>
  <c r="JN49" i="5" s="1"/>
  <c r="JN50" i="5" s="1"/>
  <c r="JN51" i="5" s="1"/>
  <c r="JN52" i="5" s="1"/>
  <c r="JN53" i="5" s="1"/>
  <c r="JB46" i="5"/>
  <c r="JB47" i="5" s="1"/>
  <c r="JB48" i="5" s="1"/>
  <c r="JB49" i="5" s="1"/>
  <c r="JB50" i="5" s="1"/>
  <c r="JB51" i="5" s="1"/>
  <c r="JB52" i="5" s="1"/>
  <c r="JB53" i="5" s="1"/>
  <c r="JB54" i="5" s="1"/>
  <c r="JB55" i="5" s="1"/>
  <c r="IT46" i="5"/>
  <c r="IT47" i="5" s="1"/>
  <c r="IT48" i="5" s="1"/>
  <c r="IQ46" i="5"/>
  <c r="IL46" i="5"/>
  <c r="IG46" i="5"/>
  <c r="IE46" i="5"/>
  <c r="IB46" i="5"/>
  <c r="HZ46" i="5"/>
  <c r="HY46" i="5"/>
  <c r="HX46" i="5"/>
  <c r="HV46" i="5"/>
  <c r="HU46" i="5"/>
  <c r="HN46" i="5"/>
  <c r="HL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GU46" i="5"/>
  <c r="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X45" i="5"/>
  <c r="JX46" i="5" s="1"/>
  <c r="JR45" i="5"/>
  <c r="JR46" i="5" s="1"/>
  <c r="JR47" i="5" s="1"/>
  <c r="JQ45" i="5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O45" i="5"/>
  <c r="JN45" i="5"/>
  <c r="JM45" i="5"/>
  <c r="JM46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C45" i="5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5" i="5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IR45" i="5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Q45" i="5"/>
  <c r="IO45" i="5"/>
  <c r="IN45" i="5"/>
  <c r="IM45" i="5"/>
  <c r="IL45" i="5"/>
  <c r="IK45" i="5"/>
  <c r="IG45" i="5"/>
  <c r="IE45" i="5"/>
  <c r="ID45" i="5"/>
  <c r="IB45" i="5"/>
  <c r="IA45" i="5"/>
  <c r="HZ45" i="5"/>
  <c r="HY45" i="5"/>
  <c r="HX45" i="5"/>
  <c r="HV45" i="5"/>
  <c r="HU45" i="5"/>
  <c r="HO45" i="5"/>
  <c r="HL45" i="5"/>
  <c r="HJ45" i="5"/>
  <c r="HI45" i="5"/>
  <c r="HF45" i="5"/>
  <c r="HE45" i="5"/>
  <c r="HW45" i="5" s="1"/>
  <c r="GX45" i="5"/>
  <c r="HN45" i="5" s="1"/>
  <c r="GW45" i="5"/>
  <c r="GY45" i="5" s="1"/>
  <c r="HA45" i="5" s="1"/>
  <c r="GV45" i="5"/>
  <c r="GU45" i="5"/>
  <c r="HK45" i="5" s="1"/>
  <c r="GT45" i="5"/>
  <c r="U45" i="5"/>
  <c r="JY44" i="5"/>
  <c r="JX44" i="5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M44" i="5"/>
  <c r="JL44" i="5"/>
  <c r="JK44" i="5"/>
  <c r="JK45" i="5" s="1"/>
  <c r="JK46" i="5" s="1"/>
  <c r="JK47" i="5" s="1"/>
  <c r="JK48" i="5" s="1"/>
  <c r="JK49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B44" i="5"/>
  <c r="JA44" i="5"/>
  <c r="IZ44" i="5"/>
  <c r="IZ45" i="5" s="1"/>
  <c r="IZ46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P44" i="5"/>
  <c r="IO44" i="5"/>
  <c r="IN44" i="5"/>
  <c r="IM44" i="5"/>
  <c r="IL44" i="5"/>
  <c r="IJ44" i="5"/>
  <c r="II44" i="5"/>
  <c r="IH44" i="5"/>
  <c r="IG44" i="5"/>
  <c r="IF44" i="5"/>
  <c r="ID44" i="5"/>
  <c r="IC44" i="5"/>
  <c r="IB44" i="5"/>
  <c r="IA44" i="5"/>
  <c r="HZ44" i="5"/>
  <c r="HY44" i="5"/>
  <c r="HV44" i="5"/>
  <c r="HU44" i="5"/>
  <c r="HL44" i="5"/>
  <c r="HK44" i="5"/>
  <c r="HJ44" i="5"/>
  <c r="HI44" i="5"/>
  <c r="HF44" i="5"/>
  <c r="HX44" i="5" s="1"/>
  <c r="HE44" i="5"/>
  <c r="HW44" i="5" s="1"/>
  <c r="GW44" i="5"/>
  <c r="GV44" i="5"/>
  <c r="GX44" i="5" s="1"/>
  <c r="GZ44" i="5" s="1"/>
  <c r="HB44" i="5" s="1"/>
  <c r="GU44" i="5"/>
  <c r="GT44" i="5"/>
  <c r="X44" i="5"/>
  <c r="U44" i="5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M43" i="5"/>
  <c r="HL43" i="5"/>
  <c r="HK43" i="5"/>
  <c r="HJ43" i="5"/>
  <c r="HI43" i="5"/>
  <c r="HF43" i="5"/>
  <c r="HX43" i="5" s="1"/>
  <c r="HE43" i="5"/>
  <c r="HC43" i="5"/>
  <c r="HS43" i="5" s="1"/>
  <c r="GY43" i="5"/>
  <c r="HA43" i="5" s="1"/>
  <c r="HQ43" i="5" s="1"/>
  <c r="GW43" i="5"/>
  <c r="GV43" i="5"/>
  <c r="GX43" i="5" s="1"/>
  <c r="GU43" i="5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H42" i="5"/>
  <c r="FG42" i="5"/>
  <c r="FF42" i="5"/>
  <c r="FE42" i="5"/>
  <c r="EZ42" i="5"/>
  <c r="EY42" i="5"/>
  <c r="EX42" i="5"/>
  <c r="EW42" i="5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FA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G40" i="5"/>
  <c r="FF40" i="5"/>
  <c r="FE40" i="5"/>
  <c r="EZ40" i="5"/>
  <c r="EY40" i="5"/>
  <c r="EX40" i="5"/>
  <c r="FH40" i="5" s="1"/>
  <c r="EW40" i="5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H39" i="5"/>
  <c r="FF39" i="5"/>
  <c r="FE39" i="5"/>
  <c r="FB39" i="5"/>
  <c r="FA39" i="5"/>
  <c r="EZ39" i="5"/>
  <c r="EY39" i="5"/>
  <c r="EX39" i="5"/>
  <c r="EW39" i="5"/>
  <c r="FG39" i="5" s="1"/>
  <c r="EV39" i="5"/>
  <c r="FD39" i="5" s="1"/>
  <c r="EU39" i="5"/>
  <c r="FC39" i="5" s="1"/>
  <c r="ET39" i="5"/>
  <c r="ES39" i="5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FA38" i="5"/>
  <c r="EZ38" i="5"/>
  <c r="EY38" i="5"/>
  <c r="EX38" i="5"/>
  <c r="FH38" i="5" s="1"/>
  <c r="EW38" i="5"/>
  <c r="FG38" i="5" s="1"/>
  <c r="EV38" i="5"/>
  <c r="FD38" i="5" s="1"/>
  <c r="EU38" i="5"/>
  <c r="FC38" i="5" s="1"/>
  <c r="ET38" i="5"/>
  <c r="FB38" i="5" s="1"/>
  <c r="ES38" i="5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D37" i="5"/>
  <c r="FB37" i="5"/>
  <c r="FA37" i="5"/>
  <c r="EZ37" i="5"/>
  <c r="EY37" i="5"/>
  <c r="EX37" i="5"/>
  <c r="FH37" i="5" s="1"/>
  <c r="EW37" i="5"/>
  <c r="FG37" i="5" s="1"/>
  <c r="EV37" i="5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G36" i="5"/>
  <c r="FF36" i="5"/>
  <c r="FE36" i="5"/>
  <c r="FA36" i="5"/>
  <c r="EZ36" i="5"/>
  <c r="EY36" i="5"/>
  <c r="EX36" i="5"/>
  <c r="FH36" i="5" s="1"/>
  <c r="EW36" i="5"/>
  <c r="EU36" i="5"/>
  <c r="FC36" i="5" s="1"/>
  <c r="ET36" i="5"/>
  <c r="EV36" i="5" s="1"/>
  <c r="FD36" i="5" s="1"/>
  <c r="ES36" i="5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D35" i="5"/>
  <c r="FC35" i="5"/>
  <c r="FB35" i="5"/>
  <c r="FA35" i="5"/>
  <c r="EZ35" i="5"/>
  <c r="EY35" i="5"/>
  <c r="EX35" i="5"/>
  <c r="EW35" i="5"/>
  <c r="FG35" i="5" s="1"/>
  <c r="EV35" i="5"/>
  <c r="EU35" i="5"/>
  <c r="ET35" i="5"/>
  <c r="ES35" i="5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V34" i="5"/>
  <c r="FD34" i="5" s="1"/>
  <c r="EU34" i="5"/>
  <c r="FC34" i="5" s="1"/>
  <c r="ET34" i="5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S33" i="5"/>
  <c r="CK33" i="5" s="1"/>
  <c r="BQ33" i="5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K32" i="5"/>
  <c r="CJ32" i="5"/>
  <c r="CH32" i="5"/>
  <c r="CG32" i="5"/>
  <c r="CF32" i="5"/>
  <c r="BU32" i="5"/>
  <c r="BT32" i="5"/>
  <c r="BS32" i="5"/>
  <c r="BQ32" i="5"/>
  <c r="CI32" i="5" s="1"/>
  <c r="BP32" i="5"/>
  <c r="BR32" i="5" s="1"/>
  <c r="BM32" i="5"/>
  <c r="BO32" i="5" s="1"/>
  <c r="CE32" i="5" s="1"/>
  <c r="BI32" i="5"/>
  <c r="BK32" i="5" s="1"/>
  <c r="CA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I31" i="5"/>
  <c r="CG31" i="5"/>
  <c r="CF31" i="5"/>
  <c r="BY31" i="5"/>
  <c r="BW31" i="5"/>
  <c r="BU31" i="5"/>
  <c r="BT31" i="5"/>
  <c r="BQ31" i="5"/>
  <c r="BS31" i="5" s="1"/>
  <c r="CK31" i="5" s="1"/>
  <c r="BP31" i="5"/>
  <c r="BR31" i="5" s="1"/>
  <c r="CJ31" i="5" s="1"/>
  <c r="BK31" i="5"/>
  <c r="CA31" i="5" s="1"/>
  <c r="BI31" i="5"/>
  <c r="BH31" i="5"/>
  <c r="BJ31" i="5" s="1"/>
  <c r="BZ31" i="5" s="1"/>
  <c r="BG31" i="5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I30" i="5"/>
  <c r="CG30" i="5"/>
  <c r="CF30" i="5"/>
  <c r="BU30" i="5"/>
  <c r="BT30" i="5"/>
  <c r="BS30" i="5"/>
  <c r="CK30" i="5" s="1"/>
  <c r="BQ30" i="5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K28" i="5"/>
  <c r="CI28" i="5"/>
  <c r="CG28" i="5"/>
  <c r="CF28" i="5"/>
  <c r="BW28" i="5"/>
  <c r="BU28" i="5"/>
  <c r="BT28" i="5"/>
  <c r="BQ28" i="5"/>
  <c r="BS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W27" i="5"/>
  <c r="BU27" i="5"/>
  <c r="BT27" i="5"/>
  <c r="BQ27" i="5"/>
  <c r="CI27" i="5" s="1"/>
  <c r="BP27" i="5"/>
  <c r="BR27" i="5" s="1"/>
  <c r="CJ27" i="5" s="1"/>
  <c r="BK27" i="5"/>
  <c r="CA27" i="5" s="1"/>
  <c r="BH27" i="5"/>
  <c r="BX27" i="5" s="1"/>
  <c r="BG27" i="5"/>
  <c r="BI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H26" i="5"/>
  <c r="CG26" i="5"/>
  <c r="CF26" i="5"/>
  <c r="BU26" i="5"/>
  <c r="BT26" i="5"/>
  <c r="BR26" i="5"/>
  <c r="CJ26" i="5" s="1"/>
  <c r="BQ26" i="5"/>
  <c r="CI26" i="5" s="1"/>
  <c r="BP26" i="5"/>
  <c r="BH26" i="5"/>
  <c r="BJ26" i="5" s="1"/>
  <c r="BL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Y25" i="5"/>
  <c r="BX25" i="5"/>
  <c r="BW25" i="5"/>
  <c r="BV25" i="5"/>
  <c r="BU25" i="5"/>
  <c r="BT25" i="5"/>
  <c r="BR25" i="5"/>
  <c r="CJ25" i="5" s="1"/>
  <c r="BQ25" i="5"/>
  <c r="BS25" i="5" s="1"/>
  <c r="CK25" i="5" s="1"/>
  <c r="BP25" i="5"/>
  <c r="CH25" i="5" s="1"/>
  <c r="BK25" i="5"/>
  <c r="CA25" i="5" s="1"/>
  <c r="BJ25" i="5"/>
  <c r="BZ25" i="5" s="1"/>
  <c r="BI25" i="5"/>
  <c r="BG25" i="5"/>
  <c r="BF25" i="5"/>
  <c r="BH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I24" i="5"/>
  <c r="CG24" i="5"/>
  <c r="CF24" i="5"/>
  <c r="BW24" i="5"/>
  <c r="BV24" i="5"/>
  <c r="BU24" i="5"/>
  <c r="BT24" i="5"/>
  <c r="BS24" i="5"/>
  <c r="CK24" i="5" s="1"/>
  <c r="BQ24" i="5"/>
  <c r="BP24" i="5"/>
  <c r="CH24" i="5" s="1"/>
  <c r="BI24" i="5"/>
  <c r="BK24" i="5" s="1"/>
  <c r="BH24" i="5"/>
  <c r="BG24" i="5"/>
  <c r="BF24" i="5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J23" i="5"/>
  <c r="CH23" i="5"/>
  <c r="CG23" i="5"/>
  <c r="CF23" i="5"/>
  <c r="BU23" i="5"/>
  <c r="BT23" i="5"/>
  <c r="BR23" i="5"/>
  <c r="BQ23" i="5"/>
  <c r="CI23" i="5" s="1"/>
  <c r="BP23" i="5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H22" i="5"/>
  <c r="CG22" i="5"/>
  <c r="CF22" i="5"/>
  <c r="BW22" i="5"/>
  <c r="BV22" i="5"/>
  <c r="BU22" i="5"/>
  <c r="BT22" i="5"/>
  <c r="BR22" i="5"/>
  <c r="CJ22" i="5" s="1"/>
  <c r="BQ22" i="5"/>
  <c r="BP22" i="5"/>
  <c r="BI22" i="5"/>
  <c r="BY22" i="5" s="1"/>
  <c r="BH22" i="5"/>
  <c r="BX22" i="5" s="1"/>
  <c r="BG22" i="5"/>
  <c r="BF22" i="5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H19" i="5"/>
  <c r="CG19" i="5"/>
  <c r="CF19" i="5"/>
  <c r="BU19" i="5"/>
  <c r="BT19" i="5"/>
  <c r="BR19" i="5"/>
  <c r="CJ19" i="5" s="1"/>
  <c r="BQ19" i="5"/>
  <c r="CI19" i="5" s="1"/>
  <c r="BP19" i="5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X18" i="5"/>
  <c r="BV18" i="5"/>
  <c r="BU18" i="5"/>
  <c r="BT18" i="5"/>
  <c r="BS18" i="5"/>
  <c r="CK18" i="5" s="1"/>
  <c r="BQ18" i="5"/>
  <c r="BP18" i="5"/>
  <c r="BR18" i="5" s="1"/>
  <c r="CJ18" i="5" s="1"/>
  <c r="BJ18" i="5"/>
  <c r="BZ18" i="5" s="1"/>
  <c r="BG18" i="5"/>
  <c r="BI18" i="5" s="1"/>
  <c r="BY18" i="5" s="1"/>
  <c r="BF18" i="5"/>
  <c r="BH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I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I17" i="5"/>
  <c r="BK17" i="5" s="1"/>
  <c r="CA17" i="5" s="1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I16" i="5"/>
  <c r="CG16" i="5"/>
  <c r="CF16" i="5"/>
  <c r="BW16" i="5"/>
  <c r="BU16" i="5"/>
  <c r="BT16" i="5"/>
  <c r="BS16" i="5"/>
  <c r="CK16" i="5" s="1"/>
  <c r="BR16" i="5"/>
  <c r="CJ16" i="5" s="1"/>
  <c r="BQ16" i="5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H14" i="5"/>
  <c r="CG14" i="5"/>
  <c r="CF14" i="5"/>
  <c r="BW14" i="5"/>
  <c r="BV14" i="5"/>
  <c r="BU14" i="5"/>
  <c r="BT14" i="5"/>
  <c r="BR14" i="5"/>
  <c r="BQ14" i="5"/>
  <c r="BS14" i="5" s="1"/>
  <c r="CK14" i="5" s="1"/>
  <c r="BP14" i="5"/>
  <c r="BI14" i="5"/>
  <c r="BY14" i="5" s="1"/>
  <c r="BH14" i="5"/>
  <c r="BX14" i="5" s="1"/>
  <c r="BG14" i="5"/>
  <c r="BF14" i="5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H13" i="5"/>
  <c r="CG13" i="5"/>
  <c r="CF13" i="5"/>
  <c r="BW13" i="5"/>
  <c r="BU13" i="5"/>
  <c r="BT13" i="5"/>
  <c r="BR13" i="5"/>
  <c r="CJ13" i="5" s="1"/>
  <c r="BQ13" i="5"/>
  <c r="CI13" i="5" s="1"/>
  <c r="BP13" i="5"/>
  <c r="BI13" i="5"/>
  <c r="BG13" i="5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X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I11" i="5"/>
  <c r="BY11" i="5" s="1"/>
  <c r="BG11" i="5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K10" i="5"/>
  <c r="CI10" i="5"/>
  <c r="CG10" i="5"/>
  <c r="CF10" i="5"/>
  <c r="BV10" i="5"/>
  <c r="BU10" i="5"/>
  <c r="BT10" i="5"/>
  <c r="BQ10" i="5"/>
  <c r="BS10" i="5" s="1"/>
  <c r="BP10" i="5"/>
  <c r="CH10" i="5" s="1"/>
  <c r="BH10" i="5"/>
  <c r="BX10" i="5" s="1"/>
  <c r="BG10" i="5"/>
  <c r="BW10" i="5" s="1"/>
  <c r="BF10" i="5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H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H8" i="5"/>
  <c r="CG8" i="5"/>
  <c r="CF8" i="5"/>
  <c r="BZ8" i="5"/>
  <c r="BV8" i="5"/>
  <c r="BU8" i="5"/>
  <c r="BT8" i="5"/>
  <c r="BR8" i="5"/>
  <c r="CJ8" i="5" s="1"/>
  <c r="BQ8" i="5"/>
  <c r="CI8" i="5" s="1"/>
  <c r="BP8" i="5"/>
  <c r="BJ8" i="5"/>
  <c r="BL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H7" i="5"/>
  <c r="CG7" i="5"/>
  <c r="CF7" i="5"/>
  <c r="BV7" i="5"/>
  <c r="BU7" i="5"/>
  <c r="BT7" i="5"/>
  <c r="BR7" i="5"/>
  <c r="CJ7" i="5" s="1"/>
  <c r="BQ7" i="5"/>
  <c r="CI7" i="5" s="1"/>
  <c r="BP7" i="5"/>
  <c r="BJ7" i="5"/>
  <c r="BL7" i="5" s="1"/>
  <c r="BN7" i="5" s="1"/>
  <c r="CD7" i="5" s="1"/>
  <c r="BH7" i="5"/>
  <c r="BX7" i="5" s="1"/>
  <c r="BG7" i="5"/>
  <c r="BW7" i="5" s="1"/>
  <c r="BF7" i="5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J6" i="5"/>
  <c r="CI6" i="5"/>
  <c r="CG6" i="5"/>
  <c r="CF6" i="5"/>
  <c r="BY6" i="5"/>
  <c r="BX6" i="5"/>
  <c r="BW6" i="5"/>
  <c r="BU6" i="5"/>
  <c r="BT6" i="5"/>
  <c r="BR6" i="5"/>
  <c r="BQ6" i="5"/>
  <c r="BS6" i="5" s="1"/>
  <c r="CK6" i="5" s="1"/>
  <c r="BP6" i="5"/>
  <c r="CH6" i="5" s="1"/>
  <c r="BK6" i="5"/>
  <c r="BM6" i="5" s="1"/>
  <c r="BG6" i="5"/>
  <c r="BI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J5" i="5"/>
  <c r="CH5" i="5"/>
  <c r="CG5" i="5"/>
  <c r="CF5" i="5"/>
  <c r="BU5" i="5"/>
  <c r="BT5" i="5"/>
  <c r="BR5" i="5"/>
  <c r="BQ5" i="5"/>
  <c r="CI5" i="5" s="1"/>
  <c r="BP5" i="5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S4" i="5"/>
  <c r="CK4" i="5" s="1"/>
  <c r="BQ4" i="5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K3" i="5"/>
  <c r="CH3" i="5"/>
  <c r="CG3" i="5"/>
  <c r="CF3" i="5"/>
  <c r="BY3" i="5"/>
  <c r="BX3" i="5"/>
  <c r="BU3" i="5"/>
  <c r="BT3" i="5"/>
  <c r="BS3" i="5"/>
  <c r="BR3" i="5"/>
  <c r="CJ3" i="5" s="1"/>
  <c r="BQ3" i="5"/>
  <c r="CI3" i="5" s="1"/>
  <c r="BP3" i="5"/>
  <c r="BI3" i="5"/>
  <c r="BK3" i="5" s="1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H2" i="5"/>
  <c r="CG2" i="5"/>
  <c r="CF2" i="5"/>
  <c r="BZ2" i="5"/>
  <c r="BX2" i="5"/>
  <c r="BU2" i="5"/>
  <c r="BT2" i="5"/>
  <c r="BR2" i="5"/>
  <c r="CJ2" i="5" s="1"/>
  <c r="BQ2" i="5"/>
  <c r="CI2" i="5" s="1"/>
  <c r="BP2" i="5"/>
  <c r="BH2" i="5"/>
  <c r="BJ2" i="5" s="1"/>
  <c r="BL2" i="5" s="1"/>
  <c r="BG2" i="5"/>
  <c r="BW2" i="5" s="1"/>
  <c r="BF2" i="5"/>
  <c r="BV2" i="5" s="1"/>
  <c r="BE2" i="5"/>
  <c r="G2" i="5"/>
  <c r="IU9" i="1" l="1"/>
  <c r="CA19" i="5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CB8" i="5"/>
  <c r="BN8" i="5"/>
  <c r="CD8" i="5" s="1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M3" i="5"/>
  <c r="CA3" i="5"/>
  <c r="BO6" i="5"/>
  <c r="CE6" i="5" s="1"/>
  <c r="CC6" i="5"/>
  <c r="BY15" i="5"/>
  <c r="BK15" i="5"/>
  <c r="HC45" i="5"/>
  <c r="HS45" i="5" s="1"/>
  <c r="HQ45" i="5"/>
  <c r="CC32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O43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HB52" i="5"/>
  <c r="HP52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Y2" i="1" a="1"/>
  <c r="Y2" i="1" s="1"/>
  <c r="X3" i="1"/>
  <c r="HX3" i="1"/>
  <c r="HX2" i="1"/>
  <c r="X6" i="1" l="1"/>
  <c r="X8" i="1" s="1"/>
  <c r="X9" i="1" s="1"/>
  <c r="Y5" i="1" a="1"/>
  <c r="Y5" i="1" s="1"/>
  <c r="IU10" i="1"/>
  <c r="IV10" i="1" s="1"/>
  <c r="IW10" i="1" s="1"/>
  <c r="IV9" i="1"/>
  <c r="IW9" i="1" s="1"/>
  <c r="GZ55" i="5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C3" i="5"/>
  <c r="BO3" i="5"/>
  <c r="CE3" i="5" s="1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R52" i="5"/>
  <c r="HD52" i="5"/>
  <c r="HT52" i="5" s="1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AB5" i="1" l="1"/>
  <c r="AA5" i="1"/>
  <c r="X10" i="1"/>
  <c r="X14" i="1" s="1"/>
  <c r="CA2" i="5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D227" i="4"/>
  <c r="FB227" i="4"/>
  <c r="FA227" i="4"/>
  <c r="EW227" i="4"/>
  <c r="EV227" i="4"/>
  <c r="EU227" i="4"/>
  <c r="ET227" i="4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Z226" i="4"/>
  <c r="EX226" i="4"/>
  <c r="EV226" i="4"/>
  <c r="EU226" i="4"/>
  <c r="ET226" i="4"/>
  <c r="ES226" i="4"/>
  <c r="ER226" i="4"/>
  <c r="EQ226" i="4"/>
  <c r="EY226" i="4" s="1"/>
  <c r="EP226" i="4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C225" i="4"/>
  <c r="FB225" i="4"/>
  <c r="FA225" i="4"/>
  <c r="EX225" i="4"/>
  <c r="EV225" i="4"/>
  <c r="EU225" i="4"/>
  <c r="ET225" i="4"/>
  <c r="FD225" i="4" s="1"/>
  <c r="ES225" i="4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G212" i="4"/>
  <c r="KF212" i="4"/>
  <c r="JV212" i="4"/>
  <c r="OA211" i="4"/>
  <c r="KG210" i="4"/>
  <c r="KF210" i="4"/>
  <c r="JV210" i="4"/>
  <c r="OA209" i="4"/>
  <c r="KG208" i="4"/>
  <c r="KF208" i="4"/>
  <c r="JV208" i="4"/>
  <c r="OA207" i="4"/>
  <c r="KG206" i="4"/>
  <c r="KF206" i="4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I202" i="4"/>
  <c r="QK202" i="4" s="1"/>
  <c r="QM202" i="4" s="1"/>
  <c r="QO202" i="4" s="1"/>
  <c r="QH202" i="4"/>
  <c r="QG202" i="4"/>
  <c r="KF201" i="4"/>
  <c r="KG201" i="4" s="1"/>
  <c r="JV201" i="4"/>
  <c r="OA200" i="4"/>
  <c r="OA199" i="4"/>
  <c r="OA198" i="4"/>
  <c r="RO197" i="4"/>
  <c r="QM197" i="4"/>
  <c r="QO197" i="4" s="1"/>
  <c r="QL197" i="4"/>
  <c r="QN197" i="4" s="1"/>
  <c r="QP197" i="4" s="1"/>
  <c r="QJ197" i="4"/>
  <c r="QH197" i="4"/>
  <c r="QG197" i="4"/>
  <c r="QI197" i="4" s="1"/>
  <c r="QK197" i="4" s="1"/>
  <c r="KF196" i="4"/>
  <c r="KG196" i="4" s="1"/>
  <c r="JV196" i="4"/>
  <c r="OA195" i="4"/>
  <c r="OA194" i="4"/>
  <c r="OA193" i="4"/>
  <c r="RO192" i="4"/>
  <c r="QN192" i="4"/>
  <c r="QP192" i="4" s="1"/>
  <c r="QL192" i="4"/>
  <c r="QJ192" i="4"/>
  <c r="QH192" i="4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N187" i="4"/>
  <c r="QP187" i="4" s="1"/>
  <c r="QH187" i="4"/>
  <c r="QJ187" i="4" s="1"/>
  <c r="QL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W180" i="4"/>
  <c r="ND180" i="4" s="1"/>
  <c r="MV180" i="4"/>
  <c r="MU180" i="4"/>
  <c r="NC180" i="4" s="1"/>
  <c r="MT180" i="4"/>
  <c r="MS180" i="4"/>
  <c r="NC179" i="4"/>
  <c r="NB179" i="4"/>
  <c r="MW179" i="4"/>
  <c r="MV179" i="4"/>
  <c r="MX179" i="4" s="1"/>
  <c r="MU179" i="4"/>
  <c r="MT179" i="4"/>
  <c r="MS179" i="4"/>
  <c r="MF178" i="4"/>
  <c r="MG178" i="4" s="1"/>
  <c r="MH178" i="4" s="1"/>
  <c r="ME178" i="4"/>
  <c r="LV178" i="4"/>
  <c r="LT178" i="4"/>
  <c r="LS178" i="4"/>
  <c r="MH177" i="4"/>
  <c r="MF177" i="4"/>
  <c r="MG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O170" i="4"/>
  <c r="LN170" i="4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V55" i="4"/>
  <c r="GS55" i="4"/>
  <c r="HI55" i="4" s="1"/>
  <c r="GR55" i="4"/>
  <c r="GT55" i="4" s="1"/>
  <c r="GQ55" i="4"/>
  <c r="HG55" i="4" s="1"/>
  <c r="IQ54" i="4"/>
  <c r="IQ55" i="4" s="1"/>
  <c r="HT54" i="4"/>
  <c r="HR54" i="4"/>
  <c r="HQ54" i="4"/>
  <c r="HJ54" i="4"/>
  <c r="HI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V53" i="4"/>
  <c r="GT53" i="4"/>
  <c r="HJ53" i="4" s="1"/>
  <c r="GR53" i="4"/>
  <c r="GQ53" i="4"/>
  <c r="IZ52" i="4"/>
  <c r="IZ53" i="4" s="1"/>
  <c r="IZ54" i="4" s="1"/>
  <c r="IZ55" i="4" s="1"/>
  <c r="HS52" i="4"/>
  <c r="HR52" i="4"/>
  <c r="HQ52" i="4"/>
  <c r="HL52" i="4"/>
  <c r="HH52" i="4"/>
  <c r="HF52" i="4"/>
  <c r="HE52" i="4"/>
  <c r="HB52" i="4"/>
  <c r="HT52" i="4" s="1"/>
  <c r="HA52" i="4"/>
  <c r="GX52" i="4"/>
  <c r="GR52" i="4"/>
  <c r="GT52" i="4" s="1"/>
  <c r="GV52" i="4" s="1"/>
  <c r="GQ52" i="4"/>
  <c r="JR51" i="4"/>
  <c r="JR52" i="4" s="1"/>
  <c r="JR53" i="4" s="1"/>
  <c r="JR54" i="4" s="1"/>
  <c r="JR55" i="4" s="1"/>
  <c r="HT51" i="4"/>
  <c r="HS51" i="4"/>
  <c r="HR51" i="4"/>
  <c r="HQ51" i="4"/>
  <c r="HM51" i="4"/>
  <c r="HH51" i="4"/>
  <c r="HG51" i="4"/>
  <c r="HF51" i="4"/>
  <c r="HE51" i="4"/>
  <c r="HB51" i="4"/>
  <c r="HA51" i="4"/>
  <c r="GY51" i="4"/>
  <c r="HO51" i="4" s="1"/>
  <c r="GW51" i="4"/>
  <c r="GU51" i="4"/>
  <c r="HK51" i="4" s="1"/>
  <c r="GT51" i="4"/>
  <c r="GV51" i="4" s="1"/>
  <c r="GS51" i="4"/>
  <c r="HI51" i="4" s="1"/>
  <c r="GR51" i="4"/>
  <c r="GQ51" i="4"/>
  <c r="HS50" i="4"/>
  <c r="HR50" i="4"/>
  <c r="HQ50" i="4"/>
  <c r="HG50" i="4"/>
  <c r="HF50" i="4"/>
  <c r="HE50" i="4"/>
  <c r="HB50" i="4"/>
  <c r="HT50" i="4" s="1"/>
  <c r="HA50" i="4"/>
  <c r="GR50" i="4"/>
  <c r="GQ50" i="4"/>
  <c r="GS50" i="4" s="1"/>
  <c r="JF49" i="4"/>
  <c r="JF50" i="4" s="1"/>
  <c r="JF51" i="4" s="1"/>
  <c r="JF52" i="4" s="1"/>
  <c r="JF53" i="4" s="1"/>
  <c r="JF54" i="4" s="1"/>
  <c r="JF55" i="4" s="1"/>
  <c r="IU49" i="4"/>
  <c r="IU50" i="4" s="1"/>
  <c r="IU51" i="4" s="1"/>
  <c r="IU52" i="4" s="1"/>
  <c r="IU53" i="4" s="1"/>
  <c r="IU54" i="4" s="1"/>
  <c r="IU55" i="4" s="1"/>
  <c r="IR49" i="4"/>
  <c r="IR50" i="4" s="1"/>
  <c r="IR51" i="4" s="1"/>
  <c r="IR52" i="4" s="1"/>
  <c r="IR53" i="4" s="1"/>
  <c r="IR54" i="4" s="1"/>
  <c r="IR55" i="4" s="1"/>
  <c r="HT49" i="4"/>
  <c r="HR49" i="4"/>
  <c r="HQ49" i="4"/>
  <c r="HH49" i="4"/>
  <c r="HF49" i="4"/>
  <c r="HE49" i="4"/>
  <c r="HB49" i="4"/>
  <c r="HA49" i="4"/>
  <c r="HS49" i="4" s="1"/>
  <c r="GS49" i="4"/>
  <c r="GR49" i="4"/>
  <c r="GT49" i="4" s="1"/>
  <c r="GV49" i="4" s="1"/>
  <c r="GQ49" i="4"/>
  <c r="HG49" i="4" s="1"/>
  <c r="JT48" i="4"/>
  <c r="JT49" i="4" s="1"/>
  <c r="JT50" i="4" s="1"/>
  <c r="JT51" i="4" s="1"/>
  <c r="JT52" i="4" s="1"/>
  <c r="JT53" i="4" s="1"/>
  <c r="JT54" i="4" s="1"/>
  <c r="JT55" i="4" s="1"/>
  <c r="JJ48" i="4"/>
  <c r="JJ49" i="4" s="1"/>
  <c r="JJ50" i="4" s="1"/>
  <c r="JJ51" i="4" s="1"/>
  <c r="JJ52" i="4" s="1"/>
  <c r="JJ53" i="4" s="1"/>
  <c r="JJ54" i="4" s="1"/>
  <c r="JJ55" i="4" s="1"/>
  <c r="IU48" i="4"/>
  <c r="IQ48" i="4"/>
  <c r="IQ49" i="4" s="1"/>
  <c r="IQ50" i="4" s="1"/>
  <c r="IQ51" i="4" s="1"/>
  <c r="IQ52" i="4" s="1"/>
  <c r="IQ53" i="4" s="1"/>
  <c r="HS48" i="4"/>
  <c r="HR48" i="4"/>
  <c r="HQ48" i="4"/>
  <c r="HI48" i="4"/>
  <c r="HG48" i="4"/>
  <c r="HF48" i="4"/>
  <c r="HE48" i="4"/>
  <c r="HB48" i="4"/>
  <c r="HT48" i="4" s="1"/>
  <c r="HA48" i="4"/>
  <c r="GY48" i="4"/>
  <c r="HO48" i="4" s="1"/>
  <c r="GU48" i="4"/>
  <c r="GW48" i="4" s="1"/>
  <c r="HM48" i="4" s="1"/>
  <c r="GS48" i="4"/>
  <c r="GR48" i="4"/>
  <c r="GQ48" i="4"/>
  <c r="JT47" i="4"/>
  <c r="JH47" i="4"/>
  <c r="JH48" i="4" s="1"/>
  <c r="JH49" i="4" s="1"/>
  <c r="JH50" i="4" s="1"/>
  <c r="JH51" i="4" s="1"/>
  <c r="JH52" i="4" s="1"/>
  <c r="JH53" i="4" s="1"/>
  <c r="JH54" i="4" s="1"/>
  <c r="JH55" i="4" s="1"/>
  <c r="JC47" i="4"/>
  <c r="JC48" i="4" s="1"/>
  <c r="JC49" i="4" s="1"/>
  <c r="JC50" i="4" s="1"/>
  <c r="JC51" i="4" s="1"/>
  <c r="JC52" i="4" s="1"/>
  <c r="JC53" i="4" s="1"/>
  <c r="JC54" i="4" s="1"/>
  <c r="JC55" i="4" s="1"/>
  <c r="IN47" i="4"/>
  <c r="IN48" i="4" s="1"/>
  <c r="IN49" i="4" s="1"/>
  <c r="IN50" i="4" s="1"/>
  <c r="IN51" i="4" s="1"/>
  <c r="IN52" i="4" s="1"/>
  <c r="IN53" i="4" s="1"/>
  <c r="IN54" i="4" s="1"/>
  <c r="IN55" i="4" s="1"/>
  <c r="HR47" i="4"/>
  <c r="HQ47" i="4"/>
  <c r="HJ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GQ47" i="4"/>
  <c r="JP46" i="4"/>
  <c r="JP47" i="4" s="1"/>
  <c r="JP48" i="4" s="1"/>
  <c r="JP49" i="4" s="1"/>
  <c r="JP50" i="4" s="1"/>
  <c r="JP51" i="4" s="1"/>
  <c r="JP52" i="4" s="1"/>
  <c r="JP53" i="4" s="1"/>
  <c r="JP54" i="4" s="1"/>
  <c r="JP55" i="4" s="1"/>
  <c r="JK46" i="4"/>
  <c r="JK47" i="4" s="1"/>
  <c r="JK48" i="4" s="1"/>
  <c r="JK49" i="4" s="1"/>
  <c r="JK50" i="4" s="1"/>
  <c r="JK51" i="4" s="1"/>
  <c r="JK52" i="4" s="1"/>
  <c r="JK53" i="4" s="1"/>
  <c r="JK54" i="4" s="1"/>
  <c r="JK55" i="4" s="1"/>
  <c r="JF46" i="4"/>
  <c r="JF47" i="4" s="1"/>
  <c r="JF48" i="4" s="1"/>
  <c r="JB46" i="4"/>
  <c r="JB47" i="4" s="1"/>
  <c r="JB48" i="4" s="1"/>
  <c r="JB49" i="4" s="1"/>
  <c r="JB50" i="4" s="1"/>
  <c r="JB51" i="4" s="1"/>
  <c r="JB52" i="4" s="1"/>
  <c r="JB53" i="4" s="1"/>
  <c r="JB54" i="4" s="1"/>
  <c r="JB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IT46" i="4"/>
  <c r="IT47" i="4" s="1"/>
  <c r="IT48" i="4" s="1"/>
  <c r="IT49" i="4" s="1"/>
  <c r="IT50" i="4" s="1"/>
  <c r="IT51" i="4" s="1"/>
  <c r="IT52" i="4" s="1"/>
  <c r="IT53" i="4" s="1"/>
  <c r="IT54" i="4" s="1"/>
  <c r="IT55" i="4" s="1"/>
  <c r="IR46" i="4"/>
  <c r="IR47" i="4" s="1"/>
  <c r="IR48" i="4" s="1"/>
  <c r="IN46" i="4"/>
  <c r="IF46" i="4"/>
  <c r="HW46" i="4"/>
  <c r="HT46" i="4"/>
  <c r="HR46" i="4"/>
  <c r="HQ46" i="4"/>
  <c r="HK46" i="4"/>
  <c r="HI46" i="4"/>
  <c r="HF46" i="4"/>
  <c r="HE46" i="4"/>
  <c r="HB46" i="4"/>
  <c r="HA46" i="4"/>
  <c r="HS46" i="4" s="1"/>
  <c r="GW46" i="4"/>
  <c r="GT46" i="4"/>
  <c r="HJ46" i="4" s="1"/>
  <c r="GS46" i="4"/>
  <c r="GU46" i="4" s="1"/>
  <c r="GR46" i="4"/>
  <c r="HH46" i="4" s="1"/>
  <c r="GQ46" i="4"/>
  <c r="HG46" i="4" s="1"/>
  <c r="U46" i="4"/>
  <c r="IJ46" i="4" s="1"/>
  <c r="JT45" i="4"/>
  <c r="JT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L45" i="4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H45" i="4"/>
  <c r="JH46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JA45" i="4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5" i="4"/>
  <c r="IZ46" i="4" s="1"/>
  <c r="IZ47" i="4" s="1"/>
  <c r="IZ48" i="4" s="1"/>
  <c r="IZ49" i="4" s="1"/>
  <c r="IZ50" i="4" s="1"/>
  <c r="IZ51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R45" i="4"/>
  <c r="IQ45" i="4"/>
  <c r="IQ46" i="4" s="1"/>
  <c r="IQ47" i="4" s="1"/>
  <c r="IK45" i="4"/>
  <c r="IJ45" i="4"/>
  <c r="II45" i="4"/>
  <c r="IE45" i="4"/>
  <c r="IC45" i="4"/>
  <c r="IB45" i="4"/>
  <c r="HZ45" i="4"/>
  <c r="HX45" i="4"/>
  <c r="HW45" i="4"/>
  <c r="HR45" i="4"/>
  <c r="HQ45" i="4"/>
  <c r="HG45" i="4"/>
  <c r="HF45" i="4"/>
  <c r="HE45" i="4"/>
  <c r="HB45" i="4"/>
  <c r="HT45" i="4" s="1"/>
  <c r="HA45" i="4"/>
  <c r="HS45" i="4" s="1"/>
  <c r="GU45" i="4"/>
  <c r="GS45" i="4"/>
  <c r="HI45" i="4" s="1"/>
  <c r="GR45" i="4"/>
  <c r="GQ45" i="4"/>
  <c r="U45" i="4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K44" i="4"/>
  <c r="JK45" i="4" s="1"/>
  <c r="JJ44" i="4"/>
  <c r="JJ45" i="4" s="1"/>
  <c r="JJ46" i="4" s="1"/>
  <c r="JJ47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A44" i="4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L44" i="4"/>
  <c r="IK44" i="4"/>
  <c r="IJ44" i="4"/>
  <c r="IH44" i="4"/>
  <c r="IF44" i="4"/>
  <c r="IE44" i="4"/>
  <c r="ID44" i="4"/>
  <c r="IB44" i="4"/>
  <c r="IA44" i="4"/>
  <c r="HY44" i="4"/>
  <c r="HV44" i="4"/>
  <c r="HU44" i="4"/>
  <c r="HR44" i="4"/>
  <c r="HQ44" i="4"/>
  <c r="HJ44" i="4"/>
  <c r="HF44" i="4"/>
  <c r="HE44" i="4"/>
  <c r="HB44" i="4"/>
  <c r="HT44" i="4" s="1"/>
  <c r="HA44" i="4"/>
  <c r="HS44" i="4" s="1"/>
  <c r="GX44" i="4"/>
  <c r="GV44" i="4"/>
  <c r="HL44" i="4" s="1"/>
  <c r="GR44" i="4"/>
  <c r="GT44" i="4" s="1"/>
  <c r="GQ44" i="4"/>
  <c r="HG44" i="4" s="1"/>
  <c r="GP44" i="4"/>
  <c r="X44" i="4"/>
  <c r="U44" i="4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V43" i="4"/>
  <c r="GX43" i="4" s="1"/>
  <c r="HN43" i="4" s="1"/>
  <c r="GU43" i="4"/>
  <c r="GT43" i="4"/>
  <c r="HJ43" i="4" s="1"/>
  <c r="GR43" i="4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W42" i="4"/>
  <c r="EV42" i="4"/>
  <c r="EU42" i="4"/>
  <c r="ET42" i="4"/>
  <c r="FD42" i="4" s="1"/>
  <c r="ES42" i="4"/>
  <c r="FC42" i="4" s="1"/>
  <c r="EQ42" i="4"/>
  <c r="EY42" i="4" s="1"/>
  <c r="EP42" i="4"/>
  <c r="EO42" i="4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X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X40" i="4"/>
  <c r="EW40" i="4"/>
  <c r="EV40" i="4"/>
  <c r="EU40" i="4"/>
  <c r="ET40" i="4"/>
  <c r="FD40" i="4" s="1"/>
  <c r="ES40" i="4"/>
  <c r="FC40" i="4" s="1"/>
  <c r="ER40" i="4"/>
  <c r="EZ40" i="4" s="1"/>
  <c r="EQ40" i="4"/>
  <c r="EY40" i="4" s="1"/>
  <c r="EP40" i="4"/>
  <c r="EO40" i="4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X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W37" i="4"/>
  <c r="EV37" i="4"/>
  <c r="EU37" i="4"/>
  <c r="ET37" i="4"/>
  <c r="FD37" i="4" s="1"/>
  <c r="ES37" i="4"/>
  <c r="FC37" i="4" s="1"/>
  <c r="EQ37" i="4"/>
  <c r="EY37" i="4" s="1"/>
  <c r="EP37" i="4"/>
  <c r="ER37" i="4" s="1"/>
  <c r="EO37" i="4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D36" i="4"/>
  <c r="FB36" i="4"/>
  <c r="FA36" i="4"/>
  <c r="EZ36" i="4"/>
  <c r="EX36" i="4"/>
  <c r="EW36" i="4"/>
  <c r="EV36" i="4"/>
  <c r="EU36" i="4"/>
  <c r="ET36" i="4"/>
  <c r="ES36" i="4"/>
  <c r="FC36" i="4" s="1"/>
  <c r="ER36" i="4"/>
  <c r="EQ36" i="4"/>
  <c r="EY36" i="4" s="1"/>
  <c r="EP36" i="4"/>
  <c r="EO36" i="4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D35" i="4"/>
  <c r="FB35" i="4"/>
  <c r="FA35" i="4"/>
  <c r="EW35" i="4"/>
  <c r="EV35" i="4"/>
  <c r="EU35" i="4"/>
  <c r="ET35" i="4"/>
  <c r="ES35" i="4"/>
  <c r="FC35" i="4" s="1"/>
  <c r="ER35" i="4"/>
  <c r="EZ35" i="4" s="1"/>
  <c r="EQ35" i="4"/>
  <c r="EY35" i="4" s="1"/>
  <c r="EP35" i="4"/>
  <c r="EX35" i="4" s="1"/>
  <c r="EO35" i="4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E33" i="4"/>
  <c r="BG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D32" i="4"/>
  <c r="CC32" i="4"/>
  <c r="CB32" i="4"/>
  <c r="BS32" i="4"/>
  <c r="BQ32" i="4"/>
  <c r="BP32" i="4"/>
  <c r="BN32" i="4"/>
  <c r="CF32" i="4" s="1"/>
  <c r="BM32" i="4"/>
  <c r="BL32" i="4"/>
  <c r="BE32" i="4"/>
  <c r="BD32" i="4"/>
  <c r="BC32" i="4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S31" i="4"/>
  <c r="BQ31" i="4"/>
  <c r="BP31" i="4"/>
  <c r="BM31" i="4"/>
  <c r="CE31" i="4" s="1"/>
  <c r="BL31" i="4"/>
  <c r="BN31" i="4" s="1"/>
  <c r="BE31" i="4"/>
  <c r="BC31" i="4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D30" i="4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F29" i="4"/>
  <c r="CD29" i="4"/>
  <c r="CC29" i="4"/>
  <c r="CB29" i="4"/>
  <c r="BU29" i="4"/>
  <c r="BT29" i="4"/>
  <c r="BS29" i="4"/>
  <c r="BR29" i="4"/>
  <c r="BQ29" i="4"/>
  <c r="BP29" i="4"/>
  <c r="BN29" i="4"/>
  <c r="BM29" i="4"/>
  <c r="BO29" i="4" s="1"/>
  <c r="CG29" i="4" s="1"/>
  <c r="BL29" i="4"/>
  <c r="BG29" i="4"/>
  <c r="BW29" i="4" s="1"/>
  <c r="BE29" i="4"/>
  <c r="BD29" i="4"/>
  <c r="BF29" i="4" s="1"/>
  <c r="BV29" i="4" s="1"/>
  <c r="BC29" i="4"/>
  <c r="BB29" i="4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F27" i="4"/>
  <c r="CC27" i="4"/>
  <c r="CB27" i="4"/>
  <c r="BW27" i="4"/>
  <c r="BR27" i="4"/>
  <c r="BQ27" i="4"/>
  <c r="BP27" i="4"/>
  <c r="BM27" i="4"/>
  <c r="BL27" i="4"/>
  <c r="BN27" i="4" s="1"/>
  <c r="BE27" i="4"/>
  <c r="BG27" i="4" s="1"/>
  <c r="BI27" i="4" s="1"/>
  <c r="BD27" i="4"/>
  <c r="BC27" i="4"/>
  <c r="BS27" i="4" s="1"/>
  <c r="BB27" i="4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S26" i="4"/>
  <c r="BQ26" i="4"/>
  <c r="BP26" i="4"/>
  <c r="BN26" i="4"/>
  <c r="CF26" i="4" s="1"/>
  <c r="BM26" i="4"/>
  <c r="BO26" i="4" s="1"/>
  <c r="CG26" i="4" s="1"/>
  <c r="BL26" i="4"/>
  <c r="BE26" i="4"/>
  <c r="BC26" i="4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T25" i="4"/>
  <c r="BR25" i="4"/>
  <c r="BQ25" i="4"/>
  <c r="BP25" i="4"/>
  <c r="BM25" i="4"/>
  <c r="BO25" i="4" s="1"/>
  <c r="BL25" i="4"/>
  <c r="BN25" i="4" s="1"/>
  <c r="CF25" i="4" s="1"/>
  <c r="BE25" i="4"/>
  <c r="BG25" i="4" s="1"/>
  <c r="BD25" i="4"/>
  <c r="BF25" i="4" s="1"/>
  <c r="BH25" i="4" s="1"/>
  <c r="BC25" i="4"/>
  <c r="BS25" i="4" s="1"/>
  <c r="BB25" i="4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D24" i="4"/>
  <c r="CC24" i="4"/>
  <c r="CB24" i="4"/>
  <c r="BR24" i="4"/>
  <c r="BQ24" i="4"/>
  <c r="BP24" i="4"/>
  <c r="BO24" i="4"/>
  <c r="BN24" i="4"/>
  <c r="BM24" i="4"/>
  <c r="CE24" i="4" s="1"/>
  <c r="BL24" i="4"/>
  <c r="BE24" i="4"/>
  <c r="BD24" i="4"/>
  <c r="BF24" i="4" s="1"/>
  <c r="BC24" i="4"/>
  <c r="BS24" i="4" s="1"/>
  <c r="BB24" i="4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E23" i="4"/>
  <c r="CC23" i="4"/>
  <c r="CB23" i="4"/>
  <c r="BY23" i="4"/>
  <c r="BU23" i="4"/>
  <c r="BT23" i="4"/>
  <c r="BS23" i="4"/>
  <c r="BQ23" i="4"/>
  <c r="BP23" i="4"/>
  <c r="BM23" i="4"/>
  <c r="BO23" i="4" s="1"/>
  <c r="BL23" i="4"/>
  <c r="BN23" i="4" s="1"/>
  <c r="CF23" i="4" s="1"/>
  <c r="BK23" i="4"/>
  <c r="CA23" i="4" s="1"/>
  <c r="BG23" i="4"/>
  <c r="BI23" i="4" s="1"/>
  <c r="BF23" i="4"/>
  <c r="BV23" i="4" s="1"/>
  <c r="BE23" i="4"/>
  <c r="BD23" i="4"/>
  <c r="BC23" i="4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F22" i="4"/>
  <c r="CD22" i="4"/>
  <c r="CC22" i="4"/>
  <c r="CB22" i="4"/>
  <c r="BS22" i="4"/>
  <c r="BQ22" i="4"/>
  <c r="BP22" i="4"/>
  <c r="BO22" i="4"/>
  <c r="CG22" i="4" s="1"/>
  <c r="BN22" i="4"/>
  <c r="BM22" i="4"/>
  <c r="CE22" i="4" s="1"/>
  <c r="BL22" i="4"/>
  <c r="BI22" i="4"/>
  <c r="BE22" i="4"/>
  <c r="BG22" i="4" s="1"/>
  <c r="BW22" i="4" s="1"/>
  <c r="BC22" i="4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C21" i="4"/>
  <c r="CB21" i="4"/>
  <c r="BQ21" i="4"/>
  <c r="BP21" i="4"/>
  <c r="BO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D20" i="4"/>
  <c r="CC20" i="4"/>
  <c r="CB20" i="4"/>
  <c r="BV20" i="4"/>
  <c r="BS20" i="4"/>
  <c r="BR20" i="4"/>
  <c r="BQ20" i="4"/>
  <c r="BP20" i="4"/>
  <c r="BM20" i="4"/>
  <c r="BO20" i="4" s="1"/>
  <c r="CG20" i="4" s="1"/>
  <c r="BL20" i="4"/>
  <c r="BN20" i="4" s="1"/>
  <c r="CF20" i="4" s="1"/>
  <c r="BI20" i="4"/>
  <c r="BK20" i="4" s="1"/>
  <c r="CA20" i="4" s="1"/>
  <c r="BG20" i="4"/>
  <c r="BW20" i="4" s="1"/>
  <c r="BE20" i="4"/>
  <c r="BU20" i="4" s="1"/>
  <c r="BD20" i="4"/>
  <c r="BF20" i="4" s="1"/>
  <c r="BH20" i="4" s="1"/>
  <c r="BC20" i="4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X19" i="4"/>
  <c r="BT19" i="4"/>
  <c r="BR19" i="4"/>
  <c r="BQ19" i="4"/>
  <c r="BP19" i="4"/>
  <c r="BO19" i="4"/>
  <c r="CG19" i="4" s="1"/>
  <c r="BM19" i="4"/>
  <c r="BL19" i="4"/>
  <c r="CD19" i="4" s="1"/>
  <c r="BF19" i="4"/>
  <c r="BH19" i="4" s="1"/>
  <c r="BJ19" i="4" s="1"/>
  <c r="BZ19" i="4" s="1"/>
  <c r="BC19" i="4"/>
  <c r="BS19" i="4" s="1"/>
  <c r="BB19" i="4"/>
  <c r="BD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F17" i="4"/>
  <c r="CD17" i="4"/>
  <c r="CC17" i="4"/>
  <c r="CB17" i="4"/>
  <c r="BW17" i="4"/>
  <c r="BS17" i="4"/>
  <c r="BQ17" i="4"/>
  <c r="BP17" i="4"/>
  <c r="BN17" i="4"/>
  <c r="BM17" i="4"/>
  <c r="BO17" i="4" s="1"/>
  <c r="CG17" i="4" s="1"/>
  <c r="BL17" i="4"/>
  <c r="BI17" i="4"/>
  <c r="BK17" i="4" s="1"/>
  <c r="CA17" i="4" s="1"/>
  <c r="BE17" i="4"/>
  <c r="BG17" i="4" s="1"/>
  <c r="BC17" i="4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Y15" i="4"/>
  <c r="BR15" i="4"/>
  <c r="BQ15" i="4"/>
  <c r="BP15" i="4"/>
  <c r="BM15" i="4"/>
  <c r="BL15" i="4"/>
  <c r="CD15" i="4" s="1"/>
  <c r="BI15" i="4"/>
  <c r="BK15" i="4" s="1"/>
  <c r="CA15" i="4" s="1"/>
  <c r="BE15" i="4"/>
  <c r="BG15" i="4" s="1"/>
  <c r="BW15" i="4" s="1"/>
  <c r="BD15" i="4"/>
  <c r="BC15" i="4"/>
  <c r="BS15" i="4" s="1"/>
  <c r="BB15" i="4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F14" i="4"/>
  <c r="CC14" i="4"/>
  <c r="CB14" i="4"/>
  <c r="BX14" i="4"/>
  <c r="BW14" i="4"/>
  <c r="BT14" i="4"/>
  <c r="BS14" i="4"/>
  <c r="BQ14" i="4"/>
  <c r="BP14" i="4"/>
  <c r="BN14" i="4"/>
  <c r="BM14" i="4"/>
  <c r="BO14" i="4" s="1"/>
  <c r="CG14" i="4" s="1"/>
  <c r="BL14" i="4"/>
  <c r="CD14" i="4" s="1"/>
  <c r="BJ14" i="4"/>
  <c r="BZ14" i="4" s="1"/>
  <c r="BI14" i="4"/>
  <c r="BG14" i="4"/>
  <c r="BF14" i="4"/>
  <c r="BH14" i="4" s="1"/>
  <c r="BE14" i="4"/>
  <c r="BU14" i="4" s="1"/>
  <c r="BC14" i="4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D13" i="4"/>
  <c r="CC13" i="4"/>
  <c r="CB13" i="4"/>
  <c r="BV13" i="4"/>
  <c r="BT13" i="4"/>
  <c r="BR13" i="4"/>
  <c r="BQ13" i="4"/>
  <c r="BP13" i="4"/>
  <c r="BN13" i="4"/>
  <c r="CF13" i="4" s="1"/>
  <c r="BM13" i="4"/>
  <c r="BO13" i="4" s="1"/>
  <c r="CG13" i="4" s="1"/>
  <c r="BL13" i="4"/>
  <c r="BH13" i="4"/>
  <c r="BE13" i="4"/>
  <c r="BG13" i="4" s="1"/>
  <c r="BD13" i="4"/>
  <c r="BF13" i="4" s="1"/>
  <c r="BC13" i="4"/>
  <c r="BS13" i="4" s="1"/>
  <c r="BB13" i="4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D12" i="4"/>
  <c r="CC12" i="4"/>
  <c r="CB12" i="4"/>
  <c r="BR12" i="4"/>
  <c r="BQ12" i="4"/>
  <c r="BP12" i="4"/>
  <c r="BO12" i="4"/>
  <c r="BN12" i="4"/>
  <c r="CF12" i="4" s="1"/>
  <c r="BM12" i="4"/>
  <c r="CE12" i="4" s="1"/>
  <c r="BL12" i="4"/>
  <c r="BE12" i="4"/>
  <c r="BD12" i="4"/>
  <c r="BF12" i="4" s="1"/>
  <c r="BC12" i="4"/>
  <c r="BS12" i="4" s="1"/>
  <c r="BB12" i="4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Y11" i="4"/>
  <c r="BU11" i="4"/>
  <c r="BS11" i="4"/>
  <c r="BQ11" i="4"/>
  <c r="BP11" i="4"/>
  <c r="BM11" i="4"/>
  <c r="BO11" i="4" s="1"/>
  <c r="BL11" i="4"/>
  <c r="BG11" i="4"/>
  <c r="BI11" i="4" s="1"/>
  <c r="BK11" i="4" s="1"/>
  <c r="CA11" i="4" s="1"/>
  <c r="BE11" i="4"/>
  <c r="BC11" i="4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D10" i="4"/>
  <c r="CC10" i="4"/>
  <c r="CB10" i="4"/>
  <c r="BS10" i="4"/>
  <c r="BQ10" i="4"/>
  <c r="BP10" i="4"/>
  <c r="BO10" i="4"/>
  <c r="CG10" i="4" s="1"/>
  <c r="BN10" i="4"/>
  <c r="CF10" i="4" s="1"/>
  <c r="BM10" i="4"/>
  <c r="BL10" i="4"/>
  <c r="BE10" i="4"/>
  <c r="BG10" i="4" s="1"/>
  <c r="BW10" i="4" s="1"/>
  <c r="BC10" i="4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C9" i="4"/>
  <c r="CB9" i="4"/>
  <c r="BQ9" i="4"/>
  <c r="BP9" i="4"/>
  <c r="BO9" i="4"/>
  <c r="BN9" i="4"/>
  <c r="CF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E8" i="4"/>
  <c r="CC8" i="4"/>
  <c r="CB8" i="4"/>
  <c r="BT8" i="4"/>
  <c r="BS8" i="4"/>
  <c r="BR8" i="4"/>
  <c r="BQ8" i="4"/>
  <c r="BP8" i="4"/>
  <c r="BO8" i="4"/>
  <c r="CG8" i="4" s="1"/>
  <c r="BN8" i="4"/>
  <c r="CF8" i="4" s="1"/>
  <c r="BM8" i="4"/>
  <c r="BL8" i="4"/>
  <c r="CD8" i="4" s="1"/>
  <c r="BG8" i="4"/>
  <c r="BI8" i="4" s="1"/>
  <c r="BY8" i="4" s="1"/>
  <c r="BF8" i="4"/>
  <c r="BD8" i="4"/>
  <c r="BC8" i="4"/>
  <c r="BE8" i="4" s="1"/>
  <c r="BU8" i="4" s="1"/>
  <c r="BB8" i="4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E7" i="4"/>
  <c r="CD7" i="4"/>
  <c r="CC7" i="4"/>
  <c r="CB7" i="4"/>
  <c r="BW7" i="4"/>
  <c r="BQ7" i="4"/>
  <c r="BP7" i="4"/>
  <c r="BO7" i="4"/>
  <c r="CG7" i="4" s="1"/>
  <c r="BN7" i="4"/>
  <c r="CF7" i="4" s="1"/>
  <c r="BM7" i="4"/>
  <c r="BL7" i="4"/>
  <c r="BK7" i="4"/>
  <c r="CA7" i="4" s="1"/>
  <c r="BG7" i="4"/>
  <c r="BI7" i="4" s="1"/>
  <c r="BY7" i="4" s="1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S6" i="4"/>
  <c r="BQ6" i="4"/>
  <c r="BP6" i="4"/>
  <c r="BO6" i="4"/>
  <c r="CG6" i="4" s="1"/>
  <c r="BN6" i="4"/>
  <c r="CF6" i="4" s="1"/>
  <c r="BM6" i="4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D5" i="4"/>
  <c r="CC5" i="4"/>
  <c r="CB5" i="4"/>
  <c r="BQ5" i="4"/>
  <c r="BP5" i="4"/>
  <c r="BO5" i="4"/>
  <c r="CG5" i="4" s="1"/>
  <c r="BN5" i="4"/>
  <c r="CF5" i="4" s="1"/>
  <c r="BM5" i="4"/>
  <c r="BL5" i="4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U4" i="4"/>
  <c r="BS4" i="4"/>
  <c r="BQ4" i="4"/>
  <c r="BP4" i="4"/>
  <c r="BO4" i="4"/>
  <c r="CG4" i="4" s="1"/>
  <c r="BM4" i="4"/>
  <c r="BL4" i="4"/>
  <c r="CD4" i="4" s="1"/>
  <c r="BI4" i="4"/>
  <c r="BG4" i="4"/>
  <c r="BW4" i="4" s="1"/>
  <c r="BC4" i="4"/>
  <c r="BE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D3" i="4"/>
  <c r="CC3" i="4"/>
  <c r="CB3" i="4"/>
  <c r="BQ3" i="4"/>
  <c r="BP3" i="4"/>
  <c r="BO3" i="4"/>
  <c r="CG3" i="4" s="1"/>
  <c r="BN3" i="4"/>
  <c r="CF3" i="4" s="1"/>
  <c r="BM3" i="4"/>
  <c r="BL3" i="4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Y2" i="4"/>
  <c r="BS2" i="4"/>
  <c r="BR2" i="4"/>
  <c r="BQ2" i="4"/>
  <c r="BP2" i="4"/>
  <c r="BM2" i="4"/>
  <c r="BO2" i="4" s="1"/>
  <c r="CG2" i="4" s="1"/>
  <c r="BL2" i="4"/>
  <c r="CD2" i="4" s="1"/>
  <c r="BG2" i="4"/>
  <c r="BI2" i="4" s="1"/>
  <c r="BK2" i="4" s="1"/>
  <c r="CA2" i="4" s="1"/>
  <c r="BD2" i="4"/>
  <c r="BC2" i="4"/>
  <c r="BE2" i="4" s="1"/>
  <c r="BU2" i="4" s="1"/>
  <c r="BB2" i="4"/>
  <c r="BA2" i="4"/>
  <c r="G2" i="4"/>
  <c r="AB44" i="5" l="1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BN11" i="4"/>
  <c r="CF11" i="4" s="1"/>
  <c r="CD11" i="4"/>
  <c r="BH24" i="4"/>
  <c r="BV24" i="4"/>
  <c r="BY14" i="4"/>
  <c r="BK14" i="4"/>
  <c r="CA14" i="4" s="1"/>
  <c r="BX25" i="4"/>
  <c r="BJ25" i="4"/>
  <c r="BZ25" i="4" s="1"/>
  <c r="BF28" i="4"/>
  <c r="BT28" i="4"/>
  <c r="BH12" i="4"/>
  <c r="BV12" i="4"/>
  <c r="BW25" i="4"/>
  <c r="BI25" i="4"/>
  <c r="BF2" i="4"/>
  <c r="BT2" i="4"/>
  <c r="BV8" i="4"/>
  <c r="BH8" i="4"/>
  <c r="BT17" i="4"/>
  <c r="BF17" i="4"/>
  <c r="BK27" i="4"/>
  <c r="CA27" i="4" s="1"/>
  <c r="BY27" i="4"/>
  <c r="GW54" i="4"/>
  <c r="HK54" i="4"/>
  <c r="BR9" i="4"/>
  <c r="BD9" i="4"/>
  <c r="BW13" i="4"/>
  <c r="BI13" i="4"/>
  <c r="BW16" i="4"/>
  <c r="BI16" i="4"/>
  <c r="BR5" i="4"/>
  <c r="BD5" i="4"/>
  <c r="BX13" i="4"/>
  <c r="BJ13" i="4"/>
  <c r="BZ13" i="4" s="1"/>
  <c r="BT10" i="4"/>
  <c r="BF10" i="4"/>
  <c r="BY4" i="4"/>
  <c r="BK4" i="4"/>
  <c r="CA4" i="4" s="1"/>
  <c r="BJ20" i="4"/>
  <c r="BZ20" i="4" s="1"/>
  <c r="BX20" i="4"/>
  <c r="BK22" i="4"/>
  <c r="CA22" i="4" s="1"/>
  <c r="BY22" i="4"/>
  <c r="BG32" i="4"/>
  <c r="BU32" i="4"/>
  <c r="BN19" i="4"/>
  <c r="CF19" i="4" s="1"/>
  <c r="BW23" i="4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V25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BU33" i="4"/>
  <c r="GW43" i="4"/>
  <c r="HK43" i="4"/>
  <c r="GZ44" i="4"/>
  <c r="HP44" i="4" s="1"/>
  <c r="HN44" i="4"/>
  <c r="GS53" i="4"/>
  <c r="HG53" i="4"/>
  <c r="BH23" i="4"/>
  <c r="BU31" i="4"/>
  <c r="BG31" i="4"/>
  <c r="BG6" i="4"/>
  <c r="BI10" i="4"/>
  <c r="BR17" i="4"/>
  <c r="BE19" i="4"/>
  <c r="CD23" i="4"/>
  <c r="BW33" i="4"/>
  <c r="BI33" i="4"/>
  <c r="GV46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Y46" i="4"/>
  <c r="HK48" i="4"/>
  <c r="GU49" i="4"/>
  <c r="HI49" i="4"/>
  <c r="GX53" i="4"/>
  <c r="HL53" i="4"/>
  <c r="BY20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W11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I29" i="4"/>
  <c r="BO31" i="4"/>
  <c r="CG31" i="4" s="1"/>
  <c r="EW38" i="4"/>
  <c r="ER39" i="4"/>
  <c r="EZ39" i="4" s="1"/>
  <c r="GT45" i="4"/>
  <c r="HH45" i="4"/>
  <c r="ID46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IE46" i="4"/>
  <c r="U47" i="4"/>
  <c r="IL46" i="4"/>
  <c r="HZ46" i="4"/>
  <c r="GP46" i="4"/>
  <c r="IG46" i="4"/>
  <c r="IB46" i="4"/>
  <c r="IA46" i="4"/>
  <c r="HX46" i="4"/>
  <c r="HV46" i="4"/>
  <c r="IM46" i="4"/>
  <c r="HU46" i="4"/>
  <c r="II46" i="4"/>
  <c r="IH46" i="4"/>
  <c r="IC46" i="4"/>
  <c r="IK46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AB45" i="5" l="1"/>
  <c r="HH45" i="5" s="1"/>
  <c r="AA45" i="5"/>
  <c r="HG45" i="5" s="1"/>
  <c r="Z45" i="5" s="1" a="1"/>
  <c r="Z45" i="5" s="1"/>
  <c r="Y46" i="5" s="1" a="1"/>
  <c r="Y46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Y29" i="4"/>
  <c r="BK29" i="4"/>
  <c r="CA29" i="4" s="1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II47" i="4"/>
  <c r="HW47" i="4"/>
  <c r="ID47" i="4"/>
  <c r="IM47" i="4"/>
  <c r="HY47" i="4"/>
  <c r="IK47" i="4"/>
  <c r="HV47" i="4"/>
  <c r="IH47" i="4"/>
  <c r="IG47" i="4"/>
  <c r="IA47" i="4"/>
  <c r="GP47" i="4"/>
  <c r="HX47" i="4"/>
  <c r="HU47" i="4"/>
  <c r="IL47" i="4"/>
  <c r="IJ47" i="4"/>
  <c r="IC47" i="4"/>
  <c r="IB47" i="4"/>
  <c r="IF47" i="4"/>
  <c r="U48" i="4"/>
  <c r="IE47" i="4"/>
  <c r="HZ47" i="4"/>
  <c r="BX21" i="4"/>
  <c r="BJ21" i="4"/>
  <c r="BZ21" i="4" s="1"/>
  <c r="BT22" i="4"/>
  <c r="BF22" i="4"/>
  <c r="BU3" i="4"/>
  <c r="BG3" i="4"/>
  <c r="BI24" i="4"/>
  <c r="BW24" i="4"/>
  <c r="BV10" i="4"/>
  <c r="BH10" i="4"/>
  <c r="AB46" i="5" l="1"/>
  <c r="HH46" i="5" s="1"/>
  <c r="AA46" i="5"/>
  <c r="HG46" i="5" s="1"/>
  <c r="Z46" i="5" s="1" a="1"/>
  <c r="Z46" i="5" s="1"/>
  <c r="Y47" i="5" s="1" a="1"/>
  <c r="Y47" i="5" s="1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IF48" i="4"/>
  <c r="IM48" i="4"/>
  <c r="IA48" i="4"/>
  <c r="IH48" i="4"/>
  <c r="HV48" i="4"/>
  <c r="IL48" i="4"/>
  <c r="HW48" i="4"/>
  <c r="IJ48" i="4"/>
  <c r="IG48" i="4"/>
  <c r="IE48" i="4"/>
  <c r="II48" i="4"/>
  <c r="ID48" i="4"/>
  <c r="U49" i="4"/>
  <c r="HZ48" i="4"/>
  <c r="GP48" i="4"/>
  <c r="HY48" i="4"/>
  <c r="IB48" i="4"/>
  <c r="IK48" i="4"/>
  <c r="IC48" i="4"/>
  <c r="HX48" i="4"/>
  <c r="HU4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AA47" i="5" l="1"/>
  <c r="HG47" i="5" s="1"/>
  <c r="Z47" i="5" s="1" a="1"/>
  <c r="Z47" i="5" s="1"/>
  <c r="Y48" i="5" s="1" a="1"/>
  <c r="Y48" i="5" s="1"/>
  <c r="AB47" i="5"/>
  <c r="HH47" i="5" s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BY3" i="4"/>
  <c r="BK3" i="4"/>
  <c r="CA3" i="4" s="1"/>
  <c r="HM52" i="4"/>
  <c r="GY52" i="4"/>
  <c r="HO52" i="4" s="1"/>
  <c r="BX6" i="4"/>
  <c r="BJ6" i="4"/>
  <c r="BZ6" i="4" s="1"/>
  <c r="IB49" i="4"/>
  <c r="IL49" i="4"/>
  <c r="HY49" i="4"/>
  <c r="IG49" i="4"/>
  <c r="IA49" i="4"/>
  <c r="GP49" i="4"/>
  <c r="HX49" i="4"/>
  <c r="U50" i="4"/>
  <c r="IM49" i="4"/>
  <c r="HV49" i="4"/>
  <c r="IJ49" i="4"/>
  <c r="II49" i="4"/>
  <c r="IH49" i="4"/>
  <c r="IF49" i="4"/>
  <c r="IE49" i="4"/>
  <c r="HZ49" i="4"/>
  <c r="HW49" i="4"/>
  <c r="IK49" i="4"/>
  <c r="ID49" i="4"/>
  <c r="IC49" i="4"/>
  <c r="HU49" i="4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AB48" i="5" l="1"/>
  <c r="HH48" i="5" s="1"/>
  <c r="AA48" i="5"/>
  <c r="HG48" i="5" s="1"/>
  <c r="Z48" i="5" s="1" a="1"/>
  <c r="Z48" i="5" s="1"/>
  <c r="Y49" i="5" s="1" a="1"/>
  <c r="Y49" i="5" s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IF50" i="4"/>
  <c r="IL50" i="4"/>
  <c r="HY50" i="4"/>
  <c r="IG50" i="4"/>
  <c r="IA50" i="4"/>
  <c r="IH50" i="4"/>
  <c r="ID50" i="4"/>
  <c r="IB50" i="4"/>
  <c r="HZ50" i="4"/>
  <c r="HX50" i="4"/>
  <c r="IC50" i="4"/>
  <c r="HV50" i="4"/>
  <c r="HU50" i="4"/>
  <c r="U51" i="4"/>
  <c r="IM50" i="4"/>
  <c r="GP50" i="4"/>
  <c r="II50" i="4"/>
  <c r="IJ50" i="4"/>
  <c r="IE50" i="4"/>
  <c r="HW50" i="4"/>
  <c r="IK50" i="4"/>
  <c r="AA49" i="5" l="1"/>
  <c r="HG49" i="5" s="1"/>
  <c r="Z49" i="5" s="1" a="1"/>
  <c r="Z49" i="5" s="1"/>
  <c r="Y50" i="5" s="1" a="1"/>
  <c r="Y50" i="5" s="1"/>
  <c r="AB49" i="5"/>
  <c r="HH49" i="5" s="1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AB45" i="4"/>
  <c r="HD45" i="4" s="1"/>
  <c r="AA45" i="4"/>
  <c r="HC45" i="4" s="1"/>
  <c r="Z45" i="4" s="1" a="1"/>
  <c r="Z45" i="4" s="1"/>
  <c r="Y46" i="4" s="1" a="1"/>
  <c r="Y46" i="4" s="1"/>
  <c r="U52" i="4"/>
  <c r="IL51" i="4"/>
  <c r="HZ51" i="4"/>
  <c r="GP51" i="4"/>
  <c r="ID51" i="4"/>
  <c r="IB51" i="4"/>
  <c r="IJ51" i="4"/>
  <c r="HV51" i="4"/>
  <c r="IE51" i="4"/>
  <c r="IA51" i="4"/>
  <c r="HX51" i="4"/>
  <c r="HU51" i="4"/>
  <c r="IM51" i="4"/>
  <c r="IK51" i="4"/>
  <c r="II51" i="4"/>
  <c r="IH51" i="4"/>
  <c r="IF51" i="4"/>
  <c r="IC51" i="4"/>
  <c r="IG51" i="4"/>
  <c r="HY51" i="4"/>
  <c r="HW51" i="4"/>
  <c r="X50" i="4"/>
  <c r="AA50" i="5" l="1"/>
  <c r="HG50" i="5" s="1"/>
  <c r="Z50" i="5" s="1" a="1"/>
  <c r="Z50" i="5" s="1"/>
  <c r="AB50" i="5"/>
  <c r="HH50" i="5" s="1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22" i="5" a="1"/>
  <c r="KI222" i="5" s="1"/>
  <c r="KJ222" i="5" s="1"/>
  <c r="KK222" i="5" s="1"/>
  <c r="KL222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253" i="5" a="1"/>
  <c r="KI253" i="5" s="1"/>
  <c r="KJ253" i="5" s="1"/>
  <c r="KK253" i="5" s="1"/>
  <c r="KI192" i="5" a="1"/>
  <c r="KI192" i="5" s="1"/>
  <c r="KI187" i="5" a="1"/>
  <c r="KI187" i="5" s="1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57" i="5" a="1"/>
  <c r="KI57" i="5" s="1"/>
  <c r="KJ57" i="5" s="1"/>
  <c r="KK57" i="5" s="1"/>
  <c r="KI254" i="5" a="1"/>
  <c r="KI254" i="5" s="1"/>
  <c r="KJ254" i="5" s="1"/>
  <c r="KK254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3" i="5" a="1"/>
  <c r="KI223" i="5" s="1"/>
  <c r="KJ223" i="5" s="1"/>
  <c r="KK223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249" i="5" a="1"/>
  <c r="KI249" i="5" s="1"/>
  <c r="KJ249" i="5" s="1"/>
  <c r="KK249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AA46" i="4"/>
  <c r="HC46" i="4" s="1"/>
  <c r="Z46" i="4" s="1" a="1"/>
  <c r="Z46" i="4" s="1"/>
  <c r="Y47" i="4" s="1" a="1"/>
  <c r="Y47" i="4" s="1"/>
  <c r="AB46" i="4"/>
  <c r="HD46" i="4" s="1"/>
  <c r="ID52" i="4"/>
  <c r="IA52" i="4"/>
  <c r="GP52" i="4"/>
  <c r="IH52" i="4"/>
  <c r="IB52" i="4"/>
  <c r="IJ52" i="4"/>
  <c r="HV52" i="4"/>
  <c r="HZ52" i="4"/>
  <c r="HX52" i="4"/>
  <c r="IM52" i="4"/>
  <c r="HU52" i="4"/>
  <c r="IL52" i="4"/>
  <c r="U53" i="4"/>
  <c r="IK52" i="4"/>
  <c r="II52" i="4"/>
  <c r="IF52" i="4"/>
  <c r="IC52" i="4"/>
  <c r="HY52" i="4"/>
  <c r="IG52" i="4"/>
  <c r="IE52" i="4"/>
  <c r="HW52" i="4"/>
  <c r="X51" i="4"/>
  <c r="AB53" i="5" l="1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I224" i="5" a="1"/>
  <c r="KI224" i="5" s="1"/>
  <c r="KJ224" i="5" s="1"/>
  <c r="KK224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IH53" i="4"/>
  <c r="HV53" i="4"/>
  <c r="IA53" i="4"/>
  <c r="HZ53" i="4"/>
  <c r="II53" i="4"/>
  <c r="IC53" i="4"/>
  <c r="HY53" i="4"/>
  <c r="HW53" i="4"/>
  <c r="GP53" i="4"/>
  <c r="IL53" i="4"/>
  <c r="IK53" i="4"/>
  <c r="U54" i="4"/>
  <c r="IJ53" i="4"/>
  <c r="IG53" i="4"/>
  <c r="ID53" i="4"/>
  <c r="HX53" i="4"/>
  <c r="HU53" i="4"/>
  <c r="IF53" i="4"/>
  <c r="IM53" i="4"/>
  <c r="IE53" i="4"/>
  <c r="IB53" i="4"/>
  <c r="AA54" i="5" l="1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I220" i="5" a="1"/>
  <c r="KI220" i="5" s="1"/>
  <c r="KJ220" i="5" s="1"/>
  <c r="KK220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I266" i="5" a="1"/>
  <c r="KI266" i="5" s="1"/>
  <c r="KJ266" i="5" s="1"/>
  <c r="KK266" i="5" s="1"/>
  <c r="KJ237" i="5"/>
  <c r="KK237" i="5" s="1"/>
  <c r="KI238" i="5" a="1"/>
  <c r="KI238" i="5" s="1"/>
  <c r="KJ238" i="5" s="1"/>
  <c r="KK238" i="5" s="1"/>
  <c r="AB48" i="4"/>
  <c r="HD48" i="4" s="1"/>
  <c r="AA48" i="4"/>
  <c r="HC48" i="4" s="1"/>
  <c r="Z48" i="4" s="1" a="1"/>
  <c r="Z48" i="4" s="1"/>
  <c r="Y49" i="4" s="1" a="1"/>
  <c r="Y49" i="4" s="1"/>
  <c r="U55" i="4"/>
  <c r="IL54" i="4"/>
  <c r="HZ54" i="4"/>
  <c r="GP54" i="4"/>
  <c r="IM54" i="4"/>
  <c r="HY54" i="4"/>
  <c r="IG54" i="4"/>
  <c r="IB54" i="4"/>
  <c r="II54" i="4"/>
  <c r="HU54" i="4"/>
  <c r="HX54" i="4"/>
  <c r="HV54" i="4"/>
  <c r="IK54" i="4"/>
  <c r="IJ54" i="4"/>
  <c r="IH54" i="4"/>
  <c r="IF54" i="4"/>
  <c r="IC54" i="4"/>
  <c r="HW54" i="4"/>
  <c r="IE54" i="4"/>
  <c r="ID54" i="4"/>
  <c r="IA54" i="4"/>
  <c r="PB209" i="4" a="1"/>
  <c r="PB209" i="4" s="1"/>
  <c r="PC209" i="4" s="1"/>
  <c r="PD209" i="4" s="1"/>
  <c r="PE209" i="4" s="1"/>
  <c r="PF209" i="4" s="1"/>
  <c r="PG209" i="4" s="1"/>
  <c r="PB198" i="4" a="1"/>
  <c r="PB198" i="4" s="1"/>
  <c r="PC198" i="4" s="1"/>
  <c r="PD198" i="4" s="1"/>
  <c r="PE198" i="4" s="1"/>
  <c r="PF198" i="4" s="1"/>
  <c r="PG198" i="4" s="1"/>
  <c r="KE56" i="4" a="1"/>
  <c r="KE56" i="4" s="1"/>
  <c r="KF56" i="4" s="1"/>
  <c r="KG56" i="4" s="1"/>
  <c r="AA51" i="4"/>
  <c r="HC51" i="4" s="1"/>
  <c r="Z51" i="4" s="1" a="1"/>
  <c r="Z51" i="4" s="1"/>
  <c r="Y52" i="4" s="1" a="1"/>
  <c r="Y52" i="4" s="1"/>
  <c r="AB51" i="4"/>
  <c r="HD51" i="4" s="1"/>
  <c r="X53" i="4"/>
  <c r="AB55" i="5" l="1"/>
  <c r="HH55" i="5" s="1"/>
  <c r="AA55" i="5"/>
  <c r="HG55" i="5" s="1"/>
  <c r="Z55" i="5" s="1" a="1"/>
  <c r="Z55" i="5" s="1"/>
  <c r="KJ257" i="5"/>
  <c r="KK257" i="5" s="1"/>
  <c r="KI258" i="5" a="1"/>
  <c r="KI258" i="5" s="1"/>
  <c r="KJ258" i="5" s="1"/>
  <c r="KK258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ID55" i="4"/>
  <c r="IJ55" i="4"/>
  <c r="HW55" i="4"/>
  <c r="IM55" i="4"/>
  <c r="HY55" i="4"/>
  <c r="IG55" i="4"/>
  <c r="IA55" i="4"/>
  <c r="IL55" i="4"/>
  <c r="GP55" i="4"/>
  <c r="II55" i="4"/>
  <c r="IF55" i="4"/>
  <c r="IE55" i="4"/>
  <c r="IC55" i="4"/>
  <c r="IB55" i="4"/>
  <c r="HX55" i="4"/>
  <c r="HU55" i="4"/>
  <c r="IK55" i="4"/>
  <c r="IH55" i="4"/>
  <c r="HV55" i="4"/>
  <c r="HZ55" i="4"/>
  <c r="KE57" i="4" a="1"/>
  <c r="KE57" i="4" s="1"/>
  <c r="KF57" i="4" s="1"/>
  <c r="KG57" i="4" s="1"/>
  <c r="PB203" i="4" a="1"/>
  <c r="PB203" i="4" s="1"/>
  <c r="PC203" i="4" s="1"/>
  <c r="PD203" i="4" s="1"/>
  <c r="PE203" i="4" s="1"/>
  <c r="PF203" i="4" s="1"/>
  <c r="PG203" i="4" s="1"/>
  <c r="PB211" i="4" a="1"/>
  <c r="PB211" i="4" s="1"/>
  <c r="PC211" i="4" s="1"/>
  <c r="PD211" i="4" s="1"/>
  <c r="PE211" i="4" s="1"/>
  <c r="PF211" i="4" s="1"/>
  <c r="PG211" i="4" s="1"/>
  <c r="KE187" i="4" a="1"/>
  <c r="KE187" i="4" s="1"/>
  <c r="LB169" i="4" a="1"/>
  <c r="LB169" i="4" s="1"/>
  <c r="LC169" i="4" s="1"/>
  <c r="LD169" i="4" s="1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PB199" i="4" a="1"/>
  <c r="PB199" i="4" s="1"/>
  <c r="PC199" i="4" s="1"/>
  <c r="PD199" i="4" s="1"/>
  <c r="PE199" i="4" s="1"/>
  <c r="PF199" i="4" s="1"/>
  <c r="PG199" i="4" s="1"/>
  <c r="PB213" i="4" a="1"/>
  <c r="PB213" i="4" s="1"/>
  <c r="PC213" i="4" s="1"/>
  <c r="PD213" i="4" s="1"/>
  <c r="PE213" i="4" s="1"/>
  <c r="PF213" i="4" s="1"/>
  <c r="PG213" i="4" s="1"/>
  <c r="KE233" i="4" a="1"/>
  <c r="KE233" i="4" s="1"/>
  <c r="KF233" i="4" s="1"/>
  <c r="KG233" i="4" s="1"/>
  <c r="PB205" i="4" a="1"/>
  <c r="PB205" i="4" s="1"/>
  <c r="PC205" i="4" s="1"/>
  <c r="PD205" i="4" s="1"/>
  <c r="PE205" i="4" s="1"/>
  <c r="PF205" i="4" s="1"/>
  <c r="PG205" i="4" s="1"/>
  <c r="PB193" i="4" a="1"/>
  <c r="PB193" i="4" s="1"/>
  <c r="PC193" i="4" s="1"/>
  <c r="PD193" i="4" s="1"/>
  <c r="PE193" i="4" s="1"/>
  <c r="PF193" i="4" s="1"/>
  <c r="PG193" i="4" s="1"/>
  <c r="KE221" i="4" a="1"/>
  <c r="KE221" i="4" s="1"/>
  <c r="KF221" i="4" s="1"/>
  <c r="KG221" i="4" s="1"/>
  <c r="KH221" i="4" s="1"/>
  <c r="PB194" i="4" a="1"/>
  <c r="PB194" i="4" s="1"/>
  <c r="PC194" i="4" s="1"/>
  <c r="PD194" i="4" s="1"/>
  <c r="PE194" i="4" s="1"/>
  <c r="PF194" i="4" s="1"/>
  <c r="PG194" i="4" s="1"/>
  <c r="PB183" i="4" a="1"/>
  <c r="PB183" i="4" s="1"/>
  <c r="PC183" i="4" s="1"/>
  <c r="PD183" i="4" s="1"/>
  <c r="PE183" i="4" s="1"/>
  <c r="PF183" i="4" s="1"/>
  <c r="PG183" i="4" s="1"/>
  <c r="PB188" i="4" a="1"/>
  <c r="PB188" i="4" s="1"/>
  <c r="PC188" i="4" s="1"/>
  <c r="PD188" i="4" s="1"/>
  <c r="PE188" i="4" s="1"/>
  <c r="PF188" i="4" s="1"/>
  <c r="PG188" i="4" s="1"/>
  <c r="KE192" i="4" a="1"/>
  <c r="KE192" i="4" s="1"/>
  <c r="KE202" i="4" a="1"/>
  <c r="KE202" i="4" s="1"/>
  <c r="KE197" i="4" a="1"/>
  <c r="KE197" i="4" s="1"/>
  <c r="PB189" i="4" a="1"/>
  <c r="PB189" i="4" s="1"/>
  <c r="PC189" i="4" s="1"/>
  <c r="PD189" i="4" s="1"/>
  <c r="PE189" i="4" s="1"/>
  <c r="PF189" i="4" s="1"/>
  <c r="PG189" i="4" s="1"/>
  <c r="KE218" i="4" a="1"/>
  <c r="KE218" i="4" s="1"/>
  <c r="KF218" i="4" s="1"/>
  <c r="KG218" i="4" s="1"/>
  <c r="PB215" i="4" a="1"/>
  <c r="PB215" i="4" s="1"/>
  <c r="PC215" i="4" s="1"/>
  <c r="PD215" i="4" s="1"/>
  <c r="PE215" i="4" s="1"/>
  <c r="PF215" i="4" s="1"/>
  <c r="PG215" i="4" s="1"/>
  <c r="KE222" i="4" a="1"/>
  <c r="KE222" i="4" s="1"/>
  <c r="KF222" i="4" s="1"/>
  <c r="KG222" i="4" s="1"/>
  <c r="KH222" i="4" s="1"/>
  <c r="PB207" i="4" a="1"/>
  <c r="PB207" i="4" s="1"/>
  <c r="PC207" i="4" s="1"/>
  <c r="PD207" i="4" s="1"/>
  <c r="PE207" i="4" s="1"/>
  <c r="PF207" i="4" s="1"/>
  <c r="PG207" i="4" s="1"/>
  <c r="AB57" i="5" l="1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KE234" i="4" a="1"/>
  <c r="KE23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E219" i="4" a="1"/>
  <c r="KE219" i="4" s="1"/>
  <c r="X55" i="4"/>
  <c r="KE58" i="4" a="1"/>
  <c r="KE58" i="4" s="1"/>
  <c r="KE223" i="4" a="1"/>
  <c r="KE223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PB184" i="4" a="1"/>
  <c r="PB184" i="4" s="1"/>
  <c r="AB58" i="5" l="1"/>
  <c r="KD58" i="5" s="1"/>
  <c r="AA58" i="5"/>
  <c r="KC58" i="5" s="1"/>
  <c r="Z58" i="5" s="1" a="1"/>
  <c r="Z58" i="5" s="1"/>
  <c r="Y59" i="5" s="1" a="1"/>
  <c r="Y59" i="5" s="1"/>
  <c r="KJ61" i="5"/>
  <c r="KK61" i="5" s="1"/>
  <c r="KI62" i="5" a="1"/>
  <c r="KI62" i="5" s="1"/>
  <c r="X60" i="5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KF219" i="4"/>
  <c r="KG219" i="4" s="1"/>
  <c r="KE220" i="4" a="1"/>
  <c r="KE220" i="4" s="1"/>
  <c r="KF220" i="4" s="1"/>
  <c r="KG220" i="4" s="1"/>
  <c r="PC184" i="4"/>
  <c r="PD184" i="4" s="1"/>
  <c r="PE184" i="4" s="1"/>
  <c r="PF184" i="4" s="1"/>
  <c r="PG18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KF234" i="4"/>
  <c r="KG234" i="4" s="1"/>
  <c r="KF223" i="4"/>
  <c r="KG223" i="4" s="1"/>
  <c r="KE224" i="4" a="1"/>
  <c r="KE224" i="4" s="1"/>
  <c r="KF224" i="4" s="1"/>
  <c r="KG224" i="4" s="1"/>
  <c r="KF58" i="4"/>
  <c r="KG58" i="4" s="1"/>
  <c r="KE59" i="4" a="1"/>
  <c r="KE59" i="4" s="1"/>
  <c r="AB59" i="5" l="1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KF59" i="4"/>
  <c r="KG59" i="4" s="1"/>
  <c r="KE60" i="4" a="1"/>
  <c r="KE60" i="4" s="1"/>
  <c r="X58" i="4"/>
  <c r="AA56" i="4"/>
  <c r="JY56" i="4" s="1"/>
  <c r="Z56" i="4" s="1" a="1"/>
  <c r="Z56" i="4" s="1"/>
  <c r="Y57" i="4" s="1" a="1"/>
  <c r="Y57" i="4" s="1"/>
  <c r="AB56" i="4"/>
  <c r="JZ56" i="4" s="1"/>
  <c r="AA60" i="5" l="1"/>
  <c r="KC60" i="5" s="1"/>
  <c r="Z60" i="5" s="1" a="1"/>
  <c r="Z60" i="5" s="1"/>
  <c r="Y61" i="5" s="1" a="1"/>
  <c r="Y61" i="5" s="1"/>
  <c r="AB60" i="5"/>
  <c r="KD60" i="5" s="1"/>
  <c r="KJ63" i="5"/>
  <c r="KK63" i="5" s="1"/>
  <c r="KI64" i="5" a="1"/>
  <c r="KI64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KF60" i="4"/>
  <c r="KG60" i="4" s="1"/>
  <c r="KE61" i="4" a="1"/>
  <c r="KE61" i="4" s="1"/>
  <c r="AA61" i="5" l="1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KF61" i="4"/>
  <c r="KG61" i="4" s="1"/>
  <c r="KE62" i="4" a="1"/>
  <c r="KE62" i="4" s="1"/>
  <c r="X60" i="4"/>
  <c r="AB62" i="5" l="1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KF62" i="4"/>
  <c r="KG62" i="4" s="1"/>
  <c r="KE63" i="4" a="1"/>
  <c r="KE63" i="4" s="1"/>
  <c r="X61" i="4"/>
  <c r="AB63" i="5" l="1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AB60" i="4"/>
  <c r="JZ60" i="4" s="1"/>
  <c r="AA60" i="4"/>
  <c r="JY60" i="4" s="1"/>
  <c r="Z60" i="4" s="1" a="1"/>
  <c r="Z60" i="4" s="1"/>
  <c r="Y61" i="4" s="1" a="1"/>
  <c r="Y61" i="4" s="1"/>
  <c r="KF63" i="4"/>
  <c r="KG63" i="4" s="1"/>
  <c r="KE64" i="4" a="1"/>
  <c r="KE64" i="4" s="1"/>
  <c r="X62" i="4"/>
  <c r="X66" i="5" l="1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AB61" i="4"/>
  <c r="JZ61" i="4" s="1"/>
  <c r="AA61" i="4"/>
  <c r="JY61" i="4" s="1"/>
  <c r="Z61" i="4" s="1" a="1"/>
  <c r="Z61" i="4" s="1"/>
  <c r="Y62" i="4" s="1" a="1"/>
  <c r="Y62" i="4" s="1"/>
  <c r="X63" i="4"/>
  <c r="KF64" i="4"/>
  <c r="KG64" i="4" s="1"/>
  <c r="KE65" i="4" a="1"/>
  <c r="KE65" i="4" s="1"/>
  <c r="AA65" i="5" l="1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AB62" i="4"/>
  <c r="JZ62" i="4" s="1"/>
  <c r="AA62" i="4"/>
  <c r="JY62" i="4" s="1"/>
  <c r="Z62" i="4" s="1" a="1"/>
  <c r="Z62" i="4" s="1"/>
  <c r="Y63" i="4" s="1" a="1"/>
  <c r="Y63" i="4" s="1"/>
  <c r="KF65" i="4"/>
  <c r="KG65" i="4" s="1"/>
  <c r="KE66" i="4" a="1"/>
  <c r="KE66" i="4" s="1"/>
  <c r="X64" i="4"/>
  <c r="AB66" i="5" l="1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KF66" i="4"/>
  <c r="KG66" i="4" s="1"/>
  <c r="KE67" i="4" a="1"/>
  <c r="KE67" i="4" s="1"/>
  <c r="AB67" i="5" l="1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F67" i="4"/>
  <c r="KG67" i="4" s="1"/>
  <c r="KE68" i="4" a="1"/>
  <c r="KE68" i="4" s="1"/>
  <c r="AB68" i="5" l="1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KF68" i="4"/>
  <c r="KG68" i="4" s="1"/>
  <c r="KH68" i="4" s="1"/>
  <c r="KI68" i="4" s="1"/>
  <c r="KE69" i="4" a="1"/>
  <c r="KE69" i="4" s="1"/>
  <c r="X67" i="4"/>
  <c r="AB71" i="5" l="1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KF69" i="4"/>
  <c r="KG69" i="4" s="1"/>
  <c r="KH69" i="4" s="1"/>
  <c r="KE70" i="4" a="1"/>
  <c r="KE70" i="4" s="1"/>
  <c r="X68" i="4"/>
  <c r="AB72" i="5" l="1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KF70" i="4"/>
  <c r="KG70" i="4" s="1"/>
  <c r="KH70" i="4" s="1"/>
  <c r="KE71" i="4" a="1"/>
  <c r="KE71" i="4" s="1"/>
  <c r="AA73" i="5" l="1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KF71" i="4"/>
  <c r="KG71" i="4" s="1"/>
  <c r="KE72" i="4" a="1"/>
  <c r="KE72" i="4" s="1"/>
  <c r="AB69" i="4"/>
  <c r="AA69" i="4"/>
  <c r="X72" i="4"/>
  <c r="AB74" i="5" l="1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Z71" i="4" s="1" a="1"/>
  <c r="Z71" i="4" s="1"/>
  <c r="Y72" i="4" s="1" a="1"/>
  <c r="Y72" i="4" s="1"/>
  <c r="JY69" i="4"/>
  <c r="JW69" i="4"/>
  <c r="JX69" i="4"/>
  <c r="KB69" i="4" s="1"/>
  <c r="JZ69" i="4"/>
  <c r="KF72" i="4"/>
  <c r="KG72" i="4" s="1"/>
  <c r="KE73" i="4" a="1"/>
  <c r="KE73" i="4" s="1"/>
  <c r="X73" i="4"/>
  <c r="AB75" i="5" l="1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AB72" i="4"/>
  <c r="JZ72" i="4" s="1"/>
  <c r="AA72" i="4"/>
  <c r="JY72" i="4" s="1"/>
  <c r="Z72" i="4" s="1" a="1"/>
  <c r="Z72" i="4" s="1"/>
  <c r="Y73" i="4" s="1" a="1"/>
  <c r="Y73" i="4" s="1"/>
  <c r="KA69" i="4"/>
  <c r="Z69" i="4" a="1"/>
  <c r="Z69" i="4" s="1"/>
  <c r="Y70" i="4" s="1" a="1"/>
  <c r="Y70" i="4" s="1"/>
  <c r="X74" i="4"/>
  <c r="KF73" i="4"/>
  <c r="KG73" i="4" s="1"/>
  <c r="KE74" i="4" a="1"/>
  <c r="KE74" i="4" s="1"/>
  <c r="AB76" i="5" l="1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A73" i="4"/>
  <c r="JY73" i="4" s="1"/>
  <c r="Z73" i="4" s="1" a="1"/>
  <c r="Z73" i="4" s="1"/>
  <c r="AB73" i="4"/>
  <c r="JZ73" i="4" s="1"/>
  <c r="KF74" i="4"/>
  <c r="KG74" i="4" s="1"/>
  <c r="KE75" i="4" a="1"/>
  <c r="KE75" i="4" s="1"/>
  <c r="AB70" i="4"/>
  <c r="AA70" i="4"/>
  <c r="Y74" i="4" a="1"/>
  <c r="Y74" i="4" s="1"/>
  <c r="X75" i="4"/>
  <c r="AB77" i="5" l="1"/>
  <c r="KD77" i="5" s="1"/>
  <c r="AA77" i="5"/>
  <c r="KC77" i="5" s="1"/>
  <c r="Z77" i="5" s="1" a="1"/>
  <c r="Z77" i="5" s="1"/>
  <c r="Y78" i="5" s="1" a="1"/>
  <c r="Y78" i="5" s="1"/>
  <c r="KJ78" i="5"/>
  <c r="KK78" i="5" s="1"/>
  <c r="KI79" i="5" a="1"/>
  <c r="KI79" i="5" s="1"/>
  <c r="X79" i="5"/>
  <c r="KF75" i="4"/>
  <c r="KG75" i="4" s="1"/>
  <c r="KE76" i="4" a="1"/>
  <c r="KE76" i="4" s="1"/>
  <c r="X76" i="4"/>
  <c r="JW70" i="4"/>
  <c r="JY70" i="4"/>
  <c r="JX70" i="4"/>
  <c r="KB70" i="4" s="1"/>
  <c r="JZ70" i="4"/>
  <c r="AB74" i="4"/>
  <c r="JZ74" i="4" s="1"/>
  <c r="AA74" i="4"/>
  <c r="JY74" i="4" s="1"/>
  <c r="Z74" i="4" s="1" a="1"/>
  <c r="Z74" i="4" s="1"/>
  <c r="Y75" i="4" s="1" a="1"/>
  <c r="Y75" i="4" s="1"/>
  <c r="AB78" i="5" l="1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AB75" i="4"/>
  <c r="JZ75" i="4" s="1"/>
  <c r="AA75" i="4"/>
  <c r="JY75" i="4" s="1"/>
  <c r="Z75" i="4" s="1" a="1"/>
  <c r="Z75" i="4" s="1"/>
  <c r="Y76" i="4" s="1" a="1"/>
  <c r="Y76" i="4" s="1"/>
  <c r="X77" i="4"/>
  <c r="Z70" i="4" a="1"/>
  <c r="Z70" i="4" s="1"/>
  <c r="KA70" i="4"/>
  <c r="KF76" i="4"/>
  <c r="KG76" i="4" s="1"/>
  <c r="KH76" i="4" s="1"/>
  <c r="KI76" i="4" s="1"/>
  <c r="KE77" i="4" a="1"/>
  <c r="KE77" i="4" s="1"/>
  <c r="AA79" i="5" l="1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AB76" i="4"/>
  <c r="JZ76" i="4" s="1"/>
  <c r="AA76" i="4"/>
  <c r="JY76" i="4" s="1"/>
  <c r="Z76" i="4" s="1" a="1"/>
  <c r="Z76" i="4" s="1"/>
  <c r="Y77" i="4" s="1" a="1"/>
  <c r="Y77" i="4" s="1"/>
  <c r="X78" i="4"/>
  <c r="KF77" i="4"/>
  <c r="KG77" i="4" s="1"/>
  <c r="KE78" i="4" a="1"/>
  <c r="KE78" i="4" s="1"/>
  <c r="AB80" i="5" l="1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AB77" i="4"/>
  <c r="JZ77" i="4" s="1"/>
  <c r="AA77" i="4"/>
  <c r="JY77" i="4" s="1"/>
  <c r="Z77" i="4" s="1" a="1"/>
  <c r="Z77" i="4" s="1"/>
  <c r="Y78" i="4" s="1" a="1"/>
  <c r="Y78" i="4" s="1"/>
  <c r="KF78" i="4"/>
  <c r="KG78" i="4" s="1"/>
  <c r="KE79" i="4" a="1"/>
  <c r="KE79" i="4" s="1"/>
  <c r="X79" i="4"/>
  <c r="AB81" i="5" l="1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AB78" i="4"/>
  <c r="JZ78" i="4" s="1"/>
  <c r="AA78" i="4"/>
  <c r="JY78" i="4" s="1"/>
  <c r="Z78" i="4" s="1" a="1"/>
  <c r="Z78" i="4" s="1"/>
  <c r="Y79" i="4" s="1" a="1"/>
  <c r="Y79" i="4" s="1"/>
  <c r="KF79" i="4"/>
  <c r="KG79" i="4" s="1"/>
  <c r="KE80" i="4" a="1"/>
  <c r="KE80" i="4" s="1"/>
  <c r="X80" i="4"/>
  <c r="X84" i="5" l="1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AA79" i="4"/>
  <c r="JY79" i="4" s="1"/>
  <c r="Z79" i="4" s="1" a="1"/>
  <c r="Z79" i="4" s="1"/>
  <c r="Y80" i="4" s="1" a="1"/>
  <c r="Y80" i="4" s="1"/>
  <c r="AB79" i="4"/>
  <c r="JZ79" i="4" s="1"/>
  <c r="X81" i="4"/>
  <c r="KF80" i="4"/>
  <c r="KG80" i="4" s="1"/>
  <c r="KE81" i="4" a="1"/>
  <c r="KE81" i="4" s="1"/>
  <c r="AB83" i="5" l="1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AB80" i="4"/>
  <c r="JZ80" i="4" s="1"/>
  <c r="AA80" i="4"/>
  <c r="JY80" i="4" s="1"/>
  <c r="Z80" i="4" s="1" a="1"/>
  <c r="Z80" i="4" s="1"/>
  <c r="Y81" i="4" s="1" a="1"/>
  <c r="Y81" i="4" s="1"/>
  <c r="X82" i="4"/>
  <c r="KF81" i="4"/>
  <c r="KG81" i="4" s="1"/>
  <c r="KE82" i="4" a="1"/>
  <c r="KE82" i="4" s="1"/>
  <c r="AB84" i="5" l="1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AB81" i="4"/>
  <c r="JZ81" i="4" s="1"/>
  <c r="AA81" i="4"/>
  <c r="JY81" i="4" s="1"/>
  <c r="Z81" i="4" s="1" a="1"/>
  <c r="Z81" i="4" s="1"/>
  <c r="KF82" i="4"/>
  <c r="KG82" i="4" s="1"/>
  <c r="KE83" i="4" a="1"/>
  <c r="KE83" i="4" s="1"/>
  <c r="X83" i="4"/>
  <c r="Y82" i="4" a="1"/>
  <c r="Y82" i="4" s="1"/>
  <c r="AA85" i="5" l="1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Z82" i="4" s="1" a="1"/>
  <c r="Z82" i="4" s="1"/>
  <c r="Y83" i="4" s="1" a="1"/>
  <c r="Y83" i="4" s="1"/>
  <c r="AB82" i="4"/>
  <c r="JZ82" i="4" s="1"/>
  <c r="KF83" i="4"/>
  <c r="KG83" i="4" s="1"/>
  <c r="KE84" i="4" a="1"/>
  <c r="KE84" i="4" s="1"/>
  <c r="X84" i="4"/>
  <c r="AA86" i="5" l="1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AB83" i="4"/>
  <c r="JZ83" i="4" s="1"/>
  <c r="AA83" i="4"/>
  <c r="JY83" i="4" s="1"/>
  <c r="Z83" i="4" s="1" a="1"/>
  <c r="Z83" i="4" s="1"/>
  <c r="Y84" i="4" s="1" a="1"/>
  <c r="Y84" i="4" s="1"/>
  <c r="X85" i="4"/>
  <c r="KF84" i="4"/>
  <c r="KG84" i="4" s="1"/>
  <c r="KE85" i="4" a="1"/>
  <c r="KE85" i="4" s="1"/>
  <c r="AB87" i="5" l="1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AB84" i="4"/>
  <c r="JZ84" i="4" s="1"/>
  <c r="AA84" i="4"/>
  <c r="JY84" i="4" s="1"/>
  <c r="Z84" i="4" s="1" a="1"/>
  <c r="Z84" i="4" s="1"/>
  <c r="Y85" i="4" s="1" a="1"/>
  <c r="Y85" i="4" s="1"/>
  <c r="KF85" i="4"/>
  <c r="KG85" i="4" s="1"/>
  <c r="KE86" i="4" a="1"/>
  <c r="KE86" i="4" s="1"/>
  <c r="X86" i="4"/>
  <c r="AB88" i="5" l="1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AB85" i="4"/>
  <c r="JZ85" i="4" s="1"/>
  <c r="AA85" i="4"/>
  <c r="JY85" i="4" s="1"/>
  <c r="Z85" i="4" s="1" a="1"/>
  <c r="Z85" i="4" s="1"/>
  <c r="Y86" i="4" s="1" a="1"/>
  <c r="Y86" i="4" s="1"/>
  <c r="X87" i="4"/>
  <c r="KF86" i="4"/>
  <c r="KG86" i="4" s="1"/>
  <c r="KE87" i="4" a="1"/>
  <c r="KE87" i="4" s="1"/>
  <c r="AB89" i="5" l="1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AB86" i="4"/>
  <c r="JZ86" i="4" s="1"/>
  <c r="AA86" i="4"/>
  <c r="JY86" i="4" s="1"/>
  <c r="Z86" i="4" s="1" a="1"/>
  <c r="Z86" i="4" s="1"/>
  <c r="Y87" i="4" s="1" a="1"/>
  <c r="Y87" i="4" s="1"/>
  <c r="KF87" i="4"/>
  <c r="KG87" i="4" s="1"/>
  <c r="KE88" i="4" a="1"/>
  <c r="KE88" i="4" s="1"/>
  <c r="X88" i="4"/>
  <c r="X92" i="5" l="1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AB87" i="4"/>
  <c r="JZ87" i="4" s="1"/>
  <c r="AA87" i="4"/>
  <c r="JY87" i="4" s="1"/>
  <c r="Z87" i="4" s="1" a="1"/>
  <c r="Z87" i="4" s="1"/>
  <c r="Y88" i="4" s="1" a="1"/>
  <c r="Y88" i="4" s="1"/>
  <c r="KF88" i="4"/>
  <c r="KG88" i="4" s="1"/>
  <c r="KE89" i="4" a="1"/>
  <c r="KE89" i="4" s="1"/>
  <c r="X89" i="4"/>
  <c r="AB91" i="5" l="1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AA88" i="4"/>
  <c r="JY88" i="4" s="1"/>
  <c r="Z88" i="4" s="1" a="1"/>
  <c r="Z88" i="4" s="1"/>
  <c r="Y89" i="4" s="1" a="1"/>
  <c r="Y89" i="4" s="1"/>
  <c r="AB88" i="4"/>
  <c r="JZ88" i="4" s="1"/>
  <c r="KF89" i="4"/>
  <c r="KG89" i="4" s="1"/>
  <c r="KH89" i="4" s="1"/>
  <c r="KI89" i="4" s="1"/>
  <c r="KE90" i="4" a="1"/>
  <c r="KE90" i="4" s="1"/>
  <c r="X90" i="4"/>
  <c r="AB92" i="5" l="1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AA89" i="4"/>
  <c r="JY89" i="4" s="1"/>
  <c r="Z89" i="4" s="1" a="1"/>
  <c r="Z89" i="4" s="1"/>
  <c r="AB89" i="4"/>
  <c r="JZ89" i="4" s="1"/>
  <c r="Y90" i="4" a="1"/>
  <c r="Y90" i="4" s="1"/>
  <c r="X91" i="4"/>
  <c r="KF90" i="4"/>
  <c r="KG90" i="4" s="1"/>
  <c r="KE91" i="4" a="1"/>
  <c r="KE91" i="4" s="1"/>
  <c r="AB93" i="5" l="1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KF91" i="4"/>
  <c r="KG91" i="4" s="1"/>
  <c r="KE92" i="4" a="1"/>
  <c r="KE92" i="4" s="1"/>
  <c r="AB90" i="4"/>
  <c r="JZ90" i="4" s="1"/>
  <c r="AA90" i="4"/>
  <c r="JY90" i="4" s="1"/>
  <c r="Z90" i="4" s="1" a="1"/>
  <c r="Z90" i="4" s="1"/>
  <c r="Y91" i="4" s="1" a="1"/>
  <c r="Y91" i="4" s="1"/>
  <c r="X92" i="4"/>
  <c r="AB94" i="5" l="1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AB91" i="4"/>
  <c r="JZ91" i="4" s="1"/>
  <c r="AA91" i="4"/>
  <c r="JY91" i="4" s="1"/>
  <c r="Z91" i="4" s="1" a="1"/>
  <c r="Z91" i="4" s="1"/>
  <c r="Y92" i="4" s="1" a="1"/>
  <c r="Y92" i="4" s="1"/>
  <c r="X93" i="4"/>
  <c r="KF92" i="4"/>
  <c r="KG92" i="4" s="1"/>
  <c r="KE93" i="4" a="1"/>
  <c r="KE93" i="4" s="1"/>
  <c r="AB95" i="5" l="1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AA92" i="4"/>
  <c r="JY92" i="4" s="1"/>
  <c r="Z92" i="4" s="1" a="1"/>
  <c r="Z92" i="4" s="1"/>
  <c r="Y93" i="4" s="1" a="1"/>
  <c r="Y93" i="4" s="1"/>
  <c r="AB92" i="4"/>
  <c r="JZ92" i="4" s="1"/>
  <c r="KF93" i="4"/>
  <c r="KG93" i="4" s="1"/>
  <c r="KE94" i="4" a="1"/>
  <c r="KE94" i="4" s="1"/>
  <c r="X94" i="4"/>
  <c r="AB96" i="5" l="1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AB93" i="4"/>
  <c r="JZ93" i="4" s="1"/>
  <c r="AA93" i="4"/>
  <c r="JY93" i="4" s="1"/>
  <c r="Z93" i="4" s="1" a="1"/>
  <c r="Z93" i="4" s="1"/>
  <c r="Y94" i="4" s="1" a="1"/>
  <c r="Y94" i="4" s="1"/>
  <c r="KF94" i="4"/>
  <c r="KG94" i="4" s="1"/>
  <c r="KE95" i="4" a="1"/>
  <c r="KE95" i="4" s="1"/>
  <c r="X95" i="4"/>
  <c r="AA97" i="5" l="1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AB94" i="4"/>
  <c r="JZ94" i="4" s="1"/>
  <c r="AA94" i="4"/>
  <c r="JY94" i="4" s="1"/>
  <c r="Z94" i="4" s="1" a="1"/>
  <c r="Z94" i="4" s="1"/>
  <c r="Y95" i="4" s="1" a="1"/>
  <c r="Y95" i="4" s="1"/>
  <c r="KF95" i="4"/>
  <c r="KG95" i="4" s="1"/>
  <c r="KE96" i="4" a="1"/>
  <c r="KE96" i="4" s="1"/>
  <c r="X96" i="4"/>
  <c r="X100" i="5" l="1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AB95" i="4"/>
  <c r="JZ95" i="4" s="1"/>
  <c r="AA95" i="4"/>
  <c r="JY95" i="4" s="1"/>
  <c r="Z95" i="4" s="1" a="1"/>
  <c r="Z95" i="4" s="1"/>
  <c r="Y96" i="4" s="1" a="1"/>
  <c r="Y96" i="4" s="1"/>
  <c r="KF96" i="4"/>
  <c r="KG96" i="4" s="1"/>
  <c r="KE97" i="4" a="1"/>
  <c r="KE97" i="4" s="1"/>
  <c r="X97" i="4"/>
  <c r="AA99" i="5" l="1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AB96" i="4"/>
  <c r="JZ96" i="4" s="1"/>
  <c r="AA96" i="4"/>
  <c r="JY96" i="4" s="1"/>
  <c r="Z96" i="4" s="1" a="1"/>
  <c r="Z96" i="4" s="1"/>
  <c r="Y97" i="4" s="1" a="1"/>
  <c r="Y97" i="4" s="1"/>
  <c r="X98" i="4"/>
  <c r="KF97" i="4"/>
  <c r="KG97" i="4" s="1"/>
  <c r="KE98" i="4" a="1"/>
  <c r="KE98" i="4" s="1"/>
  <c r="AB100" i="5" l="1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AB97" i="4"/>
  <c r="JZ97" i="4" s="1"/>
  <c r="AA97" i="4"/>
  <c r="JY97" i="4" s="1"/>
  <c r="Z97" i="4" s="1" a="1"/>
  <c r="Z97" i="4" s="1"/>
  <c r="X99" i="4"/>
  <c r="Y98" i="4" a="1"/>
  <c r="Y98" i="4" s="1"/>
  <c r="KF98" i="4"/>
  <c r="KG98" i="4" s="1"/>
  <c r="KE99" i="4" a="1"/>
  <c r="KE99" i="4" s="1"/>
  <c r="AB101" i="5" l="1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KF99" i="4"/>
  <c r="KG99" i="4" s="1"/>
  <c r="KE100" i="4" a="1"/>
  <c r="KE100" i="4" s="1"/>
  <c r="AB98" i="4"/>
  <c r="JZ98" i="4" s="1"/>
  <c r="AA98" i="4"/>
  <c r="JY98" i="4" s="1"/>
  <c r="Z98" i="4" s="1" a="1"/>
  <c r="Z98" i="4" s="1"/>
  <c r="Y99" i="4" s="1" a="1"/>
  <c r="Y99" i="4" s="1"/>
  <c r="X100" i="4"/>
  <c r="AB102" i="5" l="1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AB99" i="4"/>
  <c r="JZ99" i="4" s="1"/>
  <c r="AA99" i="4"/>
  <c r="JY99" i="4" s="1"/>
  <c r="Z99" i="4" s="1" a="1"/>
  <c r="Z99" i="4" s="1"/>
  <c r="Y100" i="4" s="1" a="1"/>
  <c r="Y100" i="4" s="1"/>
  <c r="X101" i="4"/>
  <c r="KF100" i="4"/>
  <c r="KG100" i="4" s="1"/>
  <c r="KE101" i="4" a="1"/>
  <c r="KE101" i="4" s="1"/>
  <c r="AB103" i="5" l="1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AB100" i="4"/>
  <c r="JZ100" i="4" s="1"/>
  <c r="AA100" i="4"/>
  <c r="JY100" i="4" s="1"/>
  <c r="Z100" i="4" s="1" a="1"/>
  <c r="Z100" i="4" s="1"/>
  <c r="Y101" i="4" s="1" a="1"/>
  <c r="Y101" i="4" s="1"/>
  <c r="KF101" i="4"/>
  <c r="KG101" i="4" s="1"/>
  <c r="KE102" i="4" a="1"/>
  <c r="KE102" i="4" s="1"/>
  <c r="X102" i="4"/>
  <c r="AB104" i="5" l="1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AB101" i="4"/>
  <c r="JZ101" i="4" s="1"/>
  <c r="AA101" i="4"/>
  <c r="JY101" i="4" s="1"/>
  <c r="Z101" i="4" s="1" a="1"/>
  <c r="Z101" i="4" s="1"/>
  <c r="Y102" i="4" s="1" a="1"/>
  <c r="Y102" i="4" s="1"/>
  <c r="X103" i="4"/>
  <c r="KF102" i="4"/>
  <c r="KG102" i="4" s="1"/>
  <c r="KE103" i="4" a="1"/>
  <c r="KE103" i="4" s="1"/>
  <c r="AB105" i="5" l="1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AB102" i="4"/>
  <c r="JZ102" i="4" s="1"/>
  <c r="AA102" i="4"/>
  <c r="JY102" i="4" s="1"/>
  <c r="Z102" i="4" s="1" a="1"/>
  <c r="Z102" i="4" s="1"/>
  <c r="Y103" i="4" s="1" a="1"/>
  <c r="Y103" i="4" s="1"/>
  <c r="KF103" i="4"/>
  <c r="KG103" i="4" s="1"/>
  <c r="KE104" i="4" a="1"/>
  <c r="KE104" i="4" s="1"/>
  <c r="X104" i="4"/>
  <c r="X108" i="5" l="1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AB103" i="4"/>
  <c r="JZ103" i="4" s="1"/>
  <c r="AA103" i="4"/>
  <c r="JY103" i="4" s="1"/>
  <c r="Z103" i="4" s="1" a="1"/>
  <c r="Z103" i="4" s="1"/>
  <c r="Y104" i="4" s="1" a="1"/>
  <c r="Y104" i="4" s="1"/>
  <c r="X105" i="4"/>
  <c r="KF104" i="4"/>
  <c r="KG104" i="4" s="1"/>
  <c r="KE105" i="4" a="1"/>
  <c r="KE105" i="4" s="1"/>
  <c r="AA107" i="5" l="1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AB104" i="4"/>
  <c r="JZ104" i="4" s="1"/>
  <c r="AA104" i="4"/>
  <c r="JY104" i="4" s="1"/>
  <c r="Z104" i="4" s="1" a="1"/>
  <c r="Z104" i="4" s="1"/>
  <c r="Y105" i="4" s="1" a="1"/>
  <c r="Y105" i="4" s="1"/>
  <c r="X106" i="4"/>
  <c r="KF105" i="4"/>
  <c r="KG105" i="4" s="1"/>
  <c r="KE106" i="4" a="1"/>
  <c r="KE106" i="4" s="1"/>
  <c r="AB108" i="5" l="1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AB105" i="4"/>
  <c r="JZ105" i="4" s="1"/>
  <c r="AA105" i="4"/>
  <c r="JY105" i="4" s="1"/>
  <c r="Z105" i="4" s="1" a="1"/>
  <c r="Z105" i="4" s="1"/>
  <c r="KF106" i="4"/>
  <c r="KG106" i="4" s="1"/>
  <c r="KE107" i="4" a="1"/>
  <c r="KE107" i="4" s="1"/>
  <c r="X107" i="4"/>
  <c r="Y106" i="4" a="1"/>
  <c r="Y106" i="4" s="1"/>
  <c r="AB109" i="5" l="1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Z106" i="4" s="1" a="1"/>
  <c r="Z106" i="4" s="1"/>
  <c r="Y107" i="4" s="1" a="1"/>
  <c r="Y107" i="4" s="1"/>
  <c r="AB106" i="4"/>
  <c r="JZ106" i="4" s="1"/>
  <c r="X108" i="4"/>
  <c r="KF107" i="4"/>
  <c r="KG107" i="4" s="1"/>
  <c r="KE108" i="4" a="1"/>
  <c r="KE108" i="4" s="1"/>
  <c r="AA110" i="5" l="1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AA107" i="4"/>
  <c r="JY107" i="4" s="1"/>
  <c r="Z107" i="4" s="1" a="1"/>
  <c r="Z107" i="4" s="1"/>
  <c r="Y108" i="4" s="1" a="1"/>
  <c r="Y108" i="4" s="1"/>
  <c r="AB107" i="4"/>
  <c r="JZ107" i="4" s="1"/>
  <c r="KF108" i="4"/>
  <c r="KG108" i="4" s="1"/>
  <c r="KE109" i="4" a="1"/>
  <c r="KE109" i="4" s="1"/>
  <c r="X109" i="4"/>
  <c r="AB111" i="5" l="1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AA108" i="4"/>
  <c r="JY108" i="4" s="1"/>
  <c r="Z108" i="4" s="1" a="1"/>
  <c r="Z108" i="4" s="1"/>
  <c r="Y109" i="4" s="1" a="1"/>
  <c r="Y109" i="4" s="1"/>
  <c r="AB108" i="4"/>
  <c r="JZ108" i="4" s="1"/>
  <c r="X110" i="4"/>
  <c r="KF109" i="4"/>
  <c r="KG109" i="4" s="1"/>
  <c r="KE110" i="4" a="1"/>
  <c r="KE110" i="4" s="1"/>
  <c r="AB112" i="5" l="1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AB109" i="4"/>
  <c r="JZ109" i="4" s="1"/>
  <c r="AA109" i="4"/>
  <c r="JY109" i="4" s="1"/>
  <c r="Z109" i="4" s="1" a="1"/>
  <c r="Z109" i="4" s="1"/>
  <c r="Y110" i="4" s="1" a="1"/>
  <c r="Y110" i="4" s="1"/>
  <c r="KF110" i="4"/>
  <c r="KG110" i="4" s="1"/>
  <c r="KE111" i="4" a="1"/>
  <c r="KE111" i="4" s="1"/>
  <c r="X111" i="4"/>
  <c r="AB113" i="5" l="1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AA110" i="4"/>
  <c r="JY110" i="4" s="1"/>
  <c r="Z110" i="4" s="1" a="1"/>
  <c r="Z110" i="4" s="1"/>
  <c r="Y111" i="4" s="1" a="1"/>
  <c r="Y111" i="4" s="1"/>
  <c r="AB110" i="4"/>
  <c r="JZ110" i="4" s="1"/>
  <c r="KF111" i="4"/>
  <c r="KG111" i="4" s="1"/>
  <c r="KE112" i="4" a="1"/>
  <c r="KE112" i="4" s="1"/>
  <c r="X112" i="4"/>
  <c r="AA114" i="5" l="1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AB111" i="4"/>
  <c r="JZ111" i="4" s="1"/>
  <c r="AA111" i="4"/>
  <c r="JY111" i="4" s="1"/>
  <c r="Z111" i="4" s="1" a="1"/>
  <c r="Z111" i="4" s="1"/>
  <c r="Y112" i="4" s="1" a="1"/>
  <c r="Y112" i="4" s="1"/>
  <c r="X113" i="4"/>
  <c r="KF112" i="4"/>
  <c r="KG112" i="4" s="1"/>
  <c r="KE113" i="4" a="1"/>
  <c r="KE113" i="4" s="1"/>
  <c r="AA115" i="5" l="1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AB112" i="4"/>
  <c r="JZ112" i="4" s="1"/>
  <c r="AA112" i="4"/>
  <c r="JY112" i="4" s="1"/>
  <c r="Z112" i="4" s="1" a="1"/>
  <c r="Z112" i="4" s="1"/>
  <c r="Y113" i="4" s="1" a="1"/>
  <c r="Y113" i="4" s="1"/>
  <c r="X114" i="4"/>
  <c r="KF113" i="4"/>
  <c r="KG113" i="4" s="1"/>
  <c r="KE114" i="4" a="1"/>
  <c r="KE114" i="4" s="1"/>
  <c r="AA116" i="5" l="1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AB113" i="4"/>
  <c r="JZ113" i="4" s="1"/>
  <c r="AA113" i="4"/>
  <c r="JY113" i="4" s="1"/>
  <c r="Z113" i="4" s="1" a="1"/>
  <c r="Z113" i="4" s="1"/>
  <c r="KF114" i="4"/>
  <c r="KG114" i="4" s="1"/>
  <c r="KE115" i="4" a="1"/>
  <c r="KE115" i="4" s="1"/>
  <c r="X115" i="4"/>
  <c r="Y114" i="4" a="1"/>
  <c r="Y114" i="4" s="1"/>
  <c r="AB117" i="5" l="1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Z114" i="4" s="1" a="1"/>
  <c r="Z114" i="4" s="1"/>
  <c r="Y115" i="4" s="1" a="1"/>
  <c r="Y115" i="4" s="1"/>
  <c r="KF115" i="4"/>
  <c r="KG115" i="4" s="1"/>
  <c r="KE116" i="4" a="1"/>
  <c r="KE116" i="4" s="1"/>
  <c r="AB118" i="5" l="1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AB115" i="4"/>
  <c r="JZ115" i="4" s="1"/>
  <c r="AA115" i="4"/>
  <c r="JY115" i="4" s="1"/>
  <c r="Z115" i="4" s="1" a="1"/>
  <c r="Z115" i="4" s="1"/>
  <c r="Y116" i="4" s="1" a="1"/>
  <c r="Y116" i="4" s="1"/>
  <c r="KF116" i="4"/>
  <c r="KG116" i="4" s="1"/>
  <c r="KE117" i="4" a="1"/>
  <c r="KE117" i="4" s="1"/>
  <c r="X117" i="4"/>
  <c r="AA119" i="5" l="1"/>
  <c r="KC119" i="5" s="1"/>
  <c r="Z119" i="5" s="1" a="1"/>
  <c r="Z119" i="5" s="1"/>
  <c r="Y120" i="5" s="1" a="1"/>
  <c r="Y120" i="5" s="1"/>
  <c r="AB119" i="5"/>
  <c r="KD119" i="5" s="1"/>
  <c r="KJ120" i="5"/>
  <c r="KK120" i="5" s="1"/>
  <c r="KI121" i="5" a="1"/>
  <c r="KI121" i="5" s="1"/>
  <c r="X121" i="5"/>
  <c r="AB116" i="4"/>
  <c r="JZ116" i="4" s="1"/>
  <c r="AA116" i="4"/>
  <c r="JY116" i="4" s="1"/>
  <c r="Z116" i="4" s="1" a="1"/>
  <c r="Z116" i="4" s="1"/>
  <c r="Y117" i="4" s="1" a="1"/>
  <c r="Y117" i="4" s="1"/>
  <c r="KF117" i="4"/>
  <c r="KG117" i="4" s="1"/>
  <c r="KE118" i="4" a="1"/>
  <c r="KE118" i="4" s="1"/>
  <c r="X118" i="4"/>
  <c r="AB120" i="5" l="1"/>
  <c r="KD120" i="5" s="1"/>
  <c r="AA120" i="5"/>
  <c r="KC120" i="5" s="1"/>
  <c r="Z120" i="5" s="1" a="1"/>
  <c r="Z120" i="5" s="1"/>
  <c r="Y121" i="5" s="1" a="1"/>
  <c r="Y121" i="5" s="1"/>
  <c r="KJ121" i="5"/>
  <c r="KK121" i="5" s="1"/>
  <c r="KI122" i="5" a="1"/>
  <c r="KI122" i="5" s="1"/>
  <c r="X122" i="5"/>
  <c r="AB117" i="4"/>
  <c r="JZ117" i="4" s="1"/>
  <c r="AA117" i="4"/>
  <c r="JY117" i="4" s="1"/>
  <c r="Z117" i="4" s="1" a="1"/>
  <c r="Z117" i="4" s="1"/>
  <c r="Y118" i="4" s="1" a="1"/>
  <c r="Y118" i="4" s="1"/>
  <c r="X119" i="4"/>
  <c r="KF118" i="4"/>
  <c r="KG118" i="4" s="1"/>
  <c r="KE119" i="4" a="1"/>
  <c r="KE119" i="4" s="1"/>
  <c r="AB121" i="5" l="1"/>
  <c r="KD121" i="5" s="1"/>
  <c r="AA121" i="5"/>
  <c r="KC121" i="5" s="1"/>
  <c r="Z121" i="5" s="1" a="1"/>
  <c r="Z121" i="5" s="1"/>
  <c r="KJ122" i="5"/>
  <c r="KK122" i="5" s="1"/>
  <c r="KI123" i="5" a="1"/>
  <c r="KI123" i="5" s="1"/>
  <c r="X123" i="5"/>
  <c r="Y122" i="5" a="1"/>
  <c r="Y122" i="5" s="1"/>
  <c r="AA118" i="4"/>
  <c r="JY118" i="4" s="1"/>
  <c r="Z118" i="4" s="1" a="1"/>
  <c r="Z118" i="4" s="1"/>
  <c r="Y119" i="4" s="1" a="1"/>
  <c r="Y119" i="4" s="1"/>
  <c r="AB118" i="4"/>
  <c r="JZ118" i="4" s="1"/>
  <c r="KF119" i="4"/>
  <c r="KG119" i="4" s="1"/>
  <c r="KE120" i="4" a="1"/>
  <c r="KE120" i="4" s="1"/>
  <c r="X120" i="4"/>
  <c r="X124" i="5" l="1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KI124" i="5" a="1"/>
  <c r="KI124" i="5" s="1"/>
  <c r="AA119" i="4"/>
  <c r="JY119" i="4" s="1"/>
  <c r="Z119" i="4" s="1" a="1"/>
  <c r="Z119" i="4" s="1"/>
  <c r="Y120" i="4" s="1" a="1"/>
  <c r="Y120" i="4" s="1"/>
  <c r="AB119" i="4"/>
  <c r="JZ119" i="4" s="1"/>
  <c r="X121" i="4"/>
  <c r="KF120" i="4"/>
  <c r="KG120" i="4" s="1"/>
  <c r="KE121" i="4" a="1"/>
  <c r="KE121" i="4" s="1"/>
  <c r="AB123" i="5" l="1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AA120" i="4"/>
  <c r="JY120" i="4" s="1"/>
  <c r="Z120" i="4" s="1" a="1"/>
  <c r="Z120" i="4" s="1"/>
  <c r="Y121" i="4" s="1" a="1"/>
  <c r="Y121" i="4" s="1"/>
  <c r="AB120" i="4"/>
  <c r="JZ120" i="4" s="1"/>
  <c r="KF121" i="4"/>
  <c r="KG121" i="4" s="1"/>
  <c r="KE122" i="4" a="1"/>
  <c r="KE122" i="4" s="1"/>
  <c r="X122" i="4"/>
  <c r="AB124" i="5" l="1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AB121" i="4"/>
  <c r="JZ121" i="4" s="1"/>
  <c r="AA121" i="4"/>
  <c r="JY121" i="4" s="1"/>
  <c r="Z121" i="4" s="1" a="1"/>
  <c r="Z121" i="4" s="1"/>
  <c r="Y122" i="4" a="1"/>
  <c r="Y122" i="4" s="1"/>
  <c r="X123" i="4"/>
  <c r="KF122" i="4"/>
  <c r="KG122" i="4" s="1"/>
  <c r="KE123" i="4" a="1"/>
  <c r="KE123" i="4" s="1"/>
  <c r="AA125" i="5" l="1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KF123" i="4"/>
  <c r="KG123" i="4" s="1"/>
  <c r="KE124" i="4" a="1"/>
  <c r="KE124" i="4" s="1"/>
  <c r="AB122" i="4"/>
  <c r="JZ122" i="4" s="1"/>
  <c r="AA122" i="4"/>
  <c r="JY122" i="4" s="1"/>
  <c r="Z122" i="4" s="1" a="1"/>
  <c r="Z122" i="4" s="1"/>
  <c r="Y123" i="4" s="1" a="1"/>
  <c r="Y123" i="4" s="1"/>
  <c r="X124" i="4"/>
  <c r="AA126" i="5" l="1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AB123" i="4"/>
  <c r="JZ123" i="4" s="1"/>
  <c r="AA123" i="4"/>
  <c r="JY123" i="4" s="1"/>
  <c r="Z123" i="4" s="1" a="1"/>
  <c r="Z123" i="4" s="1"/>
  <c r="Y124" i="4" s="1" a="1"/>
  <c r="Y124" i="4" s="1"/>
  <c r="X125" i="4"/>
  <c r="KF124" i="4"/>
  <c r="KG124" i="4" s="1"/>
  <c r="KE125" i="4" a="1"/>
  <c r="KE125" i="4" s="1"/>
  <c r="AB127" i="5" l="1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AB124" i="4"/>
  <c r="JZ124" i="4" s="1"/>
  <c r="AA124" i="4"/>
  <c r="JY124" i="4" s="1"/>
  <c r="Z124" i="4" s="1" a="1"/>
  <c r="Z124" i="4" s="1"/>
  <c r="Y125" i="4" s="1" a="1"/>
  <c r="Y125" i="4" s="1"/>
  <c r="KF125" i="4"/>
  <c r="KG125" i="4" s="1"/>
  <c r="KE126" i="4" a="1"/>
  <c r="KE126" i="4" s="1"/>
  <c r="X126" i="4"/>
  <c r="AB128" i="5" l="1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AA125" i="4"/>
  <c r="JY125" i="4" s="1"/>
  <c r="Z125" i="4" s="1" a="1"/>
  <c r="Z125" i="4" s="1"/>
  <c r="Y126" i="4" s="1" a="1"/>
  <c r="Y126" i="4" s="1"/>
  <c r="AB125" i="4"/>
  <c r="JZ125" i="4" s="1"/>
  <c r="KF126" i="4"/>
  <c r="KG126" i="4" s="1"/>
  <c r="KE127" i="4" a="1"/>
  <c r="KE127" i="4" s="1"/>
  <c r="X127" i="4"/>
  <c r="AB129" i="5" l="1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AB126" i="4"/>
  <c r="JZ126" i="4" s="1"/>
  <c r="AA126" i="4"/>
  <c r="JY126" i="4" s="1"/>
  <c r="Z126" i="4" s="1" a="1"/>
  <c r="Z126" i="4" s="1"/>
  <c r="Y127" i="4" s="1" a="1"/>
  <c r="Y127" i="4" s="1"/>
  <c r="KF127" i="4"/>
  <c r="KG127" i="4" s="1"/>
  <c r="KE128" i="4" a="1"/>
  <c r="KE128" i="4" s="1"/>
  <c r="X128" i="4"/>
  <c r="AB130" i="5" l="1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AB127" i="4"/>
  <c r="JZ127" i="4" s="1"/>
  <c r="AA127" i="4"/>
  <c r="JY127" i="4" s="1"/>
  <c r="Z127" i="4" s="1" a="1"/>
  <c r="Z127" i="4" s="1"/>
  <c r="Y128" i="4" s="1" a="1"/>
  <c r="Y128" i="4" s="1"/>
  <c r="X129" i="4"/>
  <c r="KF128" i="4"/>
  <c r="KG128" i="4" s="1"/>
  <c r="KE129" i="4" a="1"/>
  <c r="KE129" i="4" s="1"/>
  <c r="AB131" i="5" l="1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AB128" i="4"/>
  <c r="JZ128" i="4" s="1"/>
  <c r="AA128" i="4"/>
  <c r="JY128" i="4" s="1"/>
  <c r="Z128" i="4" s="1" a="1"/>
  <c r="Z128" i="4" s="1"/>
  <c r="Y129" i="4" s="1" a="1"/>
  <c r="Y129" i="4" s="1"/>
  <c r="KF129" i="4"/>
  <c r="KG129" i="4" s="1"/>
  <c r="KE130" i="4" a="1"/>
  <c r="KE130" i="4" s="1"/>
  <c r="X130" i="4"/>
  <c r="AA132" i="5" l="1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AB129" i="4"/>
  <c r="JZ129" i="4" s="1"/>
  <c r="AA129" i="4"/>
  <c r="JY129" i="4" s="1"/>
  <c r="Z129" i="4" s="1" a="1"/>
  <c r="Z129" i="4" s="1"/>
  <c r="X131" i="4"/>
  <c r="Y130" i="4" a="1"/>
  <c r="Y130" i="4" s="1"/>
  <c r="KF130" i="4"/>
  <c r="KG130" i="4" s="1"/>
  <c r="KE131" i="4" a="1"/>
  <c r="KE131" i="4" s="1"/>
  <c r="AB133" i="5" l="1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Z130" i="4" s="1" a="1"/>
  <c r="Z130" i="4" s="1"/>
  <c r="Y131" i="4" s="1" a="1"/>
  <c r="Y131" i="4" s="1"/>
  <c r="KF131" i="4"/>
  <c r="KG131" i="4" s="1"/>
  <c r="KE132" i="4" a="1"/>
  <c r="KE132" i="4" s="1"/>
  <c r="AB134" i="5" l="1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AA131" i="4"/>
  <c r="JY131" i="4" s="1"/>
  <c r="Z131" i="4" s="1" a="1"/>
  <c r="Z131" i="4" s="1"/>
  <c r="Y132" i="4" s="1" a="1"/>
  <c r="Y132" i="4" s="1"/>
  <c r="AB131" i="4"/>
  <c r="JZ131" i="4" s="1"/>
  <c r="KF132" i="4"/>
  <c r="KG132" i="4" s="1"/>
  <c r="KE133" i="4" a="1"/>
  <c r="KE133" i="4" s="1"/>
  <c r="X133" i="4"/>
  <c r="AB135" i="5" l="1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AB132" i="4"/>
  <c r="JZ132" i="4" s="1"/>
  <c r="AA132" i="4"/>
  <c r="JY132" i="4" s="1"/>
  <c r="Z132" i="4" s="1" a="1"/>
  <c r="Z132" i="4" s="1"/>
  <c r="Y133" i="4" s="1" a="1"/>
  <c r="Y133" i="4" s="1"/>
  <c r="X134" i="4"/>
  <c r="KF133" i="4"/>
  <c r="KG133" i="4" s="1"/>
  <c r="KE134" i="4" a="1"/>
  <c r="KE134" i="4" s="1"/>
  <c r="AB136" i="5" l="1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AB133" i="4"/>
  <c r="JZ133" i="4" s="1"/>
  <c r="AA133" i="4"/>
  <c r="JY133" i="4" s="1"/>
  <c r="Z133" i="4" s="1" a="1"/>
  <c r="Z133" i="4" s="1"/>
  <c r="Y134" i="4" s="1" a="1"/>
  <c r="Y134" i="4" s="1"/>
  <c r="KF134" i="4"/>
  <c r="KG134" i="4" s="1"/>
  <c r="KE135" i="4" a="1"/>
  <c r="KE135" i="4" s="1"/>
  <c r="X135" i="4"/>
  <c r="AA137" i="5" l="1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AB134" i="4"/>
  <c r="JZ134" i="4" s="1"/>
  <c r="AA134" i="4"/>
  <c r="JY134" i="4" s="1"/>
  <c r="Z134" i="4" s="1" a="1"/>
  <c r="Z134" i="4" s="1"/>
  <c r="Y135" i="4" s="1" a="1"/>
  <c r="Y135" i="4" s="1"/>
  <c r="X136" i="4"/>
  <c r="KF135" i="4"/>
  <c r="KG135" i="4" s="1"/>
  <c r="KE136" i="4" a="1"/>
  <c r="KE136" i="4" s="1"/>
  <c r="KJ138" i="5" l="1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AA135" i="4"/>
  <c r="JY135" i="4" s="1"/>
  <c r="Z135" i="4" s="1" a="1"/>
  <c r="Z135" i="4" s="1"/>
  <c r="Y136" i="4" s="1" a="1"/>
  <c r="Y136" i="4" s="1"/>
  <c r="AB135" i="4"/>
  <c r="JZ135" i="4" s="1"/>
  <c r="X137" i="4"/>
  <c r="KF136" i="4"/>
  <c r="KG136" i="4" s="1"/>
  <c r="KE137" i="4" a="1"/>
  <c r="KE137" i="4" s="1"/>
  <c r="AB139" i="5" l="1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AB136" i="4"/>
  <c r="JZ136" i="4" s="1"/>
  <c r="AA136" i="4"/>
  <c r="JY136" i="4" s="1"/>
  <c r="Z136" i="4" s="1" a="1"/>
  <c r="Z136" i="4" s="1"/>
  <c r="Y137" i="4" s="1" a="1"/>
  <c r="Y137" i="4" s="1"/>
  <c r="KF137" i="4"/>
  <c r="KG137" i="4" s="1"/>
  <c r="KE138" i="4" a="1"/>
  <c r="KE138" i="4" s="1"/>
  <c r="X138" i="4"/>
  <c r="AA140" i="5" l="1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AA137" i="4"/>
  <c r="JY137" i="4" s="1"/>
  <c r="Z137" i="4" s="1" a="1"/>
  <c r="Z137" i="4" s="1"/>
  <c r="AB137" i="4"/>
  <c r="JZ137" i="4" s="1"/>
  <c r="X139" i="4"/>
  <c r="Y138" i="4" a="1"/>
  <c r="Y138" i="4" s="1"/>
  <c r="KF138" i="4"/>
  <c r="KG138" i="4" s="1"/>
  <c r="KE139" i="4" a="1"/>
  <c r="KE139" i="4" s="1"/>
  <c r="AB141" i="5" l="1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Z138" i="4" s="1" a="1"/>
  <c r="Z138" i="4" s="1"/>
  <c r="Y139" i="4" s="1" a="1"/>
  <c r="Y139" i="4" s="1"/>
  <c r="X140" i="4"/>
  <c r="KF139" i="4"/>
  <c r="KG139" i="4" s="1"/>
  <c r="KE140" i="4" a="1"/>
  <c r="KE140" i="4" s="1"/>
  <c r="AB142" i="5" l="1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AB139" i="4"/>
  <c r="JZ139" i="4" s="1"/>
  <c r="AA139" i="4"/>
  <c r="JY139" i="4" s="1"/>
  <c r="Z139" i="4" s="1" a="1"/>
  <c r="Z139" i="4" s="1"/>
  <c r="Y140" i="4" s="1" a="1"/>
  <c r="Y140" i="4" s="1"/>
  <c r="KF140" i="4"/>
  <c r="KG140" i="4" s="1"/>
  <c r="KE141" i="4" a="1"/>
  <c r="KE141" i="4" s="1"/>
  <c r="X141" i="4"/>
  <c r="AB143" i="5" l="1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KI144" i="5" a="1"/>
  <c r="KI144" i="5" s="1"/>
  <c r="AA140" i="4"/>
  <c r="JY140" i="4" s="1"/>
  <c r="Z140" i="4" s="1" a="1"/>
  <c r="Z140" i="4" s="1"/>
  <c r="Y141" i="4" s="1" a="1"/>
  <c r="Y141" i="4" s="1"/>
  <c r="AB140" i="4"/>
  <c r="JZ140" i="4" s="1"/>
  <c r="KF141" i="4"/>
  <c r="KG141" i="4" s="1"/>
  <c r="KE142" i="4" a="1"/>
  <c r="KE142" i="4" s="1"/>
  <c r="X142" i="4"/>
  <c r="AA144" i="5" l="1"/>
  <c r="KC144" i="5" s="1"/>
  <c r="Z144" i="5" s="1" a="1"/>
  <c r="Z144" i="5" s="1"/>
  <c r="Y145" i="5" s="1" a="1"/>
  <c r="Y145" i="5" s="1"/>
  <c r="AB144" i="5"/>
  <c r="KD144" i="5" s="1"/>
  <c r="KJ144" i="5"/>
  <c r="KK144" i="5" s="1"/>
  <c r="KI145" i="5" a="1"/>
  <c r="KI145" i="5" s="1"/>
  <c r="X146" i="5"/>
  <c r="AB141" i="4"/>
  <c r="JZ141" i="4" s="1"/>
  <c r="AA141" i="4"/>
  <c r="JY141" i="4" s="1"/>
  <c r="Z141" i="4" s="1" a="1"/>
  <c r="Z141" i="4" s="1"/>
  <c r="Y142" i="4" s="1" a="1"/>
  <c r="Y142" i="4" s="1"/>
  <c r="X143" i="4"/>
  <c r="KF142" i="4"/>
  <c r="KG142" i="4" s="1"/>
  <c r="KE143" i="4" a="1"/>
  <c r="KE143" i="4" s="1"/>
  <c r="AB145" i="5" l="1"/>
  <c r="KD145" i="5" s="1"/>
  <c r="AA145" i="5"/>
  <c r="KC145" i="5" s="1"/>
  <c r="Z145" i="5" s="1" a="1"/>
  <c r="Z145" i="5" s="1"/>
  <c r="X147" i="5"/>
  <c r="Y146" i="5" a="1"/>
  <c r="Y146" i="5" s="1"/>
  <c r="KJ145" i="5"/>
  <c r="KK145" i="5" s="1"/>
  <c r="KI146" i="5" a="1"/>
  <c r="KI146" i="5" s="1"/>
  <c r="AA142" i="4"/>
  <c r="JY142" i="4" s="1"/>
  <c r="Z142" i="4" s="1" a="1"/>
  <c r="Z142" i="4" s="1"/>
  <c r="Y143" i="4" s="1" a="1"/>
  <c r="Y143" i="4" s="1"/>
  <c r="AB142" i="4"/>
  <c r="JZ142" i="4" s="1"/>
  <c r="KF143" i="4"/>
  <c r="KG143" i="4" s="1"/>
  <c r="KE144" i="4" a="1"/>
  <c r="KE144" i="4" s="1"/>
  <c r="X144" i="4"/>
  <c r="AA146" i="5" l="1"/>
  <c r="KC146" i="5" s="1"/>
  <c r="Z146" i="5" s="1" a="1"/>
  <c r="Z146" i="5" s="1"/>
  <c r="Y147" i="5" s="1" a="1"/>
  <c r="Y147" i="5" s="1"/>
  <c r="AB146" i="5"/>
  <c r="KD146" i="5" s="1"/>
  <c r="X148" i="5"/>
  <c r="KJ146" i="5"/>
  <c r="KK146" i="5" s="1"/>
  <c r="KI147" i="5" a="1"/>
  <c r="KI147" i="5" s="1"/>
  <c r="AB143" i="4"/>
  <c r="JZ143" i="4" s="1"/>
  <c r="AA143" i="4"/>
  <c r="JY143" i="4" s="1"/>
  <c r="Z143" i="4" s="1" a="1"/>
  <c r="Z143" i="4" s="1"/>
  <c r="Y144" i="4" s="1" a="1"/>
  <c r="Y144" i="4" s="1"/>
  <c r="X145" i="4"/>
  <c r="KF144" i="4"/>
  <c r="KG144" i="4" s="1"/>
  <c r="KE145" i="4" a="1"/>
  <c r="KE145" i="4" s="1"/>
  <c r="AB147" i="5" l="1"/>
  <c r="KD147" i="5" s="1"/>
  <c r="AA147" i="5"/>
  <c r="KC147" i="5" s="1"/>
  <c r="Z147" i="5" s="1" a="1"/>
  <c r="Z147" i="5" s="1"/>
  <c r="Y148" i="5" s="1" a="1"/>
  <c r="Y148" i="5" s="1"/>
  <c r="X149" i="5"/>
  <c r="KJ147" i="5"/>
  <c r="KK147" i="5" s="1"/>
  <c r="KI148" i="5" a="1"/>
  <c r="KI148" i="5" s="1"/>
  <c r="AB144" i="4"/>
  <c r="JZ144" i="4" s="1"/>
  <c r="AA144" i="4"/>
  <c r="JY144" i="4" s="1"/>
  <c r="Z144" i="4" s="1" a="1"/>
  <c r="Z144" i="4" s="1"/>
  <c r="Y145" i="4" s="1" a="1"/>
  <c r="Y145" i="4" s="1"/>
  <c r="KF145" i="4"/>
  <c r="KG145" i="4" s="1"/>
  <c r="KE146" i="4" a="1"/>
  <c r="KE146" i="4" s="1"/>
  <c r="X146" i="4"/>
  <c r="AB148" i="5" l="1"/>
  <c r="KD148" i="5" s="1"/>
  <c r="AA148" i="5"/>
  <c r="KC148" i="5" s="1"/>
  <c r="Z148" i="5" s="1" a="1"/>
  <c r="Z148" i="5" s="1"/>
  <c r="Y149" i="5" s="1" a="1"/>
  <c r="Y149" i="5" s="1"/>
  <c r="KJ148" i="5"/>
  <c r="KK148" i="5" s="1"/>
  <c r="KI149" i="5" a="1"/>
  <c r="KI149" i="5" s="1"/>
  <c r="X150" i="5"/>
  <c r="AB145" i="4"/>
  <c r="JZ145" i="4" s="1"/>
  <c r="AA145" i="4"/>
  <c r="JY145" i="4" s="1"/>
  <c r="Z145" i="4" s="1" a="1"/>
  <c r="Z145" i="4" s="1"/>
  <c r="Y146" i="4" a="1"/>
  <c r="Y146" i="4" s="1"/>
  <c r="X147" i="4"/>
  <c r="KF146" i="4"/>
  <c r="KG146" i="4" s="1"/>
  <c r="KE147" i="4" a="1"/>
  <c r="KE147" i="4" s="1"/>
  <c r="AB149" i="5" l="1"/>
  <c r="KD149" i="5" s="1"/>
  <c r="AA149" i="5"/>
  <c r="KC149" i="5" s="1"/>
  <c r="Z149" i="5" s="1" a="1"/>
  <c r="Z149" i="5" s="1"/>
  <c r="Y150" i="5" s="1" a="1"/>
  <c r="Y150" i="5" s="1"/>
  <c r="X151" i="5"/>
  <c r="KJ149" i="5"/>
  <c r="KK149" i="5" s="1"/>
  <c r="KI150" i="5" a="1"/>
  <c r="KI150" i="5" s="1"/>
  <c r="X148" i="4"/>
  <c r="KF147" i="4"/>
  <c r="KG147" i="4" s="1"/>
  <c r="KE148" i="4" a="1"/>
  <c r="KE148" i="4" s="1"/>
  <c r="AB146" i="4"/>
  <c r="JZ146" i="4" s="1"/>
  <c r="AA146" i="4"/>
  <c r="JY146" i="4" s="1"/>
  <c r="Z146" i="4" s="1" a="1"/>
  <c r="Z146" i="4" s="1"/>
  <c r="Y147" i="4" s="1" a="1"/>
  <c r="Y147" i="4" s="1"/>
  <c r="AB150" i="5" l="1"/>
  <c r="KD150" i="5" s="1"/>
  <c r="AA150" i="5"/>
  <c r="KC150" i="5" s="1"/>
  <c r="Z150" i="5" s="1" a="1"/>
  <c r="Z150" i="5" s="1"/>
  <c r="Y151" i="5" s="1" a="1"/>
  <c r="Y151" i="5" s="1"/>
  <c r="KJ150" i="5"/>
  <c r="KK150" i="5" s="1"/>
  <c r="KI151" i="5" a="1"/>
  <c r="KI151" i="5" s="1"/>
  <c r="X152" i="5"/>
  <c r="AB147" i="4"/>
  <c r="JZ147" i="4" s="1"/>
  <c r="AA147" i="4"/>
  <c r="JY147" i="4" s="1"/>
  <c r="Z147" i="4" s="1" a="1"/>
  <c r="Z147" i="4" s="1"/>
  <c r="Y148" i="4" s="1" a="1"/>
  <c r="Y148" i="4" s="1"/>
  <c r="KF148" i="4"/>
  <c r="KG148" i="4" s="1"/>
  <c r="KE149" i="4" a="1"/>
  <c r="KE149" i="4" s="1"/>
  <c r="X149" i="4"/>
  <c r="AB151" i="5" l="1"/>
  <c r="KD151" i="5" s="1"/>
  <c r="AA151" i="5"/>
  <c r="KC151" i="5" s="1"/>
  <c r="Z151" i="5" s="1" a="1"/>
  <c r="Z151" i="5" s="1"/>
  <c r="Y152" i="5" s="1" a="1"/>
  <c r="Y152" i="5" s="1"/>
  <c r="KJ151" i="5"/>
  <c r="KK151" i="5" s="1"/>
  <c r="KI152" i="5" a="1"/>
  <c r="KI152" i="5" s="1"/>
  <c r="X153" i="5"/>
  <c r="AB148" i="4"/>
  <c r="JZ148" i="4" s="1"/>
  <c r="AA148" i="4"/>
  <c r="JY148" i="4" s="1"/>
  <c r="Z148" i="4" s="1" a="1"/>
  <c r="Z148" i="4" s="1"/>
  <c r="Y149" i="4" s="1" a="1"/>
  <c r="Y149" i="4" s="1"/>
  <c r="KF149" i="4"/>
  <c r="KG149" i="4" s="1"/>
  <c r="KE150" i="4" a="1"/>
  <c r="KE150" i="4" s="1"/>
  <c r="X150" i="4"/>
  <c r="AB152" i="5" l="1"/>
  <c r="KD152" i="5" s="1"/>
  <c r="AA152" i="5"/>
  <c r="KC152" i="5" s="1"/>
  <c r="Z152" i="5" s="1" a="1"/>
  <c r="Z152" i="5" s="1"/>
  <c r="Y153" i="5" s="1" a="1"/>
  <c r="Y153" i="5" s="1"/>
  <c r="KJ152" i="5"/>
  <c r="KK152" i="5" s="1"/>
  <c r="KI153" i="5" a="1"/>
  <c r="KI153" i="5" s="1"/>
  <c r="X154" i="5"/>
  <c r="AB149" i="4"/>
  <c r="JZ149" i="4" s="1"/>
  <c r="AA149" i="4"/>
  <c r="JY149" i="4" s="1"/>
  <c r="Z149" i="4" s="1" a="1"/>
  <c r="Z149" i="4" s="1"/>
  <c r="Y150" i="4" s="1" a="1"/>
  <c r="Y150" i="4" s="1"/>
  <c r="X151" i="4"/>
  <c r="KF150" i="4"/>
  <c r="KG150" i="4" s="1"/>
  <c r="KE151" i="4" a="1"/>
  <c r="KE151" i="4" s="1"/>
  <c r="AB153" i="5" l="1"/>
  <c r="KD153" i="5" s="1"/>
  <c r="AA153" i="5"/>
  <c r="KC153" i="5" s="1"/>
  <c r="Z153" i="5" s="1" a="1"/>
  <c r="Z153" i="5" s="1"/>
  <c r="KJ153" i="5"/>
  <c r="KK153" i="5" s="1"/>
  <c r="KI154" i="5" a="1"/>
  <c r="KI154" i="5" s="1"/>
  <c r="X155" i="5"/>
  <c r="Y154" i="5" a="1"/>
  <c r="Y154" i="5" s="1"/>
  <c r="AA150" i="4"/>
  <c r="JY150" i="4" s="1"/>
  <c r="Z150" i="4" s="1" a="1"/>
  <c r="Z150" i="4" s="1"/>
  <c r="Y151" i="4" s="1" a="1"/>
  <c r="Y151" i="4" s="1"/>
  <c r="AB150" i="4"/>
  <c r="JZ150" i="4" s="1"/>
  <c r="KF151" i="4"/>
  <c r="KG151" i="4" s="1"/>
  <c r="KE152" i="4" a="1"/>
  <c r="KE152" i="4" s="1"/>
  <c r="X152" i="4"/>
  <c r="X156" i="5" l="1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AB151" i="4"/>
  <c r="JZ151" i="4" s="1"/>
  <c r="AA151" i="4"/>
  <c r="JY151" i="4" s="1"/>
  <c r="Z151" i="4" s="1" a="1"/>
  <c r="Z151" i="4" s="1"/>
  <c r="Y152" i="4" s="1" a="1"/>
  <c r="Y152" i="4" s="1"/>
  <c r="X153" i="4"/>
  <c r="KF152" i="4"/>
  <c r="KG152" i="4" s="1"/>
  <c r="KE153" i="4" a="1"/>
  <c r="KE153" i="4" s="1"/>
  <c r="AB155" i="5" l="1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AB152" i="4"/>
  <c r="JZ152" i="4" s="1"/>
  <c r="AA152" i="4"/>
  <c r="JY152" i="4" s="1"/>
  <c r="Z152" i="4" s="1" a="1"/>
  <c r="Z152" i="4" s="1"/>
  <c r="Y153" i="4" s="1" a="1"/>
  <c r="Y153" i="4" s="1"/>
  <c r="X154" i="4"/>
  <c r="KF153" i="4"/>
  <c r="KG153" i="4" s="1"/>
  <c r="KE154" i="4" a="1"/>
  <c r="KE154" i="4" s="1"/>
  <c r="AB156" i="5" l="1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AB153" i="4"/>
  <c r="JZ153" i="4" s="1"/>
  <c r="AA153" i="4"/>
  <c r="JY153" i="4" s="1"/>
  <c r="Z153" i="4" s="1" a="1"/>
  <c r="Z153" i="4" s="1"/>
  <c r="KF154" i="4"/>
  <c r="KG154" i="4" s="1"/>
  <c r="KE155" i="4" a="1"/>
  <c r="KE155" i="4" s="1"/>
  <c r="X155" i="4"/>
  <c r="Y154" i="4" a="1"/>
  <c r="Y154" i="4" s="1"/>
  <c r="AB157" i="5" l="1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KF155" i="4"/>
  <c r="KG155" i="4" s="1"/>
  <c r="KE156" i="4" a="1"/>
  <c r="KE156" i="4" s="1"/>
  <c r="X156" i="4"/>
  <c r="AA154" i="4"/>
  <c r="JY154" i="4" s="1"/>
  <c r="Z154" i="4" s="1" a="1"/>
  <c r="Z154" i="4" s="1"/>
  <c r="Y155" i="4" s="1" a="1"/>
  <c r="Y155" i="4" s="1"/>
  <c r="AB154" i="4"/>
  <c r="JZ154" i="4" s="1"/>
  <c r="AB158" i="5" l="1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AB155" i="4"/>
  <c r="JZ155" i="4" s="1"/>
  <c r="AA155" i="4"/>
  <c r="JY155" i="4" s="1"/>
  <c r="Z155" i="4" s="1" a="1"/>
  <c r="Z155" i="4" s="1"/>
  <c r="Y156" i="4" s="1" a="1"/>
  <c r="Y156" i="4" s="1"/>
  <c r="X157" i="4"/>
  <c r="KF156" i="4"/>
  <c r="KG156" i="4" s="1"/>
  <c r="KE157" i="4" a="1"/>
  <c r="KE157" i="4" s="1"/>
  <c r="AB159" i="5" l="1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AB156" i="4"/>
  <c r="JZ156" i="4" s="1"/>
  <c r="AA156" i="4"/>
  <c r="JY156" i="4" s="1"/>
  <c r="Z156" i="4" s="1" a="1"/>
  <c r="Z156" i="4" s="1"/>
  <c r="Y157" i="4" s="1" a="1"/>
  <c r="Y157" i="4" s="1"/>
  <c r="KF157" i="4"/>
  <c r="KG157" i="4" s="1"/>
  <c r="KE158" i="4" a="1"/>
  <c r="KE158" i="4" s="1"/>
  <c r="X158" i="4"/>
  <c r="AB160" i="5" l="1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AB157" i="4"/>
  <c r="JZ157" i="4" s="1"/>
  <c r="AA157" i="4"/>
  <c r="JY157" i="4" s="1"/>
  <c r="Z157" i="4" s="1" a="1"/>
  <c r="Z157" i="4" s="1"/>
  <c r="Y158" i="4" s="1" a="1"/>
  <c r="Y158" i="4" s="1"/>
  <c r="X159" i="4"/>
  <c r="KF158" i="4"/>
  <c r="KG158" i="4" s="1"/>
  <c r="KE159" i="4" a="1"/>
  <c r="KE159" i="4" s="1"/>
  <c r="AB161" i="5" l="1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AB158" i="4"/>
  <c r="JZ158" i="4" s="1"/>
  <c r="AA158" i="4"/>
  <c r="JY158" i="4" s="1"/>
  <c r="Z158" i="4" s="1" a="1"/>
  <c r="Z158" i="4" s="1"/>
  <c r="Y159" i="4" s="1" a="1"/>
  <c r="Y159" i="4" s="1"/>
  <c r="X160" i="4"/>
  <c r="KF159" i="4"/>
  <c r="KG159" i="4" s="1"/>
  <c r="KE160" i="4" a="1"/>
  <c r="KE160" i="4" s="1"/>
  <c r="X164" i="5" l="1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AB159" i="4"/>
  <c r="JZ159" i="4" s="1"/>
  <c r="AA159" i="4"/>
  <c r="JY159" i="4" s="1"/>
  <c r="Z159" i="4" s="1" a="1"/>
  <c r="Z159" i="4" s="1"/>
  <c r="Y160" i="4" s="1" a="1"/>
  <c r="Y160" i="4" s="1"/>
  <c r="KF160" i="4"/>
  <c r="KG160" i="4" s="1"/>
  <c r="KE161" i="4" a="1"/>
  <c r="KE161" i="4" s="1"/>
  <c r="X161" i="4"/>
  <c r="AB163" i="5" l="1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AB160" i="4"/>
  <c r="JZ160" i="4" s="1"/>
  <c r="AA160" i="4"/>
  <c r="JY160" i="4" s="1"/>
  <c r="Z160" i="4" s="1" a="1"/>
  <c r="Z160" i="4" s="1"/>
  <c r="Y161" i="4" s="1" a="1"/>
  <c r="Y161" i="4" s="1"/>
  <c r="X162" i="4"/>
  <c r="KF161" i="4"/>
  <c r="KG161" i="4" s="1"/>
  <c r="KE162" i="4" a="1"/>
  <c r="KE162" i="4" s="1"/>
  <c r="AB164" i="5" l="1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AB161" i="4"/>
  <c r="JZ161" i="4" s="1"/>
  <c r="AA161" i="4"/>
  <c r="JY161" i="4" s="1"/>
  <c r="Z161" i="4" s="1" a="1"/>
  <c r="Z161" i="4" s="1"/>
  <c r="KF162" i="4"/>
  <c r="KG162" i="4" s="1"/>
  <c r="KE163" i="4" a="1"/>
  <c r="KE163" i="4" s="1"/>
  <c r="X163" i="4"/>
  <c r="Y162" i="4" a="1"/>
  <c r="Y162" i="4" s="1"/>
  <c r="AB165" i="5" l="1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Z162" i="4" s="1" a="1"/>
  <c r="Z162" i="4" s="1"/>
  <c r="Y163" i="4" s="1" a="1"/>
  <c r="Y163" i="4" s="1"/>
  <c r="AB162" i="4"/>
  <c r="JZ162" i="4" s="1"/>
  <c r="X164" i="4"/>
  <c r="KF163" i="4"/>
  <c r="KG163" i="4" s="1"/>
  <c r="KE164" i="4" a="1"/>
  <c r="KE164" i="4" s="1"/>
  <c r="KJ166" i="5" l="1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AB163" i="4"/>
  <c r="JZ163" i="4" s="1"/>
  <c r="AA163" i="4"/>
  <c r="JY163" i="4" s="1"/>
  <c r="Z163" i="4" s="1" a="1"/>
  <c r="Z163" i="4" s="1"/>
  <c r="Y164" i="4" s="1" a="1"/>
  <c r="Y164" i="4" s="1"/>
  <c r="X165" i="4"/>
  <c r="KF164" i="4"/>
  <c r="KG164" i="4" s="1"/>
  <c r="KE165" i="4" a="1"/>
  <c r="KE165" i="4" s="1"/>
  <c r="Z166" i="5" l="1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AA164" i="4"/>
  <c r="JY164" i="4" s="1"/>
  <c r="Z164" i="4" s="1" a="1"/>
  <c r="Z164" i="4" s="1"/>
  <c r="Y165" i="4" s="1" a="1"/>
  <c r="Y165" i="4" s="1"/>
  <c r="AB164" i="4"/>
  <c r="JZ164" i="4" s="1"/>
  <c r="KF165" i="4"/>
  <c r="KG165" i="4" s="1"/>
  <c r="KE166" i="4" a="1"/>
  <c r="KE166" i="4" s="1"/>
  <c r="Y166" i="4" a="1"/>
  <c r="Y166" i="4" s="1"/>
  <c r="X167" i="4"/>
  <c r="AB171" i="5" l="1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B165" i="4"/>
  <c r="JZ165" i="4" s="1"/>
  <c r="AA165" i="4"/>
  <c r="JY165" i="4" s="1"/>
  <c r="Z165" i="4" s="1" a="1"/>
  <c r="Z165" i="4" s="1"/>
  <c r="AA166" i="4"/>
  <c r="AB166" i="4"/>
  <c r="X168" i="4"/>
  <c r="KF166" i="4"/>
  <c r="KG166" i="4" s="1"/>
  <c r="KH166" i="4" s="1"/>
  <c r="KE167" i="4" a="1"/>
  <c r="KE167" i="4" s="1"/>
  <c r="AB172" i="5" l="1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Y170" i="4" a="1"/>
  <c r="Y170" i="4" s="1"/>
  <c r="JZ166" i="4"/>
  <c r="JX166" i="4"/>
  <c r="KB166" i="4" s="1"/>
  <c r="KF167" i="4"/>
  <c r="KG167" i="4" s="1"/>
  <c r="KH167" i="4" s="1"/>
  <c r="KE168" i="4" a="1"/>
  <c r="KE168" i="4" s="1"/>
  <c r="JW166" i="4"/>
  <c r="JY166" i="4"/>
  <c r="AB173" i="5" l="1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KF168" i="4"/>
  <c r="KG168" i="4" s="1"/>
  <c r="KH168" i="4" s="1"/>
  <c r="KE181" i="4" a="1"/>
  <c r="KE181" i="4" s="1"/>
  <c r="X172" i="4"/>
  <c r="KA166" i="4"/>
  <c r="Z166" i="4" a="1"/>
  <c r="Z166" i="4" s="1"/>
  <c r="Y167" i="4" s="1" a="1"/>
  <c r="Y167" i="4" s="1"/>
  <c r="AB168" i="5" l="1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KF181" i="4"/>
  <c r="KG181" i="4" s="1"/>
  <c r="KH181" i="4" s="1"/>
  <c r="KI181" i="4" s="1"/>
  <c r="KE182" i="4" a="1"/>
  <c r="KE182" i="4" s="1"/>
  <c r="KF182" i="4" s="1"/>
  <c r="KG182" i="4" s="1"/>
  <c r="KH182" i="4" s="1"/>
  <c r="KI182" i="4" s="1"/>
  <c r="X173" i="4"/>
  <c r="AB167" i="4"/>
  <c r="AA167" i="4"/>
  <c r="AB175" i="5" l="1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AB176" i="5" l="1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AB179" i="5" l="1"/>
  <c r="NE179" i="5" s="1"/>
  <c r="AA179" i="5"/>
  <c r="ND179" i="5" s="1"/>
  <c r="Z179" i="5" s="1" a="1"/>
  <c r="Z179" i="5" s="1"/>
  <c r="Y180" i="5" s="1" a="1"/>
  <c r="Y180" i="5" s="1"/>
  <c r="X182" i="5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AB180" i="5" l="1"/>
  <c r="AA180" i="5"/>
  <c r="Y181" i="5" a="1"/>
  <c r="Y181" i="5" s="1"/>
  <c r="X184" i="5"/>
  <c r="Y183" i="5" a="1"/>
  <c r="Y183" i="5" s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X185" i="5" l="1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OK183" i="5" l="1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AA179" i="4"/>
  <c r="MZ179" i="4" s="1"/>
  <c r="Z179" i="4" s="1" a="1"/>
  <c r="Z179" i="4" s="1"/>
  <c r="Y180" i="4" s="1" a="1"/>
  <c r="Y180" i="4" s="1"/>
  <c r="AB179" i="4"/>
  <c r="NA179" i="4" s="1"/>
  <c r="X182" i="4"/>
  <c r="PX187" i="5" l="1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AA180" i="4"/>
  <c r="AB180" i="4"/>
  <c r="Y181" i="4" a="1"/>
  <c r="Y181" i="4" s="1"/>
  <c r="X184" i="4"/>
  <c r="Y183" i="4" a="1"/>
  <c r="Y183" i="4" s="1"/>
  <c r="AB187" i="5" l="1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OU188" i="5" l="1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AA191" i="5" l="1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AB192" i="5" l="1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OJ193" i="5" l="1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PX197" i="5" l="1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AB197" i="5" l="1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OZ193" i="5" l="1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OO189" i="5" l="1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AA202" i="5" l="1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AB217" i="5" l="1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AB208" i="5" l="1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AB219" i="5" l="1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AB212" i="5" l="1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AA214" i="5" l="1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AB224" i="5" l="1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Z233" i="5" s="1" a="1"/>
  <c r="Z233" i="5" s="1"/>
  <c r="Y234" i="5" s="1" a="1"/>
  <c r="Y234" i="5" s="1"/>
  <c r="OU205" i="5"/>
  <c r="OK205" i="5"/>
  <c r="X236" i="5"/>
  <c r="Y235" i="5" a="1"/>
  <c r="Y235" i="5" s="1"/>
  <c r="RE202" i="5"/>
  <c r="Z202" i="5" a="1"/>
  <c r="Z202" i="5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AB234" i="5" l="1"/>
  <c r="KD234" i="5" s="1"/>
  <c r="AA234" i="5"/>
  <c r="KC234" i="5" s="1"/>
  <c r="Z234" i="5" s="1" a="1"/>
  <c r="Z234" i="5" s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AB2" i="1"/>
  <c r="IB2" i="1" s="1"/>
  <c r="AA2" i="1"/>
  <c r="IA2" i="1" s="1"/>
  <c r="AB220" i="4"/>
  <c r="JZ220" i="4" s="1"/>
  <c r="AA220" i="4"/>
  <c r="JY220" i="4" s="1"/>
  <c r="Z220" i="4" s="1" a="1"/>
  <c r="Z220" i="4" s="1"/>
  <c r="AB212" i="4"/>
  <c r="JZ212" i="4" s="1"/>
  <c r="AA212" i="4"/>
  <c r="JY212" i="4" s="1"/>
  <c r="Z212" i="4" s="1" a="1"/>
  <c r="Z212" i="4" s="1"/>
  <c r="Y214" i="4" s="1" a="1"/>
  <c r="Y214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AB236" i="5" l="1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AA214" i="4"/>
  <c r="JY214" i="4" s="1"/>
  <c r="Z214" i="4" s="1" a="1"/>
  <c r="Z214" i="4" s="1"/>
  <c r="Y216" i="4" s="1" a="1"/>
  <c r="Y216" i="4" s="1"/>
  <c r="AB214" i="4"/>
  <c r="JZ214" i="4" s="1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AB237" i="5" l="1"/>
  <c r="KD237" i="5" s="1"/>
  <c r="AA237" i="5"/>
  <c r="KC237" i="5" s="1"/>
  <c r="Z237" i="5" s="1" a="1"/>
  <c r="Z237" i="5" s="1"/>
  <c r="Y238" i="5" s="1" a="1"/>
  <c r="Y238" i="5" s="1"/>
  <c r="OZ209" i="5"/>
  <c r="Z209" i="5" a="1"/>
  <c r="Z209" i="5" s="1"/>
  <c r="Y211" i="5" s="1" a="1"/>
  <c r="Y211" i="5" s="1"/>
  <c r="X239" i="5"/>
  <c r="OM200" i="5"/>
  <c r="OW200" i="5"/>
  <c r="Z222" i="5" a="1"/>
  <c r="Z222" i="5" s="1"/>
  <c r="KE222" i="5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AA216" i="4"/>
  <c r="JY216" i="4" s="1"/>
  <c r="Z216" i="4" s="1" a="1"/>
  <c r="Z216" i="4" s="1"/>
  <c r="AB216" i="4"/>
  <c r="JZ216" i="4" s="1"/>
  <c r="AB224" i="4"/>
  <c r="JZ224" i="4" s="1"/>
  <c r="AA224" i="4"/>
  <c r="JY224" i="4" s="1"/>
  <c r="Z224" i="4" s="1" a="1"/>
  <c r="Z224" i="4" s="1"/>
  <c r="ON190" i="4"/>
  <c r="OX190" i="4"/>
  <c r="OH195" i="4"/>
  <c r="OR195" i="4"/>
  <c r="AB233" i="4"/>
  <c r="JZ233" i="4" s="1"/>
  <c r="AA233" i="4"/>
  <c r="JY233" i="4" s="1"/>
  <c r="Z233" i="4" s="1" a="1"/>
  <c r="Z233" i="4" s="1"/>
  <c r="Y234" i="4" s="1" a="1"/>
  <c r="Y234" i="4" s="1"/>
  <c r="OP209" i="4"/>
  <c r="OF209" i="4"/>
  <c r="OG205" i="4"/>
  <c r="OQ205" i="4"/>
  <c r="OO190" i="4"/>
  <c r="PA190" i="4" s="1"/>
  <c r="OY190" i="4"/>
  <c r="RA202" i="4"/>
  <c r="Z202" i="4" a="1"/>
  <c r="Z202" i="4" s="1"/>
  <c r="Z221" i="4" a="1"/>
  <c r="Z221" i="4" s="1"/>
  <c r="Y222" i="4" s="1" a="1"/>
  <c r="Y222" i="4" s="1"/>
  <c r="KA221" i="4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AB238" i="5" l="1"/>
  <c r="KD238" i="5" s="1"/>
  <c r="AA238" i="5"/>
  <c r="KC238" i="5" s="1"/>
  <c r="Z238" i="5" s="1" a="1"/>
  <c r="Z238" i="5" s="1"/>
  <c r="Y239" i="5" s="1" a="1"/>
  <c r="Y239" i="5" s="1"/>
  <c r="PD195" i="5"/>
  <c r="Z195" i="5" a="1"/>
  <c r="Z195" i="5" s="1"/>
  <c r="OO200" i="5"/>
  <c r="OY200" i="5"/>
  <c r="X240" i="5"/>
  <c r="ON200" i="5"/>
  <c r="OX200" i="5"/>
  <c r="AA211" i="5"/>
  <c r="AB211" i="5"/>
  <c r="AB234" i="4"/>
  <c r="JZ234" i="4" s="1"/>
  <c r="AA234" i="4"/>
  <c r="JY234" i="4" s="1"/>
  <c r="Z234" i="4" s="1" a="1"/>
  <c r="Z234" i="4" s="1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AA239" i="5" l="1"/>
  <c r="KC239" i="5" s="1"/>
  <c r="Z239" i="5" s="1" a="1"/>
  <c r="Z239" i="5" s="1"/>
  <c r="Y240" i="5" s="1" a="1"/>
  <c r="Y240" i="5" s="1"/>
  <c r="AB239" i="5"/>
  <c r="KD239" i="5" s="1"/>
  <c r="OP200" i="5"/>
  <c r="OZ200" i="5"/>
  <c r="X241" i="5"/>
  <c r="OQ200" i="5"/>
  <c r="PA200" i="5"/>
  <c r="OU211" i="5"/>
  <c r="OK211" i="5"/>
  <c r="OJ211" i="5"/>
  <c r="OT211" i="5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AA240" i="5" l="1"/>
  <c r="KC240" i="5" s="1"/>
  <c r="Z240" i="5" s="1" a="1"/>
  <c r="Z240" i="5" s="1"/>
  <c r="Y241" i="5" s="1" a="1"/>
  <c r="Y241" i="5" s="1"/>
  <c r="AB240" i="5"/>
  <c r="KD240" i="5" s="1"/>
  <c r="X242" i="5"/>
  <c r="OV211" i="5"/>
  <c r="OL211" i="5"/>
  <c r="OS200" i="5"/>
  <c r="PE200" i="5" s="1"/>
  <c r="PC200" i="5"/>
  <c r="OR200" i="5"/>
  <c r="PB200" i="5"/>
  <c r="OW211" i="5"/>
  <c r="OM211" i="5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AA241" i="5" l="1"/>
  <c r="KC241" i="5" s="1"/>
  <c r="Z241" i="5" s="1" a="1"/>
  <c r="Z241" i="5" s="1"/>
  <c r="Y242" i="5" s="1" a="1"/>
  <c r="Y242" i="5" s="1"/>
  <c r="AB241" i="5"/>
  <c r="KD241" i="5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OZ195" i="4"/>
  <c r="Z195" i="4" a="1"/>
  <c r="Z195" i="4" s="1"/>
  <c r="OK200" i="4"/>
  <c r="OU200" i="4"/>
  <c r="OJ200" i="4"/>
  <c r="OT200" i="4"/>
  <c r="AA211" i="4"/>
  <c r="AB211" i="4"/>
  <c r="AB242" i="5" l="1"/>
  <c r="KD242" i="5" s="1"/>
  <c r="AA242" i="5"/>
  <c r="KC242" i="5" s="1"/>
  <c r="Z242" i="5" s="1" a="1"/>
  <c r="Z242" i="5" s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OL200" i="4"/>
  <c r="OV200" i="4"/>
  <c r="OQ211" i="4"/>
  <c r="OG211" i="4"/>
  <c r="OM200" i="4"/>
  <c r="OW200" i="4"/>
  <c r="OP211" i="4"/>
  <c r="OF211" i="4"/>
  <c r="AB244" i="5" l="1"/>
  <c r="KD244" i="5" s="1"/>
  <c r="AA244" i="5"/>
  <c r="KC244" i="5" s="1"/>
  <c r="Z244" i="5" s="1" a="1"/>
  <c r="Z244" i="5" s="1"/>
  <c r="Y245" i="5" s="1" a="1"/>
  <c r="Y245" i="5" s="1"/>
  <c r="X246" i="5"/>
  <c r="OO200" i="4"/>
  <c r="PA200" i="4" s="1"/>
  <c r="OY200" i="4"/>
  <c r="OH211" i="4"/>
  <c r="OR211" i="4"/>
  <c r="OI211" i="4"/>
  <c r="OS211" i="4"/>
  <c r="ON200" i="4"/>
  <c r="OX200" i="4"/>
  <c r="AB245" i="5" l="1"/>
  <c r="KD245" i="5" s="1"/>
  <c r="AA245" i="5"/>
  <c r="KC245" i="5" s="1"/>
  <c r="Z245" i="5" s="1" a="1"/>
  <c r="Z245" i="5" s="1"/>
  <c r="Y246" i="5" s="1" a="1"/>
  <c r="Y246" i="5" s="1"/>
  <c r="X247" i="5"/>
  <c r="OZ200" i="4"/>
  <c r="Z200" i="4" a="1"/>
  <c r="Z200" i="4" s="1"/>
  <c r="OU211" i="4"/>
  <c r="OK211" i="4"/>
  <c r="OW211" i="4" s="1"/>
  <c r="OJ211" i="4"/>
  <c r="OT211" i="4"/>
  <c r="AB246" i="5" l="1"/>
  <c r="KD246" i="5" s="1"/>
  <c r="AA246" i="5"/>
  <c r="KC246" i="5" s="1"/>
  <c r="Z246" i="5" s="1" a="1"/>
  <c r="Z246" i="5" s="1"/>
  <c r="Y247" i="5" s="1" a="1"/>
  <c r="Y247" i="5" s="1"/>
  <c r="X248" i="5"/>
  <c r="OV211" i="4"/>
  <c r="Z211" i="4" a="1"/>
  <c r="Z211" i="4" s="1"/>
  <c r="AB247" i="5" l="1"/>
  <c r="KD247" i="5" s="1"/>
  <c r="AA247" i="5"/>
  <c r="KC247" i="5" s="1"/>
  <c r="Z247" i="5" s="1" a="1"/>
  <c r="Z247" i="5" s="1"/>
  <c r="Y248" i="5" s="1" a="1"/>
  <c r="Y248" i="5" s="1"/>
  <c r="X249" i="5"/>
  <c r="AB248" i="5" l="1"/>
  <c r="KD248" i="5" s="1"/>
  <c r="AA248" i="5"/>
  <c r="KC248" i="5" s="1"/>
  <c r="Z248" i="5" s="1" a="1"/>
  <c r="Z248" i="5" s="1"/>
  <c r="Y249" i="5" s="1" a="1"/>
  <c r="Y249" i="5" s="1"/>
  <c r="X250" i="5"/>
  <c r="AB249" i="5" l="1"/>
  <c r="KD249" i="5" s="1"/>
  <c r="AA249" i="5"/>
  <c r="KC249" i="5" s="1"/>
  <c r="Z249" i="5" s="1" a="1"/>
  <c r="Z249" i="5" s="1"/>
  <c r="Y250" i="5" s="1" a="1"/>
  <c r="Y250" i="5" s="1"/>
  <c r="X251" i="5"/>
  <c r="AB250" i="5" l="1"/>
  <c r="KD250" i="5" s="1"/>
  <c r="AA250" i="5"/>
  <c r="KC250" i="5" s="1"/>
  <c r="Z250" i="5" s="1" a="1"/>
  <c r="Z250" i="5" s="1"/>
  <c r="X252" i="5"/>
  <c r="Y251" i="5" a="1"/>
  <c r="Y251" i="5" s="1"/>
  <c r="X253" i="5" l="1"/>
  <c r="AB251" i="5"/>
  <c r="KD251" i="5" s="1"/>
  <c r="AA251" i="5"/>
  <c r="KC251" i="5" s="1"/>
  <c r="Z251" i="5" s="1" a="1"/>
  <c r="Z251" i="5" s="1"/>
  <c r="Y252" i="5" s="1" a="1"/>
  <c r="Y252" i="5" s="1"/>
  <c r="AB252" i="5" l="1"/>
  <c r="KD252" i="5" s="1"/>
  <c r="AA252" i="5"/>
  <c r="KC252" i="5" s="1"/>
  <c r="Z252" i="5" s="1" a="1"/>
  <c r="Z252" i="5" s="1"/>
  <c r="Y253" i="5" s="1" a="1"/>
  <c r="Y253" i="5" s="1"/>
  <c r="X254" i="5"/>
  <c r="AA253" i="5" l="1"/>
  <c r="KC253" i="5" s="1"/>
  <c r="Z253" i="5" s="1" a="1"/>
  <c r="Z253" i="5" s="1"/>
  <c r="Y254" i="5" s="1" a="1"/>
  <c r="Y254" i="5" s="1"/>
  <c r="AB253" i="5"/>
  <c r="KD253" i="5" s="1"/>
  <c r="X255" i="5"/>
  <c r="AB254" i="5" l="1"/>
  <c r="KD254" i="5" s="1"/>
  <c r="AA254" i="5"/>
  <c r="KC254" i="5" s="1"/>
  <c r="Z254" i="5" s="1" a="1"/>
  <c r="Z254" i="5" s="1"/>
  <c r="Y255" i="5" s="1" a="1"/>
  <c r="Y255" i="5" s="1"/>
  <c r="X256" i="5"/>
  <c r="AB255" i="5" l="1"/>
  <c r="KD255" i="5" s="1"/>
  <c r="AA255" i="5"/>
  <c r="KC255" i="5" s="1"/>
  <c r="Z255" i="5" s="1" a="1"/>
  <c r="Z255" i="5" s="1"/>
  <c r="Y256" i="5" s="1" a="1"/>
  <c r="Y256" i="5" s="1"/>
  <c r="X257" i="5"/>
  <c r="AB256" i="5" l="1"/>
  <c r="KD256" i="5" s="1"/>
  <c r="AA256" i="5"/>
  <c r="KC256" i="5" s="1"/>
  <c r="Z256" i="5" s="1" a="1"/>
  <c r="Z256" i="5" s="1"/>
  <c r="Y257" i="5" s="1" a="1"/>
  <c r="Y257" i="5" s="1"/>
  <c r="X258" i="5"/>
  <c r="AB257" i="5" l="1"/>
  <c r="KD257" i="5" s="1"/>
  <c r="AA257" i="5"/>
  <c r="KC257" i="5" s="1"/>
  <c r="Z257" i="5" s="1" a="1"/>
  <c r="Z257" i="5" s="1"/>
  <c r="Y258" i="5" s="1" a="1"/>
  <c r="Y258" i="5" s="1"/>
  <c r="X259" i="5"/>
  <c r="AB258" i="5" l="1"/>
  <c r="KD258" i="5" s="1"/>
  <c r="AA258" i="5"/>
  <c r="KC258" i="5" s="1"/>
  <c r="Z258" i="5" s="1" a="1"/>
  <c r="Z258" i="5" s="1"/>
  <c r="X260" i="5"/>
  <c r="Y259" i="5" a="1"/>
  <c r="Y259" i="5" s="1"/>
  <c r="AB259" i="5" l="1"/>
  <c r="KD259" i="5" s="1"/>
  <c r="AA259" i="5"/>
  <c r="KC259" i="5" s="1"/>
  <c r="Z259" i="5" s="1" a="1"/>
  <c r="Z259" i="5" s="1"/>
  <c r="Y260" i="5" s="1" a="1"/>
  <c r="Y260" i="5" s="1"/>
  <c r="X261" i="5"/>
  <c r="IH2" i="1"/>
  <c r="II2" i="1" s="1"/>
  <c r="Z2" i="1" a="1"/>
  <c r="Z2" i="1" s="1"/>
  <c r="Y3" i="1" s="1" a="1"/>
  <c r="Y3" i="1" s="1"/>
  <c r="IG3" i="1" l="1" a="1"/>
  <c r="IG3" i="1" s="1"/>
  <c r="IH3" i="1" s="1"/>
  <c r="II3" i="1" s="1"/>
  <c r="AA260" i="5"/>
  <c r="KC260" i="5" s="1"/>
  <c r="Z260" i="5" s="1" a="1"/>
  <c r="Z260" i="5" s="1"/>
  <c r="Y261" i="5" s="1" a="1"/>
  <c r="Y261" i="5" s="1"/>
  <c r="AB260" i="5"/>
  <c r="KD260" i="5" s="1"/>
  <c r="X262" i="5"/>
  <c r="AA3" i="1"/>
  <c r="IA3" i="1" s="1"/>
  <c r="Z3" i="1" s="1" a="1"/>
  <c r="Z3" i="1" s="1"/>
  <c r="AB3" i="1"/>
  <c r="IB3" i="1" s="1"/>
  <c r="AB261" i="5" l="1"/>
  <c r="KD261" i="5" s="1"/>
  <c r="AA261" i="5"/>
  <c r="KC261" i="5" s="1"/>
  <c r="Z261" i="5" s="1" a="1"/>
  <c r="Z261" i="5" s="1"/>
  <c r="Y262" i="5" s="1" a="1"/>
  <c r="Y262" i="5" s="1"/>
  <c r="X263" i="5"/>
  <c r="Y6" i="1" l="1" a="1"/>
  <c r="Y6" i="1" s="1"/>
  <c r="AB262" i="5"/>
  <c r="KD262" i="5" s="1"/>
  <c r="AA262" i="5"/>
  <c r="KC262" i="5" s="1"/>
  <c r="Z262" i="5" s="1" a="1"/>
  <c r="Z262" i="5" s="1"/>
  <c r="Y263" i="5" s="1" a="1"/>
  <c r="Y263" i="5" s="1"/>
  <c r="X264" i="5"/>
  <c r="Y7" i="1" l="1" a="1"/>
  <c r="Y7" i="1" s="1"/>
  <c r="AA7" i="1" s="1"/>
  <c r="IS7" i="1" s="1"/>
  <c r="AA6" i="1"/>
  <c r="AB6" i="1"/>
  <c r="AB263" i="5"/>
  <c r="KD263" i="5" s="1"/>
  <c r="AA263" i="5"/>
  <c r="KC263" i="5" s="1"/>
  <c r="Z263" i="5" s="1" a="1"/>
  <c r="Z263" i="5" s="1"/>
  <c r="Y264" i="5" s="1" a="1"/>
  <c r="Y264" i="5" s="1"/>
  <c r="X265" i="5"/>
  <c r="Z7" i="1" l="1" a="1"/>
  <c r="Z7" i="1" s="1"/>
  <c r="Y8" i="1" s="1" a="1"/>
  <c r="Y8" i="1" s="1"/>
  <c r="AA8" i="1" s="1"/>
  <c r="IS8" i="1" s="1"/>
  <c r="AB7" i="1"/>
  <c r="IT7" i="1" s="1"/>
  <c r="AB264" i="5"/>
  <c r="KD264" i="5" s="1"/>
  <c r="AA264" i="5"/>
  <c r="KC264" i="5" s="1"/>
  <c r="Z264" i="5" s="1" a="1"/>
  <c r="Z264" i="5" s="1"/>
  <c r="Y265" i="5" s="1" a="1"/>
  <c r="Y265" i="5" s="1"/>
  <c r="X266" i="5"/>
  <c r="Z8" i="1" l="1" a="1"/>
  <c r="Z8" i="1" s="1"/>
  <c r="Y9" i="1" s="1" a="1"/>
  <c r="Y9" i="1" s="1"/>
  <c r="AA9" i="1" s="1"/>
  <c r="IS9" i="1" s="1"/>
  <c r="AB8" i="1"/>
  <c r="IT8" i="1" s="1"/>
  <c r="AB265" i="5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Z9" i="1" l="1" a="1"/>
  <c r="Z9" i="1" s="1"/>
  <c r="Y10" i="1" s="1" a="1"/>
  <c r="Y10" i="1" s="1"/>
  <c r="AB10" i="1" s="1"/>
  <c r="IT10" i="1" s="1"/>
  <c r="AB9" i="1"/>
  <c r="IT9" i="1" s="1"/>
  <c r="AB266" i="5"/>
  <c r="KD266" i="5" s="1"/>
  <c r="AA266" i="5"/>
  <c r="KC266" i="5" s="1"/>
  <c r="Z266" i="5" s="1" a="1"/>
  <c r="Z266" i="5" s="1"/>
  <c r="Y267" i="5" a="1"/>
  <c r="Y267" i="5" s="1"/>
  <c r="X271" i="5" a="1"/>
  <c r="X271" i="5" s="1"/>
  <c r="AA10" i="1" l="1"/>
  <c r="IS10" i="1" s="1"/>
  <c r="Z10" i="1" s="1" a="1"/>
  <c r="Z10" i="1" s="1"/>
  <c r="Y13" i="1" s="1" a="1"/>
  <c r="Y13" i="1" s="1"/>
  <c r="AB267" i="5"/>
  <c r="HH267" i="5" s="1"/>
  <c r="AA267" i="5"/>
  <c r="HG267" i="5" s="1"/>
  <c r="X273" i="5" a="1"/>
  <c r="X273" i="5" s="1"/>
  <c r="AA13" i="1" l="1"/>
  <c r="AB13" i="1"/>
  <c r="Z267" i="5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AF268" i="5" l="1"/>
  <c r="AG268" i="5"/>
  <c r="AI268" i="5" a="1"/>
  <c r="AI268" i="5" s="1"/>
  <c r="AA269" i="5"/>
  <c r="HG269" i="5" s="1"/>
  <c r="AB269" i="5"/>
  <c r="HH269" i="5" s="1"/>
  <c r="X277" i="5" a="1"/>
  <c r="X277" i="5" s="1"/>
  <c r="BG268" i="5" l="1"/>
  <c r="BU268" i="5"/>
  <c r="BF268" i="5"/>
  <c r="BT268" i="5"/>
  <c r="X279" i="5" a="1"/>
  <c r="X279" i="5" s="1"/>
  <c r="X281" i="5" s="1" a="1"/>
  <c r="X281" i="5" s="1"/>
  <c r="AL268" i="5"/>
  <c r="AK268" i="5"/>
  <c r="BQ268" i="5" l="1"/>
  <c r="CG268" i="5"/>
  <c r="BP268" i="5"/>
  <c r="CF268" i="5"/>
  <c r="BI268" i="5"/>
  <c r="BW268" i="5"/>
  <c r="BV268" i="5"/>
  <c r="BH268" i="5"/>
  <c r="BR268" i="5" l="1"/>
  <c r="CJ268" i="5" s="1"/>
  <c r="CH268" i="5"/>
  <c r="BS268" i="5"/>
  <c r="CK268" i="5" s="1"/>
  <c r="CI268" i="5"/>
  <c r="BK268" i="5"/>
  <c r="BY268" i="5"/>
  <c r="BX268" i="5"/>
  <c r="BJ268" i="5"/>
  <c r="BM268" i="5" l="1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AI269" i="5" l="1" a="1"/>
  <c r="AI269" i="5" s="1"/>
  <c r="AG269" i="5"/>
  <c r="AF269" i="5"/>
  <c r="GU269" i="5" l="1"/>
  <c r="HI269" i="5"/>
  <c r="GV269" i="5"/>
  <c r="HJ269" i="5"/>
  <c r="AK269" i="5"/>
  <c r="AL269" i="5"/>
  <c r="HF269" i="5" l="1"/>
  <c r="HX269" i="5" s="1"/>
  <c r="HV269" i="5"/>
  <c r="HE269" i="5"/>
  <c r="HW269" i="5" s="1"/>
  <c r="HU269" i="5"/>
  <c r="GX269" i="5"/>
  <c r="HL269" i="5"/>
  <c r="GW269" i="5"/>
  <c r="HK269" i="5"/>
  <c r="GY269" i="5" l="1"/>
  <c r="HM269" i="5"/>
  <c r="GZ269" i="5"/>
  <c r="HN269" i="5"/>
  <c r="HB269" i="5" l="1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AB271" i="5" l="1"/>
  <c r="HH271" i="5" s="1"/>
  <c r="AA271" i="5"/>
  <c r="HG271" i="5" s="1"/>
  <c r="AI270" i="5" a="1"/>
  <c r="AI270" i="5" s="1"/>
  <c r="AG270" i="5"/>
  <c r="AF270" i="5"/>
  <c r="AL270" i="5" l="1"/>
  <c r="AK270" i="5"/>
  <c r="BF270" i="5"/>
  <c r="BT270" i="5"/>
  <c r="BG270" i="5"/>
  <c r="BU270" i="5"/>
  <c r="BH270" i="5" l="1"/>
  <c r="BV270" i="5"/>
  <c r="BQ270" i="5"/>
  <c r="CG270" i="5"/>
  <c r="BI270" i="5"/>
  <c r="BW270" i="5"/>
  <c r="BP270" i="5"/>
  <c r="CF270" i="5"/>
  <c r="BK270" i="5" l="1"/>
  <c r="BY270" i="5"/>
  <c r="BS270" i="5"/>
  <c r="CK270" i="5" s="1"/>
  <c r="CI270" i="5"/>
  <c r="BR270" i="5"/>
  <c r="CJ270" i="5" s="1"/>
  <c r="CH270" i="5"/>
  <c r="BJ270" i="5"/>
  <c r="BX270" i="5"/>
  <c r="BL270" i="5" l="1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AI271" i="5" l="1" a="1"/>
  <c r="AI271" i="5" s="1"/>
  <c r="AL271" i="5" l="1"/>
  <c r="AK271" i="5"/>
  <c r="HE271" i="5" l="1"/>
  <c r="HU271" i="5"/>
  <c r="HF271" i="5"/>
  <c r="HX271" i="5" s="1"/>
  <c r="HV271" i="5"/>
  <c r="AE271" i="5" l="1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AI272" i="5" l="1" a="1"/>
  <c r="AI272" i="5" s="1"/>
  <c r="AB273" i="5"/>
  <c r="HH273" i="5" s="1"/>
  <c r="AA273" i="5"/>
  <c r="HG273" i="5" s="1"/>
  <c r="AD272" i="5" a="1"/>
  <c r="AD272" i="5" s="1"/>
  <c r="CE272" i="5"/>
  <c r="CD272" i="5"/>
  <c r="AF272" i="5" l="1"/>
  <c r="AG272" i="5"/>
  <c r="AL272" i="5"/>
  <c r="AK272" i="5"/>
  <c r="BG272" i="5" l="1"/>
  <c r="BU272" i="5"/>
  <c r="BQ272" i="5"/>
  <c r="CG272" i="5"/>
  <c r="BP272" i="5"/>
  <c r="CF272" i="5"/>
  <c r="BF272" i="5"/>
  <c r="BT272" i="5"/>
  <c r="BH272" i="5" l="1"/>
  <c r="BV272" i="5"/>
  <c r="BS272" i="5"/>
  <c r="CK272" i="5" s="1"/>
  <c r="CI272" i="5"/>
  <c r="BR272" i="5"/>
  <c r="CJ272" i="5" s="1"/>
  <c r="CH272" i="5"/>
  <c r="BI272" i="5"/>
  <c r="BW272" i="5"/>
  <c r="BK272" i="5" l="1"/>
  <c r="BY272" i="5"/>
  <c r="BJ272" i="5"/>
  <c r="BX272" i="5"/>
  <c r="BL272" i="5" l="1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AI273" i="5" l="1" a="1"/>
  <c r="AI273" i="5" s="1"/>
  <c r="HS273" i="5"/>
  <c r="AD273" i="5" a="1"/>
  <c r="AD273" i="5" s="1"/>
  <c r="HT273" i="5"/>
  <c r="AG273" i="5" l="1"/>
  <c r="AF273" i="5"/>
  <c r="AL273" i="5"/>
  <c r="AK273" i="5"/>
  <c r="HF273" i="5" l="1"/>
  <c r="HX273" i="5" s="1"/>
  <c r="HV273" i="5"/>
  <c r="HE273" i="5"/>
  <c r="HW273" i="5" s="1"/>
  <c r="HU273" i="5"/>
  <c r="GU273" i="5"/>
  <c r="HI273" i="5"/>
  <c r="GV273" i="5"/>
  <c r="HJ273" i="5"/>
  <c r="GW273" i="5" l="1"/>
  <c r="HK273" i="5"/>
  <c r="GX273" i="5"/>
  <c r="HL273" i="5"/>
  <c r="GZ273" i="5" l="1"/>
  <c r="HN273" i="5"/>
  <c r="GY273" i="5"/>
  <c r="HM273" i="5"/>
  <c r="HA273" i="5" l="1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CE274" i="5" l="1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AG274" i="5" l="1"/>
  <c r="AF274" i="5"/>
  <c r="AL275" i="5"/>
  <c r="AK275" i="5"/>
  <c r="AG275" i="5"/>
  <c r="AF275" i="5"/>
  <c r="AL274" i="5"/>
  <c r="AK274" i="5"/>
  <c r="BP274" i="5" l="1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HL275" i="5" l="1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BJ274" i="5" l="1"/>
  <c r="BX274" i="5"/>
  <c r="BK274" i="5"/>
  <c r="BY274" i="5"/>
  <c r="HM275" i="5"/>
  <c r="GY275" i="5"/>
  <c r="HN275" i="5"/>
  <c r="GZ275" i="5"/>
  <c r="HO275" i="5" l="1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AA277" i="5" l="1"/>
  <c r="HG277" i="5" s="1"/>
  <c r="AB277" i="5"/>
  <c r="HH277" i="5" s="1"/>
  <c r="AI276" i="5" a="1"/>
  <c r="AI276" i="5" s="1"/>
  <c r="CE276" i="5"/>
  <c r="CD276" i="5"/>
  <c r="AD276" i="5" a="1"/>
  <c r="AD276" i="5" s="1"/>
  <c r="AL276" i="5" l="1"/>
  <c r="AK276" i="5"/>
  <c r="AF276" i="5"/>
  <c r="AG276" i="5"/>
  <c r="BP276" i="5" l="1"/>
  <c r="CF276" i="5"/>
  <c r="BG276" i="5"/>
  <c r="BU276" i="5"/>
  <c r="BF276" i="5"/>
  <c r="BT276" i="5"/>
  <c r="BQ276" i="5"/>
  <c r="CG276" i="5"/>
  <c r="BS276" i="5" l="1"/>
  <c r="CK276" i="5" s="1"/>
  <c r="CI276" i="5"/>
  <c r="BI276" i="5"/>
  <c r="BW276" i="5"/>
  <c r="BH276" i="5"/>
  <c r="BV276" i="5"/>
  <c r="BR276" i="5"/>
  <c r="CJ276" i="5" s="1"/>
  <c r="CH276" i="5"/>
  <c r="BJ276" i="5" l="1"/>
  <c r="BX276" i="5"/>
  <c r="BK276" i="5"/>
  <c r="BY276" i="5"/>
  <c r="BM276" i="5" l="1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AI277" i="5" l="1" a="1"/>
  <c r="AI277" i="5" s="1"/>
  <c r="HS277" i="5"/>
  <c r="AD277" i="5" a="1"/>
  <c r="AD277" i="5" s="1"/>
  <c r="HT277" i="5"/>
  <c r="AG277" i="5" l="1"/>
  <c r="AF277" i="5"/>
  <c r="AL277" i="5"/>
  <c r="AK277" i="5"/>
  <c r="GU277" i="5" l="1"/>
  <c r="HI277" i="5"/>
  <c r="HE277" i="5"/>
  <c r="HW277" i="5" s="1"/>
  <c r="HU277" i="5"/>
  <c r="HF277" i="5"/>
  <c r="HX277" i="5" s="1"/>
  <c r="HV277" i="5"/>
  <c r="GV277" i="5"/>
  <c r="HJ277" i="5"/>
  <c r="GX277" i="5" l="1"/>
  <c r="HL277" i="5"/>
  <c r="GW277" i="5"/>
  <c r="HK277" i="5"/>
  <c r="GY277" i="5" l="1"/>
  <c r="HM277" i="5"/>
  <c r="GZ277" i="5"/>
  <c r="HN277" i="5"/>
  <c r="HB277" i="5" l="1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CE278" i="5" l="1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AL278" i="5" l="1"/>
  <c r="AK278" i="5"/>
  <c r="AG278" i="5"/>
  <c r="AF278" i="5"/>
  <c r="AF279" i="5"/>
  <c r="AG279" i="5"/>
  <c r="HI279" i="5" l="1"/>
  <c r="GU279" i="5"/>
  <c r="BP278" i="5"/>
  <c r="CF278" i="5"/>
  <c r="BG278" i="5"/>
  <c r="BU278" i="5"/>
  <c r="HJ279" i="5"/>
  <c r="GV279" i="5"/>
  <c r="BF278" i="5"/>
  <c r="BT278" i="5"/>
  <c r="BQ278" i="5"/>
  <c r="CG278" i="5"/>
  <c r="BS278" i="5" l="1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HM279" i="5" l="1"/>
  <c r="GY279" i="5"/>
  <c r="HN279" i="5"/>
  <c r="GZ279" i="5"/>
  <c r="BK278" i="5"/>
  <c r="BY278" i="5"/>
  <c r="BJ278" i="5"/>
  <c r="BX278" i="5"/>
  <c r="BM278" i="5" l="1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AI279" i="5" l="1" a="1"/>
  <c r="AI279" i="5" s="1"/>
  <c r="AL279" i="5" l="1"/>
  <c r="AK279" i="5"/>
  <c r="HE279" i="5" l="1"/>
  <c r="HU279" i="5"/>
  <c r="HF279" i="5"/>
  <c r="HX279" i="5" s="1"/>
  <c r="HV279" i="5"/>
  <c r="AE279" i="5" l="1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AI280" i="5" l="1" a="1"/>
  <c r="AI280" i="5" s="1"/>
  <c r="AB281" i="5"/>
  <c r="HH281" i="5" s="1"/>
  <c r="AA281" i="5"/>
  <c r="HG281" i="5" s="1"/>
  <c r="CE280" i="5"/>
  <c r="CD280" i="5"/>
  <c r="AD280" i="5" a="1"/>
  <c r="AD280" i="5" s="1"/>
  <c r="AL280" i="5" l="1"/>
  <c r="AK280" i="5"/>
  <c r="AG280" i="5"/>
  <c r="AF280" i="5"/>
  <c r="BG280" i="5" l="1"/>
  <c r="BU280" i="5"/>
  <c r="BP280" i="5"/>
  <c r="CF280" i="5"/>
  <c r="BF280" i="5"/>
  <c r="BT280" i="5"/>
  <c r="BQ280" i="5"/>
  <c r="CG280" i="5"/>
  <c r="BS280" i="5" l="1"/>
  <c r="CK280" i="5" s="1"/>
  <c r="CI280" i="5"/>
  <c r="BR280" i="5"/>
  <c r="CJ280" i="5" s="1"/>
  <c r="CH280" i="5"/>
  <c r="BH280" i="5"/>
  <c r="BV280" i="5"/>
  <c r="BI280" i="5"/>
  <c r="BW280" i="5"/>
  <c r="BJ280" i="5" l="1"/>
  <c r="BX280" i="5"/>
  <c r="BK280" i="5"/>
  <c r="BY280" i="5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HT281" i="5" l="1"/>
  <c r="HS281" i="5"/>
  <c r="AD281" i="5" a="1"/>
  <c r="AD281" i="5" s="1"/>
  <c r="AI281" i="5" a="1"/>
  <c r="AI281" i="5" s="1"/>
  <c r="AF281" i="5" l="1"/>
  <c r="AG281" i="5"/>
  <c r="AL281" i="5"/>
  <c r="AK281" i="5"/>
  <c r="GV281" i="5" l="1"/>
  <c r="HJ281" i="5"/>
  <c r="HF281" i="5"/>
  <c r="HX281" i="5" s="1"/>
  <c r="HV281" i="5"/>
  <c r="HE281" i="5"/>
  <c r="HW281" i="5" s="1"/>
  <c r="HU281" i="5"/>
  <c r="GU281" i="5"/>
  <c r="HI281" i="5"/>
  <c r="GW281" i="5" l="1"/>
  <c r="HK281" i="5"/>
  <c r="GX281" i="5"/>
  <c r="HL281" i="5"/>
  <c r="GZ281" i="5" l="1"/>
  <c r="HN281" i="5"/>
  <c r="GY281" i="5"/>
  <c r="HM281" i="5"/>
  <c r="HA281" i="5" l="1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G282" i="5" l="1"/>
  <c r="AF282" i="5"/>
  <c r="AL282" i="5"/>
  <c r="AK282" i="5"/>
  <c r="AG283" i="5"/>
  <c r="AF283" i="5"/>
  <c r="BG283" i="5" l="1"/>
  <c r="BU283" i="5"/>
  <c r="BQ282" i="5"/>
  <c r="CG282" i="5"/>
  <c r="BT283" i="5"/>
  <c r="BF283" i="5"/>
  <c r="BF282" i="5"/>
  <c r="BT282" i="5"/>
  <c r="BP282" i="5"/>
  <c r="CF282" i="5"/>
  <c r="BG282" i="5"/>
  <c r="BU282" i="5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BJ282" i="5" l="1"/>
  <c r="BX282" i="5"/>
  <c r="BX283" i="5"/>
  <c r="BJ283" i="5"/>
  <c r="BY283" i="5"/>
  <c r="BK283" i="5"/>
  <c r="BK282" i="5"/>
  <c r="BY282" i="5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CB283" i="5" l="1"/>
  <c r="BN283" i="5"/>
  <c r="CC283" i="5"/>
  <c r="BO283" i="5"/>
  <c r="CE283" i="5" s="1"/>
  <c r="CD283" i="5" l="1"/>
  <c r="AE283" i="5" a="1"/>
  <c r="AE283" i="5" s="1"/>
  <c r="AC284" i="5" s="1"/>
  <c r="AJ283" i="5" a="1"/>
  <c r="AJ283" i="5" s="1"/>
  <c r="AH284" i="5" s="1"/>
  <c r="AD284" i="5" l="1" a="1"/>
  <c r="AD284" i="5" s="1"/>
  <c r="CJ284" i="5"/>
  <c r="CI284" i="5"/>
  <c r="CH284" i="5"/>
  <c r="CG284" i="5"/>
  <c r="CF284" i="5"/>
  <c r="AI284" i="5" a="1"/>
  <c r="AI284" i="5" s="1"/>
  <c r="CK284" i="5"/>
  <c r="AG284" i="5" l="1"/>
  <c r="AF284" i="5"/>
  <c r="BF284" i="5" l="1"/>
  <c r="BT284" i="5"/>
  <c r="BG284" i="5"/>
  <c r="BU284" i="5"/>
  <c r="BI284" i="5" l="1"/>
  <c r="BW284" i="5"/>
  <c r="BH284" i="5"/>
  <c r="BV284" i="5"/>
  <c r="BJ284" i="5" l="1"/>
  <c r="BX284" i="5"/>
  <c r="BK284" i="5"/>
  <c r="BY284" i="5"/>
  <c r="BM284" i="5" l="1"/>
  <c r="CA284" i="5"/>
  <c r="BL284" i="5"/>
  <c r="BZ284" i="5"/>
  <c r="BN284" i="5" l="1"/>
  <c r="CB284" i="5"/>
  <c r="BO284" i="5"/>
  <c r="CE284" i="5" s="1"/>
  <c r="CC284" i="5"/>
  <c r="CD284" i="5" l="1"/>
  <c r="AJ284" i="5" a="1"/>
  <c r="AJ284" i="5" s="1"/>
  <c r="AH285" i="5" s="1"/>
  <c r="AE284" i="5" a="1"/>
  <c r="AE284" i="5" s="1"/>
  <c r="AC285" i="5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F285" i="5" l="1"/>
  <c r="AG285" i="5"/>
  <c r="AG286" i="5"/>
  <c r="AF286" i="5"/>
  <c r="LX286" i="5" s="1"/>
  <c r="AE286" i="5" s="1" a="1"/>
  <c r="AE286" i="5" s="1"/>
  <c r="AC287" i="5" s="1"/>
  <c r="AD287" i="5" l="1" a="1"/>
  <c r="AD287" i="5" s="1"/>
  <c r="BG285" i="5"/>
  <c r="BU285" i="5"/>
  <c r="BF285" i="5"/>
  <c r="BT285" i="5"/>
  <c r="BH285" i="5" l="1"/>
  <c r="BV285" i="5"/>
  <c r="BI285" i="5"/>
  <c r="BW285" i="5"/>
  <c r="AG287" i="5"/>
  <c r="AF287" i="5"/>
  <c r="LX287" i="5" s="1"/>
  <c r="AE287" i="5" s="1" a="1"/>
  <c r="AE287" i="5" s="1"/>
  <c r="AC288" i="5" s="1"/>
  <c r="AD288" i="5" l="1" a="1"/>
  <c r="AD288" i="5" s="1"/>
  <c r="BK285" i="5"/>
  <c r="BY285" i="5"/>
  <c r="BJ285" i="5"/>
  <c r="BX285" i="5"/>
  <c r="BL285" i="5" l="1"/>
  <c r="BZ285" i="5"/>
  <c r="BM285" i="5"/>
  <c r="CA285" i="5"/>
  <c r="AG288" i="5"/>
  <c r="AF288" i="5"/>
  <c r="LX288" i="5" s="1"/>
  <c r="AE288" i="5" s="1" a="1"/>
  <c r="AE288" i="5" s="1"/>
  <c r="AC289" i="5" s="1"/>
  <c r="AD289" i="5" l="1" a="1"/>
  <c r="AD289" i="5" s="1"/>
  <c r="BO285" i="5"/>
  <c r="CE285" i="5" s="1"/>
  <c r="CC285" i="5"/>
  <c r="BN285" i="5"/>
  <c r="CB285" i="5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D290" i="5" l="1" a="1"/>
  <c r="AD290" i="5" s="1"/>
  <c r="AG290" i="5" l="1"/>
  <c r="AF290" i="5"/>
  <c r="LX290" i="5" s="1"/>
  <c r="AE290" i="5" s="1" a="1"/>
  <c r="AE290" i="5" s="1"/>
  <c r="AC291" i="5" s="1"/>
  <c r="AD291" i="5" l="1" a="1"/>
  <c r="AD291" i="5" s="1"/>
  <c r="AG291" i="5" l="1"/>
  <c r="AF291" i="5"/>
  <c r="LX291" i="5" s="1"/>
  <c r="AE291" i="5" s="1" a="1"/>
  <c r="AE291" i="5" s="1"/>
  <c r="AC292" i="5" s="1"/>
  <c r="AD292" i="5" l="1" a="1"/>
  <c r="AD292" i="5" s="1"/>
  <c r="AG292" i="5" l="1"/>
  <c r="AF292" i="5"/>
  <c r="LX292" i="5" s="1"/>
  <c r="AE292" i="5" s="1" a="1"/>
  <c r="AE292" i="5" s="1"/>
  <c r="AC293" i="5" s="1"/>
  <c r="AD293" i="5" l="1" a="1"/>
  <c r="AD293" i="5" s="1"/>
  <c r="AG293" i="5" l="1"/>
  <c r="AF293" i="5"/>
  <c r="LX293" i="5" s="1"/>
  <c r="AE293" i="5" s="1" a="1"/>
  <c r="AE293" i="5" s="1"/>
  <c r="AC294" i="5" s="1"/>
  <c r="AD294" i="5" l="1" a="1"/>
  <c r="AD294" i="5" s="1"/>
  <c r="AK13" i="1" l="1"/>
  <c r="AL13" i="1"/>
  <c r="AG294" i="5"/>
  <c r="AF294" i="5"/>
  <c r="LX294" i="5" s="1"/>
  <c r="AE294" i="5" s="1" a="1"/>
  <c r="AE294" i="5" s="1"/>
  <c r="FD13" i="1" l="1"/>
  <c r="FV13" i="1" s="1"/>
  <c r="FT13" i="1"/>
  <c r="FS13" i="1"/>
  <c r="FC13" i="1"/>
  <c r="FU13" i="1" s="1"/>
  <c r="AG4" i="1" l="1"/>
  <c r="KB4" i="1" l="1"/>
  <c r="KA4" i="1"/>
  <c r="KE4" i="1" s="1"/>
  <c r="AF4" i="1"/>
  <c r="KC4" i="1" l="1"/>
  <c r="JZ4" i="1"/>
  <c r="KD4" i="1" l="1"/>
  <c r="AE4" i="1" a="1"/>
  <c r="AE4" i="1" s="1"/>
  <c r="AD11" i="1" s="1" a="1"/>
  <c r="AD11" i="1" s="1"/>
  <c r="AG11" i="1" l="1"/>
  <c r="AF11" i="1"/>
  <c r="JZ11" i="1" l="1"/>
  <c r="KC11" i="1"/>
  <c r="KB11" i="1"/>
  <c r="KA11" i="1"/>
  <c r="KE11" i="1" s="1"/>
  <c r="KD11" i="1" l="1"/>
  <c r="AE11" i="1" a="1"/>
  <c r="AE11" i="1" s="1"/>
  <c r="AC12" i="1" s="1"/>
  <c r="AD12" i="1" l="1" a="1"/>
  <c r="AD12" i="1" s="1"/>
  <c r="AF12" i="1" l="1"/>
  <c r="JC12" i="1" s="1"/>
  <c r="AG12" i="1"/>
  <c r="JB12" i="1" s="1"/>
  <c r="AE12" i="1" s="1" a="1"/>
  <c r="AE12" i="1" s="1"/>
  <c r="AC13" i="1" s="1"/>
  <c r="AD13" i="1" s="1" a="1"/>
  <c r="AD13" i="1" s="1"/>
  <c r="AF13" i="1" l="1"/>
  <c r="ES13" i="1" s="1"/>
  <c r="AG13" i="1"/>
  <c r="ET13" i="1" s="1"/>
  <c r="FJ13" i="1" s="1"/>
  <c r="FH13" i="1" l="1"/>
  <c r="FI13" i="1"/>
  <c r="AJ13" i="1" a="1"/>
  <c r="AJ13" i="1" s="1"/>
  <c r="AH14" i="1" s="1"/>
  <c r="FG13" i="1"/>
  <c r="Z13" i="1" a="1"/>
  <c r="Z13" i="1" s="1"/>
  <c r="Y14" i="1" s="1" a="1"/>
  <c r="Y14" i="1" s="1"/>
  <c r="AE13" i="1" a="1"/>
  <c r="AE13" i="1" s="1"/>
  <c r="AC14" i="1" s="1"/>
  <c r="AI14" i="1" l="1" a="1"/>
  <c r="AI14" i="1" s="1"/>
  <c r="AA14" i="1"/>
  <c r="AB14" i="1"/>
  <c r="AD14" i="1" a="1"/>
  <c r="AD14" i="1" s="1"/>
  <c r="AK14" i="1" l="1"/>
  <c r="AL14" i="1"/>
  <c r="AG14" i="1"/>
  <c r="AF14" i="1"/>
  <c r="FD14" i="1" l="1"/>
  <c r="FV14" i="1" s="1"/>
  <c r="FT14" i="1"/>
  <c r="FC14" i="1"/>
  <c r="FU14" i="1" s="1"/>
  <c r="FS14" i="1"/>
  <c r="ES14" i="1"/>
  <c r="FG14" i="1"/>
  <c r="ET14" i="1"/>
  <c r="FJ14" i="1" s="1"/>
  <c r="FH14" i="1"/>
  <c r="AJ14" i="1" l="1" a="1"/>
  <c r="AJ14" i="1" s="1"/>
  <c r="AH15" i="1" s="1"/>
  <c r="FI14" i="1"/>
  <c r="Z14" i="1" a="1"/>
  <c r="Z14" i="1" s="1"/>
  <c r="AE14" i="1" a="1"/>
  <c r="AE14" i="1" s="1"/>
  <c r="AC15" i="1" s="1"/>
  <c r="AD15" i="1" l="1" a="1"/>
  <c r="AD15" i="1" s="1"/>
  <c r="AI15" i="1" a="1"/>
  <c r="AI15" i="1" s="1"/>
  <c r="AK15" i="1" l="1"/>
  <c r="AL15" i="1"/>
  <c r="AG15" i="1"/>
  <c r="AF15" i="1"/>
  <c r="BF15" i="1" l="1"/>
  <c r="BT15" i="1"/>
  <c r="BG15" i="1"/>
  <c r="BU15" i="1"/>
  <c r="BQ15" i="1"/>
  <c r="CG15" i="1"/>
  <c r="BP15" i="1"/>
  <c r="CF15" i="1"/>
  <c r="BR15" i="1" l="1"/>
  <c r="CJ15" i="1" s="1"/>
  <c r="CH15" i="1"/>
  <c r="BS15" i="1"/>
  <c r="CK15" i="1" s="1"/>
  <c r="CI15" i="1"/>
  <c r="BI15" i="1"/>
  <c r="BW15" i="1"/>
  <c r="BH15" i="1"/>
  <c r="BV15" i="1"/>
  <c r="BK15" i="1" l="1"/>
  <c r="BY15" i="1"/>
  <c r="BJ15" i="1"/>
  <c r="BX15" i="1"/>
  <c r="BZ15" i="1" l="1"/>
  <c r="AJ15" i="1" a="1"/>
  <c r="AJ15" i="1" s="1"/>
  <c r="AH16" i="1" s="1"/>
  <c r="AE15" i="1" a="1"/>
  <c r="AE15" i="1" s="1"/>
  <c r="AC16" i="1" s="1"/>
  <c r="CA15" i="1"/>
  <c r="AI16" i="1" l="1" a="1"/>
  <c r="AI16" i="1" s="1"/>
  <c r="AD16" i="1" a="1"/>
  <c r="AD16" i="1" s="1"/>
  <c r="AK16" i="1" l="1"/>
  <c r="AL16" i="1"/>
  <c r="AF16" i="1"/>
  <c r="AG16" i="1"/>
  <c r="BG16" i="1" l="1"/>
  <c r="BU16" i="1"/>
  <c r="BQ16" i="1"/>
  <c r="CG16" i="1"/>
  <c r="BF16" i="1"/>
  <c r="BT16" i="1"/>
  <c r="BP16" i="1"/>
  <c r="CF16" i="1"/>
  <c r="BS16" i="1" l="1"/>
  <c r="CK16" i="1" s="1"/>
  <c r="CI16" i="1"/>
  <c r="BH16" i="1"/>
  <c r="BV16" i="1"/>
  <c r="BR16" i="1"/>
  <c r="CJ16" i="1" s="1"/>
  <c r="CH16" i="1"/>
  <c r="BI16" i="1"/>
  <c r="BW16" i="1"/>
  <c r="BJ16" i="1" l="1"/>
  <c r="BX16" i="1"/>
  <c r="BK16" i="1"/>
  <c r="BY16" i="1"/>
  <c r="CA16" i="1" l="1"/>
  <c r="BZ16" i="1"/>
  <c r="AE16" i="1" a="1"/>
  <c r="AE16" i="1" s="1"/>
  <c r="AC17" i="1" s="1"/>
  <c r="AJ16" i="1" a="1"/>
  <c r="AJ16" i="1" s="1"/>
  <c r="AH17" i="1" s="1"/>
  <c r="AG18" i="1" l="1"/>
  <c r="AF18" i="1"/>
  <c r="JB18" i="1" s="1"/>
  <c r="AE18" i="1" s="1" a="1"/>
  <c r="AE18" i="1" s="1"/>
  <c r="AC19" i="1" s="1"/>
  <c r="AD17" i="1" a="1"/>
  <c r="AD17" i="1" s="1"/>
  <c r="AI17" i="1" a="1"/>
  <c r="AI17" i="1" s="1"/>
  <c r="AD19" i="1" l="1" a="1"/>
  <c r="AD19" i="1" s="1"/>
  <c r="AF17" i="1"/>
  <c r="AG17" i="1"/>
  <c r="AL17" i="1"/>
  <c r="AK17" i="1"/>
  <c r="AG19" i="1" l="1"/>
  <c r="AF19" i="1"/>
  <c r="JB19" i="1" s="1"/>
  <c r="AE19" i="1" s="1" a="1"/>
  <c r="AE19" i="1" s="1"/>
  <c r="AC20" i="1" s="1"/>
  <c r="BP17" i="1"/>
  <c r="CF17" i="1"/>
  <c r="BG17" i="1"/>
  <c r="BU17" i="1"/>
  <c r="BQ17" i="1"/>
  <c r="CG17" i="1"/>
  <c r="BF17" i="1"/>
  <c r="BT17" i="1"/>
  <c r="AD20" i="1" l="1" a="1"/>
  <c r="AD20" i="1" s="1"/>
  <c r="BH17" i="1"/>
  <c r="BV17" i="1"/>
  <c r="BI17" i="1"/>
  <c r="BW17" i="1"/>
  <c r="BS17" i="1"/>
  <c r="CK17" i="1" s="1"/>
  <c r="CI17" i="1"/>
  <c r="BR17" i="1"/>
  <c r="CJ17" i="1" s="1"/>
  <c r="CH17" i="1"/>
  <c r="AG20" i="1" l="1"/>
  <c r="AF20" i="1"/>
  <c r="JB20" i="1" s="1"/>
  <c r="AE20" i="1" s="1" a="1"/>
  <c r="AE20" i="1" s="1"/>
  <c r="AC21" i="1" s="1"/>
  <c r="BK17" i="1"/>
  <c r="BY17" i="1"/>
  <c r="BJ17" i="1"/>
  <c r="BL17" i="1" s="1"/>
  <c r="CB17" i="1" s="1"/>
  <c r="BX17" i="1"/>
  <c r="AD21" i="1" l="1" a="1"/>
  <c r="AD21" i="1" s="1"/>
  <c r="CA17" i="1"/>
  <c r="BM17" i="1"/>
  <c r="CC17" i="1" s="1"/>
  <c r="BZ17" i="1"/>
  <c r="AE17" i="1" a="1"/>
  <c r="AE17" i="1" s="1"/>
  <c r="AJ17" i="1" a="1"/>
  <c r="AJ17" i="1" s="1"/>
  <c r="AG21" i="1" l="1"/>
  <c r="AF21" i="1"/>
  <c r="JB21" i="1" s="1"/>
  <c r="AE21" i="1" s="1" a="1"/>
  <c r="AE21" i="1" s="1"/>
  <c r="AC22" i="1" s="1"/>
  <c r="AD22" i="1" l="1" a="1"/>
  <c r="AD22" i="1" s="1"/>
  <c r="AF22" i="1" l="1"/>
  <c r="JB22" i="1" s="1"/>
  <c r="AE22" i="1" s="1" a="1"/>
  <c r="AE22" i="1" s="1"/>
  <c r="AC23" i="1" s="1"/>
  <c r="AG22" i="1"/>
  <c r="AD23" i="1" l="1" a="1"/>
  <c r="AD23" i="1" s="1"/>
  <c r="AG23" i="1" l="1"/>
  <c r="AF23" i="1"/>
  <c r="JB23" i="1" s="1"/>
  <c r="AE23" i="1" s="1" a="1"/>
  <c r="AE23" i="1" s="1"/>
  <c r="AC24" i="1" s="1"/>
  <c r="AD24" i="1" l="1" a="1"/>
  <c r="AD24" i="1" s="1"/>
  <c r="AF24" i="1" l="1"/>
  <c r="JB24" i="1" s="1"/>
  <c r="AE24" i="1" s="1" a="1"/>
  <c r="AE24" i="1" s="1"/>
  <c r="AC25" i="1" s="1"/>
  <c r="AG24" i="1"/>
  <c r="AD25" i="1" l="1" a="1"/>
  <c r="AD25" i="1" s="1"/>
  <c r="AG25" i="1" l="1"/>
  <c r="AF25" i="1"/>
  <c r="JB25" i="1" s="1"/>
  <c r="AE25" i="1" s="1" a="1"/>
  <c r="AE25" i="1" s="1"/>
  <c r="AC26" i="1" s="1"/>
  <c r="AD26" i="1" l="1" a="1"/>
  <c r="AD26" i="1" s="1"/>
  <c r="AF26" i="1" l="1"/>
  <c r="JB26" i="1" s="1"/>
  <c r="AE26" i="1" s="1" a="1"/>
  <c r="AE26" i="1" s="1"/>
  <c r="AG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tc={F5B4A413-8E9D-4E5D-A7E6-F8CAAC683CB0}</author>
    <author>tc={20090E64-8286-40F1-B1DA-DF6DD14D0F7A}</author>
    <author>tc={3E3B6129-7D3D-43E1-94E9-29EE39694C57}</author>
  </authors>
  <commentList>
    <comment ref="B5" authorId="0" shapeId="0" xr:uid="{F5B4A413-8E9D-4E5D-A7E6-F8CAAC683CB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4-20 или резистивный?</t>
      </text>
    </comment>
    <comment ref="B10" authorId="1" shapeId="0" xr:uid="{20090E64-8286-40F1-B1DA-DF6DD14D0F7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 активный или пассивный</t>
      </text>
    </comment>
    <comment ref="B12" authorId="2" shapeId="0" xr:uid="{3E3B6129-7D3D-43E1-94E9-29EE39694C5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непонятное подключение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<sst xmlns="http://schemas.openxmlformats.org/spreadsheetml/2006/main" count="8702" uniqueCount="2086">
  <si>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</si>
  <si>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</si>
  <si>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</si>
  <si>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</si>
  <si>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</si>
  <si>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</si>
  <si>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</si>
  <si>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</si>
  <si>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</si>
  <si>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</si>
  <si>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</si>
  <si>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</si>
  <si>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</si>
  <si>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</si>
  <si>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</si>
  <si>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</si>
  <si>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</si>
  <si>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</si>
  <si>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</si>
  <si>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</si>
  <si>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</si>
  <si>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</si>
  <si>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</si>
  <si>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</si>
  <si>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</si>
  <si>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</si>
  <si>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</si>
  <si>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</si>
  <si>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</si>
  <si>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</si>
  <si>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</si>
  <si>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</si>
  <si>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</si>
  <si>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</si>
  <si>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</si>
  <si>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</si>
  <si>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</si>
  <si>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</si>
  <si>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</si>
  <si>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</si>
  <si>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</si>
  <si>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</si>
  <si>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</si>
  <si>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</si>
  <si>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</si>
  <si>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</si>
  <si>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</si>
  <si>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</si>
  <si>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</si>
  <si>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</si>
  <si>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</si>
  <si>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</si>
  <si>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</si>
  <si>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</si>
  <si>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</si>
  <si>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</si>
  <si>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</si>
  <si>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</si>
  <si>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</si>
  <si>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</si>
  <si>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</si>
  <si>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</si>
  <si>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</si>
  <si>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</si>
  <si>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</si>
  <si>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</si>
  <si>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</si>
  <si>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</si>
  <si>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</si>
  <si>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</si>
  <si>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</si>
  <si>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</si>
  <si>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</si>
  <si>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</si>
  <si>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</si>
  <si>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</si>
  <si>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</si>
  <si>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</si>
  <si>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</si>
  <si>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</si>
  <si>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</si>
  <si>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</si>
  <si>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</si>
  <si>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</si>
  <si>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</si>
  <si>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</si>
  <si>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</si>
  <si>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</si>
  <si>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</si>
  <si>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</si>
  <si>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</si>
  <si>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</si>
  <si>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</si>
  <si>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</si>
  <si>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</si>
  <si>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</si>
  <si>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</si>
  <si>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</si>
  <si>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</si>
  <si>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</si>
  <si>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</si>
  <si>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</si>
  <si>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</si>
  <si>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</si>
  <si>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</si>
  <si>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</si>
  <si>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</si>
  <si>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</si>
  <si>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</si>
  <si>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</si>
  <si>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</si>
  <si>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</si>
  <si>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</si>
  <si>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</si>
  <si>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</si>
  <si>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</si>
  <si>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</si>
  <si>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</si>
  <si>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</si>
  <si>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</si>
  <si>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</si>
  <si>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</si>
  <si>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</si>
  <si>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</si>
  <si>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</si>
  <si>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</si>
  <si>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</si>
  <si>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</si>
  <si>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</si>
  <si>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</si>
  <si>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</si>
  <si>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</si>
  <si>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</si>
  <si>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</si>
  <si>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</si>
  <si>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</si>
  <si>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</si>
  <si>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</si>
  <si>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</si>
  <si>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</si>
  <si>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</si>
  <si>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</si>
  <si>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</si>
  <si>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</si>
  <si>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</si>
  <si>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</si>
  <si>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</si>
  <si>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</si>
  <si>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</si>
  <si>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</si>
  <si>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</si>
  <si>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</si>
  <si>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</si>
  <si>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</si>
  <si>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</si>
  <si>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</si>
  <si>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</si>
  <si>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</si>
  <si>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</si>
  <si>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</si>
  <si>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</si>
  <si>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</si>
  <si>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</si>
  <si>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</si>
  <si>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</si>
  <si>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</si>
  <si>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</si>
  <si>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</si>
  <si>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</si>
  <si>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</si>
  <si>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</si>
  <si>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</si>
  <si>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</si>
  <si>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</si>
  <si>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</si>
  <si>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</si>
  <si>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</si>
  <si>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</si>
  <si>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</si>
  <si>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</si>
  <si>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</si>
  <si>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</si>
  <si>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</si>
  <si>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</si>
  <si>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</si>
  <si>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</si>
  <si>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</si>
  <si>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</si>
  <si>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</si>
  <si>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</si>
  <si>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</si>
  <si>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</si>
  <si>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</si>
  <si>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</si>
  <si>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</si>
  <si>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</si>
  <si>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</si>
  <si>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</si>
  <si>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</si>
  <si>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</si>
  <si>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</si>
  <si>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</si>
  <si>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</si>
  <si>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</si>
  <si>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</si>
  <si>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</si>
  <si>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</si>
  <si>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</si>
  <si>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</si>
  <si>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</si>
  <si>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</si>
  <si>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</si>
  <si>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</si>
  <si>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</si>
  <si>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</si>
  <si>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</si>
  <si>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</si>
  <si>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</si>
  <si>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</si>
  <si>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</si>
  <si>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</si>
  <si>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</si>
  <si>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</si>
  <si>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</si>
  <si>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</si>
  <si>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</si>
  <si>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</si>
  <si>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</si>
  <si>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</si>
  <si>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</si>
  <si>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</si>
  <si>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</si>
  <si>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</si>
  <si>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</si>
  <si>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</si>
  <si>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</si>
  <si>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</si>
  <si>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</si>
  <si>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</si>
  <si>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</si>
  <si>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</si>
  <si>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</si>
  <si>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</si>
  <si>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</si>
  <si>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</si>
  <si>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</si>
  <si>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</si>
  <si>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</si>
  <si>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</si>
  <si>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</si>
  <si>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</si>
  <si>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</si>
  <si>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</si>
  <si>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</si>
  <si>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</si>
  <si>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</si>
  <si>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</si>
  <si>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</si>
  <si>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</si>
  <si>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</si>
  <si>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</si>
  <si>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</si>
  <si>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</si>
  <si>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</si>
  <si>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</si>
  <si>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</si>
  <si>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</si>
  <si>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</si>
  <si>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</si>
  <si>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</si>
  <si>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</si>
  <si>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</si>
  <si>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</si>
  <si>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</si>
  <si>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</si>
  <si>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</si>
  <si>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</si>
  <si>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</si>
  <si>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</si>
  <si>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</si>
  <si>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</si>
  <si>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</si>
  <si>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</si>
  <si>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</si>
  <si>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</si>
  <si>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</si>
  <si>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</si>
  <si>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</si>
  <si>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</si>
  <si>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</si>
  <si>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</si>
  <si>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</si>
  <si>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</si>
  <si>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</si>
  <si>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</si>
  <si>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</si>
  <si>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</si>
  <si>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</si>
  <si>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</si>
  <si>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</si>
  <si>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</si>
  <si>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</si>
  <si>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</si>
  <si>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</si>
  <si>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</si>
  <si>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</si>
  <si>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</si>
  <si>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</si>
  <si>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</si>
  <si>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</si>
  <si>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</si>
  <si>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</si>
  <si>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</si>
  <si>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</si>
  <si>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</si>
  <si>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</si>
  <si>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</si>
  <si>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</si>
  <si>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</si>
  <si>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</si>
  <si>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</si>
  <si>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</si>
  <si>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</si>
  <si>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</si>
  <si>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</si>
  <si>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</si>
  <si>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</si>
  <si>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</si>
  <si>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</si>
  <si>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</si>
  <si>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</si>
  <si>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</si>
  <si>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</si>
  <si>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</si>
  <si>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</si>
  <si>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</si>
  <si>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</si>
  <si>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</si>
  <si>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</si>
  <si>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</si>
  <si>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</si>
  <si>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</si>
  <si>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</si>
  <si>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</si>
  <si>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</si>
  <si>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</si>
  <si>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</si>
  <si>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</si>
  <si>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</si>
  <si>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</si>
  <si>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</si>
  <si>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</si>
  <si>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</si>
  <si>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</si>
  <si>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</si>
  <si>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</si>
  <si>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</si>
  <si>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</si>
  <si>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</si>
  <si>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</si>
  <si>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</si>
  <si>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</si>
  <si>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</si>
  <si>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</si>
  <si>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</si>
  <si>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</si>
  <si>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</si>
  <si>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</si>
  <si>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</si>
  <si>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</si>
  <si>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</si>
  <si>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</si>
  <si>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</si>
  <si>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</si>
  <si>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</si>
  <si>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</si>
  <si>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</si>
  <si>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</si>
  <si>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</si>
  <si>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</si>
  <si>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</si>
  <si>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</si>
  <si>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</si>
  <si>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</si>
  <si>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</si>
  <si>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</si>
  <si>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</si>
  <si>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</si>
  <si>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</si>
  <si>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</si>
  <si>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</si>
  <si>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</si>
  <si>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</si>
  <si>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</si>
  <si>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</si>
  <si>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</si>
  <si>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</si>
  <si>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</si>
  <si>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</si>
  <si>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</si>
  <si>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</si>
  <si>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</si>
  <si>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</si>
  <si>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</si>
  <si>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</si>
  <si>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</si>
  <si>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</si>
  <si>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</si>
  <si>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</si>
  <si>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</si>
  <si>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</si>
  <si>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</si>
  <si>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</si>
  <si>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</si>
  <si>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</si>
  <si>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</si>
  <si>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</si>
  <si>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</si>
  <si>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</si>
  <si>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</si>
  <si>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</si>
  <si>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</si>
  <si>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</si>
  <si>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</si>
  <si>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</si>
  <si>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</si>
  <si>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</si>
  <si>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</si>
  <si>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</si>
  <si>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</si>
  <si>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</si>
  <si>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</si>
  <si>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</si>
  <si>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</si>
  <si>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</si>
  <si>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</si>
  <si>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</si>
  <si>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</si>
  <si>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</si>
  <si>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</si>
  <si>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</si>
  <si>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</si>
  <si>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</si>
  <si>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</si>
  <si>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</si>
  <si>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</si>
  <si>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</si>
  <si>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</si>
  <si>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</si>
  <si>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</si>
  <si>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</si>
  <si>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</si>
  <si>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</si>
  <si>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</si>
  <si>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</si>
  <si>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</si>
  <si>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</si>
  <si>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</si>
  <si>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</si>
  <si>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</si>
  <si>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</si>
  <si>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</si>
  <si>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</si>
  <si>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</si>
  <si>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</si>
  <si>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</si>
  <si>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</si>
  <si>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</si>
  <si>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</si>
  <si>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</si>
  <si>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</si>
  <si>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</si>
  <si>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</si>
  <si>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</si>
  <si>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</si>
  <si>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</si>
  <si>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</si>
  <si>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</si>
  <si>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</si>
  <si>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</si>
  <si>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</si>
  <si>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</si>
  <si>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</si>
  <si>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</si>
  <si>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</si>
  <si>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</si>
  <si>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</si>
  <si>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</si>
  <si>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</si>
  <si>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</si>
  <si>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</si>
  <si>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</si>
  <si>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</si>
  <si>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</si>
  <si>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</si>
  <si>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</si>
  <si>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</si>
  <si>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</si>
  <si>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</si>
  <si>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</si>
  <si>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</si>
  <si>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</si>
  <si>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</si>
  <si>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</si>
  <si>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</si>
  <si>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</si>
  <si>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</si>
  <si>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</si>
  <si>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</si>
  <si>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</si>
  <si>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</si>
  <si>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</si>
  <si>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</si>
  <si>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</si>
  <si>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</si>
  <si>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</si>
  <si>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</si>
  <si>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</si>
  <si>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</si>
  <si>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</si>
  <si>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</si>
  <si>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</si>
  <si>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</si>
  <si>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</si>
  <si>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</si>
  <si>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</si>
  <si>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</si>
  <si>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</si>
  <si>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</si>
  <si>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</si>
  <si>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</si>
  <si>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</si>
  <si>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</si>
  <si>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</si>
  <si>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</si>
  <si>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</si>
  <si>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</si>
  <si>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</si>
  <si>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</si>
  <si>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</si>
  <si>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</si>
  <si>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</si>
  <si>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</si>
  <si>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</si>
  <si>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</si>
  <si>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</si>
  <si>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</si>
  <si>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</si>
  <si>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</si>
  <si>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</si>
  <si>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</si>
  <si>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</si>
  <si>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</si>
  <si>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</si>
  <si>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</si>
  <si>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</si>
  <si>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</si>
  <si>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</si>
  <si>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</si>
  <si>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</si>
  <si>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</si>
  <si>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</si>
  <si>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</si>
  <si>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</si>
  <si>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</si>
  <si>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</si>
  <si>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</si>
  <si>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</si>
  <si>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</si>
  <si>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</si>
  <si>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</si>
  <si>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</si>
  <si>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</si>
  <si>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</si>
  <si>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</si>
  <si>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</si>
  <si>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</si>
  <si>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</si>
  <si>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</si>
  <si>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</si>
  <si>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</si>
  <si>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</si>
  <si>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</si>
  <si>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</si>
  <si>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</si>
  <si>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</si>
  <si>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</si>
  <si>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</si>
  <si>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</si>
  <si>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</si>
  <si>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</si>
  <si>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</si>
  <si>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</si>
  <si>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</si>
  <si>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</si>
  <si>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</si>
  <si>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</si>
  <si>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</si>
  <si>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</si>
  <si>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</si>
  <si>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</si>
  <si>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</si>
  <si>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</si>
  <si>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</si>
  <si>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</si>
  <si>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</si>
  <si>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</si>
  <si>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</si>
  <si>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</si>
  <si>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</si>
  <si>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</si>
  <si>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</si>
  <si>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</si>
  <si>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</si>
  <si>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</si>
  <si>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</si>
  <si>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</si>
  <si>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</si>
  <si>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</si>
  <si>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</si>
  <si>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</si>
  <si>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</si>
  <si>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</si>
  <si>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</si>
  <si>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</si>
  <si>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</si>
  <si>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</si>
  <si>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</si>
  <si>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</si>
  <si>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</si>
  <si>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</si>
  <si>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</si>
  <si>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</si>
  <si>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</si>
  <si>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</si>
  <si>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</si>
  <si>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</si>
  <si>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</si>
  <si>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</si>
  <si>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</si>
  <si>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</si>
  <si>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</si>
  <si>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</si>
  <si>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</si>
  <si>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</si>
  <si>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</si>
  <si>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</si>
  <si>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</si>
  <si>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</si>
  <si>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</si>
  <si>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</si>
  <si>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</si>
  <si>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</si>
  <si>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</si>
  <si>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</si>
  <si>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</si>
  <si>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</si>
  <si>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</si>
  <si>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</si>
  <si>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</si>
  <si>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</si>
  <si>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</si>
  <si>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</si>
  <si>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</si>
  <si>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</si>
  <si>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</si>
  <si>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</si>
  <si>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</si>
  <si>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</si>
  <si>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</si>
  <si>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</si>
  <si>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</si>
  <si>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</si>
  <si>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</si>
  <si>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</si>
  <si>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</si>
  <si>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</si>
  <si>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</si>
  <si>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</si>
  <si>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</si>
  <si>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</si>
  <si>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</si>
  <si>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</si>
  <si>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</si>
  <si>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</si>
  <si>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</si>
  <si>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</si>
  <si>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</si>
  <si>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</si>
  <si>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</si>
  <si>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</si>
  <si>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</si>
  <si>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</si>
  <si>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</si>
  <si>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</si>
  <si>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</si>
  <si>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</si>
  <si>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</si>
  <si>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</si>
  <si>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</si>
  <si>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</si>
  <si>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</si>
  <si>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</si>
  <si>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</si>
  <si>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</si>
  <si>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</si>
  <si>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</si>
  <si>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</si>
  <si>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</si>
  <si>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</si>
  <si>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</si>
  <si>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</si>
  <si>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</si>
  <si>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</si>
  <si>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</si>
  <si>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</si>
  <si>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</si>
  <si>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</si>
  <si>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</si>
  <si>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</si>
  <si>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</si>
  <si>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</si>
  <si>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</si>
  <si>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</si>
  <si>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</si>
  <si>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</si>
  <si>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</si>
  <si>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</si>
  <si>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</si>
  <si>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</si>
  <si>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</si>
  <si>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</si>
  <si>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</si>
  <si>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</si>
  <si>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</si>
  <si>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</si>
  <si>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</si>
  <si>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</si>
  <si>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</si>
  <si>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</si>
  <si>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</si>
  <si>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</si>
  <si>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</si>
  <si>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</si>
  <si>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</si>
  <si>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</si>
  <si>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</si>
  <si>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</si>
  <si>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</si>
  <si>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</si>
  <si>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</si>
  <si>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</si>
  <si>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</si>
  <si>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</si>
  <si>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</si>
  <si>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</si>
  <si>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</si>
  <si>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</si>
  <si>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</si>
  <si>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</si>
  <si>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</si>
  <si>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</si>
  <si>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</si>
  <si>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</si>
  <si>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</si>
  <si>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</si>
  <si>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</si>
  <si>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</si>
  <si>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</si>
  <si>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</si>
  <si>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</si>
  <si>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</si>
  <si>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</si>
  <si>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</si>
  <si>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</si>
  <si>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</si>
  <si>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</si>
  <si>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</si>
  <si>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</si>
  <si>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</si>
  <si>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</si>
  <si>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</si>
  <si>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</si>
  <si>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</si>
  <si>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</si>
  <si>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</si>
  <si>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</si>
  <si>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</si>
  <si>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</si>
  <si>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</si>
  <si>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</si>
  <si>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</si>
  <si>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</si>
  <si>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</si>
  <si>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</si>
  <si>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</si>
  <si>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</si>
  <si>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</si>
  <si>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</si>
  <si>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</si>
  <si>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</si>
  <si>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</si>
  <si>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</si>
  <si>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</si>
  <si>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</si>
  <si>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</si>
  <si>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</si>
  <si>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</si>
  <si>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</si>
  <si>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</si>
  <si>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</si>
  <si>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</si>
  <si>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</si>
  <si>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</si>
  <si>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</si>
  <si>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</si>
  <si>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</si>
  <si>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</si>
  <si>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</si>
  <si>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</si>
  <si>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</si>
  <si>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</si>
  <si>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</si>
  <si>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</si>
  <si>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</si>
  <si>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</si>
  <si>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</si>
  <si>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</si>
  <si>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</si>
  <si>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</si>
  <si>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</si>
  <si>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</si>
  <si>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</si>
  <si>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</si>
  <si>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</si>
  <si>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</si>
  <si>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</si>
  <si>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</si>
  <si>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</si>
  <si>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</si>
  <si>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</si>
  <si>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</si>
  <si>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</si>
  <si>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</si>
  <si>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</si>
  <si>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</si>
  <si>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</si>
  <si>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</si>
  <si>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</si>
  <si>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</si>
  <si>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</si>
  <si>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</si>
  <si>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</si>
  <si>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</si>
  <si>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</si>
  <si>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</si>
  <si>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</si>
  <si>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</si>
  <si>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</si>
  <si>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</si>
  <si>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</si>
  <si>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</si>
  <si>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</si>
  <si>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</si>
  <si>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</si>
  <si>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</si>
  <si>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</si>
  <si>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</si>
  <si>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</si>
  <si>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</si>
  <si>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</si>
  <si>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</si>
  <si>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</si>
  <si>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</si>
  <si>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</si>
  <si>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</si>
  <si>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</si>
  <si>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</si>
  <si>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</si>
  <si>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</si>
  <si>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</si>
  <si>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</si>
  <si>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</si>
  <si>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</si>
  <si>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</si>
  <si>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</si>
  <si>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</si>
  <si>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</si>
  <si>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</si>
  <si>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</si>
  <si>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</si>
  <si>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</si>
  <si>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</si>
  <si>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</si>
  <si>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</si>
  <si>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</si>
  <si>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</si>
  <si>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</si>
  <si>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</si>
  <si>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</si>
  <si>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</si>
  <si>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</si>
  <si>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</si>
  <si>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</si>
  <si>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</si>
  <si>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</si>
  <si>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</si>
  <si>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</si>
  <si>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</si>
  <si>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</si>
  <si>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</si>
  <si>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</si>
  <si>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</si>
  <si>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</si>
  <si>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</si>
  <si>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</si>
  <si>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</si>
  <si>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</si>
  <si>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</si>
  <si>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</si>
  <si>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</si>
  <si>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</si>
  <si>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</si>
  <si>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</si>
  <si>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</si>
  <si>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</si>
  <si>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</si>
  <si>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</si>
  <si>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</si>
  <si>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</si>
  <si>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</si>
  <si>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</si>
  <si>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</si>
  <si>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</si>
  <si>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</si>
  <si>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</si>
  <si>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</si>
  <si>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</si>
  <si>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</si>
  <si>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</si>
  <si>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</si>
  <si>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</si>
  <si>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</si>
  <si>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</si>
  <si>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</si>
  <si>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</si>
  <si>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</si>
  <si>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</si>
  <si>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</si>
  <si>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</si>
  <si>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</si>
  <si>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</si>
  <si>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</si>
  <si>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</si>
  <si>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</si>
  <si>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</si>
  <si>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</si>
  <si>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</si>
  <si>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</si>
  <si>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</si>
  <si>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</si>
  <si>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</si>
  <si>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</si>
  <si>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</si>
  <si>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</si>
  <si>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</si>
  <si>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</si>
  <si>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</si>
  <si>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</si>
  <si>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</si>
  <si>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</si>
  <si>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</si>
  <si>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</si>
  <si>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</si>
  <si>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</si>
  <si>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</si>
  <si>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</si>
  <si>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</si>
  <si>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</si>
  <si>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</si>
  <si>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</si>
  <si>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</si>
  <si>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</si>
  <si>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</si>
  <si>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</si>
  <si>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</si>
  <si>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</si>
  <si>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</si>
  <si>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</si>
  <si>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</si>
  <si>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</si>
  <si>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</si>
  <si>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</si>
  <si>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</si>
  <si>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</si>
  <si>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</si>
  <si>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</si>
  <si>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</si>
  <si>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</si>
  <si>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</si>
  <si>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</si>
  <si>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</si>
  <si>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</si>
  <si>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</si>
  <si>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</si>
  <si>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</si>
  <si>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</si>
  <si>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</si>
  <si>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</si>
  <si>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</si>
  <si>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</si>
  <si>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</si>
  <si>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</si>
  <si>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</si>
  <si>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</si>
  <si>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</si>
  <si>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</si>
  <si>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</si>
  <si>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</si>
  <si>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</si>
  <si>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</si>
  <si>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</si>
  <si>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</si>
  <si>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</si>
  <si>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</si>
  <si>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</si>
  <si>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</si>
  <si>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</si>
  <si>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</si>
  <si>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</si>
  <si>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</si>
  <si>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</si>
  <si>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</si>
  <si>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</si>
  <si>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</si>
  <si>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</si>
  <si>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</si>
  <si>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</si>
  <si>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</si>
  <si>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</si>
  <si>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</si>
  <si>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</si>
  <si>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</si>
  <si>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</si>
  <si>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</si>
  <si>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</si>
  <si>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</si>
  <si>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</si>
  <si>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</si>
  <si>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</si>
  <si>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</si>
  <si>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</si>
  <si>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</si>
  <si>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</si>
  <si>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</si>
  <si>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</si>
  <si>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</si>
  <si>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</si>
  <si>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</si>
  <si>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</si>
  <si>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</si>
  <si>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</si>
  <si>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</si>
  <si>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</si>
  <si>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</si>
  <si>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</si>
  <si>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</si>
  <si>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</si>
  <si>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</si>
  <si>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</si>
  <si>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</si>
  <si>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</si>
  <si>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</si>
  <si>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</si>
  <si>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</si>
  <si>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</si>
  <si>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</si>
  <si>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</si>
  <si>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</si>
  <si>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</si>
  <si>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</si>
  <si>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</si>
  <si>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</si>
  <si>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</si>
  <si>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</si>
  <si>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</si>
  <si>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</si>
  <si>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</si>
  <si>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</si>
  <si>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</si>
  <si>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</si>
  <si>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</si>
  <si>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</si>
  <si>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</si>
  <si>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</si>
  <si>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</si>
  <si>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</si>
  <si>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</si>
  <si>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</si>
  <si>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</si>
  <si>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</si>
  <si>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</si>
  <si>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</si>
  <si>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</si>
  <si>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</si>
  <si>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</si>
  <si>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</si>
  <si>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</si>
  <si>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</si>
  <si>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</si>
  <si>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</si>
  <si>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</si>
  <si>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</si>
  <si>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</si>
  <si>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</si>
  <si>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</si>
  <si>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</si>
  <si>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</si>
  <si>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</si>
  <si>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</si>
  <si>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</si>
  <si>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</si>
  <si>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</si>
  <si>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</si>
  <si>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</si>
  <si>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</si>
  <si>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</si>
  <si>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</si>
  <si>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</si>
  <si>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</si>
  <si>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</si>
  <si>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</si>
  <si>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</si>
  <si>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</si>
  <si>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</si>
  <si>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</si>
  <si>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</si>
  <si>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</si>
  <si>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</si>
  <si>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</si>
  <si>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</si>
  <si>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</si>
  <si>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</si>
  <si>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</si>
  <si>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</si>
  <si>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</si>
  <si>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</si>
  <si>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</si>
  <si>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</si>
  <si>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</si>
  <si>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</si>
  <si>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</si>
  <si>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</si>
  <si>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</si>
  <si>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</si>
  <si>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</si>
  <si>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</si>
  <si>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</si>
  <si>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</si>
  <si>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</si>
  <si>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</si>
  <si>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</si>
  <si>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</si>
  <si>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</si>
  <si>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</si>
  <si>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</si>
  <si>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</si>
  <si>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</si>
  <si>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</si>
  <si>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</si>
  <si>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</si>
  <si>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</si>
  <si>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</si>
  <si>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</si>
  <si>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</si>
  <si>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</si>
  <si>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</si>
  <si>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</si>
  <si>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</si>
  <si>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</si>
  <si>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</si>
  <si>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</si>
  <si>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</si>
  <si>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</si>
  <si>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</si>
  <si>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</si>
  <si>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</si>
  <si>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</si>
  <si>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</si>
  <si>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</si>
  <si>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</si>
  <si>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</si>
  <si>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</si>
  <si>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</si>
  <si>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</si>
  <si>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</si>
  <si>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</si>
  <si>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</si>
  <si>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</si>
  <si>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</si>
  <si>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</si>
  <si>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</si>
  <si>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</si>
  <si>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</si>
  <si>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</si>
  <si>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</si>
  <si>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</si>
  <si>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</si>
  <si>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</si>
  <si>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</si>
  <si>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</si>
  <si>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</si>
  <si>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</si>
  <si>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</si>
  <si>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</si>
  <si>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</si>
  <si>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</si>
  <si>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</si>
  <si>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</si>
  <si>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</si>
  <si>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</si>
  <si>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</si>
  <si>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</si>
  <si>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</si>
  <si>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</si>
  <si>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</si>
  <si>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</si>
  <si>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</si>
  <si>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</si>
  <si>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</si>
  <si>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</si>
  <si>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</si>
  <si>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</si>
  <si>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</si>
  <si>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</si>
  <si>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</si>
  <si>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</si>
  <si>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</si>
  <si>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</si>
  <si>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</si>
  <si>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</si>
  <si>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</si>
  <si>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</si>
  <si>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</si>
  <si>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</si>
  <si>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</si>
  <si>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</si>
  <si>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</si>
  <si>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</si>
  <si>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</si>
  <si>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</si>
  <si>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</si>
  <si>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</si>
  <si>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</si>
  <si>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</si>
  <si>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</si>
  <si>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</si>
  <si>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</si>
  <si>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</si>
  <si>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</si>
  <si>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</si>
  <si>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</si>
  <si>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</si>
  <si>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</si>
  <si>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</si>
  <si>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</si>
  <si>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</si>
  <si>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</si>
  <si>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</si>
  <si>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</si>
  <si>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</si>
  <si>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</si>
  <si>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</si>
  <si>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</si>
  <si>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</si>
  <si>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</si>
  <si>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</si>
  <si>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</si>
  <si>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</si>
  <si>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</si>
  <si>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</si>
  <si>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</si>
  <si>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</si>
  <si>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</si>
  <si>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</si>
  <si>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</si>
  <si>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</si>
  <si>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</si>
  <si>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</si>
  <si>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</si>
  <si>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</si>
  <si>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</si>
  <si>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</si>
  <si>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</si>
  <si>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</si>
  <si>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</si>
  <si>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</si>
  <si>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</si>
  <si>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</si>
  <si>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</si>
  <si>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</si>
  <si>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</si>
  <si>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</si>
  <si>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</si>
  <si>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</si>
  <si>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</si>
  <si>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</si>
  <si>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</si>
  <si>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</si>
  <si>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</si>
  <si>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</si>
  <si>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</si>
  <si>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</si>
  <si>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</si>
  <si>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</si>
  <si>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</si>
  <si>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</si>
  <si>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</si>
  <si>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</si>
  <si>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</si>
  <si>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</si>
  <si>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</si>
  <si>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</si>
  <si>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</si>
  <si>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</si>
  <si>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</si>
  <si>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</si>
  <si>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</si>
  <si>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</si>
  <si>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</si>
  <si>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</si>
  <si>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</si>
  <si>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</si>
  <si>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</si>
  <si>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</si>
  <si>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</si>
  <si>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</si>
  <si>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</si>
  <si>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</si>
  <si>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</si>
  <si>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</si>
  <si>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</si>
  <si>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</si>
  <si>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</si>
  <si>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</si>
  <si>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</si>
  <si>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</si>
  <si>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</si>
  <si>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</si>
  <si>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</si>
  <si>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</si>
  <si>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</si>
  <si>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</si>
  <si>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</si>
  <si>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</si>
  <si>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</si>
  <si>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</si>
  <si>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</si>
  <si>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</si>
  <si>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</si>
  <si>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</si>
  <si>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</si>
  <si>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</si>
  <si>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</si>
  <si>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</si>
  <si>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</si>
  <si>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</si>
  <si>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</si>
  <si>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</si>
  <si>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</si>
  <si>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</si>
  <si>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</si>
  <si>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</si>
  <si>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</si>
  <si>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</si>
  <si>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</si>
  <si>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</si>
  <si>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</si>
  <si>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</si>
  <si>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</si>
  <si>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</si>
  <si>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</si>
  <si>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</si>
  <si>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</si>
  <si>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</si>
  <si>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</si>
  <si>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</si>
  <si>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</si>
  <si>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</si>
  <si>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</si>
  <si>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</si>
  <si>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</si>
  <si>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</si>
  <si>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</si>
  <si>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</si>
  <si>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</si>
  <si>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</si>
  <si>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</si>
  <si>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</si>
  <si>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</si>
  <si>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</si>
  <si>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</si>
  <si>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</si>
  <si>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</si>
  <si>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</si>
  <si>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</si>
  <si>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</si>
  <si>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</si>
  <si>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</si>
  <si>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</si>
  <si>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</si>
  <si>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</si>
  <si>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</si>
  <si>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</si>
  <si>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</si>
  <si>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</si>
  <si>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</si>
  <si>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</si>
  <si>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</si>
  <si>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</si>
  <si>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</si>
  <si>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</si>
  <si>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</si>
  <si>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</si>
  <si>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</si>
  <si>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</si>
  <si>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</si>
  <si>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</si>
  <si>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</si>
  <si>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</si>
  <si>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</si>
  <si>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</si>
  <si>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</si>
  <si>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</si>
  <si>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</si>
  <si>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</si>
  <si>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</si>
  <si>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</si>
  <si>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</si>
  <si>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</si>
  <si>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</si>
  <si>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</si>
  <si>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</si>
  <si>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</si>
  <si>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</si>
  <si>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</si>
  <si>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</si>
  <si>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</si>
  <si>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</si>
  <si>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</si>
  <si>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</si>
  <si>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</si>
  <si>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</si>
  <si>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</si>
  <si>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</si>
  <si>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</si>
  <si>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</si>
  <si>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</si>
  <si>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</si>
  <si>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</si>
  <si>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</si>
  <si>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</si>
  <si>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</si>
  <si>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</si>
  <si>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</si>
  <si>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</si>
  <si>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</si>
  <si>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</si>
  <si>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</si>
  <si>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</si>
  <si>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</si>
  <si>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</si>
  <si>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</si>
  <si>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</si>
  <si>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</si>
  <si>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</si>
  <si>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</si>
  <si>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</si>
  <si>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</si>
  <si>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</si>
  <si>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</si>
  <si>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</si>
  <si>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</si>
  <si>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</si>
  <si>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</si>
  <si>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</si>
  <si>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</si>
  <si>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</si>
  <si>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</si>
  <si>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</si>
  <si>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</si>
  <si>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</si>
  <si>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</si>
  <si>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</si>
  <si>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</si>
  <si>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</si>
  <si>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</si>
  <si>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</si>
  <si>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</si>
  <si>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</si>
  <si>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</si>
  <si>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</si>
  <si>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</si>
  <si>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</si>
  <si>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</si>
  <si>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</si>
  <si>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</si>
  <si>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</si>
  <si>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</si>
  <si>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</si>
  <si>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</si>
  <si>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</si>
  <si>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</si>
  <si>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</si>
  <si>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</si>
  <si>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</si>
  <si>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</si>
  <si>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</si>
  <si>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</si>
  <si>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</si>
  <si>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</si>
  <si>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</si>
  <si>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</si>
  <si>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</si>
  <si>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</si>
  <si>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</si>
  <si>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</si>
  <si>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</si>
  <si>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</si>
  <si>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</si>
  <si>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</si>
  <si>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</si>
  <si>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</si>
  <si>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</si>
  <si>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</si>
  <si>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</si>
  <si>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</si>
  <si>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</si>
  <si>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</si>
  <si>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</si>
  <si>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</si>
  <si>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</si>
  <si>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</si>
  <si>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</si>
  <si>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</si>
  <si>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</si>
  <si>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</si>
  <si>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</si>
  <si>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</si>
  <si>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</si>
  <si>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</si>
  <si>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</si>
  <si>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</si>
  <si>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</si>
  <si>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</si>
  <si>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</si>
  <si>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</si>
  <si>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</si>
  <si>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</si>
  <si>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</si>
  <si>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</si>
  <si>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</si>
  <si>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</si>
  <si>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</si>
  <si>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</si>
  <si>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</si>
  <si>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</si>
  <si>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</si>
  <si>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</si>
  <si>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</si>
  <si>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</si>
  <si>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</si>
  <si>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</si>
  <si>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</si>
  <si>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</si>
  <si>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</si>
  <si>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</si>
  <si>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</si>
  <si>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</si>
  <si>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</si>
  <si>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</si>
  <si>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</si>
  <si>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</si>
  <si>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</si>
  <si>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</si>
  <si>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</si>
  <si>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</si>
  <si>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</si>
  <si>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</si>
  <si>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</si>
  <si>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</si>
  <si>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</si>
  <si>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</si>
  <si>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</si>
  <si>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</si>
  <si>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</si>
  <si>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</si>
  <si>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</si>
  <si>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</si>
  <si>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</si>
  <si>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</si>
  <si>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</si>
  <si>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</si>
  <si>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</si>
  <si>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</si>
  <si>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</si>
  <si>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</si>
  <si>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</si>
  <si>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</si>
  <si>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</si>
  <si>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</si>
  <si>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</si>
  <si>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</si>
  <si>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</si>
  <si>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</si>
  <si>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</si>
  <si>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</si>
  <si>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</si>
  <si>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</si>
  <si>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</si>
  <si>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</si>
  <si>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</si>
  <si>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</si>
  <si>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</si>
  <si>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</si>
  <si>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</si>
  <si>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</si>
  <si>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</si>
  <si>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</si>
  <si>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</si>
  <si>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</si>
  <si>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</si>
  <si>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</si>
  <si>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</si>
  <si>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</si>
  <si>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</si>
  <si>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</si>
  <si>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</si>
  <si>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</si>
  <si>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</si>
  <si>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</si>
  <si>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</si>
  <si>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</si>
  <si>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</si>
  <si>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</si>
  <si>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</si>
  <si>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</si>
  <si>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</si>
  <si>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</si>
  <si>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</si>
  <si>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</si>
  <si>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</si>
  <si>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</si>
  <si>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</si>
  <si>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</si>
  <si>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</si>
  <si>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</si>
  <si>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</si>
  <si>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</si>
  <si>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</si>
  <si>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</si>
  <si>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</si>
  <si>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</si>
  <si>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</si>
  <si>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</si>
  <si>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</si>
  <si>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</si>
  <si>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</si>
  <si>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</si>
  <si>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</si>
  <si>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</si>
  <si>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</si>
  <si>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</si>
  <si>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</si>
  <si>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</si>
  <si>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</si>
  <si>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</si>
  <si>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</si>
  <si>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</si>
  <si>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</si>
  <si>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</si>
  <si>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</si>
  <si>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</si>
  <si>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</si>
  <si>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</si>
  <si>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</si>
  <si>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</si>
  <si>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</si>
  <si>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</si>
  <si>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</si>
  <si>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</si>
  <si>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</si>
  <si>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</si>
  <si>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</si>
  <si>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</si>
  <si>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</si>
  <si>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</si>
  <si>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</si>
  <si>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</si>
  <si>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</si>
  <si>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</si>
  <si>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</si>
  <si>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</si>
  <si>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</si>
  <si>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</si>
  <si>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</si>
  <si>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</si>
  <si>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</si>
  <si>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</si>
  <si>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</si>
  <si>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</si>
  <si>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</si>
  <si>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</si>
  <si>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</si>
  <si>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</si>
  <si>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</si>
  <si>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</si>
  <si>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</si>
  <si>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</si>
  <si>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</si>
  <si>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</si>
  <si>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</si>
  <si>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</si>
  <si>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</si>
  <si>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</si>
  <si>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</si>
  <si>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</si>
  <si>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</si>
  <si>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</si>
  <si>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</si>
  <si>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</si>
  <si>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</si>
  <si>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</si>
  <si>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</si>
  <si>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</si>
  <si>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</si>
  <si>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</si>
  <si>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</si>
  <si>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</si>
  <si>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</si>
  <si>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</si>
  <si>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</si>
  <si>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</si>
  <si>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</si>
  <si>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</si>
  <si>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</si>
  <si>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</si>
  <si>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</si>
  <si>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</si>
  <si>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</si>
  <si>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</si>
  <si>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</si>
  <si>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</si>
  <si>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</si>
  <si>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</si>
  <si>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</si>
  <si>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</si>
  <si>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</si>
  <si>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</si>
  <si>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</si>
  <si>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</si>
  <si>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</si>
  <si>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</si>
  <si>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</si>
  <si>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</si>
  <si>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</si>
  <si>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</si>
  <si>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</si>
  <si>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</si>
  <si>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</si>
  <si>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</si>
  <si>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</si>
  <si>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</si>
  <si>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</si>
  <si>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</si>
  <si>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</si>
  <si>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</si>
  <si>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</si>
  <si>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</si>
  <si>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</si>
  <si>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</si>
  <si>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</si>
  <si>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</si>
  <si>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</si>
  <si>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</si>
  <si>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</si>
  <si>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</si>
  <si>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</si>
  <si>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</si>
  <si>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</si>
  <si>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</si>
  <si>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</si>
  <si>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</si>
  <si>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</si>
  <si>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</si>
  <si>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</si>
  <si>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</si>
  <si>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</si>
  <si>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</si>
  <si>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</si>
  <si>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</si>
  <si>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</si>
  <si>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</si>
  <si>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</si>
  <si>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</si>
  <si>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</si>
  <si>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</si>
  <si>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</si>
  <si>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</si>
  <si>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</si>
  <si>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</si>
  <si>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</si>
  <si>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</si>
  <si>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</si>
  <si>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</si>
  <si>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</si>
  <si>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</si>
  <si>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</si>
  <si>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</si>
  <si>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</si>
  <si>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</si>
  <si>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</si>
  <si>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</si>
  <si>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</si>
  <si>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</si>
  <si>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</si>
  <si>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</si>
  <si>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</si>
  <si>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</si>
  <si>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</si>
  <si>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</si>
  <si>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</si>
  <si>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</si>
  <si>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</si>
  <si>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</si>
  <si>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</si>
  <si>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</si>
  <si>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</si>
  <si>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</si>
  <si>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</si>
  <si>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</si>
  <si>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</si>
  <si>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</si>
  <si>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</si>
  <si>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</si>
  <si>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</si>
  <si>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</si>
  <si>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</si>
  <si>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</si>
  <si>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</si>
  <si>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</si>
  <si>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</si>
  <si>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</si>
  <si>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</si>
  <si>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</si>
  <si>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</si>
  <si>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</si>
  <si>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</si>
  <si>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</si>
  <si>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</si>
  <si>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</si>
  <si>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</si>
  <si>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</si>
  <si>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</si>
  <si>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</si>
  <si>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</si>
  <si>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</si>
  <si>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</si>
  <si>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</si>
  <si>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</si>
  <si>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</si>
  <si>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</si>
  <si>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</si>
  <si>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</si>
  <si>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</si>
  <si>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</si>
  <si>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</si>
  <si>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</si>
  <si>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</si>
  <si>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</si>
  <si>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</si>
  <si>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</si>
  <si>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</si>
  <si>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</si>
  <si>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</si>
  <si>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</si>
  <si>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</si>
  <si>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</si>
  <si>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</si>
  <si>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</si>
  <si>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</si>
  <si>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</si>
  <si>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</si>
  <si>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</si>
  <si>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</si>
  <si>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</si>
  <si>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</si>
  <si>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</si>
  <si>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</si>
  <si>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</si>
  <si>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</si>
  <si>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</si>
  <si>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</si>
  <si>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</si>
  <si>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</si>
  <si>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</si>
  <si>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</si>
  <si>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</si>
  <si>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</si>
  <si>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</si>
  <si>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</si>
  <si>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</si>
  <si>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</si>
  <si>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</si>
  <si>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</si>
  <si>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</si>
  <si>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</si>
  <si>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</si>
  <si>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</si>
  <si>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</si>
  <si>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</si>
  <si>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АСУ ЭТО</t>
  </si>
  <si>
    <t>Шкаф Серверный №1</t>
  </si>
  <si>
    <t>Шкаф Серверный №2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</si>
  <si>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</si>
  <si>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</si>
  <si>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</si>
  <si>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</si>
  <si>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</si>
  <si>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</si>
  <si>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</si>
  <si>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</si>
  <si>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</si>
  <si>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</si>
  <si>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</si>
  <si>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</si>
  <si>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</si>
  <si>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</si>
  <si>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</si>
  <si>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</si>
  <si>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</si>
  <si>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</si>
  <si>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</si>
  <si>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</si>
  <si>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</si>
  <si>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</si>
  <si>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</si>
  <si>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</si>
  <si>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</si>
  <si>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</si>
  <si>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</si>
  <si>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</si>
  <si>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</si>
  <si>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</si>
  <si>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</si>
  <si>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</si>
  <si>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</si>
  <si>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</si>
  <si>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</si>
  <si>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</si>
  <si>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</si>
  <si>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</si>
  <si>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</si>
  <si>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</si>
  <si>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</si>
  <si>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</si>
  <si>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</si>
  <si>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</si>
  <si>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</si>
  <si>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</si>
  <si>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</si>
  <si>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</si>
  <si>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</si>
  <si>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</si>
  <si>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</si>
  <si>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</si>
  <si>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</si>
  <si>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</si>
  <si>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</si>
  <si>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</si>
  <si>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</si>
  <si>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</si>
  <si>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</si>
  <si>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</si>
  <si>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</si>
  <si>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</si>
  <si>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</si>
  <si>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</si>
  <si>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</si>
  <si>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</si>
  <si>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</si>
  <si>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</si>
  <si>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</si>
  <si>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</si>
  <si>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</si>
  <si>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E1-3</t>
  </si>
  <si>
    <t>E1-2</t>
  </si>
  <si>
    <t>E1-1</t>
  </si>
  <si>
    <t>E1EKE02CP151</t>
  </si>
  <si>
    <t>Засорение фильтра №2</t>
  </si>
  <si>
    <t>WppL</t>
  </si>
  <si>
    <t>WppDi1</t>
  </si>
  <si>
    <t>WppDi2</t>
  </si>
  <si>
    <t>E1-S9-L</t>
  </si>
  <si>
    <t>WppL2</t>
  </si>
  <si>
    <t>E1-S10-L</t>
  </si>
  <si>
    <t>XT7</t>
  </si>
  <si>
    <t>XT5</t>
  </si>
  <si>
    <t>XT10</t>
  </si>
  <si>
    <t>E1-S9-D1</t>
  </si>
  <si>
    <t>E1-S10-D1</t>
  </si>
  <si>
    <t>ЩА сущ. ГРП-1</t>
  </si>
  <si>
    <t>Температура на выходе ГРП-1 (15а)</t>
  </si>
  <si>
    <t>Температура на входе ГРП-1 (16а)</t>
  </si>
  <si>
    <t>E1EKG01CT101</t>
  </si>
  <si>
    <t>E1EKA01CT101</t>
  </si>
  <si>
    <t>E1-4</t>
  </si>
  <si>
    <t>E1-5</t>
  </si>
  <si>
    <t>A3.2</t>
  </si>
  <si>
    <t>Давление на выходе ГРП-1 (13а)</t>
  </si>
  <si>
    <t>Давление на входе ГРП-1 (14а)</t>
  </si>
  <si>
    <t>E1EKG01CP001</t>
  </si>
  <si>
    <t>E1EKA01CP001</t>
  </si>
  <si>
    <t>Давление после заслонки №1 (11а)</t>
  </si>
  <si>
    <t>Давление после заслонки №2 (12а)</t>
  </si>
  <si>
    <t>E1EKD01CP001</t>
  </si>
  <si>
    <t>E1EKD02CP001</t>
  </si>
  <si>
    <t>E1-6</t>
  </si>
  <si>
    <t>E1-7</t>
  </si>
  <si>
    <t>E1-8</t>
  </si>
  <si>
    <t>E1-9</t>
  </si>
  <si>
    <t>XT27</t>
  </si>
  <si>
    <t>XT28</t>
  </si>
  <si>
    <t>XT31</t>
  </si>
  <si>
    <t>XT32</t>
  </si>
  <si>
    <t>XT38</t>
  </si>
  <si>
    <t>XT39</t>
  </si>
  <si>
    <t>XT43</t>
  </si>
  <si>
    <t>XT44</t>
  </si>
  <si>
    <t>E1-30</t>
  </si>
  <si>
    <t>Загазованность в ГРП, 1 порог</t>
  </si>
  <si>
    <t>E1UEN01CQ001</t>
  </si>
  <si>
    <t>se0025</t>
  </si>
  <si>
    <t>Сигнализатор газов СТМ-10</t>
  </si>
  <si>
    <t>E1-S17-21</t>
  </si>
  <si>
    <t>E1-S17-23</t>
  </si>
  <si>
    <t>---</t>
  </si>
  <si>
    <t>Desc1</t>
  </si>
  <si>
    <t>Desc2</t>
  </si>
  <si>
    <t>Загазованность в ГРП, 2 порог</t>
  </si>
  <si>
    <t>Неисправность шкафа сборки задвижек</t>
  </si>
  <si>
    <t>E1CDA01GH002</t>
  </si>
  <si>
    <t>E1-29</t>
  </si>
  <si>
    <t>Сборка СЗ ГРП-1 (E1CDA01GH002)</t>
  </si>
  <si>
    <t>X</t>
  </si>
  <si>
    <t>K2-05</t>
  </si>
  <si>
    <t>E1-GH2-EH</t>
  </si>
  <si>
    <t>Регулирующая заслонка №1</t>
  </si>
  <si>
    <t>E1EKD01AA801</t>
  </si>
  <si>
    <t>E1-12</t>
  </si>
  <si>
    <t>E1-14</t>
  </si>
  <si>
    <t>se0026</t>
  </si>
  <si>
    <t>Регулирующая заслонка №2</t>
  </si>
  <si>
    <t>se0027</t>
  </si>
  <si>
    <t>E1EKD02AA801</t>
  </si>
  <si>
    <t>E1-17</t>
  </si>
  <si>
    <t>E1-19</t>
  </si>
  <si>
    <t>Задвижка 2-Г</t>
  </si>
  <si>
    <t>E1EKA01AA001</t>
  </si>
  <si>
    <t>E1-21</t>
  </si>
  <si>
    <t>se0028</t>
  </si>
  <si>
    <t>Задвижка 3-Г</t>
  </si>
  <si>
    <t>E1EKG11AA001</t>
  </si>
  <si>
    <t>E1-24</t>
  </si>
  <si>
    <t>Дисковый затвор ГК-1</t>
  </si>
  <si>
    <t>E1EKG12AA001</t>
  </si>
  <si>
    <t>E1-27</t>
  </si>
  <si>
    <t>E1CJU01GH001 XM01</t>
  </si>
  <si>
    <t>E1CJU01GH001 XM02</t>
  </si>
  <si>
    <t>E1CJU01GH001 XM03</t>
  </si>
  <si>
    <t>E1CJU01GH001 XM04</t>
  </si>
  <si>
    <t>E1CJU01GH001 XM05</t>
  </si>
  <si>
    <t>E1CJU01GH001 XM06</t>
  </si>
  <si>
    <t>E1CJU01GH001 XM07</t>
  </si>
  <si>
    <t>E1CJU01GH001 XM08</t>
  </si>
  <si>
    <t>E1CJU01GH001 XM09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</si>
</sst>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1" fillId="0" borderId="0" xfId="0" applyFont="1"/>
    <xf numFmtId="0" fontId="0" fillId="0" borderId="10" xfId="0" applyBorder="1" applyAlignment="1">
      <alignment wrapText="1"/>
    </xf>
    <xf numFmtId="0" fontId="1" fillId="0" borderId="5" xfId="0" applyFont="1" applyBorder="1"/>
    <xf numFmtId="0" fontId="0" fillId="3" borderId="0" xfId="0" applyFill="1"/>
    <xf numFmtId="0" fontId="0" fillId="0" borderId="5" xfId="0" quotePrefix="1" applyBorder="1"/>
    <xf numFmtId="1" fontId="0" fillId="0" borderId="0" xfId="0" applyNumberFormat="1"/>
    <xf numFmtId="0" fontId="0" fillId="0" borderId="5" xfId="0" applyBorder="1" applyAlignment="1">
      <alignment horizontal="center" vertical="center"/>
    </xf>
  </cellXfs>
  <cellStyles count="1">
    <cellStyle name="Обычный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5-07-01T11:25:50.76" personId="{1BBA9C37-440F-4406-BC90-B03034B3364F}" id="{F5B4A413-8E9D-4E5D-A7E6-F8CAAC683CB0}">
    <text>4-20 или резистивный?</text>
  </threadedComment>
  <threadedComment ref="B10" dT="2025-07-01T11:25:21.18" personId="{1BBA9C37-440F-4406-BC90-B03034B3364F}" id="{20090E64-8286-40F1-B1DA-DF6DD14D0F7A}">
    <text>Непонятно активный или пассивный</text>
  </threadedComment>
  <threadedComment ref="B12" dT="2025-07-02T09:35:37.96" personId="{1BBA9C37-440F-4406-BC90-B03034B3364F}" id="{3E3B6129-7D3D-43E1-94E9-29EE39694C57}">
    <text>непонятное подключение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Y26"/>
  <sheetViews>
    <sheetView tabSelected="1" topLeftCell="BV1" zoomScale="85" zoomScaleNormal="85" workbookViewId="0">
      <pane ySplit="1" topLeftCell="A2" activePane="bottomLeft" state="frozen"/>
      <selection pane="bottomLeft" activeCell="CO15" sqref="CO15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0" width="9.140625" customWidth="1"/>
    <col min="161" max="162" width="12.42578125" bestFit="1" customWidth="1"/>
    <col min="163" max="186" width="9.140625" customWidth="1"/>
    <col min="187" max="195" width="14.42578125" customWidth="1"/>
    <col min="196" max="196" width="11.7109375" customWidth="1"/>
    <col min="197" max="197" width="12.42578125" customWidth="1"/>
    <col min="198" max="234" width="9.140625" customWidth="1"/>
    <col min="235" max="235" width="11.7109375" bestFit="1" customWidth="1"/>
    <col min="236" max="236" width="11.5703125" bestFit="1" customWidth="1"/>
    <col min="237" max="237" width="11.7109375" bestFit="1" customWidth="1"/>
    <col min="238" max="238" width="11.5703125" bestFit="1" customWidth="1"/>
    <col min="239" max="240" width="11.5703125" customWidth="1"/>
    <col min="241" max="245" width="5.140625" customWidth="1"/>
    <col min="246" max="251" width="9.140625" customWidth="1"/>
    <col min="253" max="254" width="10.5703125" bestFit="1" customWidth="1"/>
    <col min="264" max="264" width="10.28515625" bestFit="1" customWidth="1"/>
    <col min="302" max="303" width="9.7109375" bestFit="1" customWidth="1"/>
  </cols>
  <sheetData>
    <row r="1" spans="1:311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4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40</v>
      </c>
      <c r="EX1" s="5" t="s">
        <v>41</v>
      </c>
      <c r="EY1" s="5" t="s">
        <v>42</v>
      </c>
      <c r="EZ1" s="5" t="s">
        <v>43</v>
      </c>
      <c r="FA1" s="5" t="s">
        <v>44</v>
      </c>
      <c r="FB1" s="5" t="s">
        <v>45</v>
      </c>
      <c r="FC1" s="5" t="s">
        <v>46</v>
      </c>
      <c r="FD1" s="5" t="s">
        <v>47</v>
      </c>
      <c r="FE1" s="5" t="s">
        <v>401</v>
      </c>
      <c r="FF1" s="5" t="s">
        <v>402</v>
      </c>
      <c r="FG1" s="5" t="s">
        <v>50</v>
      </c>
      <c r="FH1" s="5" t="s">
        <v>51</v>
      </c>
      <c r="FI1" s="5" t="s">
        <v>52</v>
      </c>
      <c r="FJ1" s="5" t="s">
        <v>53</v>
      </c>
      <c r="FK1" s="5" t="s">
        <v>54</v>
      </c>
      <c r="FL1" s="5" t="s">
        <v>55</v>
      </c>
      <c r="FM1" s="5" t="s">
        <v>56</v>
      </c>
      <c r="FN1" s="5" t="s">
        <v>57</v>
      </c>
      <c r="FO1" s="5" t="s">
        <v>58</v>
      </c>
      <c r="FP1" s="5" t="s">
        <v>59</v>
      </c>
      <c r="FQ1" s="5" t="s">
        <v>60</v>
      </c>
      <c r="FR1" s="5" t="s">
        <v>61</v>
      </c>
      <c r="FS1" s="5" t="s">
        <v>62</v>
      </c>
      <c r="FT1" s="5" t="s">
        <v>63</v>
      </c>
      <c r="FU1" s="5" t="s">
        <v>64</v>
      </c>
      <c r="FV1" s="5" t="s">
        <v>65</v>
      </c>
      <c r="FW1" s="5" t="s">
        <v>73</v>
      </c>
      <c r="FX1" s="5" t="s">
        <v>74</v>
      </c>
      <c r="FY1" s="5" t="s">
        <v>75</v>
      </c>
      <c r="FZ1" s="5" t="s">
        <v>76</v>
      </c>
      <c r="GA1" s="5" t="s">
        <v>77</v>
      </c>
      <c r="GB1" s="5" t="s">
        <v>78</v>
      </c>
      <c r="GC1" s="5" t="s">
        <v>79</v>
      </c>
      <c r="GD1" s="5" t="s">
        <v>80</v>
      </c>
      <c r="GE1" s="5" t="s">
        <v>403</v>
      </c>
      <c r="GF1" s="5" t="s">
        <v>420</v>
      </c>
      <c r="GG1" s="5" t="s">
        <v>404</v>
      </c>
      <c r="GH1" s="5" t="s">
        <v>405</v>
      </c>
      <c r="GI1" s="5" t="s">
        <v>406</v>
      </c>
      <c r="GJ1" s="5" t="s">
        <v>407</v>
      </c>
      <c r="GK1" s="5" t="s">
        <v>408</v>
      </c>
      <c r="GL1" s="5" t="s">
        <v>409</v>
      </c>
      <c r="GM1" s="5" t="s">
        <v>410</v>
      </c>
      <c r="GN1" s="5" t="s">
        <v>92</v>
      </c>
      <c r="GO1" s="5" t="s">
        <v>93</v>
      </c>
      <c r="GP1" s="5" t="s">
        <v>68</v>
      </c>
      <c r="GQ1" s="5" t="s">
        <v>69</v>
      </c>
      <c r="GR1" s="5" t="s">
        <v>70</v>
      </c>
      <c r="GS1" s="5" t="s">
        <v>71</v>
      </c>
      <c r="GT1" s="5" t="s">
        <v>411</v>
      </c>
      <c r="GU1" s="5" t="s">
        <v>412</v>
      </c>
      <c r="GV1" s="5" t="s">
        <v>98</v>
      </c>
      <c r="GW1" s="5" t="s">
        <v>99</v>
      </c>
      <c r="GX1" s="5" t="s">
        <v>100</v>
      </c>
      <c r="GY1" s="5" t="s">
        <v>101</v>
      </c>
      <c r="GZ1" s="5" t="s">
        <v>102</v>
      </c>
      <c r="HA1" s="5" t="s">
        <v>103</v>
      </c>
      <c r="HB1" s="5" t="s">
        <v>104</v>
      </c>
      <c r="HC1" s="5" t="s">
        <v>105</v>
      </c>
      <c r="HD1" s="5" t="s">
        <v>106</v>
      </c>
      <c r="HE1" s="5" t="s">
        <v>107</v>
      </c>
      <c r="HF1" s="5" t="s">
        <v>108</v>
      </c>
      <c r="HG1" s="5" t="s">
        <v>109</v>
      </c>
      <c r="HH1" s="5" t="s">
        <v>110</v>
      </c>
      <c r="HI1" s="5" t="s">
        <v>111</v>
      </c>
      <c r="HJ1" s="5" t="s">
        <v>112</v>
      </c>
      <c r="HK1" s="5" t="s">
        <v>113</v>
      </c>
      <c r="HL1" s="5" t="s">
        <v>114</v>
      </c>
      <c r="HM1" s="5" t="s">
        <v>115</v>
      </c>
      <c r="HN1" s="5" t="s">
        <v>116</v>
      </c>
      <c r="HO1" s="5" t="s">
        <v>117</v>
      </c>
      <c r="HP1" s="5" t="s">
        <v>118</v>
      </c>
      <c r="HQ1" s="5" t="s">
        <v>119</v>
      </c>
      <c r="HR1" s="5" t="s">
        <v>120</v>
      </c>
      <c r="HS1" s="5" t="s">
        <v>121</v>
      </c>
      <c r="HT1" s="5" t="s">
        <v>122</v>
      </c>
      <c r="HU1" s="5" t="s">
        <v>123</v>
      </c>
      <c r="HV1" s="5" t="s">
        <v>124</v>
      </c>
      <c r="HW1" s="9" t="s">
        <v>125</v>
      </c>
      <c r="HX1" s="23" t="s">
        <v>35</v>
      </c>
      <c r="HY1" s="23" t="s">
        <v>557</v>
      </c>
      <c r="HZ1" s="23" t="s">
        <v>558</v>
      </c>
      <c r="IA1" s="32" t="s">
        <v>401</v>
      </c>
      <c r="IB1" s="5" t="s">
        <v>402</v>
      </c>
      <c r="IC1" s="32" t="s">
        <v>555</v>
      </c>
      <c r="ID1" s="5" t="s">
        <v>556</v>
      </c>
      <c r="IE1" s="5" t="s">
        <v>412</v>
      </c>
      <c r="IF1" s="5" t="s">
        <v>411</v>
      </c>
      <c r="IG1" s="5" t="s">
        <v>98</v>
      </c>
      <c r="IH1" s="5" t="s">
        <v>99</v>
      </c>
      <c r="II1" s="5" t="s">
        <v>100</v>
      </c>
      <c r="IJ1" s="5" t="s">
        <v>101</v>
      </c>
      <c r="IK1" s="5" t="s">
        <v>102</v>
      </c>
      <c r="IL1" s="30" t="s">
        <v>489</v>
      </c>
      <c r="IM1" s="35" t="s">
        <v>491</v>
      </c>
      <c r="IN1" s="30" t="s">
        <v>490</v>
      </c>
      <c r="IO1" s="35" t="s">
        <v>553</v>
      </c>
      <c r="IP1" s="19" t="s">
        <v>549</v>
      </c>
      <c r="IQ1" s="19" t="s">
        <v>550</v>
      </c>
      <c r="IR1" s="39" t="s">
        <v>35</v>
      </c>
      <c r="IS1" s="32" t="s">
        <v>401</v>
      </c>
      <c r="IT1" s="5" t="s">
        <v>402</v>
      </c>
      <c r="IU1" s="5" t="s">
        <v>98</v>
      </c>
      <c r="IV1" s="5" t="s">
        <v>99</v>
      </c>
      <c r="IW1" s="5" t="s">
        <v>100</v>
      </c>
      <c r="IX1" s="37" t="s">
        <v>31</v>
      </c>
      <c r="IY1" s="30" t="s">
        <v>112</v>
      </c>
      <c r="IZ1" s="38" t="s">
        <v>113</v>
      </c>
      <c r="JA1" s="4" t="s">
        <v>35</v>
      </c>
      <c r="JB1" s="5" t="s">
        <v>51</v>
      </c>
      <c r="JC1" s="5" t="s">
        <v>50</v>
      </c>
      <c r="JD1" s="5" t="s">
        <v>404</v>
      </c>
      <c r="JE1" s="5" t="s">
        <v>73</v>
      </c>
      <c r="JF1" s="5" t="s">
        <v>70</v>
      </c>
      <c r="JG1" s="5" t="s">
        <v>71</v>
      </c>
      <c r="JH1" s="5" t="s">
        <v>68</v>
      </c>
      <c r="JI1" s="5" t="s">
        <v>69</v>
      </c>
      <c r="JJ1" s="5" t="s">
        <v>856</v>
      </c>
      <c r="JK1" s="5" t="s">
        <v>857</v>
      </c>
      <c r="JL1" s="5" t="s">
        <v>858</v>
      </c>
      <c r="JM1" s="5" t="s">
        <v>859</v>
      </c>
      <c r="JN1" s="5" t="s">
        <v>98</v>
      </c>
      <c r="JO1" s="5" t="s">
        <v>99</v>
      </c>
      <c r="JP1" s="5" t="s">
        <v>100</v>
      </c>
      <c r="JQ1" s="5" t="s">
        <v>101</v>
      </c>
      <c r="JR1" s="5" t="s">
        <v>860</v>
      </c>
      <c r="JS1" s="5" t="s">
        <v>861</v>
      </c>
      <c r="JT1" s="5" t="s">
        <v>862</v>
      </c>
      <c r="JU1" s="5" t="s">
        <v>863</v>
      </c>
      <c r="JV1" s="9" t="s">
        <v>864</v>
      </c>
      <c r="JW1" s="39" t="s">
        <v>35</v>
      </c>
      <c r="JX1" s="23" t="s">
        <v>924</v>
      </c>
      <c r="JY1" s="23" t="s">
        <v>925</v>
      </c>
      <c r="JZ1" s="23" t="s">
        <v>37</v>
      </c>
      <c r="KA1" s="23" t="s">
        <v>36</v>
      </c>
      <c r="KB1" s="23" t="s">
        <v>51</v>
      </c>
      <c r="KC1" s="23" t="s">
        <v>50</v>
      </c>
      <c r="KD1" s="23" t="s">
        <v>53</v>
      </c>
      <c r="KE1" s="23" t="s">
        <v>52</v>
      </c>
      <c r="KF1" s="23" t="s">
        <v>73</v>
      </c>
      <c r="KG1" s="23" t="s">
        <v>74</v>
      </c>
      <c r="KH1" s="23" t="s">
        <v>70</v>
      </c>
      <c r="KI1" s="23" t="s">
        <v>71</v>
      </c>
      <c r="KJ1" s="23" t="s">
        <v>68</v>
      </c>
      <c r="KK1" s="23" t="s">
        <v>69</v>
      </c>
      <c r="KL1" s="23" t="s">
        <v>98</v>
      </c>
      <c r="KM1" s="23" t="s">
        <v>99</v>
      </c>
      <c r="KN1" s="23" t="s">
        <v>100</v>
      </c>
      <c r="KO1" s="23" t="s">
        <v>101</v>
      </c>
      <c r="KP1" s="23" t="s">
        <v>2000</v>
      </c>
      <c r="KQ1" s="23" t="s">
        <v>2004</v>
      </c>
      <c r="KR1" s="23" t="s">
        <v>2001</v>
      </c>
      <c r="KS1" s="23" t="s">
        <v>2002</v>
      </c>
      <c r="KT1" s="23" t="s">
        <v>112</v>
      </c>
      <c r="KU1" s="23" t="s">
        <v>113</v>
      </c>
      <c r="KV1" s="24" t="s">
        <v>114</v>
      </c>
      <c r="KW1" s="28" t="s">
        <v>144</v>
      </c>
      <c r="KX1" s="19" t="s">
        <v>2047</v>
      </c>
      <c r="KY1" s="20" t="s">
        <v>2048</v>
      </c>
    </row>
    <row r="2" spans="1:311" x14ac:dyDescent="0.25">
      <c r="A2" t="s">
        <v>1985</v>
      </c>
      <c r="B2" t="s">
        <v>1983</v>
      </c>
      <c r="C2" t="s">
        <v>498</v>
      </c>
      <c r="P2" t="s">
        <v>482</v>
      </c>
      <c r="T2" s="10" t="s">
        <v>1987</v>
      </c>
      <c r="U2">
        <v>1</v>
      </c>
      <c r="V2" t="s">
        <v>1997</v>
      </c>
      <c r="X2" t="s">
        <v>400</v>
      </c>
      <c r="Y2" s="43" t="str" cm="1">
        <f t="array" ref="Y2">IF(COUNTIFS($X$2:$X2,$X2)=1,"1",VALUE(SUBSTITUTE(INDEX(Y:Y,_xlfn.XMATCH($X2,$X$1:$X1,0,-1)),"A",""))+INDEX(Z:Z,_xlfn.XMATCH($X2,$X$1:$X1,0,-1))+1)</f>
        <v>1</v>
      </c>
      <c r="Z2" s="43" cm="1">
        <f t="array" ref="Z2">SUM(IF(ISNUMBER(FIND("TmAi",$BE$1:$PU$1)),IF(IFERROR(ISODD(SUBSTITUTE($BE2:$PU2,"A","")),FALSE),IF(ISODD(SUBSTITUTE($BE2:$PU2,"A","")),1,0),0)))</f>
        <v>0</v>
      </c>
      <c r="AA2" t="str">
        <f t="shared" ref="AA2:AA10" si="0">CONCATENATE($Y2*2-1,"B")</f>
        <v>1B</v>
      </c>
      <c r="AB2" t="str">
        <f t="shared" ref="AB2:AB10" si="1">CONCATENATE($Y2*2,"B")</f>
        <v>2B</v>
      </c>
      <c r="AP2" t="s">
        <v>1990</v>
      </c>
      <c r="AS2" t="s">
        <v>396</v>
      </c>
      <c r="HX2" s="27" t="str">
        <f>CONCATENATE("XT",U2)</f>
        <v>XT1</v>
      </c>
      <c r="IA2" t="str">
        <f>CONCATENATE(T2,"-AI",REPLACE($X2,1,3,""),"-",AA2)</f>
        <v>E1-AI1-1B</v>
      </c>
      <c r="IB2" t="str">
        <f>CONCATENATE(T2,"-AI",REPLACE($X2,1,3,""),"-",AB2)</f>
        <v>E1-AI1-2B</v>
      </c>
      <c r="IG2">
        <v>1</v>
      </c>
      <c r="IH2">
        <f t="shared" ref="IH2" si="2">IG2+1</f>
        <v>2</v>
      </c>
      <c r="II2">
        <f t="shared" ref="II2" si="3">IH2+1</f>
        <v>3</v>
      </c>
      <c r="IL2">
        <v>1</v>
      </c>
      <c r="IM2" s="16">
        <v>2</v>
      </c>
      <c r="IQ2" s="16"/>
    </row>
    <row r="3" spans="1:311" ht="15.75" thickBot="1" x14ac:dyDescent="0.3">
      <c r="A3" t="s">
        <v>1986</v>
      </c>
      <c r="B3" t="s">
        <v>1984</v>
      </c>
      <c r="C3" t="s">
        <v>498</v>
      </c>
      <c r="P3" t="s">
        <v>482</v>
      </c>
      <c r="T3" s="14" t="s">
        <v>1987</v>
      </c>
      <c r="U3">
        <v>1</v>
      </c>
      <c r="V3" t="s">
        <v>1996</v>
      </c>
      <c r="X3" t="str">
        <f>IF(COUNTIF(X$2:X2,X2)&gt;7,REPLACE(X2,LEN(X2),1,VALUE(RIGHT(X2,1))+1),X2)</f>
        <v>A3.1</v>
      </c>
      <c r="Y3" s="43" cm="1">
        <f t="array" ref="Y3">IF(COUNTIFS($X$2:$X3,$X3)=1,"1",VALUE(SUBSTITUTE(INDEX(Y:Y,_xlfn.XMATCH($X3,$X$1:$X2,0,-1)),"A",""))+INDEX(Z:Z,_xlfn.XMATCH($X3,$X$1:$X2,0,-1))+1)</f>
        <v>2</v>
      </c>
      <c r="Z3" s="43" cm="1">
        <f t="array" ref="Z3">SUM(IF(ISNUMBER(FIND("TmAi",$BE$1:$PU$1)),IF(IFERROR(ISODD(SUBSTITUTE($BE3:$PU3,"A","")),FALSE),IF(ISODD(SUBSTITUTE($BE3:$PU3,"A","")),1,0),0)))</f>
        <v>0</v>
      </c>
      <c r="AA3" t="str">
        <f t="shared" si="0"/>
        <v>3B</v>
      </c>
      <c r="AB3" t="str">
        <f t="shared" si="1"/>
        <v>4B</v>
      </c>
      <c r="AP3" t="s">
        <v>1990</v>
      </c>
      <c r="AS3" t="s">
        <v>396</v>
      </c>
      <c r="HX3" s="27" t="str">
        <f>CONCATENATE("XT",U3)</f>
        <v>XT1</v>
      </c>
      <c r="IA3" t="str">
        <f>CONCATENATE(T3,"-AI",REPLACE($X3,1,3,""),"-",AA3)</f>
        <v>E1-AI1-3B</v>
      </c>
      <c r="IB3" t="str">
        <f>CONCATENATE(T3,"-AI",REPLACE($X3,1,3,""),"-",AB3)</f>
        <v>E1-AI1-4B</v>
      </c>
      <c r="IG3" cm="1">
        <f t="array" ref="IG3">IF(COUNTIFS($U$2:$U3,$U3)=1,1,INDEX(IG:IG,_xlfn.XMATCH(U3,U$1:U2,0,-1))+COUNT(IG2:IK2))</f>
        <v>4</v>
      </c>
      <c r="IH3">
        <f t="shared" ref="IH3" si="4">IG3+1</f>
        <v>5</v>
      </c>
      <c r="II3">
        <f t="shared" ref="II3" si="5">IH3+1</f>
        <v>6</v>
      </c>
      <c r="IL3">
        <v>1</v>
      </c>
      <c r="IM3" s="16">
        <v>2</v>
      </c>
      <c r="IQ3" s="16"/>
    </row>
    <row r="4" spans="1:311" x14ac:dyDescent="0.25">
      <c r="A4" s="55" t="s">
        <v>1992</v>
      </c>
      <c r="B4" t="s">
        <v>1991</v>
      </c>
      <c r="C4" t="s">
        <v>1993</v>
      </c>
      <c r="P4" t="s">
        <v>1994</v>
      </c>
      <c r="T4" s="27" t="s">
        <v>1987</v>
      </c>
      <c r="U4">
        <v>2</v>
      </c>
      <c r="V4" t="s">
        <v>1995</v>
      </c>
      <c r="Y4" s="43"/>
      <c r="Z4" s="43"/>
      <c r="AC4" t="s">
        <v>131</v>
      </c>
      <c r="AD4" s="43">
        <v>1</v>
      </c>
      <c r="AE4" s="43" cm="1">
        <f t="array" ref="AE4">SUM(IF(ISNUMBER(FIND("TmDi",$BE$1:$PU$1)),IF(IFERROR(ISNUMBER(VALUE(SUBSTITUTE($BE4:$PU4,"B",""))),FALSE),IF(ISNUMBER(VALUE(SUBSTITUTE($BE4:$PU4,"B",""))),1,0),0)))</f>
        <v>1</v>
      </c>
      <c r="AF4" t="str">
        <f t="shared" ref="AF4" si="6">CONCATENATE("C",$AD4)</f>
        <v>C1</v>
      </c>
      <c r="AG4" t="str">
        <f t="shared" ref="AG4" si="7">CONCATENATE("B",$AD4)</f>
        <v>B1</v>
      </c>
      <c r="AP4" t="s">
        <v>1990</v>
      </c>
      <c r="AQ4" t="s">
        <v>2011</v>
      </c>
      <c r="AT4" t="s">
        <v>854</v>
      </c>
      <c r="JW4" s="25" t="str">
        <f t="shared" ref="JW4" si="8">CONCATENATE("XT",$U4)</f>
        <v>XT2</v>
      </c>
      <c r="JX4" s="57" t="s">
        <v>1998</v>
      </c>
      <c r="JY4" s="12" t="s">
        <v>1999</v>
      </c>
      <c r="JZ4" s="12" t="str">
        <f>CONCATENATE("B",REPLACE($AF4,1,1,"")+1)</f>
        <v>B2</v>
      </c>
      <c r="KA4" s="12" t="str">
        <f>CONCATENATE("C",REPLACE($AG4,1,1,"")+1)</f>
        <v>C2</v>
      </c>
      <c r="KB4" s="12" t="str">
        <f>CONCATENATE("DI",REPLACE($AC4,1,3,""),"-",$AG4)</f>
        <v>DI1-B1</v>
      </c>
      <c r="KC4" s="12" t="str">
        <f>CONCATENATE("DI",REPLACE($AC4,1,3,""),"-",$AF4)</f>
        <v>DI1-C1</v>
      </c>
      <c r="KD4" s="12" t="str">
        <f>CONCATENATE("DI",REPLACE($AC4,1,3,""),"-",JZ4)</f>
        <v>DI1-B2</v>
      </c>
      <c r="KE4" s="12" t="str">
        <f>CONCATENATE("DI",REPLACE($AC4,1,3,""),"-",KA4)</f>
        <v>DI1-C2</v>
      </c>
      <c r="KF4" s="12" t="str">
        <f>CONCATENATE("K",$U4,"-01")</f>
        <v>K2-01</v>
      </c>
      <c r="KG4" s="12" t="str">
        <f>CONCATENATE("K",$U4,"-02")</f>
        <v>K2-02</v>
      </c>
      <c r="KH4" s="12">
        <v>11</v>
      </c>
      <c r="KI4" s="12">
        <v>14</v>
      </c>
      <c r="KJ4" s="12" t="s">
        <v>142</v>
      </c>
      <c r="KK4" s="12" t="s">
        <v>143</v>
      </c>
      <c r="KL4" s="12">
        <v>1</v>
      </c>
      <c r="KM4" s="12">
        <f>KL4+1</f>
        <v>2</v>
      </c>
      <c r="KN4" s="12">
        <f t="shared" ref="KN4:KO4" si="9">KM4+1</f>
        <v>3</v>
      </c>
      <c r="KO4" s="12">
        <f t="shared" si="9"/>
        <v>4</v>
      </c>
      <c r="KP4" s="12" t="s">
        <v>2003</v>
      </c>
      <c r="KQ4" s="12" t="s">
        <v>2005</v>
      </c>
      <c r="KR4" s="12" t="s">
        <v>2009</v>
      </c>
      <c r="KS4" s="12" t="s">
        <v>2010</v>
      </c>
      <c r="KT4" s="12" t="s">
        <v>2006</v>
      </c>
      <c r="KU4" s="12" t="s">
        <v>2007</v>
      </c>
      <c r="KV4" s="13" t="s">
        <v>2008</v>
      </c>
    </row>
    <row r="5" spans="1:311" x14ac:dyDescent="0.25">
      <c r="A5" s="55" t="s">
        <v>2014</v>
      </c>
      <c r="B5" s="58" t="s">
        <v>2012</v>
      </c>
      <c r="C5" t="s">
        <v>537</v>
      </c>
      <c r="P5" t="s">
        <v>542</v>
      </c>
      <c r="T5" s="27" t="s">
        <v>1987</v>
      </c>
      <c r="U5">
        <v>1</v>
      </c>
      <c r="V5" t="s">
        <v>2016</v>
      </c>
      <c r="X5" t="s">
        <v>2018</v>
      </c>
      <c r="Y5" s="43" t="str" cm="1">
        <f t="array" ref="Y5">IF(COUNTIFS($X$2:$X5,$X5)=1,"1",VALUE(SUBSTITUTE(INDEX(Y:Y,_xlfn.XMATCH($X5,$X$1:$X4,0,-1)),"A",""))+INDEX(Z:Z,_xlfn.XMATCH($X5,$X$1:$X4,0,-1))+1)</f>
        <v>1</v>
      </c>
      <c r="Z5" s="43" cm="1">
        <f t="array" ref="Z5">SUM(IF(ISNUMBER(FIND("TmAi",$BE$1:$PU$1)),IF(IFERROR(ISODD(SUBSTITUTE($BE5:$PU5,"A","")),FALSE),IF(ISODD(SUBSTITUTE($BE5:$PU5,"A","")),1,0),0)))</f>
        <v>0</v>
      </c>
      <c r="AA5" t="str">
        <f t="shared" si="0"/>
        <v>1B</v>
      </c>
      <c r="AB5" t="str">
        <f t="shared" si="1"/>
        <v>2B</v>
      </c>
      <c r="AD5" s="43"/>
      <c r="AE5" s="43"/>
      <c r="AP5" t="s">
        <v>1990</v>
      </c>
      <c r="AQ5" t="s">
        <v>2011</v>
      </c>
      <c r="AS5" t="s">
        <v>396</v>
      </c>
    </row>
    <row r="6" spans="1:311" ht="15.75" thickBot="1" x14ac:dyDescent="0.3">
      <c r="A6" t="s">
        <v>2015</v>
      </c>
      <c r="B6" s="58" t="s">
        <v>2013</v>
      </c>
      <c r="C6" t="s">
        <v>537</v>
      </c>
      <c r="P6" t="s">
        <v>542</v>
      </c>
      <c r="T6" s="27" t="s">
        <v>1987</v>
      </c>
      <c r="U6">
        <v>1</v>
      </c>
      <c r="V6" t="s">
        <v>2017</v>
      </c>
      <c r="X6" t="str">
        <f>IF(COUNTIF(X$2:X5,X5)&gt;7,REPLACE(X5,LEN(X5),1,VALUE(RIGHT(X5,1))+1),X5)</f>
        <v>A3.2</v>
      </c>
      <c r="Y6" s="43" cm="1">
        <f t="array" ref="Y6">IF(COUNTIFS($X$2:$X6,$X6)=1,"1",VALUE(SUBSTITUTE(INDEX(Y:Y,_xlfn.XMATCH($X6,$X$1:$X5,0,-1)),"A",""))+INDEX(Z:Z,_xlfn.XMATCH($X6,$X$1:$X5,0,-1))+1)</f>
        <v>2</v>
      </c>
      <c r="Z6" s="43" cm="1">
        <f t="array" ref="Z6">SUM(IF(ISNUMBER(FIND("TmAi",$BE$1:$PU$1)),IF(IFERROR(ISODD(SUBSTITUTE($BE6:$PU6,"A","")),FALSE),IF(ISODD(SUBSTITUTE($BE6:$PU6,"A","")),1,0),0)))</f>
        <v>0</v>
      </c>
      <c r="AA6" t="str">
        <f t="shared" si="0"/>
        <v>3B</v>
      </c>
      <c r="AB6" t="str">
        <f t="shared" si="1"/>
        <v>4B</v>
      </c>
      <c r="AP6" t="s">
        <v>1990</v>
      </c>
      <c r="AQ6" t="s">
        <v>2011</v>
      </c>
      <c r="AS6" t="s">
        <v>396</v>
      </c>
    </row>
    <row r="7" spans="1:311" x14ac:dyDescent="0.25">
      <c r="A7" t="s">
        <v>2021</v>
      </c>
      <c r="B7" s="58" t="s">
        <v>2019</v>
      </c>
      <c r="P7" t="s">
        <v>869</v>
      </c>
      <c r="T7" s="27" t="s">
        <v>1987</v>
      </c>
      <c r="U7">
        <v>1</v>
      </c>
      <c r="V7" t="s">
        <v>2027</v>
      </c>
      <c r="X7" t="s">
        <v>400</v>
      </c>
      <c r="Y7" s="43" cm="1">
        <f t="array" ref="Y7">IF(COUNTIFS($X$2:$X7,$X7)=1,"1",VALUE(SUBSTITUTE(INDEX(Y:Y,_xlfn.XMATCH($X7,$X$1:$X6,0,-1)),"A",""))+INDEX(Z:Z,_xlfn.XMATCH($X7,$X$1:$X6,0,-1))+1)</f>
        <v>3</v>
      </c>
      <c r="Z7" s="43" cm="1">
        <f t="array" ref="Z7">SUM(IF(ISNUMBER(FIND("TmAi",$BE$1:$PU$1)),IF(IFERROR(ISODD(SUBSTITUTE($BE7:$PU7,"A","")),FALSE),IF(ISODD(SUBSTITUTE($BE7:$PU7,"A","")),1,0),0)))</f>
        <v>0</v>
      </c>
      <c r="AA7" t="str">
        <f t="shared" si="0"/>
        <v>5B</v>
      </c>
      <c r="AB7" t="str">
        <f t="shared" si="1"/>
        <v>6B</v>
      </c>
      <c r="AP7" t="s">
        <v>1990</v>
      </c>
      <c r="AQ7" t="s">
        <v>2011</v>
      </c>
      <c r="AS7" t="s">
        <v>396</v>
      </c>
      <c r="IR7" s="25" t="str">
        <f>CONCATENATE("XT",U7)</f>
        <v>XT1</v>
      </c>
      <c r="IS7" s="12" t="str">
        <f>CONCATENATE(T7,"-AI",REPLACE($X7,1,3,""),"-",AA7)</f>
        <v>E1-AI1-5B</v>
      </c>
      <c r="IT7" s="12" t="str">
        <f>CONCATENATE(T7,"-AI",REPLACE($X7,1,3,""),"-",AB7)</f>
        <v>E1-AI1-6B</v>
      </c>
      <c r="IU7" s="12">
        <v>7</v>
      </c>
      <c r="IV7" s="12">
        <f t="shared" ref="IV7:IV10" si="10">IU7+1</f>
        <v>8</v>
      </c>
      <c r="IW7" s="12">
        <f t="shared" ref="IW7:IW10" si="11">IV7+1</f>
        <v>9</v>
      </c>
      <c r="IX7" s="12"/>
      <c r="IY7" s="12" t="s">
        <v>2031</v>
      </c>
      <c r="IZ7" s="13" t="s">
        <v>2032</v>
      </c>
    </row>
    <row r="8" spans="1:311" x14ac:dyDescent="0.25">
      <c r="A8" t="s">
        <v>2022</v>
      </c>
      <c r="B8" s="58" t="s">
        <v>2020</v>
      </c>
      <c r="P8" t="s">
        <v>869</v>
      </c>
      <c r="T8" s="27" t="s">
        <v>1987</v>
      </c>
      <c r="U8">
        <v>1</v>
      </c>
      <c r="V8" t="s">
        <v>2028</v>
      </c>
      <c r="X8" t="str">
        <f>IF(COUNTIF(X$2:X7,X7)&gt;7,REPLACE(X7,LEN(X7),1,VALUE(RIGHT(X7,1))+1),X7)</f>
        <v>A3.1</v>
      </c>
      <c r="Y8" s="43" cm="1">
        <f t="array" ref="Y8">IF(COUNTIFS($X$2:$X8,$X8)=1,"1",VALUE(SUBSTITUTE(INDEX(Y:Y,_xlfn.XMATCH($X8,$X$1:$X7,0,-1)),"A",""))+INDEX(Z:Z,_xlfn.XMATCH($X8,$X$1:$X7,0,-1))+1)</f>
        <v>4</v>
      </c>
      <c r="Z8" s="43" cm="1">
        <f t="array" ref="Z8">SUM(IF(ISNUMBER(FIND("TmAi",$BE$1:$PU$1)),IF(IFERROR(ISODD(SUBSTITUTE($BE8:$PU8,"A","")),FALSE),IF(ISODD(SUBSTITUTE($BE8:$PU8,"A","")),1,0),0)))</f>
        <v>0</v>
      </c>
      <c r="AA8" t="str">
        <f t="shared" si="0"/>
        <v>7B</v>
      </c>
      <c r="AB8" t="str">
        <f t="shared" si="1"/>
        <v>8B</v>
      </c>
      <c r="AP8" t="s">
        <v>1990</v>
      </c>
      <c r="AQ8" t="s">
        <v>2011</v>
      </c>
      <c r="AS8" t="s">
        <v>396</v>
      </c>
      <c r="IR8" s="27" t="str">
        <f>CONCATENATE("XT",U8)</f>
        <v>XT1</v>
      </c>
      <c r="IS8" t="str">
        <f>CONCATENATE(T8,"-AI",REPLACE($X8,1,3,""),"-",AA8)</f>
        <v>E1-AI1-7B</v>
      </c>
      <c r="IT8" t="str">
        <f>CONCATENATE(T8,"-AI",REPLACE($X8,1,3,""),"-",AB8)</f>
        <v>E1-AI1-8B</v>
      </c>
      <c r="IU8">
        <f>IU7+3</f>
        <v>10</v>
      </c>
      <c r="IV8">
        <f t="shared" si="10"/>
        <v>11</v>
      </c>
      <c r="IW8">
        <f t="shared" si="11"/>
        <v>12</v>
      </c>
      <c r="IY8" t="s">
        <v>2033</v>
      </c>
      <c r="IZ8" s="16" t="s">
        <v>2034</v>
      </c>
    </row>
    <row r="9" spans="1:311" x14ac:dyDescent="0.25">
      <c r="A9" s="55" t="s">
        <v>2025</v>
      </c>
      <c r="B9" s="58" t="s">
        <v>2023</v>
      </c>
      <c r="P9" t="s">
        <v>869</v>
      </c>
      <c r="T9" s="27" t="s">
        <v>1987</v>
      </c>
      <c r="U9">
        <v>1</v>
      </c>
      <c r="V9" t="s">
        <v>2029</v>
      </c>
      <c r="X9" t="str">
        <f>IF(COUNTIF(X$2:X8,X8)&gt;7,REPLACE(X8,LEN(X8),1,VALUE(RIGHT(X8,1))+1),X8)</f>
        <v>A3.1</v>
      </c>
      <c r="Y9" s="43" cm="1">
        <f t="array" ref="Y9">IF(COUNTIFS($X$2:$X9,$X9)=1,"1",VALUE(SUBSTITUTE(INDEX(Y:Y,_xlfn.XMATCH($X9,$X$1:$X8,0,-1)),"A",""))+INDEX(Z:Z,_xlfn.XMATCH($X9,$X$1:$X8,0,-1))+1)</f>
        <v>5</v>
      </c>
      <c r="Z9" s="43" cm="1">
        <f t="array" ref="Z9">SUM(IF(ISNUMBER(FIND("TmAi",$BE$1:$PU$1)),IF(IFERROR(ISODD(SUBSTITUTE($BE9:$PU9,"A","")),FALSE),IF(ISODD(SUBSTITUTE($BE9:$PU9,"A","")),1,0),0)))</f>
        <v>0</v>
      </c>
      <c r="AA9" t="str">
        <f t="shared" si="0"/>
        <v>9B</v>
      </c>
      <c r="AB9" t="str">
        <f t="shared" si="1"/>
        <v>10B</v>
      </c>
      <c r="AP9" t="s">
        <v>1990</v>
      </c>
      <c r="AQ9" t="s">
        <v>2011</v>
      </c>
      <c r="AS9" t="s">
        <v>396</v>
      </c>
      <c r="IR9" s="27" t="str">
        <f>CONCATENATE("XT",U9)</f>
        <v>XT1</v>
      </c>
      <c r="IS9" t="str">
        <f>CONCATENATE(T9,"-AI",REPLACE($X9,1,3,""),"-",AA9)</f>
        <v>E1-AI1-9B</v>
      </c>
      <c r="IT9" t="str">
        <f>CONCATENATE(T9,"-AI",REPLACE($X9,1,3,""),"-",AB9)</f>
        <v>E1-AI1-10B</v>
      </c>
      <c r="IU9">
        <f t="shared" ref="IU9:IU10" si="12">IU8+3</f>
        <v>13</v>
      </c>
      <c r="IV9">
        <f t="shared" si="10"/>
        <v>14</v>
      </c>
      <c r="IW9">
        <f t="shared" si="11"/>
        <v>15</v>
      </c>
      <c r="IY9" t="s">
        <v>2035</v>
      </c>
      <c r="IZ9" s="16" t="s">
        <v>2036</v>
      </c>
    </row>
    <row r="10" spans="1:311" ht="15.75" thickBot="1" x14ac:dyDescent="0.3">
      <c r="A10" t="s">
        <v>2026</v>
      </c>
      <c r="B10" s="58" t="s">
        <v>2024</v>
      </c>
      <c r="P10" t="s">
        <v>869</v>
      </c>
      <c r="T10" s="27" t="s">
        <v>1987</v>
      </c>
      <c r="U10">
        <v>1</v>
      </c>
      <c r="V10" t="s">
        <v>2030</v>
      </c>
      <c r="X10" t="str">
        <f>IF(COUNTIF(X$2:X9,X9)&gt;7,REPLACE(X9,LEN(X9),1,VALUE(RIGHT(X9,1))+1),X9)</f>
        <v>A3.1</v>
      </c>
      <c r="Y10" s="43" cm="1">
        <f t="array" ref="Y10">IF(COUNTIFS($X$2:$X10,$X10)=1,"1",VALUE(SUBSTITUTE(INDEX(Y:Y,_xlfn.XMATCH($X10,$X$1:$X9,0,-1)),"A",""))+INDEX(Z:Z,_xlfn.XMATCH($X10,$X$1:$X9,0,-1))+1)</f>
        <v>6</v>
      </c>
      <c r="Z10" s="43" cm="1">
        <f t="array" ref="Z10">SUM(IF(ISNUMBER(FIND("TmAi",$BE$1:$PU$1)),IF(IFERROR(ISODD(SUBSTITUTE($BE10:$PU10,"A","")),FALSE),IF(ISODD(SUBSTITUTE($BE10:$PU10,"A","")),1,0),0)))</f>
        <v>0</v>
      </c>
      <c r="AA10" t="str">
        <f t="shared" si="0"/>
        <v>11B</v>
      </c>
      <c r="AB10" t="str">
        <f t="shared" si="1"/>
        <v>12B</v>
      </c>
      <c r="AP10" t="s">
        <v>1990</v>
      </c>
      <c r="AQ10" t="s">
        <v>2011</v>
      </c>
      <c r="AS10" t="s">
        <v>396</v>
      </c>
      <c r="IR10" s="27" t="str">
        <f>CONCATENATE("XT",U10)</f>
        <v>XT1</v>
      </c>
      <c r="IS10" t="str">
        <f>CONCATENATE(T10,"-AI",REPLACE($X10,1,3,""),"-",AA10)</f>
        <v>E1-AI1-11B</v>
      </c>
      <c r="IT10" t="str">
        <f>CONCATENATE(T10,"-AI",REPLACE($X10,1,3,""),"-",AB10)</f>
        <v>E1-AI1-12B</v>
      </c>
      <c r="IU10">
        <f t="shared" si="12"/>
        <v>16</v>
      </c>
      <c r="IV10">
        <f t="shared" si="10"/>
        <v>17</v>
      </c>
      <c r="IW10">
        <f t="shared" si="11"/>
        <v>18</v>
      </c>
      <c r="IY10" t="s">
        <v>2037</v>
      </c>
      <c r="IZ10" s="16" t="s">
        <v>2038</v>
      </c>
    </row>
    <row r="11" spans="1:311" ht="15.75" thickBot="1" x14ac:dyDescent="0.3">
      <c r="A11" t="s">
        <v>2041</v>
      </c>
      <c r="B11" t="s">
        <v>2043</v>
      </c>
      <c r="P11" t="s">
        <v>2042</v>
      </c>
      <c r="T11" s="27" t="s">
        <v>1987</v>
      </c>
      <c r="U11">
        <v>2</v>
      </c>
      <c r="V11" t="s">
        <v>2039</v>
      </c>
      <c r="AC11" t="s">
        <v>131</v>
      </c>
      <c r="AD11" s="43" cm="1">
        <f t="array" ref="AD11">IF(COUNTIFS(AC$2:AC11,AC11)=1,"1",VALUE(SUBSTITUTE(INDEX(AD:AD,_xlfn.XMATCH(AC11,AC$1:AC10,0,-1)),"A",""))+INDEX(AE:AE,_xlfn.XMATCH(AC11,AC$1:AC10,0,-1))+1)</f>
        <v>3</v>
      </c>
      <c r="AE11" s="43" cm="1">
        <f t="array" ref="AE11">SUM(IF(ISNUMBER(FIND("TmDi",$BE$1:$PU$1)),IF(IFERROR(ISNUMBER(VALUE(SUBSTITUTE($BE11:$PU11,"B",""))),FALSE),IF(ISNUMBER(VALUE(SUBSTITUTE($BE11:$PU11,"B",""))),1,0),0)))</f>
        <v>1</v>
      </c>
      <c r="AF11" t="str">
        <f t="shared" ref="AF11:AF26" si="13">CONCATENATE("C",$AD11)</f>
        <v>C3</v>
      </c>
      <c r="AG11" t="str">
        <f t="shared" ref="AG11:AG26" si="14">CONCATENATE("B",$AD11)</f>
        <v>B3</v>
      </c>
      <c r="AP11" t="s">
        <v>1990</v>
      </c>
      <c r="AQ11" t="s">
        <v>2011</v>
      </c>
      <c r="AT11" t="s">
        <v>854</v>
      </c>
      <c r="JW11" s="25" t="str">
        <f t="shared" ref="JW11" si="15">CONCATENATE("XT",$U11)</f>
        <v>XT2</v>
      </c>
      <c r="JX11" s="57"/>
      <c r="JY11" s="12"/>
      <c r="JZ11" s="12" t="str">
        <f>CONCATENATE("B",REPLACE($AF11,1,1,"")+1)</f>
        <v>B4</v>
      </c>
      <c r="KA11" s="12" t="str">
        <f>CONCATENATE("C",REPLACE($AG11,1,1,"")+1)</f>
        <v>C4</v>
      </c>
      <c r="KB11" s="12" t="str">
        <f>CONCATENATE("DI",REPLACE($AC11,1,3,""),"-",$AG11)</f>
        <v>DI1-B3</v>
      </c>
      <c r="KC11" s="12" t="str">
        <f>CONCATENATE("DI",REPLACE($AC11,1,3,""),"-",$AF11)</f>
        <v>DI1-C3</v>
      </c>
      <c r="KD11" s="12" t="str">
        <f>CONCATENATE("DI",REPLACE($AC11,1,3,""),"-",JZ11)</f>
        <v>DI1-B4</v>
      </c>
      <c r="KE11" s="12" t="str">
        <f>CONCATENATE("DI",REPLACE($AC11,1,3,""),"-",KA11)</f>
        <v>DI1-C4</v>
      </c>
      <c r="KF11" s="12" t="str">
        <f>CONCATENATE("K",$U11,"-03")</f>
        <v>K2-03</v>
      </c>
      <c r="KG11" s="12" t="str">
        <f>CONCATENATE("K",$U11,"-04")</f>
        <v>K2-04</v>
      </c>
      <c r="KH11" s="12">
        <v>11</v>
      </c>
      <c r="KI11" s="12">
        <v>14</v>
      </c>
      <c r="KJ11" s="12" t="s">
        <v>142</v>
      </c>
      <c r="KK11" s="12" t="s">
        <v>143</v>
      </c>
      <c r="KL11" s="12">
        <v>5</v>
      </c>
      <c r="KM11" s="12">
        <f>KL11+1</f>
        <v>6</v>
      </c>
      <c r="KN11" s="12"/>
      <c r="KO11" s="12"/>
      <c r="KP11" s="12" t="s">
        <v>2044</v>
      </c>
      <c r="KQ11" s="12" t="s">
        <v>2045</v>
      </c>
      <c r="KR11" s="12"/>
      <c r="KS11" s="12"/>
      <c r="KT11" s="59" t="s">
        <v>2046</v>
      </c>
      <c r="KU11" s="59" t="s">
        <v>2046</v>
      </c>
      <c r="KV11" s="13"/>
      <c r="KW11" s="25" t="s">
        <v>144</v>
      </c>
      <c r="KX11" s="12" t="s">
        <v>2040</v>
      </c>
      <c r="KY11" s="13" t="s">
        <v>2049</v>
      </c>
    </row>
    <row r="12" spans="1:311" ht="15.75" thickBot="1" x14ac:dyDescent="0.3">
      <c r="A12" t="s">
        <v>2051</v>
      </c>
      <c r="B12" s="58" t="s">
        <v>2050</v>
      </c>
      <c r="P12" t="s">
        <v>1378</v>
      </c>
      <c r="T12" s="27" t="s">
        <v>1987</v>
      </c>
      <c r="U12">
        <v>2</v>
      </c>
      <c r="V12" t="s">
        <v>2052</v>
      </c>
      <c r="AC12" t="str">
        <f t="shared" ref="AC12:AC13" si="16">IF(AD11+AE11&gt;31,REPLACE(AC11,LEN(AC11),1,VALUE(RIGHT(AC11,1))+1),AC11)</f>
        <v>A5.1</v>
      </c>
      <c r="AD12" s="43" cm="1">
        <f t="array" ref="AD12">IF(COUNTIFS(AC$2:AC12,AC12)=1,"1",VALUE(SUBSTITUTE(INDEX(AD:AD,_xlfn.XMATCH(AC12,AC$1:AC11,0,-1)),"A",""))+INDEX(AE:AE,_xlfn.XMATCH(AC12,AC$1:AC11,0,-1))+1)</f>
        <v>5</v>
      </c>
      <c r="AE12" s="43" cm="1">
        <f t="array" ref="AE12">SUM(IF(ISNUMBER(FIND("TmDi",$BE$1:$PU$1)),IF(IFERROR(ISNUMBER(VALUE(SUBSTITUTE($BE12:$PU12,"B",""))),FALSE),IF(ISNUMBER(VALUE(SUBSTITUTE($BE12:$PU12,"B",""))),1,0),0)))</f>
        <v>0</v>
      </c>
      <c r="AF12" t="str">
        <f t="shared" si="13"/>
        <v>C5</v>
      </c>
      <c r="AG12" t="str">
        <f t="shared" si="14"/>
        <v>B5</v>
      </c>
      <c r="AP12" t="s">
        <v>1990</v>
      </c>
      <c r="AQ12" t="s">
        <v>2053</v>
      </c>
      <c r="AT12" t="s">
        <v>854</v>
      </c>
      <c r="IX12" t="s">
        <v>2054</v>
      </c>
      <c r="JA12" s="25" t="str">
        <f>CONCATENATE("XT",U12)</f>
        <v>XT2</v>
      </c>
      <c r="JB12" s="12" t="str">
        <f>CONCATENATE("DI",REPLACE($AC12,1,3,""),"-",$AG12)</f>
        <v>DI1-B5</v>
      </c>
      <c r="JC12" s="12" t="str">
        <f>CONCATENATE("DI",REPLACE($AC12,1,3,""),"-",$AF12)</f>
        <v>DI1-C5</v>
      </c>
      <c r="JD12" s="12" t="s">
        <v>2056</v>
      </c>
      <c r="JE12" s="12" t="s">
        <v>2055</v>
      </c>
      <c r="JF12" s="12">
        <v>11</v>
      </c>
      <c r="JG12" s="12">
        <v>14</v>
      </c>
      <c r="JH12" s="12" t="s">
        <v>142</v>
      </c>
      <c r="JI12" s="12" t="s">
        <v>143</v>
      </c>
      <c r="JJ12" s="12" t="s">
        <v>488</v>
      </c>
      <c r="JK12" s="12" t="s">
        <v>487</v>
      </c>
      <c r="JL12" s="12" t="s">
        <v>414</v>
      </c>
      <c r="JM12" s="12" t="s">
        <v>413</v>
      </c>
      <c r="JN12" s="12">
        <v>5</v>
      </c>
      <c r="JO12" s="12">
        <v>6</v>
      </c>
      <c r="JP12" s="12"/>
      <c r="JQ12" s="12"/>
      <c r="JR12" s="12"/>
      <c r="JS12" s="12"/>
      <c r="JT12" s="12">
        <v>3</v>
      </c>
      <c r="JU12" s="12">
        <v>7</v>
      </c>
      <c r="JV12" s="13"/>
    </row>
    <row r="13" spans="1:311" ht="15.75" thickBot="1" x14ac:dyDescent="0.3">
      <c r="A13" t="s">
        <v>2058</v>
      </c>
      <c r="B13" t="s">
        <v>2057</v>
      </c>
      <c r="P13" t="s">
        <v>2061</v>
      </c>
      <c r="T13" s="14" t="s">
        <v>1987</v>
      </c>
      <c r="U13" s="60">
        <v>3</v>
      </c>
      <c r="V13" t="s">
        <v>2059</v>
      </c>
      <c r="W13" t="s">
        <v>2060</v>
      </c>
      <c r="X13" t="s">
        <v>400</v>
      </c>
      <c r="Y13" s="43" cm="1">
        <f t="array" ref="Y13">IF(COUNTIFS($X$2:$X13,$X13)=1,"1",VALUE(SUBSTITUTE(INDEX(Y:Y,_xlfn.XMATCH($X13,$X$1:$X12,0,-1)),"A",""))+INDEX(Z:Z,_xlfn.XMATCH($X13,$X$1:$X12,0,-1))+1)</f>
        <v>7</v>
      </c>
      <c r="Z13" s="43" cm="1">
        <f t="array" ref="Z13">SUM(IF(ISNUMBER(FIND("TmAi",$BE$1:$PU$1)),IF(IFERROR(ISODD(SUBSTITUTE($BE13:$PU13,"A","")),FALSE),IF(ISODD(SUBSTITUTE($BE13:$PU13,"A","")),1,0),0)))</f>
        <v>0</v>
      </c>
      <c r="AA13" t="str">
        <f t="shared" ref="AA13:AA14" si="17">CONCATENATE($Y13*2-1,"A")</f>
        <v>13A</v>
      </c>
      <c r="AB13" t="str">
        <f t="shared" ref="AB13:AB14" si="18">CONCATENATE($Y13*2-1,"B")</f>
        <v>13B</v>
      </c>
      <c r="AC13" t="str">
        <f t="shared" si="16"/>
        <v>A5.1</v>
      </c>
      <c r="AD13" s="43" cm="1">
        <f t="array" ref="AD13">IF(COUNTIFS(AC$2:AC13,AC13)=1,"1",VALUE(SUBSTITUTE(INDEX(AD:AD,_xlfn.XMATCH(AC13,AC$1:AC12,0,-1)),"A",""))+INDEX(AE:AE,_xlfn.XMATCH(AC13,AC$1:AC12,0,-1))+1)</f>
        <v>6</v>
      </c>
      <c r="AE13" s="43" cm="1">
        <f t="array" ref="AE13">SUM(IF(ISNUMBER(FIND("TmDi",$BE$1:$PU$1)),IF(IFERROR(ISNUMBER(VALUE(SUBSTITUTE($BE13:$PU13,"B",""))),FALSE),IF(ISNUMBER(VALUE(SUBSTITUTE($BE13:$PU13,"B",""))),1,0),0)))</f>
        <v>1</v>
      </c>
      <c r="AF13" t="str">
        <f t="shared" si="13"/>
        <v>C6</v>
      </c>
      <c r="AG13" t="str">
        <f t="shared" si="14"/>
        <v>B6</v>
      </c>
      <c r="AH13" s="15" t="s">
        <v>132</v>
      </c>
      <c r="AI13" s="43">
        <v>1</v>
      </c>
      <c r="AJ13" s="43" cm="1">
        <f t="array" ref="AJ13">SUM(IF(ISNUMBER(FIND("TmDo",$BE$1:$PU$1)),IF(IFERROR(ISNUMBER(VALUE(SUBSTITUTE($BE13:$PU13,"B",""))),FALSE),IF(ISNUMBER(VALUE(SUBSTITUTE($BE13:$PU13,"B",""))),1,0),0)))</f>
        <v>1</v>
      </c>
      <c r="AK13" t="str">
        <f t="shared" ref="AK13:AK17" si="19">CONCATENATE($AI13,"B")</f>
        <v>1B</v>
      </c>
      <c r="AL13" t="str">
        <f t="shared" ref="AL13:AL17" si="20">CONCATENATE($AI13,"A")</f>
        <v>1A</v>
      </c>
      <c r="AM13" t="s">
        <v>141</v>
      </c>
      <c r="AP13" t="s">
        <v>137</v>
      </c>
      <c r="AQ13" t="s">
        <v>2053</v>
      </c>
      <c r="AS13" t="s">
        <v>396</v>
      </c>
      <c r="AT13" t="s">
        <v>139</v>
      </c>
      <c r="AU13" t="s">
        <v>140</v>
      </c>
      <c r="BD13" s="16"/>
      <c r="ER13" s="25" t="str">
        <f>CONCATENATE("XT",U13)</f>
        <v>XT3</v>
      </c>
      <c r="ES13" s="12" t="str">
        <f>CONCATENATE("C",REPLACE(AF13,1,1,"")+1)</f>
        <v>C7</v>
      </c>
      <c r="ET13" s="12" t="str">
        <f>CONCATENATE("B",REPLACE(AG13,1,1,"")+1)</f>
        <v>B7</v>
      </c>
      <c r="EU13" s="12"/>
      <c r="EV13" s="12"/>
      <c r="EW13" s="12"/>
      <c r="EX13" s="12"/>
      <c r="EY13" s="12"/>
      <c r="EZ13" s="12"/>
      <c r="FA13" s="12"/>
      <c r="FB13" s="12"/>
      <c r="FC13" s="12" t="str">
        <f>CONCATENATE(REPLACE(AK13,LEN(AK13),1,"")+1,"B")</f>
        <v>2B</v>
      </c>
      <c r="FD13" s="12" t="str">
        <f>CONCATENATE(REPLACE(AL13,LEN(AL13),1,"")+1,"A")</f>
        <v>2A</v>
      </c>
      <c r="FE13" s="12" t="str">
        <f>CONCATENATE($T13,"-M",$U13,"-РНЕ-2")</f>
        <v>E1-M3-РНЕ-2</v>
      </c>
      <c r="FF13" s="12" t="str">
        <f>CONCATENATE($T13,"-M",$U13,"-РНЕ-1")</f>
        <v>E1-M3-РНЕ-1</v>
      </c>
      <c r="FG13" s="12" t="str">
        <f>CONCATENATE("DI",REPLACE($AC13,1,3,""),"-",AF13)</f>
        <v>DI1-C6</v>
      </c>
      <c r="FH13" s="12" t="str">
        <f>CONCATENATE("DI",REPLACE($AC13,1,3,""),"-",AG13)</f>
        <v>DI1-B6</v>
      </c>
      <c r="FI13" s="12" t="str">
        <f t="shared" ref="FI13" si="21">CONCATENATE("DI",REPLACE($AC13,1,3,""),"-",ES13)</f>
        <v>DI1-C7</v>
      </c>
      <c r="FJ13" s="12" t="str">
        <f t="shared" ref="FJ13" si="22">CONCATENATE("DI",REPLACE($AC13,1,3,""),"-",ET13)</f>
        <v>DI1-B7</v>
      </c>
      <c r="FK13" s="12"/>
      <c r="FL13" s="12"/>
      <c r="FM13" s="12"/>
      <c r="FN13" s="12"/>
      <c r="FO13" s="12"/>
      <c r="FP13" s="12"/>
      <c r="FQ13" s="12"/>
      <c r="FR13" s="12"/>
      <c r="FS13" s="12" t="str">
        <f>CONCATENATE("DO",REPLACE($AH13,1,3,""),"-",AK13)</f>
        <v>DO1-1B</v>
      </c>
      <c r="FT13" s="12" t="str">
        <f>CONCATENATE("DO",REPLACE($AH13,1,3,""),"-",AL13)</f>
        <v>DO1-1A</v>
      </c>
      <c r="FU13" s="12" t="str">
        <f t="shared" ref="FU13" si="23">CONCATENATE("DO",REPLACE($AH13,1,3,""),"-",FC13)</f>
        <v>DO1-2B</v>
      </c>
      <c r="FV13" s="12" t="str">
        <f t="shared" ref="FV13" si="24">CONCATENATE("DO",REPLACE($AH13,1,3,""),"-",FD13)</f>
        <v>DO1-2A</v>
      </c>
      <c r="FW13" s="12" t="str">
        <f>CONCATENATE("K",$U13,"-03")</f>
        <v>K3-03</v>
      </c>
      <c r="FX13" s="12" t="str">
        <f>CONCATENATE("K",$U13,"-04")</f>
        <v>K3-04</v>
      </c>
      <c r="FY13" s="12" t="str">
        <f>CONCATENATE("K",$U13,"-01")</f>
        <v>K3-01</v>
      </c>
      <c r="FZ13" s="12" t="str">
        <f>CONCATENATE("K",$U13,"-02")</f>
        <v>K3-02</v>
      </c>
      <c r="GA13" s="12"/>
      <c r="GB13" s="12"/>
      <c r="GC13" s="12"/>
      <c r="GD13" s="12"/>
      <c r="GE13" s="12" t="str">
        <f>CONCATENATE($T13,"-M",$U13,"-MAM-12")</f>
        <v>E1-M3-MAM-12</v>
      </c>
      <c r="GF13" s="12" t="str">
        <f>CONCATENATE($T13,"-M",$U13,"-AMS-10")</f>
        <v>E1-M3-AMS-10</v>
      </c>
      <c r="GG13" s="12" t="str">
        <f>CONCATENATE($T13,"-M",$U13,"-AMS-91")</f>
        <v>E1-M3-AMS-91</v>
      </c>
      <c r="GH13" s="12" t="str">
        <f>CONCATENATE($T13,"-M",$U13,"-AMS-71")</f>
        <v>E1-M3-AMS-71</v>
      </c>
      <c r="GI13" s="12" t="str">
        <f>CONCATENATE($T13,"-M",$U13,"-MAM-21")</f>
        <v>E1-M3-MAM-21</v>
      </c>
      <c r="GJ13" s="12" t="str">
        <f>CONCATENATE($T13,"-M",$U13,"-MAM-11")</f>
        <v>E1-M3-MAM-11</v>
      </c>
      <c r="GK13" s="12"/>
      <c r="GL13" s="12"/>
      <c r="GM13" s="12"/>
      <c r="GN13" s="12"/>
      <c r="GO13" s="12"/>
      <c r="GP13" s="12" t="s">
        <v>142</v>
      </c>
      <c r="GQ13" s="12" t="s">
        <v>143</v>
      </c>
      <c r="GR13" s="12">
        <v>11</v>
      </c>
      <c r="GS13" s="12">
        <v>14</v>
      </c>
      <c r="GT13" s="12" t="s">
        <v>413</v>
      </c>
      <c r="GU13" s="12" t="s">
        <v>414</v>
      </c>
      <c r="GV13" s="12">
        <v>1</v>
      </c>
      <c r="GW13" s="12">
        <v>2</v>
      </c>
      <c r="GX13" s="12">
        <v>3</v>
      </c>
      <c r="GY13" s="12">
        <v>4</v>
      </c>
      <c r="GZ13" s="12">
        <v>5</v>
      </c>
      <c r="HA13" s="12">
        <v>6</v>
      </c>
      <c r="HB13" s="12">
        <v>7</v>
      </c>
      <c r="HC13" s="12">
        <v>8</v>
      </c>
      <c r="HD13" s="12">
        <v>9</v>
      </c>
      <c r="HE13" s="12"/>
      <c r="HF13" s="12"/>
      <c r="HG13" s="12"/>
      <c r="HH13" s="12"/>
      <c r="HI13" s="12"/>
      <c r="HJ13" s="12">
        <v>18</v>
      </c>
      <c r="HK13" s="12">
        <v>19</v>
      </c>
      <c r="HL13" s="12">
        <v>20</v>
      </c>
      <c r="HM13" s="12">
        <v>21</v>
      </c>
      <c r="HN13" s="12">
        <v>23</v>
      </c>
      <c r="HO13" s="12">
        <v>22</v>
      </c>
      <c r="HP13" s="12">
        <v>29</v>
      </c>
      <c r="HQ13" s="12">
        <v>28</v>
      </c>
      <c r="HR13" s="12">
        <v>30</v>
      </c>
      <c r="HS13" s="12"/>
      <c r="HT13" s="12"/>
      <c r="HU13" s="12"/>
      <c r="HV13" s="12"/>
      <c r="HW13" s="13"/>
    </row>
    <row r="14" spans="1:311" ht="15.75" thickBot="1" x14ac:dyDescent="0.3">
      <c r="A14" t="s">
        <v>2064</v>
      </c>
      <c r="B14" t="s">
        <v>2062</v>
      </c>
      <c r="P14" t="s">
        <v>2061</v>
      </c>
      <c r="T14" s="14" t="s">
        <v>1987</v>
      </c>
      <c r="U14" s="60">
        <v>4</v>
      </c>
      <c r="V14" t="s">
        <v>2065</v>
      </c>
      <c r="W14" t="s">
        <v>2066</v>
      </c>
      <c r="X14" t="str">
        <f>IF(COUNTIF(X$2:X13,X13)&gt;7,REPLACE(X13,LEN(X13),1,VALUE(RIGHT(X13,1))+1),X13)</f>
        <v>A3.1</v>
      </c>
      <c r="Y14" s="43" cm="1">
        <f t="array" ref="Y14">IF(COUNTIFS($X$2:$X14,$X14)=1,"1",VALUE(SUBSTITUTE(INDEX(Y:Y,_xlfn.XMATCH($X14,$X$1:$X13,0,-1)),"A",""))+INDEX(Z:Z,_xlfn.XMATCH($X14,$X$1:$X13,0,-1))+1)</f>
        <v>8</v>
      </c>
      <c r="Z14" s="43" cm="1">
        <f t="array" ref="Z14">SUM(IF(ISNUMBER(FIND("TmAi",$BE$1:$PU$1)),IF(IFERROR(ISODD(SUBSTITUTE($BE14:$PU14,"A","")),FALSE),IF(ISODD(SUBSTITUTE($BE14:$PU14,"A","")),1,0),0)))</f>
        <v>0</v>
      </c>
      <c r="AA14" t="str">
        <f t="shared" si="17"/>
        <v>15A</v>
      </c>
      <c r="AB14" t="str">
        <f t="shared" si="18"/>
        <v>15B</v>
      </c>
      <c r="AC14" t="str">
        <f t="shared" ref="AC14:AC15" si="25">IF(AD13+AE13&gt;31,REPLACE(AC13,LEN(AC13),1,VALUE(RIGHT(AC13,1))+1),AC13)</f>
        <v>A5.1</v>
      </c>
      <c r="AD14" s="43" cm="1">
        <f t="array" ref="AD14">IF(COUNTIFS(AC$2:AC14,AC14)=1,"1",VALUE(SUBSTITUTE(INDEX(AD:AD,_xlfn.XMATCH(AC14,AC$1:AC13,0,-1)),"A",""))+INDEX(AE:AE,_xlfn.XMATCH(AC14,AC$1:AC13,0,-1))+1)</f>
        <v>8</v>
      </c>
      <c r="AE14" s="43" cm="1">
        <f t="array" ref="AE14">SUM(IF(ISNUMBER(FIND("TmDi",$BE$1:$PU$1)),IF(IFERROR(ISNUMBER(VALUE(SUBSTITUTE($BE14:$PU14,"B",""))),FALSE),IF(ISNUMBER(VALUE(SUBSTITUTE($BE14:$PU14,"B",""))),1,0),0)))</f>
        <v>1</v>
      </c>
      <c r="AF14" t="str">
        <f t="shared" si="13"/>
        <v>C8</v>
      </c>
      <c r="AG14" t="str">
        <f t="shared" si="14"/>
        <v>B8</v>
      </c>
      <c r="AH14" t="str">
        <f t="shared" ref="AH14:AH15" si="26">IF(AI13+AJ13&gt;31,REPLACE(AH13,LEN(AH13),1,VALUE(RIGHT(AH13,1))+1),AH13)</f>
        <v>A6.1</v>
      </c>
      <c r="AI14" s="43" cm="1">
        <f t="array" ref="AI14">IF(COUNTIFS(AH$2:AH14,AH14)=1,"1",VALUE(SUBSTITUTE(INDEX(AI:AI,_xlfn.XMATCH(AH14,AH$1:AH13,0,-1)),"A",""))+INDEX(AJ:AJ,_xlfn.XMATCH(AH14,AH$1:AH13,0,-1))+1)</f>
        <v>3</v>
      </c>
      <c r="AJ14" s="43" cm="1">
        <f t="array" ref="AJ14">SUM(IF(ISNUMBER(FIND("TmDo",$BE$1:$PU$1)),IF(IFERROR(ISNUMBER(VALUE(SUBSTITUTE($BE14:$PU14,"B",""))),FALSE),IF(ISNUMBER(VALUE(SUBSTITUTE($BE14:$PU14,"B",""))),1,0),0)))</f>
        <v>1</v>
      </c>
      <c r="AK14" t="str">
        <f t="shared" si="19"/>
        <v>3B</v>
      </c>
      <c r="AL14" t="str">
        <f t="shared" si="20"/>
        <v>3A</v>
      </c>
      <c r="AM14" t="s">
        <v>150</v>
      </c>
      <c r="AP14" t="s">
        <v>137</v>
      </c>
      <c r="AQ14" t="s">
        <v>2053</v>
      </c>
      <c r="AS14" t="s">
        <v>396</v>
      </c>
      <c r="AT14" t="s">
        <v>139</v>
      </c>
      <c r="AU14" t="s">
        <v>140</v>
      </c>
      <c r="BD14" s="16"/>
      <c r="ER14" s="25" t="str">
        <f>CONCATENATE("XT",U14)</f>
        <v>XT4</v>
      </c>
      <c r="ES14" s="12" t="str">
        <f>CONCATENATE("C",REPLACE(AF14,1,1,"")+1)</f>
        <v>C9</v>
      </c>
      <c r="ET14" s="12" t="str">
        <f>CONCATENATE("B",REPLACE(AG14,1,1,"")+1)</f>
        <v>B9</v>
      </c>
      <c r="EU14" s="12"/>
      <c r="EV14" s="12"/>
      <c r="EW14" s="12"/>
      <c r="EX14" s="12"/>
      <c r="EY14" s="12"/>
      <c r="EZ14" s="12"/>
      <c r="FA14" s="12"/>
      <c r="FB14" s="12"/>
      <c r="FC14" s="12" t="str">
        <f>CONCATENATE(REPLACE(AK14,LEN(AK14),1,"")+1,"B")</f>
        <v>4B</v>
      </c>
      <c r="FD14" s="12" t="str">
        <f>CONCATENATE(REPLACE(AL14,LEN(AL14),1,"")+1,"A")</f>
        <v>4A</v>
      </c>
      <c r="FE14" s="12" t="str">
        <f>CONCATENATE($T14,"-M",$U14,"-РНЕ-2")</f>
        <v>E1-M4-РНЕ-2</v>
      </c>
      <c r="FF14" s="12" t="str">
        <f>CONCATENATE($T14,"-M",$U14,"-РНЕ-1")</f>
        <v>E1-M4-РНЕ-1</v>
      </c>
      <c r="FG14" s="12" t="str">
        <f>CONCATENATE("DI",REPLACE($AC14,1,3,""),"-",AF14)</f>
        <v>DI1-C8</v>
      </c>
      <c r="FH14" s="12" t="str">
        <f>CONCATENATE("DI",REPLACE($AC14,1,3,""),"-",AG14)</f>
        <v>DI1-B8</v>
      </c>
      <c r="FI14" s="12" t="str">
        <f t="shared" ref="FI14" si="27">CONCATENATE("DI",REPLACE($AC14,1,3,""),"-",ES14)</f>
        <v>DI1-C9</v>
      </c>
      <c r="FJ14" s="12" t="str">
        <f t="shared" ref="FJ14" si="28">CONCATENATE("DI",REPLACE($AC14,1,3,""),"-",ET14)</f>
        <v>DI1-B9</v>
      </c>
      <c r="FK14" s="12"/>
      <c r="FL14" s="12"/>
      <c r="FM14" s="12"/>
      <c r="FN14" s="12"/>
      <c r="FO14" s="12"/>
      <c r="FP14" s="12"/>
      <c r="FQ14" s="12"/>
      <c r="FR14" s="12"/>
      <c r="FS14" s="12" t="str">
        <f>CONCATENATE("DO",REPLACE($AH14,1,3,""),"-",AK14)</f>
        <v>DO1-3B</v>
      </c>
      <c r="FT14" s="12" t="str">
        <f>CONCATENATE("DO",REPLACE($AH14,1,3,""),"-",AL14)</f>
        <v>DO1-3A</v>
      </c>
      <c r="FU14" s="12" t="str">
        <f t="shared" ref="FU14" si="29">CONCATENATE("DO",REPLACE($AH14,1,3,""),"-",FC14)</f>
        <v>DO1-4B</v>
      </c>
      <c r="FV14" s="12" t="str">
        <f t="shared" ref="FV14" si="30">CONCATENATE("DO",REPLACE($AH14,1,3,""),"-",FD14)</f>
        <v>DO1-4A</v>
      </c>
      <c r="FW14" s="12" t="str">
        <f>CONCATENATE("K",$U14,"-03")</f>
        <v>K4-03</v>
      </c>
      <c r="FX14" s="12" t="str">
        <f>CONCATENATE("K",$U14,"-04")</f>
        <v>K4-04</v>
      </c>
      <c r="FY14" s="12" t="str">
        <f>CONCATENATE("K",$U14,"-01")</f>
        <v>K4-01</v>
      </c>
      <c r="FZ14" s="12" t="str">
        <f>CONCATENATE("K",$U14,"-02")</f>
        <v>K4-02</v>
      </c>
      <c r="GA14" s="12"/>
      <c r="GB14" s="12"/>
      <c r="GC14" s="12"/>
      <c r="GD14" s="12"/>
      <c r="GE14" s="12" t="str">
        <f>CONCATENATE($T14,"-M",$U14,"-MAM-12")</f>
        <v>E1-M4-MAM-12</v>
      </c>
      <c r="GF14" s="12" t="str">
        <f>CONCATENATE($T14,"-M",$U14,"-AMS-10")</f>
        <v>E1-M4-AMS-10</v>
      </c>
      <c r="GG14" s="12" t="str">
        <f>CONCATENATE($T14,"-M",$U14,"-AMS-91")</f>
        <v>E1-M4-AMS-91</v>
      </c>
      <c r="GH14" s="12" t="str">
        <f>CONCATENATE($T14,"-M",$U14,"-AMS-71")</f>
        <v>E1-M4-AMS-71</v>
      </c>
      <c r="GI14" s="12" t="str">
        <f>CONCATENATE($T14,"-M",$U14,"-MAM-21")</f>
        <v>E1-M4-MAM-21</v>
      </c>
      <c r="GJ14" s="12" t="str">
        <f>CONCATENATE($T14,"-M",$U14,"-MAM-11")</f>
        <v>E1-M4-MAM-11</v>
      </c>
      <c r="GK14" s="12"/>
      <c r="GL14" s="12"/>
      <c r="GM14" s="12"/>
      <c r="GN14" s="12"/>
      <c r="GO14" s="12"/>
      <c r="GP14" s="12" t="s">
        <v>142</v>
      </c>
      <c r="GQ14" s="12" t="s">
        <v>143</v>
      </c>
      <c r="GR14" s="12">
        <v>11</v>
      </c>
      <c r="GS14" s="12">
        <v>14</v>
      </c>
      <c r="GT14" s="12" t="str">
        <f>GT13</f>
        <v>24v6</v>
      </c>
      <c r="GU14" s="12" t="str">
        <f>GU13</f>
        <v>0v6</v>
      </c>
      <c r="GV14" s="12">
        <v>1</v>
      </c>
      <c r="GW14" s="12">
        <v>2</v>
      </c>
      <c r="GX14" s="12">
        <v>3</v>
      </c>
      <c r="GY14" s="12">
        <v>4</v>
      </c>
      <c r="GZ14" s="12">
        <v>5</v>
      </c>
      <c r="HA14" s="12">
        <v>6</v>
      </c>
      <c r="HB14" s="12">
        <v>7</v>
      </c>
      <c r="HC14" s="12">
        <v>8</v>
      </c>
      <c r="HD14" s="12">
        <v>9</v>
      </c>
      <c r="HE14" s="12"/>
      <c r="HF14" s="12"/>
      <c r="HG14" s="12"/>
      <c r="HH14" s="12"/>
      <c r="HI14" s="12"/>
      <c r="HJ14" s="12">
        <v>18</v>
      </c>
      <c r="HK14" s="12">
        <v>19</v>
      </c>
      <c r="HL14" s="12">
        <v>20</v>
      </c>
      <c r="HM14" s="12">
        <v>21</v>
      </c>
      <c r="HN14" s="12">
        <v>23</v>
      </c>
      <c r="HO14" s="12">
        <v>22</v>
      </c>
      <c r="HP14" s="12">
        <v>29</v>
      </c>
      <c r="HQ14" s="12">
        <v>28</v>
      </c>
      <c r="HR14" s="12">
        <v>30</v>
      </c>
      <c r="HS14" s="12"/>
      <c r="HT14" s="12"/>
      <c r="HU14" s="12"/>
      <c r="HV14" s="12"/>
      <c r="HW14" s="13"/>
    </row>
    <row r="15" spans="1:311" x14ac:dyDescent="0.25">
      <c r="A15" t="s">
        <v>2068</v>
      </c>
      <c r="B15" t="s">
        <v>2067</v>
      </c>
      <c r="C15" s="3"/>
      <c r="O15" s="2"/>
      <c r="P15" t="s">
        <v>2063</v>
      </c>
      <c r="Q15" s="1"/>
      <c r="S15" s="1"/>
      <c r="T15" s="10" t="s">
        <v>1987</v>
      </c>
      <c r="U15" s="49">
        <v>5</v>
      </c>
      <c r="V15" s="11" t="s">
        <v>2069</v>
      </c>
      <c r="W15" s="11"/>
      <c r="X15" s="12"/>
      <c r="Y15" s="12"/>
      <c r="Z15" s="12"/>
      <c r="AA15" s="12"/>
      <c r="AB15" s="12"/>
      <c r="AC15" s="12" t="str">
        <f t="shared" si="25"/>
        <v>A5.1</v>
      </c>
      <c r="AD15" s="61" cm="1">
        <f t="array" ref="AD15">IF(COUNTIFS(AC$2:AC15,AC15)=1,"1",VALUE(SUBSTITUTE(INDEX(AD:AD,_xlfn.XMATCH(AC15,AC$1:AC14,0,-1)),"A",""))+INDEX(AE:AE,_xlfn.XMATCH(AC15,AC$1:AC14,0,-1))+1)</f>
        <v>10</v>
      </c>
      <c r="AE15" s="61" cm="1">
        <f t="array" ref="AE15">SUM(IF(ISNUMBER(FIND("TmDi",$BE$1:$PU$1)),IF(IFERROR(ISNUMBER(VALUE(SUBSTITUTE($BE15:$PU15,"B",""))),FALSE),IF(ISNUMBER(VALUE(SUBSTITUTE($BE15:$PU15,"B",""))),1,0),0)))</f>
        <v>3</v>
      </c>
      <c r="AF15" s="12" t="str">
        <f t="shared" si="13"/>
        <v>C10</v>
      </c>
      <c r="AG15" s="12" t="str">
        <f t="shared" si="14"/>
        <v>B10</v>
      </c>
      <c r="AH15" s="12" t="str">
        <f t="shared" si="26"/>
        <v>A6.1</v>
      </c>
      <c r="AI15" s="61" cm="1">
        <f t="array" ref="AI15">IF(COUNTIFS(AH$2:AH15,AH15)=1,"1",VALUE(SUBSTITUTE(INDEX(AI:AI,_xlfn.XMATCH(AH15,AH$1:AH14,0,-1)),"A",""))+INDEX(AJ:AJ,_xlfn.XMATCH(AH15,AH$1:AH14,0,-1))+1)</f>
        <v>5</v>
      </c>
      <c r="AJ15" s="61" cm="1">
        <f t="array" ref="AJ15">SUM(IF(ISNUMBER(FIND("TmDo",$BE$1:$PU$1)),IF(IFERROR(ISNUMBER(VALUE(SUBSTITUTE($BE15:$PU15,"B",""))),FALSE),IF(ISNUMBER(VALUE(SUBSTITUTE($BE15:$PU15,"B",""))),1,0),0)))</f>
        <v>2</v>
      </c>
      <c r="AK15" s="11" t="str">
        <f t="shared" si="19"/>
        <v>5B</v>
      </c>
      <c r="AL15" s="11" t="str">
        <f t="shared" si="20"/>
        <v>5A</v>
      </c>
      <c r="AM15" s="12" t="s">
        <v>155</v>
      </c>
      <c r="AN15" s="12"/>
      <c r="AO15" s="12"/>
      <c r="AP15" s="12" t="s">
        <v>137</v>
      </c>
      <c r="AQ15" s="12" t="s">
        <v>2053</v>
      </c>
      <c r="AR15" s="12"/>
      <c r="AS15" s="12"/>
      <c r="AT15" s="12" t="s">
        <v>139</v>
      </c>
      <c r="AU15" s="12" t="s">
        <v>140</v>
      </c>
      <c r="AV15" s="12"/>
      <c r="AW15" s="12"/>
      <c r="AX15" s="12"/>
      <c r="AY15" s="12"/>
      <c r="AZ15" s="12"/>
      <c r="BA15" s="12"/>
      <c r="BB15" s="12"/>
      <c r="BC15" s="12"/>
      <c r="BD15" s="13"/>
      <c r="BE15" s="25" t="str">
        <f t="shared" ref="BE15" si="31">CONCATENATE("XT",U15)</f>
        <v>XT5</v>
      </c>
      <c r="BF15" s="12" t="str">
        <f t="shared" ref="BF15" si="32">CONCATENATE("C",REPLACE(AF15,1,1,"")+1)</f>
        <v>C11</v>
      </c>
      <c r="BG15" s="12" t="str">
        <f t="shared" ref="BG15" si="33">CONCATENATE("B",REPLACE(AG15,1,1,"")+1)</f>
        <v>B11</v>
      </c>
      <c r="BH15" s="12" t="str">
        <f t="shared" ref="BH15" si="34">CONCATENATE("C",REPLACE(BF15,1,1,"")+1)</f>
        <v>C12</v>
      </c>
      <c r="BI15" s="12" t="str">
        <f t="shared" ref="BI15" si="35">CONCATENATE("B",REPLACE(BG15,1,1,"")+1)</f>
        <v>B12</v>
      </c>
      <c r="BJ15" s="12" t="str">
        <f t="shared" ref="BJ15" si="36">CONCATENATE("C",REPLACE(BH15,1,1,"")+1)</f>
        <v>C13</v>
      </c>
      <c r="BK15" s="12" t="str">
        <f t="shared" ref="BK15" si="37">CONCATENATE("B",REPLACE(BI15,1,1,"")+1)</f>
        <v>B13</v>
      </c>
      <c r="BL15" s="12"/>
      <c r="BM15" s="12"/>
      <c r="BN15" s="12"/>
      <c r="BO15" s="12"/>
      <c r="BP15" s="12" t="str">
        <f t="shared" ref="BP15" si="38">CONCATENATE(REPLACE(AK15,LEN(AK15),1,"")+1,"B")</f>
        <v>6B</v>
      </c>
      <c r="BQ15" s="12" t="str">
        <f t="shared" ref="BQ15" si="39">CONCATENATE(REPLACE(AL15,LEN(AL15),1,"")+1,"A")</f>
        <v>6A</v>
      </c>
      <c r="BR15" s="12" t="str">
        <f t="shared" ref="BR15" si="40">CONCATENATE(REPLACE(BP15,LEN(BP15),1,"")+1,"B")</f>
        <v>7B</v>
      </c>
      <c r="BS15" s="12" t="str">
        <f t="shared" ref="BS15" si="41">CONCATENATE(REPLACE(BQ15,LEN(BQ15),1,"")+1,"A")</f>
        <v>7A</v>
      </c>
      <c r="BT15" s="12" t="str">
        <f t="shared" ref="BT15" si="42">CONCATENATE("DI",REPLACE($AC15,1,3,""),"-",AF15)</f>
        <v>DI1-C10</v>
      </c>
      <c r="BU15" s="12" t="str">
        <f t="shared" ref="BU15" si="43">CONCATENATE("DI",REPLACE($AC15,1,3,""),"-",AG15)</f>
        <v>DI1-B10</v>
      </c>
      <c r="BV15" s="12" t="str">
        <f t="shared" ref="BV15" si="44">CONCATENATE("DI",REPLACE($AC15,1,3,""),"-",BF15)</f>
        <v>DI1-C11</v>
      </c>
      <c r="BW15" s="12" t="str">
        <f t="shared" ref="BW15" si="45">CONCATENATE("DI",REPLACE($AC15,1,3,""),"-",BG15)</f>
        <v>DI1-B11</v>
      </c>
      <c r="BX15" s="12" t="str">
        <f t="shared" ref="BX15" si="46">CONCATENATE("DI",REPLACE($AC15,1,3,""),"-",BH15)</f>
        <v>DI1-C12</v>
      </c>
      <c r="BY15" s="12" t="str">
        <f t="shared" ref="BY15" si="47">CONCATENATE("DI",REPLACE($AC15,1,3,""),"-",BI15)</f>
        <v>DI1-B12</v>
      </c>
      <c r="BZ15" s="12" t="str">
        <f t="shared" ref="BZ15" si="48">CONCATENATE("DI",REPLACE($AC15,1,3,""),"-",BJ15)</f>
        <v>DI1-C13</v>
      </c>
      <c r="CA15" s="12" t="str">
        <f t="shared" ref="CA15" si="49">CONCATENATE("DI",REPLACE($AC15,1,3,""),"-",BK15)</f>
        <v>DI1-B13</v>
      </c>
      <c r="CB15" s="12"/>
      <c r="CC15" s="12"/>
      <c r="CD15" s="12"/>
      <c r="CE15" s="12"/>
      <c r="CF15" s="12" t="str">
        <f t="shared" ref="CF15" si="50">CONCATENATE("DO",REPLACE($AH15,1,3,""),"-",AK15)</f>
        <v>DO1-5B</v>
      </c>
      <c r="CG15" s="12" t="str">
        <f t="shared" ref="CG15" si="51">CONCATENATE("DO",REPLACE($AH15,1,3,""),"-",AL15)</f>
        <v>DO1-5A</v>
      </c>
      <c r="CH15" s="12" t="str">
        <f t="shared" ref="CH15" si="52">CONCATENATE("DO",REPLACE($AH15,1,3,""),"-",BP15)</f>
        <v>DO1-6B</v>
      </c>
      <c r="CI15" s="12" t="str">
        <f t="shared" ref="CI15" si="53">CONCATENATE("DO",REPLACE($AH15,1,3,""),"-",BQ15)</f>
        <v>DO1-6A</v>
      </c>
      <c r="CJ15" s="12" t="str">
        <f t="shared" ref="CJ15" si="54">CONCATENATE("DO",REPLACE($AH15,1,3,""),"-",BR15)</f>
        <v>DO1-7B</v>
      </c>
      <c r="CK15" s="12" t="str">
        <f t="shared" ref="CK15" si="55">CONCATENATE("DO",REPLACE($AH15,1,3,""),"-",BS15)</f>
        <v>DO1-7A</v>
      </c>
      <c r="CL15" s="12" t="str">
        <f t="shared" ref="CL15:CL16" si="56">CONCATENATE("K",$U15,"-10")</f>
        <v>K5-10</v>
      </c>
      <c r="CM15" s="12" t="str">
        <f t="shared" ref="CM15:CM16" si="57">CONCATENATE("K",$U15,"-03")</f>
        <v>K5-03</v>
      </c>
      <c r="CN15" s="12" t="str">
        <f t="shared" ref="CN15:CN16" si="58">CONCATENATE("K",$U15,"-04")</f>
        <v>K5-04</v>
      </c>
      <c r="CO15" s="12" t="str">
        <f>CONCATENATE("K",$U15,"-01")</f>
        <v>K5-01</v>
      </c>
      <c r="CP15" s="12" t="str">
        <f t="shared" ref="CO15:CP16" si="59">CONCATENATE("K",$U15,"-08")</f>
        <v>K5-08</v>
      </c>
      <c r="CQ15" s="12" t="str">
        <f t="shared" ref="CQ15:CQ16" si="60">CONCATENATE("K",$U15,"-02")</f>
        <v>K5-02</v>
      </c>
      <c r="CR15" s="12" t="str">
        <f t="shared" ref="CR15:CR16" si="61">CONCATENATE("K",$U15,"-09")</f>
        <v>K5-09</v>
      </c>
      <c r="CS15" s="12" t="str">
        <f>CONCATENATE("K",$U15,"-06")</f>
        <v>K5-06</v>
      </c>
      <c r="CT15" s="12" t="str">
        <f>CONCATENATE("K",$U15,"-05")</f>
        <v>K5-05</v>
      </c>
      <c r="CU15" s="12" t="str">
        <f t="shared" ref="CU15:CU17" si="62">CONCATENATE($T15,"-M",$U15,"-A9")</f>
        <v>E1-M5-A9</v>
      </c>
      <c r="CV15" s="12" t="str">
        <f t="shared" ref="CV15:CV16" si="63">CONCATENATE($T15,"-M",$U15,"-A7")</f>
        <v>E1-M5-A7</v>
      </c>
      <c r="CW15" s="12" t="str">
        <f t="shared" ref="CW15:CW16" si="64">CONCATENATE($T15,"-M",$U15,"-A8")</f>
        <v>E1-M5-A8</v>
      </c>
      <c r="CX15" s="12" t="str">
        <f t="shared" ref="CX15:CX17" si="65">CONCATENATE($T15,"-M",$U15,"-A6")</f>
        <v>E1-M5-A6</v>
      </c>
      <c r="CY15" s="12" t="str">
        <f t="shared" ref="CY15:CY17" si="66">CONCATENATE($T15,"-M",$U15,"-A30")</f>
        <v>E1-M5-A30</v>
      </c>
      <c r="CZ15" s="12" t="str">
        <f t="shared" ref="CZ15:CZ17" si="67">CONCATENATE($T15,"-M",$U15,"-N")</f>
        <v>E1-M5-N</v>
      </c>
      <c r="DA15" s="12" t="str">
        <f>CONCATENATE($T15,"-M",U15,"-A7")</f>
        <v>E1-M5-A7</v>
      </c>
      <c r="DB15" s="12" t="str">
        <f>CONCATENATE($T15,"-M",$U15,"-H1")</f>
        <v>E1-M5-H1</v>
      </c>
      <c r="DC15" s="12" t="str">
        <f t="shared" ref="DC15:DC17" si="68">CONCATENATE($T15,"-M",$U15,"-A1")</f>
        <v>E1-M5-A1</v>
      </c>
      <c r="DD15" s="12" t="str">
        <f t="shared" ref="DD15:DD17" si="69">CONCATENATE($T15,"-M",$U15,"-A5")</f>
        <v>E1-M5-A5</v>
      </c>
      <c r="DE15" s="12" t="str">
        <f t="shared" ref="DE15:DE17" si="70">CONCATENATE($T15,"-M",$U15,"-A11")</f>
        <v>E1-M5-A11</v>
      </c>
      <c r="DF15" s="12" t="str">
        <f t="shared" ref="DF15:DF17" si="71">CONCATENATE($T15,"-M",$U15,"-A12")</f>
        <v>E1-M5-A12</v>
      </c>
      <c r="DG15" s="12" t="str">
        <f>CONCATENATE($T15,"-M",$U15,"-A20")</f>
        <v>E1-M5-A20</v>
      </c>
      <c r="DH15" s="12" t="str">
        <f>CONCATENATE($T15,"-M",$U15,"-A19")</f>
        <v>E1-M5-A19</v>
      </c>
      <c r="DI15" s="12" t="s">
        <v>142</v>
      </c>
      <c r="DJ15" s="12" t="s">
        <v>143</v>
      </c>
      <c r="DK15" s="12">
        <v>11</v>
      </c>
      <c r="DL15" s="12">
        <v>14</v>
      </c>
      <c r="DM15" s="12">
        <v>12</v>
      </c>
      <c r="DN15" s="12"/>
      <c r="DO15" s="12"/>
      <c r="DP15" s="12">
        <v>1</v>
      </c>
      <c r="DQ15" s="12">
        <v>2</v>
      </c>
      <c r="DR15" s="12">
        <v>3</v>
      </c>
      <c r="DS15" s="12">
        <v>4</v>
      </c>
      <c r="DT15" s="12">
        <v>5</v>
      </c>
      <c r="DU15" s="12">
        <v>6</v>
      </c>
      <c r="DV15" s="12">
        <v>7</v>
      </c>
      <c r="DW15" s="12">
        <v>8</v>
      </c>
      <c r="DX15" s="12">
        <v>9</v>
      </c>
      <c r="DY15" s="12">
        <v>10</v>
      </c>
      <c r="DZ15" s="12">
        <v>11</v>
      </c>
      <c r="EA15" s="12">
        <v>12</v>
      </c>
      <c r="EB15" s="12">
        <v>13</v>
      </c>
      <c r="EC15" s="12">
        <v>14</v>
      </c>
      <c r="ED15" s="12">
        <v>1</v>
      </c>
      <c r="EE15" s="12">
        <v>3</v>
      </c>
      <c r="EF15" s="12">
        <v>5</v>
      </c>
      <c r="EG15" s="12">
        <v>7</v>
      </c>
      <c r="EH15" s="12">
        <v>13</v>
      </c>
      <c r="EI15" s="12">
        <v>17</v>
      </c>
      <c r="EJ15" s="12">
        <v>18</v>
      </c>
      <c r="EK15" s="12">
        <v>19</v>
      </c>
      <c r="EL15" s="12">
        <v>20</v>
      </c>
      <c r="EM15" s="12">
        <v>25</v>
      </c>
      <c r="EN15" s="12"/>
      <c r="EO15" s="12"/>
      <c r="EP15" s="12"/>
      <c r="EQ15" s="13"/>
    </row>
    <row r="16" spans="1:311" x14ac:dyDescent="0.25">
      <c r="A16" s="55" t="s">
        <v>2072</v>
      </c>
      <c r="B16" t="s">
        <v>2071</v>
      </c>
      <c r="C16" s="3"/>
      <c r="O16" s="2"/>
      <c r="P16" t="s">
        <v>2063</v>
      </c>
      <c r="Q16" s="1"/>
      <c r="S16" s="1"/>
      <c r="T16" s="14" t="s">
        <v>1987</v>
      </c>
      <c r="U16" s="60">
        <v>6</v>
      </c>
      <c r="V16" s="15" t="s">
        <v>2073</v>
      </c>
      <c r="W16" s="15"/>
      <c r="AC16" t="str">
        <f t="shared" ref="AC16" si="72">IF(AD15+AE15&gt;31,REPLACE(AC15,LEN(AC15),1,VALUE(RIGHT(AC15,1))+1),AC15)</f>
        <v>A5.1</v>
      </c>
      <c r="AD16" s="43" cm="1">
        <f t="array" ref="AD16">IF(COUNTIFS(AC$2:AC16,AC16)=1,"1",VALUE(SUBSTITUTE(INDEX(AD:AD,_xlfn.XMATCH(AC16,AC$1:AC15,0,-1)),"A",""))+INDEX(AE:AE,_xlfn.XMATCH(AC16,AC$1:AC15,0,-1))+1)</f>
        <v>14</v>
      </c>
      <c r="AE16" s="43" cm="1">
        <f t="array" ref="AE16">SUM(IF(ISNUMBER(FIND("TmDi",$BE$1:$PU$1)),IF(IFERROR(ISNUMBER(VALUE(SUBSTITUTE($BE16:$PU16,"B",""))),FALSE),IF(ISNUMBER(VALUE(SUBSTITUTE($BE16:$PU16,"B",""))),1,0),0)))</f>
        <v>3</v>
      </c>
      <c r="AF16" t="str">
        <f t="shared" si="13"/>
        <v>C14</v>
      </c>
      <c r="AG16" t="str">
        <f t="shared" si="14"/>
        <v>B14</v>
      </c>
      <c r="AH16" t="str">
        <f t="shared" ref="AH16" si="73">IF(AI15+AJ15&gt;31,REPLACE(AH15,LEN(AH15),1,VALUE(RIGHT(AH15,1))+1),AH15)</f>
        <v>A6.1</v>
      </c>
      <c r="AI16" s="43" cm="1">
        <f t="array" ref="AI16">IF(COUNTIFS(AH$2:AH16,AH16)=1,"1",VALUE(SUBSTITUTE(INDEX(AI:AI,_xlfn.XMATCH(AH16,AH$1:AH15,0,-1)),"A",""))+INDEX(AJ:AJ,_xlfn.XMATCH(AH16,AH$1:AH15,0,-1))+1)</f>
        <v>8</v>
      </c>
      <c r="AJ16" s="43" cm="1">
        <f t="array" ref="AJ16">SUM(IF(ISNUMBER(FIND("TmDo",$BE$1:$PU$1)),IF(IFERROR(ISNUMBER(VALUE(SUBSTITUTE($BE16:$PU16,"B",""))),FALSE),IF(ISNUMBER(VALUE(SUBSTITUTE($BE16:$PU16,"B",""))),1,0),0)))</f>
        <v>2</v>
      </c>
      <c r="AK16" s="15" t="str">
        <f t="shared" si="19"/>
        <v>8B</v>
      </c>
      <c r="AL16" s="15" t="str">
        <f t="shared" si="20"/>
        <v>8A</v>
      </c>
      <c r="AM16" t="s">
        <v>158</v>
      </c>
      <c r="AP16" t="s">
        <v>137</v>
      </c>
      <c r="AQ16" t="s">
        <v>2053</v>
      </c>
      <c r="AT16" t="s">
        <v>139</v>
      </c>
      <c r="AU16" t="s">
        <v>140</v>
      </c>
      <c r="BD16" s="16"/>
      <c r="BE16" s="27" t="str">
        <f t="shared" ref="BE16" si="74">CONCATENATE("XT",U16)</f>
        <v>XT6</v>
      </c>
      <c r="BF16" t="str">
        <f t="shared" ref="BF16" si="75">CONCATENATE("C",REPLACE(AF16,1,1,"")+1)</f>
        <v>C15</v>
      </c>
      <c r="BG16" t="str">
        <f t="shared" ref="BG16" si="76">CONCATENATE("B",REPLACE(AG16,1,1,"")+1)</f>
        <v>B15</v>
      </c>
      <c r="BH16" t="str">
        <f t="shared" ref="BH16" si="77">CONCATENATE("C",REPLACE(BF16,1,1,"")+1)</f>
        <v>C16</v>
      </c>
      <c r="BI16" t="str">
        <f t="shared" ref="BI16" si="78">CONCATENATE("B",REPLACE(BG16,1,1,"")+1)</f>
        <v>B16</v>
      </c>
      <c r="BJ16" t="str">
        <f t="shared" ref="BJ16" si="79">CONCATENATE("C",REPLACE(BH16,1,1,"")+1)</f>
        <v>C17</v>
      </c>
      <c r="BK16" t="str">
        <f t="shared" ref="BK16" si="80">CONCATENATE("B",REPLACE(BI16,1,1,"")+1)</f>
        <v>B17</v>
      </c>
      <c r="BP16" t="str">
        <f t="shared" ref="BP16" si="81">CONCATENATE(REPLACE(AK16,LEN(AK16),1,"")+1,"B")</f>
        <v>9B</v>
      </c>
      <c r="BQ16" t="str">
        <f t="shared" ref="BQ16" si="82">CONCATENATE(REPLACE(AL16,LEN(AL16),1,"")+1,"A")</f>
        <v>9A</v>
      </c>
      <c r="BR16" t="str">
        <f t="shared" ref="BR16" si="83">CONCATENATE(REPLACE(BP16,LEN(BP16),1,"")+1,"B")</f>
        <v>10B</v>
      </c>
      <c r="BS16" t="str">
        <f t="shared" ref="BS16" si="84">CONCATENATE(REPLACE(BQ16,LEN(BQ16),1,"")+1,"A")</f>
        <v>10A</v>
      </c>
      <c r="BT16" t="str">
        <f t="shared" ref="BT16" si="85">CONCATENATE("DI",REPLACE($AC16,1,3,""),"-",AF16)</f>
        <v>DI1-C14</v>
      </c>
      <c r="BU16" t="str">
        <f t="shared" ref="BU16" si="86">CONCATENATE("DI",REPLACE($AC16,1,3,""),"-",AG16)</f>
        <v>DI1-B14</v>
      </c>
      <c r="BV16" t="str">
        <f t="shared" ref="BV16" si="87">CONCATENATE("DI",REPLACE($AC16,1,3,""),"-",BF16)</f>
        <v>DI1-C15</v>
      </c>
      <c r="BW16" t="str">
        <f t="shared" ref="BW16" si="88">CONCATENATE("DI",REPLACE($AC16,1,3,""),"-",BG16)</f>
        <v>DI1-B15</v>
      </c>
      <c r="BX16" t="str">
        <f t="shared" ref="BX16" si="89">CONCATENATE("DI",REPLACE($AC16,1,3,""),"-",BH16)</f>
        <v>DI1-C16</v>
      </c>
      <c r="BY16" t="str">
        <f t="shared" ref="BY16" si="90">CONCATENATE("DI",REPLACE($AC16,1,3,""),"-",BI16)</f>
        <v>DI1-B16</v>
      </c>
      <c r="BZ16" t="str">
        <f t="shared" ref="BZ16" si="91">CONCATENATE("DI",REPLACE($AC16,1,3,""),"-",BJ16)</f>
        <v>DI1-C17</v>
      </c>
      <c r="CA16" t="str">
        <f t="shared" ref="CA16" si="92">CONCATENATE("DI",REPLACE($AC16,1,3,""),"-",BK16)</f>
        <v>DI1-B17</v>
      </c>
      <c r="CF16" t="str">
        <f t="shared" ref="CF16" si="93">CONCATENATE("DO",REPLACE($AH16,1,3,""),"-",AK16)</f>
        <v>DO1-8B</v>
      </c>
      <c r="CG16" t="str">
        <f t="shared" ref="CG16" si="94">CONCATENATE("DO",REPLACE($AH16,1,3,""),"-",AL16)</f>
        <v>DO1-8A</v>
      </c>
      <c r="CH16" t="str">
        <f t="shared" ref="CH16" si="95">CONCATENATE("DO",REPLACE($AH16,1,3,""),"-",BP16)</f>
        <v>DO1-9B</v>
      </c>
      <c r="CI16" t="str">
        <f t="shared" ref="CI16" si="96">CONCATENATE("DO",REPLACE($AH16,1,3,""),"-",BQ16)</f>
        <v>DO1-9A</v>
      </c>
      <c r="CJ16" t="str">
        <f t="shared" ref="CJ16" si="97">CONCATENATE("DO",REPLACE($AH16,1,3,""),"-",BR16)</f>
        <v>DO1-10B</v>
      </c>
      <c r="CK16" t="str">
        <f t="shared" ref="CK16" si="98">CONCATENATE("DO",REPLACE($AH16,1,3,""),"-",BS16)</f>
        <v>DO1-10A</v>
      </c>
      <c r="CL16" t="str">
        <f t="shared" si="56"/>
        <v>K6-10</v>
      </c>
      <c r="CM16" t="str">
        <f t="shared" si="57"/>
        <v>K6-03</v>
      </c>
      <c r="CN16" t="str">
        <f t="shared" si="58"/>
        <v>K6-04</v>
      </c>
      <c r="CO16" t="str">
        <f>CONCATENATE("K",$U16,"-01")</f>
        <v>K6-01</v>
      </c>
      <c r="CP16" t="str">
        <f t="shared" si="59"/>
        <v>K6-08</v>
      </c>
      <c r="CQ16" t="str">
        <f t="shared" si="60"/>
        <v>K6-02</v>
      </c>
      <c r="CR16" t="str">
        <f t="shared" si="61"/>
        <v>K6-09</v>
      </c>
      <c r="CS16" t="str">
        <f>CONCATENATE("K",$U16,"-06")</f>
        <v>K6-06</v>
      </c>
      <c r="CT16" t="str">
        <f>CONCATENATE("K",$U16,"-05")</f>
        <v>K6-05</v>
      </c>
      <c r="CU16" t="str">
        <f t="shared" si="62"/>
        <v>E1-M6-A9</v>
      </c>
      <c r="CV16" t="str">
        <f t="shared" si="63"/>
        <v>E1-M6-A7</v>
      </c>
      <c r="CW16" t="str">
        <f t="shared" si="64"/>
        <v>E1-M6-A8</v>
      </c>
      <c r="CX16" t="str">
        <f t="shared" si="65"/>
        <v>E1-M6-A6</v>
      </c>
      <c r="CY16" t="str">
        <f t="shared" si="66"/>
        <v>E1-M6-A30</v>
      </c>
      <c r="CZ16" t="str">
        <f t="shared" si="67"/>
        <v>E1-M6-N</v>
      </c>
      <c r="DA16" t="str">
        <f>CONCATENATE($T16,"-M",U16,"-A7")</f>
        <v>E1-M6-A7</v>
      </c>
      <c r="DB16" t="str">
        <f>CONCATENATE($T16,"-M",$U16,"-H1")</f>
        <v>E1-M6-H1</v>
      </c>
      <c r="DC16" t="str">
        <f t="shared" si="68"/>
        <v>E1-M6-A1</v>
      </c>
      <c r="DD16" t="str">
        <f t="shared" si="69"/>
        <v>E1-M6-A5</v>
      </c>
      <c r="DE16" t="str">
        <f t="shared" si="70"/>
        <v>E1-M6-A11</v>
      </c>
      <c r="DF16" t="str">
        <f t="shared" si="71"/>
        <v>E1-M6-A12</v>
      </c>
      <c r="DG16" t="str">
        <f>CONCATENATE($T16,"-M",$U16,"-A20")</f>
        <v>E1-M6-A20</v>
      </c>
      <c r="DH16" t="str">
        <f>CONCATENATE($T16,"-M",$U16,"-A19")</f>
        <v>E1-M6-A19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5</v>
      </c>
      <c r="EG16">
        <v>7</v>
      </c>
      <c r="EH16">
        <v>13</v>
      </c>
      <c r="EI16">
        <v>17</v>
      </c>
      <c r="EJ16">
        <v>18</v>
      </c>
      <c r="EK16">
        <v>19</v>
      </c>
      <c r="EL16">
        <v>20</v>
      </c>
      <c r="EM16">
        <v>25</v>
      </c>
      <c r="EQ16" s="16"/>
    </row>
    <row r="17" spans="1:282" ht="15.75" thickBot="1" x14ac:dyDescent="0.3">
      <c r="A17" s="55" t="s">
        <v>2075</v>
      </c>
      <c r="B17" t="s">
        <v>2074</v>
      </c>
      <c r="C17" s="3"/>
      <c r="O17" s="2"/>
      <c r="P17" t="s">
        <v>2070</v>
      </c>
      <c r="Q17" s="1"/>
      <c r="S17" s="1"/>
      <c r="T17" s="14" t="s">
        <v>1987</v>
      </c>
      <c r="U17" s="60">
        <v>7</v>
      </c>
      <c r="V17" s="15" t="s">
        <v>2076</v>
      </c>
      <c r="W17" s="15"/>
      <c r="AC17" t="str">
        <f t="shared" ref="AC17" si="99">IF(AD16+AE16&gt;31,REPLACE(AC16,LEN(AC16),1,VALUE(RIGHT(AC16,1))+1),AC16)</f>
        <v>A5.1</v>
      </c>
      <c r="AD17" s="43" cm="1">
        <f t="array" ref="AD17">IF(COUNTIFS(AC$2:AC17,AC17)=1,"1",VALUE(SUBSTITUTE(INDEX(AD:AD,_xlfn.XMATCH(AC17,AC$1:AC16,0,-1)),"A",""))+INDEX(AE:AE,_xlfn.XMATCH(AC17,AC$1:AC16,0,-1))+1)</f>
        <v>18</v>
      </c>
      <c r="AE17" s="43" cm="1">
        <f t="array" ref="AE17">SUM(IF(ISNUMBER(FIND("TmDi",$BE$1:$PU$1)),IF(IFERROR(ISNUMBER(VALUE(SUBSTITUTE($BE17:$PU17,"B",""))),FALSE),IF(ISNUMBER(VALUE(SUBSTITUTE($BE17:$PU17,"B",""))),1,0),0)))</f>
        <v>4</v>
      </c>
      <c r="AF17" t="str">
        <f t="shared" si="13"/>
        <v>C18</v>
      </c>
      <c r="AG17" t="str">
        <f t="shared" si="14"/>
        <v>B18</v>
      </c>
      <c r="AH17" t="str">
        <f t="shared" ref="AH17" si="100">IF(AI16+AJ16&gt;31,REPLACE(AH16,LEN(AH16),1,VALUE(RIGHT(AH16,1))+1),AH16)</f>
        <v>A6.1</v>
      </c>
      <c r="AI17" s="43" cm="1">
        <f t="array" ref="AI17">IF(COUNTIFS(AH$2:AH17,AH17)=1,"1",VALUE(SUBSTITUTE(INDEX(AI:AI,_xlfn.XMATCH(AH17,AH$1:AH16,0,-1)),"A",""))+INDEX(AJ:AJ,_xlfn.XMATCH(AH17,AH$1:AH16,0,-1))+1)</f>
        <v>11</v>
      </c>
      <c r="AJ17" s="43" cm="1">
        <f t="array" ref="AJ17">SUM(IF(ISNUMBER(FIND("TmDo",$BE$1:$PU$1)),IF(IFERROR(ISNUMBER(VALUE(SUBSTITUTE($BE17:$PU17,"B",""))),FALSE),IF(ISNUMBER(VALUE(SUBSTITUTE($BE17:$PU17,"B",""))),1,0),0)))</f>
        <v>2</v>
      </c>
      <c r="AK17" s="15" t="str">
        <f t="shared" si="19"/>
        <v>11B</v>
      </c>
      <c r="AL17" s="15" t="str">
        <f t="shared" si="20"/>
        <v>11A</v>
      </c>
      <c r="AM17" t="s">
        <v>161</v>
      </c>
      <c r="AP17" t="s">
        <v>137</v>
      </c>
      <c r="AQ17" t="s">
        <v>2053</v>
      </c>
      <c r="AT17" t="s">
        <v>139</v>
      </c>
      <c r="AU17" t="s">
        <v>140</v>
      </c>
      <c r="BD17" s="16"/>
      <c r="BE17" s="27" t="str">
        <f t="shared" ref="BE17" si="101">CONCATENATE("XT",U17)</f>
        <v>XT7</v>
      </c>
      <c r="BF17" t="str">
        <f t="shared" ref="BF17" si="102">CONCATENATE("C",REPLACE(AF17,1,1,"")+1)</f>
        <v>C19</v>
      </c>
      <c r="BG17" t="str">
        <f t="shared" ref="BG17" si="103">CONCATENATE("B",REPLACE(AG17,1,1,"")+1)</f>
        <v>B19</v>
      </c>
      <c r="BH17" t="str">
        <f t="shared" ref="BH17" si="104">CONCATENATE("C",REPLACE(BF17,1,1,"")+1)</f>
        <v>C20</v>
      </c>
      <c r="BI17" t="str">
        <f t="shared" ref="BI17" si="105">CONCATENATE("B",REPLACE(BG17,1,1,"")+1)</f>
        <v>B20</v>
      </c>
      <c r="BJ17" t="str">
        <f t="shared" ref="BJ17" si="106">CONCATENATE("C",REPLACE(BH17,1,1,"")+1)</f>
        <v>C21</v>
      </c>
      <c r="BK17" t="str">
        <f t="shared" ref="BK17" si="107">CONCATENATE("B",REPLACE(BI17,1,1,"")+1)</f>
        <v>B21</v>
      </c>
      <c r="BL17" t="str">
        <f t="shared" ref="BL17" si="108">CONCATENATE("C",REPLACE(BJ17,1,1,"")+1)</f>
        <v>C22</v>
      </c>
      <c r="BM17" t="str">
        <f t="shared" ref="BM17" si="109">CONCATENATE("B",REPLACE(BK17,1,1,"")+1)</f>
        <v>B22</v>
      </c>
      <c r="BP17" t="str">
        <f t="shared" ref="BP17" si="110">CONCATENATE(REPLACE(AK17,LEN(AK17),1,"")+1,"B")</f>
        <v>12B</v>
      </c>
      <c r="BQ17" t="str">
        <f t="shared" ref="BQ17" si="111">CONCATENATE(REPLACE(AL17,LEN(AL17),1,"")+1,"A")</f>
        <v>12A</v>
      </c>
      <c r="BR17" t="str">
        <f t="shared" ref="BR17" si="112">CONCATENATE(REPLACE(BP17,LEN(BP17),1,"")+1,"B")</f>
        <v>13B</v>
      </c>
      <c r="BS17" t="str">
        <f t="shared" ref="BS17" si="113">CONCATENATE(REPLACE(BQ17,LEN(BQ17),1,"")+1,"A")</f>
        <v>13A</v>
      </c>
      <c r="BT17" t="str">
        <f t="shared" ref="BT17" si="114">CONCATENATE("DI",REPLACE($AC17,1,3,""),"-",AF17)</f>
        <v>DI1-C18</v>
      </c>
      <c r="BU17" t="str">
        <f t="shared" ref="BU17" si="115">CONCATENATE("DI",REPLACE($AC17,1,3,""),"-",AG17)</f>
        <v>DI1-B18</v>
      </c>
      <c r="BV17" t="str">
        <f t="shared" ref="BV17" si="116">CONCATENATE("DI",REPLACE($AC17,1,3,""),"-",BF17)</f>
        <v>DI1-C19</v>
      </c>
      <c r="BW17" t="str">
        <f t="shared" ref="BW17" si="117">CONCATENATE("DI",REPLACE($AC17,1,3,""),"-",BG17)</f>
        <v>DI1-B19</v>
      </c>
      <c r="BX17" t="str">
        <f t="shared" ref="BX17" si="118">CONCATENATE("DI",REPLACE($AC17,1,3,""),"-",BH17)</f>
        <v>DI1-C20</v>
      </c>
      <c r="BY17" t="str">
        <f t="shared" ref="BY17" si="119">CONCATENATE("DI",REPLACE($AC17,1,3,""),"-",BI17)</f>
        <v>DI1-B20</v>
      </c>
      <c r="BZ17" t="str">
        <f t="shared" ref="BZ17" si="120">CONCATENATE("DI",REPLACE($AC17,1,3,""),"-",BJ17)</f>
        <v>DI1-C21</v>
      </c>
      <c r="CA17" t="str">
        <f t="shared" ref="CA17" si="121">CONCATENATE("DI",REPLACE($AC17,1,3,""),"-",BK17)</f>
        <v>DI1-B21</v>
      </c>
      <c r="CB17" t="str">
        <f t="shared" ref="CB17" si="122">CONCATENATE("DI",REPLACE($AC17,1,3,""),"-",BL17)</f>
        <v>DI1-C22</v>
      </c>
      <c r="CC17" t="str">
        <f t="shared" ref="CC17" si="123">CONCATENATE("DI",REPLACE($AC17,1,3,""),"-",BM17)</f>
        <v>DI1-B22</v>
      </c>
      <c r="CF17" t="str">
        <f t="shared" ref="CF17" si="124">CONCATENATE("DO",REPLACE($AH17,1,3,""),"-",AK17)</f>
        <v>DO1-11B</v>
      </c>
      <c r="CG17" t="str">
        <f t="shared" ref="CG17" si="125">CONCATENATE("DO",REPLACE($AH17,1,3,""),"-",AL17)</f>
        <v>DO1-11A</v>
      </c>
      <c r="CH17" t="str">
        <f t="shared" ref="CH17" si="126">CONCATENATE("DO",REPLACE($AH17,1,3,""),"-",BP17)</f>
        <v>DO1-12B</v>
      </c>
      <c r="CI17" t="str">
        <f t="shared" ref="CI17" si="127">CONCATENATE("DO",REPLACE($AH17,1,3,""),"-",BQ17)</f>
        <v>DO1-12A</v>
      </c>
      <c r="CJ17" t="str">
        <f t="shared" ref="CJ17" si="128">CONCATENATE("DO",REPLACE($AH17,1,3,""),"-",BR17)</f>
        <v>DO1-13B</v>
      </c>
      <c r="CK17" t="str">
        <f t="shared" ref="CK17" si="129">CONCATENATE("DO",REPLACE($AH17,1,3,""),"-",BS17)</f>
        <v>DO1-13A</v>
      </c>
      <c r="CL17" t="str">
        <f>CONCATENATE("K",$U17,"-01")</f>
        <v>K7-01</v>
      </c>
      <c r="CM17" t="str">
        <f>CONCATENATE("K",$U17,"-02")</f>
        <v>K7-02</v>
      </c>
      <c r="CN17" t="str">
        <f>CONCATENATE("K",$U17,"-06")</f>
        <v>K7-06</v>
      </c>
      <c r="CP17" t="str">
        <f>CONCATENATE("K",$U17,"-07")</f>
        <v>K7-07</v>
      </c>
      <c r="CQ17" t="str">
        <f>CONCATENATE("K",$U17,"-05")</f>
        <v>K7-05</v>
      </c>
      <c r="CR17" t="str">
        <f>CONCATENATE("K",$U17,"-10")</f>
        <v>K7-10</v>
      </c>
      <c r="CS17" t="str">
        <f>CONCATENATE("K",$U17,"-03")</f>
        <v>K7-03</v>
      </c>
      <c r="CT17" t="str">
        <f>CONCATENATE("K",$U17,"-04")</f>
        <v>K7-04</v>
      </c>
      <c r="CU17" t="str">
        <f t="shared" si="62"/>
        <v>E1-M7-A9</v>
      </c>
      <c r="CV17" t="str">
        <f>CONCATENATE($T17,"-M",$U17,"-A8")</f>
        <v>E1-M7-A8</v>
      </c>
      <c r="CW17" t="str">
        <f>CONCATENATE($T17,"-M",$U17,"-A6")</f>
        <v>E1-M7-A6</v>
      </c>
      <c r="CX17" t="str">
        <f t="shared" si="65"/>
        <v>E1-M7-A6</v>
      </c>
      <c r="CY17" t="str">
        <f t="shared" si="66"/>
        <v>E1-M7-A30</v>
      </c>
      <c r="CZ17" t="str">
        <f t="shared" si="67"/>
        <v>E1-M7-N</v>
      </c>
      <c r="DA17" t="str">
        <f>CONCATENATE($T17,"-M",U17,"-A7")</f>
        <v>E1-M7-A7</v>
      </c>
      <c r="DB17" t="str">
        <f>CONCATENATE($T17,"-M",$U17,"-H1")</f>
        <v>E1-M7-H1</v>
      </c>
      <c r="DC17" t="str">
        <f t="shared" si="68"/>
        <v>E1-M7-A1</v>
      </c>
      <c r="DD17" t="str">
        <f t="shared" si="69"/>
        <v>E1-M7-A5</v>
      </c>
      <c r="DE17" t="str">
        <f t="shared" si="70"/>
        <v>E1-M7-A11</v>
      </c>
      <c r="DF17" t="str">
        <f t="shared" si="71"/>
        <v>E1-M7-A12</v>
      </c>
      <c r="DG17" t="str">
        <f>CONCATENATE($T17,"-M",$U17,"-A19")</f>
        <v>E1-M7-A19</v>
      </c>
      <c r="DH17" t="str">
        <f>CONCATENATE($T17,"-M",$U17,"-A20")</f>
        <v>E1-M7-A20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2</v>
      </c>
      <c r="EF17">
        <v>5</v>
      </c>
      <c r="EG17">
        <v>7</v>
      </c>
      <c r="EH17">
        <v>8</v>
      </c>
      <c r="EI17">
        <v>11</v>
      </c>
      <c r="EJ17">
        <v>14</v>
      </c>
      <c r="EK17">
        <v>18</v>
      </c>
      <c r="EL17">
        <v>19</v>
      </c>
      <c r="EM17">
        <v>20</v>
      </c>
      <c r="EN17">
        <v>21</v>
      </c>
      <c r="EO17">
        <v>25</v>
      </c>
      <c r="EQ17" s="16"/>
    </row>
    <row r="18" spans="1:282" x14ac:dyDescent="0.25">
      <c r="A18" t="s">
        <v>2077</v>
      </c>
      <c r="B18" t="s">
        <v>1874</v>
      </c>
      <c r="P18" t="s">
        <v>1873</v>
      </c>
      <c r="T18" s="14" t="s">
        <v>1987</v>
      </c>
      <c r="AC18" t="s">
        <v>261</v>
      </c>
      <c r="AD18" s="43">
        <v>1</v>
      </c>
      <c r="AE18" s="43" cm="1">
        <f t="array" ref="AE18">SUM(IF(ISNUMBER(FIND("TmDi",$BE$1:$PU$1)),IF(IFERROR(ISNUMBER(VALUE(SUBSTITUTE($BE18:$PU18,"B",""))),FALSE),IF(ISNUMBER(VALUE(SUBSTITUTE($BE18:$PU18,"B",""))),1,0),0)))</f>
        <v>0</v>
      </c>
      <c r="AF18" t="str">
        <f t="shared" si="13"/>
        <v>C1</v>
      </c>
      <c r="AG18" t="str">
        <f t="shared" si="14"/>
        <v>B1</v>
      </c>
      <c r="AP18" t="s">
        <v>137</v>
      </c>
      <c r="AT18" t="s">
        <v>854</v>
      </c>
      <c r="AU18" t="s">
        <v>1399</v>
      </c>
      <c r="JB18" s="25" t="str">
        <f>CONCATENATE("DI",REPLACE($AC18,1,3,""),"-",$AF18)</f>
        <v>DI2-C1</v>
      </c>
      <c r="JC18" s="12"/>
      <c r="JD18" s="12" t="s">
        <v>1884</v>
      </c>
      <c r="JE18" s="12" t="s">
        <v>1883</v>
      </c>
      <c r="JF18" s="12">
        <v>11</v>
      </c>
      <c r="JG18" s="12">
        <v>14</v>
      </c>
      <c r="JH18" s="12" t="s">
        <v>142</v>
      </c>
      <c r="JI18" s="12" t="s">
        <v>143</v>
      </c>
      <c r="JJ18" s="12" t="s">
        <v>488</v>
      </c>
      <c r="JK18" s="12" t="s">
        <v>487</v>
      </c>
      <c r="JL18" s="12" t="s">
        <v>414</v>
      </c>
      <c r="JM18" s="12" t="s">
        <v>413</v>
      </c>
      <c r="JN18" s="12"/>
      <c r="JO18" s="12"/>
      <c r="JP18" s="12"/>
      <c r="JQ18" s="12"/>
      <c r="JR18" s="12"/>
      <c r="JS18" s="12"/>
      <c r="JT18" s="12">
        <v>1</v>
      </c>
      <c r="JU18" s="13">
        <v>2</v>
      </c>
      <c r="JV18" s="27"/>
    </row>
    <row r="19" spans="1:282" x14ac:dyDescent="0.25">
      <c r="A19" t="s">
        <v>2078</v>
      </c>
      <c r="B19" t="s">
        <v>1875</v>
      </c>
      <c r="P19" t="s">
        <v>1873</v>
      </c>
      <c r="T19" s="14" t="s">
        <v>1987</v>
      </c>
      <c r="AC19" t="str">
        <f t="shared" ref="AC19:AC26" si="130">IF(AD18+AE18&gt;31,REPLACE(AC18,LEN(AC18),1,VALUE(RIGHT(AC18,1))+1),AC18)</f>
        <v>A5.2</v>
      </c>
      <c r="AD19" s="43" cm="1">
        <f t="array" ref="AD19">IF(COUNTIFS(AC$2:AC19,AC19)=1,"1",VALUE(SUBSTITUTE(INDEX(AD:AD,_xlfn.XMATCH(AC19,AC$1:AC18,0,-1)),"A",""))+INDEX(AE:AE,_xlfn.XMATCH(AC19,AC$1:AC18,0,-1))+1)</f>
        <v>2</v>
      </c>
      <c r="AE19" s="43" cm="1">
        <f t="array" ref="AE19">SUM(IF(ISNUMBER(FIND("TmDi",$BE$1:$PU$1)),IF(IFERROR(ISNUMBER(VALUE(SUBSTITUTE($BE19:$PU19,"B",""))),FALSE),IF(ISNUMBER(VALUE(SUBSTITUTE($BE19:$PU19,"B",""))),1,0),0)))</f>
        <v>0</v>
      </c>
      <c r="AF19" t="str">
        <f t="shared" si="13"/>
        <v>C2</v>
      </c>
      <c r="AG19" t="str">
        <f t="shared" si="14"/>
        <v>B2</v>
      </c>
      <c r="AP19" t="s">
        <v>137</v>
      </c>
      <c r="AT19" t="s">
        <v>854</v>
      </c>
      <c r="AU19" t="s">
        <v>1399</v>
      </c>
      <c r="JB19" s="27" t="str">
        <f>CONCATENATE("DI",REPLACE($AC19,1,3,""),"-",$AF19)</f>
        <v>DI2-C2</v>
      </c>
      <c r="JD19" t="s">
        <v>1885</v>
      </c>
      <c r="JE19" t="s">
        <v>1886</v>
      </c>
      <c r="JF19">
        <f t="shared" ref="JF19:JM26" si="131">JF18</f>
        <v>11</v>
      </c>
      <c r="JG19">
        <f t="shared" si="131"/>
        <v>14</v>
      </c>
      <c r="JH19" t="str">
        <f t="shared" si="131"/>
        <v>A1</v>
      </c>
      <c r="JI19" t="str">
        <f t="shared" si="131"/>
        <v>A2</v>
      </c>
      <c r="JJ19" t="str">
        <f t="shared" si="131"/>
        <v>0v3</v>
      </c>
      <c r="JK19" t="str">
        <f t="shared" si="131"/>
        <v>24v3</v>
      </c>
      <c r="JL19" t="str">
        <f t="shared" si="131"/>
        <v>0v6</v>
      </c>
      <c r="JM19" t="str">
        <f t="shared" si="131"/>
        <v>24v6</v>
      </c>
      <c r="JT19">
        <f>JT18</f>
        <v>1</v>
      </c>
      <c r="JU19" s="16">
        <f>JU18</f>
        <v>2</v>
      </c>
    </row>
    <row r="20" spans="1:282" x14ac:dyDescent="0.25">
      <c r="A20" t="s">
        <v>2079</v>
      </c>
      <c r="B20" t="s">
        <v>1876</v>
      </c>
      <c r="P20" t="s">
        <v>1873</v>
      </c>
      <c r="T20" s="14" t="s">
        <v>1987</v>
      </c>
      <c r="AC20" t="str">
        <f t="shared" si="130"/>
        <v>A5.2</v>
      </c>
      <c r="AD20" s="43" cm="1">
        <f t="array" ref="AD20">IF(COUNTIFS(AC$2:AC20,AC20)=1,"1",VALUE(SUBSTITUTE(INDEX(AD:AD,_xlfn.XMATCH(AC20,AC$1:AC19,0,-1)),"A",""))+INDEX(AE:AE,_xlfn.XMATCH(AC20,AC$1:AC19,0,-1))+1)</f>
        <v>3</v>
      </c>
      <c r="AE20" s="43" cm="1">
        <f t="array" ref="AE20">SUM(IF(ISNUMBER(FIND("TmDi",$BE$1:$PU$1)),IF(IFERROR(ISNUMBER(VALUE(SUBSTITUTE($BE20:$PU20,"B",""))),FALSE),IF(ISNUMBER(VALUE(SUBSTITUTE($BE20:$PU20,"B",""))),1,0),0)))</f>
        <v>0</v>
      </c>
      <c r="AF20" t="str">
        <f t="shared" si="13"/>
        <v>C3</v>
      </c>
      <c r="AG20" t="str">
        <f t="shared" si="14"/>
        <v>B3</v>
      </c>
      <c r="AP20" t="s">
        <v>137</v>
      </c>
      <c r="AT20" t="s">
        <v>854</v>
      </c>
      <c r="AU20" t="s">
        <v>1399</v>
      </c>
      <c r="JB20" s="27" t="str">
        <f t="shared" ref="JB20:JB26" si="132">CONCATENATE("DI",REPLACE($AC20,1,3,""),"-",$AF20)</f>
        <v>DI2-C3</v>
      </c>
      <c r="JD20" t="s">
        <v>1887</v>
      </c>
      <c r="JE20" t="s">
        <v>1888</v>
      </c>
      <c r="JF20">
        <f t="shared" si="131"/>
        <v>11</v>
      </c>
      <c r="JG20">
        <f t="shared" si="131"/>
        <v>14</v>
      </c>
      <c r="JH20" t="str">
        <f t="shared" si="131"/>
        <v>A1</v>
      </c>
      <c r="JI20" t="str">
        <f t="shared" si="131"/>
        <v>A2</v>
      </c>
      <c r="JJ20" t="str">
        <f t="shared" si="131"/>
        <v>0v3</v>
      </c>
      <c r="JK20" t="str">
        <f t="shared" si="131"/>
        <v>24v3</v>
      </c>
      <c r="JL20" t="str">
        <f t="shared" si="131"/>
        <v>0v6</v>
      </c>
      <c r="JM20" t="str">
        <f t="shared" si="131"/>
        <v>24v6</v>
      </c>
      <c r="JT20">
        <f t="shared" ref="JT20:JU26" si="133">JT19</f>
        <v>1</v>
      </c>
      <c r="JU20" s="16">
        <f t="shared" si="133"/>
        <v>2</v>
      </c>
    </row>
    <row r="21" spans="1:282" x14ac:dyDescent="0.25">
      <c r="A21" t="s">
        <v>2080</v>
      </c>
      <c r="B21" t="s">
        <v>1877</v>
      </c>
      <c r="P21" t="s">
        <v>1873</v>
      </c>
      <c r="T21" s="14" t="s">
        <v>1987</v>
      </c>
      <c r="AC21" t="str">
        <f t="shared" si="130"/>
        <v>A5.2</v>
      </c>
      <c r="AD21" s="43" cm="1">
        <f t="array" ref="AD21">IF(COUNTIFS(AC$2:AC21,AC21)=1,"1",VALUE(SUBSTITUTE(INDEX(AD:AD,_xlfn.XMATCH(AC21,AC$1:AC20,0,-1)),"A",""))+INDEX(AE:AE,_xlfn.XMATCH(AC21,AC$1:AC20,0,-1))+1)</f>
        <v>4</v>
      </c>
      <c r="AE21" s="43" cm="1">
        <f t="array" ref="AE21">SUM(IF(ISNUMBER(FIND("TmDi",$BE$1:$PU$1)),IF(IFERROR(ISNUMBER(VALUE(SUBSTITUTE($BE21:$PU21,"B",""))),FALSE),IF(ISNUMBER(VALUE(SUBSTITUTE($BE21:$PU21,"B",""))),1,0),0)))</f>
        <v>0</v>
      </c>
      <c r="AF21" t="str">
        <f t="shared" si="13"/>
        <v>C4</v>
      </c>
      <c r="AG21" t="str">
        <f t="shared" si="14"/>
        <v>B4</v>
      </c>
      <c r="AP21" t="s">
        <v>137</v>
      </c>
      <c r="AT21" t="s">
        <v>854</v>
      </c>
      <c r="AU21" t="s">
        <v>1399</v>
      </c>
      <c r="JB21" s="27" t="str">
        <f t="shared" si="132"/>
        <v>DI2-C4</v>
      </c>
      <c r="JD21" t="s">
        <v>1889</v>
      </c>
      <c r="JE21" t="s">
        <v>1890</v>
      </c>
      <c r="JF21">
        <f t="shared" si="131"/>
        <v>11</v>
      </c>
      <c r="JG21">
        <f t="shared" si="131"/>
        <v>14</v>
      </c>
      <c r="JH21" t="str">
        <f t="shared" si="131"/>
        <v>A1</v>
      </c>
      <c r="JI21" t="str">
        <f t="shared" si="131"/>
        <v>A2</v>
      </c>
      <c r="JJ21" t="str">
        <f t="shared" si="131"/>
        <v>0v3</v>
      </c>
      <c r="JK21" t="str">
        <f t="shared" si="131"/>
        <v>24v3</v>
      </c>
      <c r="JL21" t="str">
        <f t="shared" si="131"/>
        <v>0v6</v>
      </c>
      <c r="JM21" t="str">
        <f t="shared" si="131"/>
        <v>24v6</v>
      </c>
      <c r="JT21">
        <f t="shared" si="133"/>
        <v>1</v>
      </c>
      <c r="JU21" s="16">
        <f t="shared" si="133"/>
        <v>2</v>
      </c>
    </row>
    <row r="22" spans="1:282" x14ac:dyDescent="0.25">
      <c r="A22" t="s">
        <v>2081</v>
      </c>
      <c r="B22" t="s">
        <v>1878</v>
      </c>
      <c r="P22" t="s">
        <v>1873</v>
      </c>
      <c r="T22" s="14" t="s">
        <v>1987</v>
      </c>
      <c r="AC22" t="str">
        <f t="shared" si="130"/>
        <v>A5.2</v>
      </c>
      <c r="AD22" s="43" cm="1">
        <f t="array" ref="AD22">IF(COUNTIFS(AC$2:AC22,AC22)=1,"1",VALUE(SUBSTITUTE(INDEX(AD:AD,_xlfn.XMATCH(AC22,AC$1:AC21,0,-1)),"A",""))+INDEX(AE:AE,_xlfn.XMATCH(AC22,AC$1:AC21,0,-1))+1)</f>
        <v>5</v>
      </c>
      <c r="AE22" s="43" cm="1">
        <f t="array" ref="AE22">SUM(IF(ISNUMBER(FIND("TmDi",$BE$1:$PU$1)),IF(IFERROR(ISNUMBER(VALUE(SUBSTITUTE($BE22:$PU22,"B",""))),FALSE),IF(ISNUMBER(VALUE(SUBSTITUTE($BE22:$PU22,"B",""))),1,0),0)))</f>
        <v>0</v>
      </c>
      <c r="AF22" t="str">
        <f t="shared" si="13"/>
        <v>C5</v>
      </c>
      <c r="AG22" t="str">
        <f t="shared" si="14"/>
        <v>B5</v>
      </c>
      <c r="AP22" t="s">
        <v>137</v>
      </c>
      <c r="AT22" t="s">
        <v>854</v>
      </c>
      <c r="AU22" t="s">
        <v>1399</v>
      </c>
      <c r="JB22" s="27" t="str">
        <f t="shared" si="132"/>
        <v>DI2-C5</v>
      </c>
      <c r="JD22" t="s">
        <v>1891</v>
      </c>
      <c r="JE22" t="s">
        <v>1892</v>
      </c>
      <c r="JF22">
        <f t="shared" si="131"/>
        <v>11</v>
      </c>
      <c r="JG22">
        <f t="shared" si="131"/>
        <v>14</v>
      </c>
      <c r="JH22" t="str">
        <f t="shared" si="131"/>
        <v>A1</v>
      </c>
      <c r="JI22" t="str">
        <f t="shared" si="131"/>
        <v>A2</v>
      </c>
      <c r="JJ22" t="str">
        <f t="shared" si="131"/>
        <v>0v3</v>
      </c>
      <c r="JK22" t="str">
        <f t="shared" si="131"/>
        <v>24v3</v>
      </c>
      <c r="JL22" t="str">
        <f t="shared" si="131"/>
        <v>0v6</v>
      </c>
      <c r="JM22" t="str">
        <f t="shared" si="131"/>
        <v>24v6</v>
      </c>
      <c r="JT22">
        <f t="shared" si="133"/>
        <v>1</v>
      </c>
      <c r="JU22" s="16">
        <f t="shared" si="133"/>
        <v>2</v>
      </c>
    </row>
    <row r="23" spans="1:282" x14ac:dyDescent="0.25">
      <c r="A23" t="s">
        <v>2082</v>
      </c>
      <c r="B23" t="s">
        <v>1879</v>
      </c>
      <c r="P23" t="s">
        <v>1873</v>
      </c>
      <c r="T23" s="14" t="s">
        <v>1987</v>
      </c>
      <c r="AC23" t="str">
        <f t="shared" si="130"/>
        <v>A5.2</v>
      </c>
      <c r="AD23" s="43" cm="1">
        <f t="array" ref="AD23">IF(COUNTIFS(AC$2:AC23,AC23)=1,"1",VALUE(SUBSTITUTE(INDEX(AD:AD,_xlfn.XMATCH(AC23,AC$1:AC22,0,-1)),"A",""))+INDEX(AE:AE,_xlfn.XMATCH(AC23,AC$1:AC22,0,-1))+1)</f>
        <v>6</v>
      </c>
      <c r="AE23" s="43" cm="1">
        <f t="array" ref="AE23">SUM(IF(ISNUMBER(FIND("TmDi",$BE$1:$PU$1)),IF(IFERROR(ISNUMBER(VALUE(SUBSTITUTE($BE23:$PU23,"B",""))),FALSE),IF(ISNUMBER(VALUE(SUBSTITUTE($BE23:$PU23,"B",""))),1,0),0)))</f>
        <v>0</v>
      </c>
      <c r="AF23" t="str">
        <f t="shared" si="13"/>
        <v>C6</v>
      </c>
      <c r="AG23" t="str">
        <f t="shared" si="14"/>
        <v>B6</v>
      </c>
      <c r="AP23" t="s">
        <v>137</v>
      </c>
      <c r="AT23" t="s">
        <v>854</v>
      </c>
      <c r="AU23" t="s">
        <v>1399</v>
      </c>
      <c r="JB23" s="27" t="str">
        <f t="shared" si="132"/>
        <v>DI2-C6</v>
      </c>
      <c r="JD23" t="s">
        <v>1893</v>
      </c>
      <c r="JE23" t="s">
        <v>1894</v>
      </c>
      <c r="JF23">
        <f t="shared" si="131"/>
        <v>11</v>
      </c>
      <c r="JG23">
        <f t="shared" si="131"/>
        <v>14</v>
      </c>
      <c r="JH23" t="str">
        <f t="shared" si="131"/>
        <v>A1</v>
      </c>
      <c r="JI23" t="str">
        <f t="shared" si="131"/>
        <v>A2</v>
      </c>
      <c r="JJ23" t="str">
        <f t="shared" si="131"/>
        <v>0v3</v>
      </c>
      <c r="JK23" t="str">
        <f t="shared" si="131"/>
        <v>24v3</v>
      </c>
      <c r="JL23" t="str">
        <f t="shared" si="131"/>
        <v>0v6</v>
      </c>
      <c r="JM23" t="str">
        <f t="shared" si="131"/>
        <v>24v6</v>
      </c>
      <c r="JT23">
        <f t="shared" si="133"/>
        <v>1</v>
      </c>
      <c r="JU23" s="16">
        <f t="shared" si="133"/>
        <v>2</v>
      </c>
    </row>
    <row r="24" spans="1:282" x14ac:dyDescent="0.25">
      <c r="A24" t="s">
        <v>2083</v>
      </c>
      <c r="B24" t="s">
        <v>1880</v>
      </c>
      <c r="P24" t="s">
        <v>1873</v>
      </c>
      <c r="T24" s="14" t="s">
        <v>1987</v>
      </c>
      <c r="AC24" t="str">
        <f t="shared" si="130"/>
        <v>A5.2</v>
      </c>
      <c r="AD24" s="43" cm="1">
        <f t="array" ref="AD24">IF(COUNTIFS(AC$2:AC24,AC24)=1,"1",VALUE(SUBSTITUTE(INDEX(AD:AD,_xlfn.XMATCH(AC24,AC$1:AC23,0,-1)),"A",""))+INDEX(AE:AE,_xlfn.XMATCH(AC24,AC$1:AC23,0,-1))+1)</f>
        <v>7</v>
      </c>
      <c r="AE24" s="43" cm="1">
        <f t="array" ref="AE24">SUM(IF(ISNUMBER(FIND("TmDi",$BE$1:$PU$1)),IF(IFERROR(ISNUMBER(VALUE(SUBSTITUTE($BE24:$PU24,"B",""))),FALSE),IF(ISNUMBER(VALUE(SUBSTITUTE($BE24:$PU24,"B",""))),1,0),0)))</f>
        <v>0</v>
      </c>
      <c r="AF24" t="str">
        <f t="shared" si="13"/>
        <v>C7</v>
      </c>
      <c r="AG24" t="str">
        <f t="shared" si="14"/>
        <v>B7</v>
      </c>
      <c r="AP24" t="s">
        <v>137</v>
      </c>
      <c r="AT24" t="s">
        <v>854</v>
      </c>
      <c r="AU24" t="s">
        <v>1399</v>
      </c>
      <c r="JB24" s="27" t="str">
        <f t="shared" si="132"/>
        <v>DI2-C7</v>
      </c>
      <c r="JD24" t="s">
        <v>1895</v>
      </c>
      <c r="JE24" t="s">
        <v>1896</v>
      </c>
      <c r="JF24">
        <f t="shared" si="131"/>
        <v>11</v>
      </c>
      <c r="JG24">
        <f t="shared" si="131"/>
        <v>14</v>
      </c>
      <c r="JH24" t="str">
        <f t="shared" si="131"/>
        <v>A1</v>
      </c>
      <c r="JI24" t="str">
        <f t="shared" si="131"/>
        <v>A2</v>
      </c>
      <c r="JJ24" t="str">
        <f t="shared" si="131"/>
        <v>0v3</v>
      </c>
      <c r="JK24" t="str">
        <f t="shared" si="131"/>
        <v>24v3</v>
      </c>
      <c r="JL24" t="str">
        <f t="shared" si="131"/>
        <v>0v6</v>
      </c>
      <c r="JM24" t="str">
        <f t="shared" si="131"/>
        <v>24v6</v>
      </c>
      <c r="JT24">
        <f t="shared" si="133"/>
        <v>1</v>
      </c>
      <c r="JU24" s="16">
        <f t="shared" si="133"/>
        <v>2</v>
      </c>
    </row>
    <row r="25" spans="1:282" x14ac:dyDescent="0.25">
      <c r="A25" t="s">
        <v>2084</v>
      </c>
      <c r="B25" t="s">
        <v>1881</v>
      </c>
      <c r="P25" t="s">
        <v>1873</v>
      </c>
      <c r="T25" s="14" t="s">
        <v>1987</v>
      </c>
      <c r="AC25" t="str">
        <f t="shared" si="130"/>
        <v>A5.2</v>
      </c>
      <c r="AD25" s="43" cm="1">
        <f t="array" ref="AD25">IF(COUNTIFS(AC$2:AC25,AC25)=1,"1",VALUE(SUBSTITUTE(INDEX(AD:AD,_xlfn.XMATCH(AC25,AC$1:AC24,0,-1)),"A",""))+INDEX(AE:AE,_xlfn.XMATCH(AC25,AC$1:AC24,0,-1))+1)</f>
        <v>8</v>
      </c>
      <c r="AE25" s="43" cm="1">
        <f t="array" ref="AE25">SUM(IF(ISNUMBER(FIND("TmDi",$BE$1:$PU$1)),IF(IFERROR(ISNUMBER(VALUE(SUBSTITUTE($BE25:$PU25,"B",""))),FALSE),IF(ISNUMBER(VALUE(SUBSTITUTE($BE25:$PU25,"B",""))),1,0),0)))</f>
        <v>0</v>
      </c>
      <c r="AF25" t="str">
        <f t="shared" si="13"/>
        <v>C8</v>
      </c>
      <c r="AG25" t="str">
        <f t="shared" si="14"/>
        <v>B8</v>
      </c>
      <c r="AP25" t="s">
        <v>137</v>
      </c>
      <c r="AT25" t="s">
        <v>854</v>
      </c>
      <c r="AU25" t="s">
        <v>1399</v>
      </c>
      <c r="JB25" s="27" t="str">
        <f t="shared" si="132"/>
        <v>DI2-C8</v>
      </c>
      <c r="JD25" t="s">
        <v>1897</v>
      </c>
      <c r="JE25" t="s">
        <v>1898</v>
      </c>
      <c r="JF25">
        <f t="shared" si="131"/>
        <v>11</v>
      </c>
      <c r="JG25">
        <f t="shared" si="131"/>
        <v>14</v>
      </c>
      <c r="JH25" t="str">
        <f t="shared" si="131"/>
        <v>A1</v>
      </c>
      <c r="JI25" t="str">
        <f t="shared" si="131"/>
        <v>A2</v>
      </c>
      <c r="JJ25" t="str">
        <f t="shared" si="131"/>
        <v>0v3</v>
      </c>
      <c r="JK25" t="str">
        <f t="shared" si="131"/>
        <v>24v3</v>
      </c>
      <c r="JL25" t="str">
        <f t="shared" si="131"/>
        <v>0v6</v>
      </c>
      <c r="JM25" t="str">
        <f t="shared" si="131"/>
        <v>24v6</v>
      </c>
      <c r="JT25">
        <f t="shared" si="133"/>
        <v>1</v>
      </c>
      <c r="JU25" s="16">
        <f t="shared" si="133"/>
        <v>2</v>
      </c>
    </row>
    <row r="26" spans="1:282" s="19" customFormat="1" ht="15.75" thickBot="1" x14ac:dyDescent="0.3">
      <c r="A26" s="19" t="s">
        <v>2085</v>
      </c>
      <c r="B26" s="19" t="s">
        <v>1882</v>
      </c>
      <c r="P26" s="19" t="s">
        <v>1873</v>
      </c>
      <c r="T26" s="17" t="s">
        <v>1987</v>
      </c>
      <c r="AC26" s="19" t="str">
        <f t="shared" si="130"/>
        <v>A5.2</v>
      </c>
      <c r="AD26" s="44" cm="1">
        <f t="array" ref="AD26">IF(COUNTIFS(AC$2:AC26,AC26)=1,"1",VALUE(SUBSTITUTE(INDEX(AD:AD,_xlfn.XMATCH(AC26,AC$1:AC25,0,-1)),"A",""))+INDEX(AE:AE,_xlfn.XMATCH(AC26,AC$1:AC25,0,-1))+1)</f>
        <v>9</v>
      </c>
      <c r="AE26" s="44" cm="1">
        <f t="array" ref="AE26">SUM(IF(ISNUMBER(FIND("TmDi",$BE$1:$PU$1)),IF(IFERROR(ISNUMBER(VALUE(SUBSTITUTE($BE26:$PU26,"B",""))),FALSE),IF(ISNUMBER(VALUE(SUBSTITUTE($BE26:$PU26,"B",""))),1,0),0)))</f>
        <v>0</v>
      </c>
      <c r="AF26" s="19" t="str">
        <f t="shared" si="13"/>
        <v>C9</v>
      </c>
      <c r="AG26" s="19" t="str">
        <f t="shared" si="14"/>
        <v>B9</v>
      </c>
      <c r="AP26" s="19" t="s">
        <v>137</v>
      </c>
      <c r="AT26" s="19" t="s">
        <v>854</v>
      </c>
      <c r="AU26" s="19" t="s">
        <v>1399</v>
      </c>
      <c r="JB26" s="28" t="str">
        <f t="shared" si="132"/>
        <v>DI2-C9</v>
      </c>
      <c r="JD26" s="19" t="s">
        <v>1899</v>
      </c>
      <c r="JE26" s="19" t="s">
        <v>1900</v>
      </c>
      <c r="JF26" s="19">
        <f t="shared" si="131"/>
        <v>11</v>
      </c>
      <c r="JG26" s="19">
        <f t="shared" si="131"/>
        <v>14</v>
      </c>
      <c r="JH26" s="19" t="str">
        <f t="shared" si="131"/>
        <v>A1</v>
      </c>
      <c r="JI26" s="19" t="str">
        <f t="shared" si="131"/>
        <v>A2</v>
      </c>
      <c r="JJ26" s="19" t="str">
        <f t="shared" si="131"/>
        <v>0v3</v>
      </c>
      <c r="JK26" s="19" t="str">
        <f t="shared" si="131"/>
        <v>24v3</v>
      </c>
      <c r="JL26" s="19" t="str">
        <f t="shared" si="131"/>
        <v>0v6</v>
      </c>
      <c r="JM26" s="19" t="str">
        <f t="shared" si="131"/>
        <v>24v6</v>
      </c>
      <c r="JT26" s="19">
        <f t="shared" si="133"/>
        <v>1</v>
      </c>
      <c r="JU26" s="20">
        <f t="shared" si="133"/>
        <v>2</v>
      </c>
    </row>
  </sheetData>
  <autoFilter ref="P1:P12" xr:uid="{00000000-0001-0000-0000-000000000000}"/>
  <customSheetViews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3314860D-109E-437E-B442-B43A7445CD8E}">
        <filterColumn colId="0">
          <filters>
            <filter val="se0004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F30D8121-7C4B-4839-9E0D-1009090F6100}">
        <filterColumn colId="0">
          <filters>
            <filter val="se0001"/>
            <filter val="se0002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09494B85-62D4-4DC9-B3CD-9BA625477DBF}">
        <filterColumn colId="0">
          <filters>
            <filter val="se0003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FF3FC02B-5B57-41BD-9432-8A028BD3A1A0}">
        <filterColumn colId="0">
          <filters>
            <filter val="se0005"/>
            <filter val="se0006"/>
            <filter val="se0007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9A5CDB86-AFAC-4A9A-A9F3-EDE081010C0F}">
        <filterColumn colId="0">
          <filters>
            <filter val="se0008"/>
          </filters>
        </filterColumn>
      </autoFilter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9560A83C-E442-4E89-848C-0740BA20CA96}">
        <filterColumn colId="0">
          <filters>
            <filter val="se0009"/>
          </filters>
        </filterColumn>
      </autoFilter>
    </customSheetView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358E255E-2156-40FE-982C-829D0E83C38B}"/>
    </customSheetView>
  </customSheetViews>
  <phoneticPr fontId="3" type="noConversion"/>
  <conditionalFormatting sqref="A1">
    <cfRule type="duplicateValues" dxfId="26" priority="19"/>
  </conditionalFormatting>
  <conditionalFormatting sqref="A6:A8 A1:A3 A10:A12 A18:A1048576">
    <cfRule type="duplicateValues" dxfId="25" priority="17"/>
  </conditionalFormatting>
  <conditionalFormatting sqref="B13:B1048576 B1">
    <cfRule type="duplicateValues" dxfId="24" priority="16"/>
  </conditionalFormatting>
  <conditionalFormatting sqref="V1:W1048576">
    <cfRule type="duplicateValues" dxfId="23" priority="28"/>
  </conditionalFormatting>
  <conditionalFormatting sqref="V13:W14 V1:V12 V15:V1048576">
    <cfRule type="duplicateValues" dxfId="22" priority="15"/>
  </conditionalFormatting>
  <conditionalFormatting sqref="Y1:Y1048576">
    <cfRule type="cellIs" dxfId="21" priority="14" operator="equal">
      <formula>"Y:Y+Z:Z&gt;8"</formula>
    </cfRule>
  </conditionalFormatting>
  <conditionalFormatting sqref="AD1">
    <cfRule type="cellIs" dxfId="20" priority="12" operator="equal">
      <formula>"Y:Y+Z:Z&gt;8"</formula>
    </cfRule>
  </conditionalFormatting>
  <conditionalFormatting sqref="AD4:AD5">
    <cfRule type="cellIs" dxfId="19" priority="7" operator="equal">
      <formula>"Y:Y+Z:Z&gt;8"</formula>
    </cfRule>
  </conditionalFormatting>
  <conditionalFormatting sqref="AD11:AD26">
    <cfRule type="cellIs" dxfId="18" priority="1" operator="equal">
      <formula>"Y:Y+Z:Z&gt;8"</formula>
    </cfRule>
  </conditionalFormatting>
  <conditionalFormatting sqref="AI1">
    <cfRule type="cellIs" dxfId="17" priority="9" operator="equal">
      <formula>"Y:Y+Z:Z&gt;8"</formula>
    </cfRule>
  </conditionalFormatting>
  <conditionalFormatting sqref="AI13:AI17">
    <cfRule type="cellIs" dxfId="16" priority="2" operator="equal">
      <formula>"Y:Y+Z:Z&gt;8"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B05E-3736-4B5D-8254-5BA2EB9AB999}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1943</v>
      </c>
      <c r="TR1" s="42" t="s">
        <v>1944</v>
      </c>
      <c r="TS1" s="42" t="s">
        <v>1945</v>
      </c>
      <c r="TT1" s="42" t="s">
        <v>1978</v>
      </c>
      <c r="TU1" s="42" t="s">
        <v>1946</v>
      </c>
      <c r="TV1" s="42" t="s">
        <v>1947</v>
      </c>
      <c r="TW1" s="42" t="s">
        <v>1948</v>
      </c>
      <c r="TX1" s="42" t="s">
        <v>1949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 cm="1">
        <f t="array" ref="Y43">IF(COUNTIFS($X$2:$X43,$X43)=1,"1",VALUE(SUBSTITUTE(INDEX(Y:Y,_xlfn.XMATCH($X43,$X$1:$X42,0,-1)),"A",""))+INDEX(Z:Z,_xlfn.XMATCH($X43,$X$1:$X42,0,-1))+1)</f>
        <v>1</v>
      </c>
      <c r="Z43" s="43" cm="1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 cm="1">
        <f t="array" ref="Y44">IF(COUNTIFS($X$2:$X44,$X44)=1,"1",VALUE(SUBSTITUTE(INDEX(Y:Y,_xlfn.XMATCH($X44,$X$1:$X43,0,-1)),"A",""))+INDEX(Z:Z,_xlfn.XMATCH($X44,$X$1:$X43,0,-1))+1)</f>
        <v>2</v>
      </c>
      <c r="Z44" s="43" cm="1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 cm="1">
        <f t="array" ref="Y45">IF(COUNTIFS($X$2:$X45,$X45)=1,"1",VALUE(SUBSTITUTE(INDEX(Y:Y,_xlfn.XMATCH($X45,$X$1:$X44,0,-1)),"A",""))+INDEX(Z:Z,_xlfn.XMATCH($X45,$X$1:$X44,0,-1))+1)</f>
        <v>3</v>
      </c>
      <c r="Z45" s="43" cm="1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 cm="1">
        <f t="array" ref="Y46">IF(COUNTIFS($X$2:$X46,$X46)=1,"1",VALUE(SUBSTITUTE(INDEX(Y:Y,_xlfn.XMATCH($X46,$X$1:$X45,0,-1)),"A",""))+INDEX(Z:Z,_xlfn.XMATCH($X46,$X$1:$X45,0,-1))+1)</f>
        <v>4</v>
      </c>
      <c r="Z46" s="43" cm="1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 cm="1">
        <f t="array" ref="Y47">IF(COUNTIFS($X$2:$X47,$X47)=1,"1",VALUE(SUBSTITUTE(INDEX(Y:Y,_xlfn.XMATCH($X47,$X$1:$X46,0,-1)),"A",""))+INDEX(Z:Z,_xlfn.XMATCH($X47,$X$1:$X46,0,-1))+1)</f>
        <v>5</v>
      </c>
      <c r="Z47" s="43" cm="1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 cm="1">
        <f t="array" ref="Y48">IF(COUNTIFS($X$2:$X48,$X48)=1,"1",VALUE(SUBSTITUTE(INDEX(Y:Y,_xlfn.XMATCH($X48,$X$1:$X47,0,-1)),"A",""))+INDEX(Z:Z,_xlfn.XMATCH($X48,$X$1:$X47,0,-1))+1)</f>
        <v>6</v>
      </c>
      <c r="Z48" s="43" cm="1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 cm="1">
        <f t="array" ref="Y49">IF(COUNTIFS($X$2:$X49,$X49)=1,"1",VALUE(SUBSTITUTE(INDEX(Y:Y,_xlfn.XMATCH($X49,$X$1:$X48,0,-1)),"A",""))+INDEX(Z:Z,_xlfn.XMATCH($X49,$X$1:$X48,0,-1))+1)</f>
        <v>7</v>
      </c>
      <c r="Z49" s="43" cm="1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 cm="1">
        <f t="array" ref="Y50">IF(COUNTIFS($X$2:$X50,$X50)=1,"1",VALUE(SUBSTITUTE(INDEX(Y:Y,_xlfn.XMATCH($X50,$X$1:$X49,0,-1)),"A",""))+INDEX(Z:Z,_xlfn.XMATCH($X50,$X$1:$X49,0,-1))+1)</f>
        <v>8</v>
      </c>
      <c r="Z50" s="43" cm="1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 cm="1">
        <f t="array" ref="Y51">IF(COUNTIFS($X$2:$X51,$X51)=1,"1",VALUE(SUBSTITUTE(INDEX(Y:Y,_xlfn.XMATCH($X51,$X$1:$X50,0,-1)),"A",""))+INDEX(Z:Z,_xlfn.XMATCH($X51,$X$1:$X50,0,-1))+1)</f>
        <v>1</v>
      </c>
      <c r="Z51" s="43" cm="1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 cm="1">
        <f t="array" ref="Y52">IF(COUNTIFS($X$2:$X52,$X52)=1,"1",VALUE(SUBSTITUTE(INDEX(Y:Y,_xlfn.XMATCH($X52,$X$1:$X51,0,-1)),"A",""))+INDEX(Z:Z,_xlfn.XMATCH($X52,$X$1:$X51,0,-1))+1)</f>
        <v>2</v>
      </c>
      <c r="Z52" s="43" cm="1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 cm="1">
        <f t="array" ref="Y53">IF(COUNTIFS($X$2:$X53,$X53)=1,"1",VALUE(SUBSTITUTE(INDEX(Y:Y,_xlfn.XMATCH($X53,$X$1:$X52,0,-1)),"A",""))+INDEX(Z:Z,_xlfn.XMATCH($X53,$X$1:$X52,0,-1))+1)</f>
        <v>3</v>
      </c>
      <c r="Z53" s="43" cm="1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 cm="1">
        <f t="array" ref="Y54">IF(COUNTIFS($X$2:$X54,$X54)=1,"1",VALUE(SUBSTITUTE(INDEX(Y:Y,_xlfn.XMATCH($X54,$X$1:$X53,0,-1)),"A",""))+INDEX(Z:Z,_xlfn.XMATCH($X54,$X$1:$X53,0,-1))+1)</f>
        <v>4</v>
      </c>
      <c r="Z54" s="43" cm="1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 cm="1">
        <f t="array" ref="Y55">IF(COUNTIFS($X$2:$X55,$X55)=1,"1",VALUE(SUBSTITUTE(INDEX(Y:Y,_xlfn.XMATCH($X55,$X$1:$X54,0,-1)),"A",""))+INDEX(Z:Z,_xlfn.XMATCH($X55,$X$1:$X54,0,-1))+1)</f>
        <v>5</v>
      </c>
      <c r="Z55" s="44" cm="1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 cm="1">
        <f t="array" ref="Y56">IF(COUNTIFS($X$2:$X56,$X56)=1,"1",VALUE(SUBSTITUTE(INDEX(Y:Y,_xlfn.XMATCH($X56,$X$1:$X55,0,-1)),"A",""))+INDEX(Z:Z,_xlfn.XMATCH($X56,$X$1:$X55,0,-1))+1)</f>
        <v>1</v>
      </c>
      <c r="Z56" s="43" cm="1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 cm="1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 cm="1">
        <f t="array" ref="Y57">IF(COUNTIFS($X$2:$X57,$X57)=1,"1",VALUE(SUBSTITUTE(INDEX(Y:Y,_xlfn.XMATCH($X57,$X$1:$X56,0,-1)),"A",""))+INDEX(Z:Z,_xlfn.XMATCH($X57,$X$1:$X56,0,-1))+1)</f>
        <v>2</v>
      </c>
      <c r="Z57" s="43" cm="1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 cm="1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 cm="1">
        <f t="array" ref="Y58">IF(COUNTIFS($X$2:$X58,$X58)=1,"1",VALUE(SUBSTITUTE(INDEX(Y:Y,_xlfn.XMATCH($X58,$X$1:$X57,0,-1)),"A",""))+INDEX(Z:Z,_xlfn.XMATCH($X58,$X$1:$X57,0,-1))+1)</f>
        <v>3</v>
      </c>
      <c r="Z58" s="43" cm="1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 cm="1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 cm="1">
        <f t="array" ref="Y59">IF(COUNTIFS($X$2:$X59,$X59)=1,"1",VALUE(SUBSTITUTE(INDEX(Y:Y,_xlfn.XMATCH($X59,$X$1:$X58,0,-1)),"A",""))+INDEX(Z:Z,_xlfn.XMATCH($X59,$X$1:$X58,0,-1))+1)</f>
        <v>4</v>
      </c>
      <c r="Z59" s="43" cm="1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 cm="1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 cm="1">
        <f t="array" ref="Y60">IF(COUNTIFS($X$2:$X60,$X60)=1,"1",VALUE(SUBSTITUTE(INDEX(Y:Y,_xlfn.XMATCH($X60,$X$1:$X59,0,-1)),"A",""))+INDEX(Z:Z,_xlfn.XMATCH($X60,$X$1:$X59,0,-1))+1)</f>
        <v>5</v>
      </c>
      <c r="Z60" s="43" cm="1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 cm="1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 cm="1">
        <f t="array" ref="Y61">IF(COUNTIFS($X$2:$X61,$X61)=1,"1",VALUE(SUBSTITUTE(INDEX(Y:Y,_xlfn.XMATCH($X61,$X$1:$X60,0,-1)),"A",""))+INDEX(Z:Z,_xlfn.XMATCH($X61,$X$1:$X60,0,-1))+1)</f>
        <v>6</v>
      </c>
      <c r="Z61" s="43" cm="1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 cm="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 cm="1">
        <f t="array" ref="Y62">IF(COUNTIFS($X$2:$X62,$X62)=1,"1",VALUE(SUBSTITUTE(INDEX(Y:Y,_xlfn.XMATCH($X62,$X$1:$X61,0,-1)),"A",""))+INDEX(Z:Z,_xlfn.XMATCH($X62,$X$1:$X61,0,-1))+1)</f>
        <v>7</v>
      </c>
      <c r="Z62" s="43" cm="1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 cm="1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 cm="1">
        <f t="array" ref="Y63">IF(COUNTIFS($X$2:$X63,$X63)=1,"1",VALUE(SUBSTITUTE(INDEX(Y:Y,_xlfn.XMATCH($X63,$X$1:$X62,0,-1)),"A",""))+INDEX(Z:Z,_xlfn.XMATCH($X63,$X$1:$X62,0,-1))+1)</f>
        <v>8</v>
      </c>
      <c r="Z63" s="43" cm="1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 cm="1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 cm="1">
        <f t="array" ref="Y64">IF(COUNTIFS($X$2:$X64,$X64)=1,"1",VALUE(SUBSTITUTE(INDEX(Y:Y,_xlfn.XMATCH($X64,$X$1:$X63,0,-1)),"A",""))+INDEX(Z:Z,_xlfn.XMATCH($X64,$X$1:$X63,0,-1))+1)</f>
        <v>1</v>
      </c>
      <c r="Z64" s="43" cm="1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 cm="1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 cm="1">
        <f t="array" ref="Y65">IF(COUNTIFS($X$2:$X65,$X65)=1,"1",VALUE(SUBSTITUTE(INDEX(Y:Y,_xlfn.XMATCH($X65,$X$1:$X64,0,-1)),"A",""))+INDEX(Z:Z,_xlfn.XMATCH($X65,$X$1:$X64,0,-1))+1)</f>
        <v>2</v>
      </c>
      <c r="Z65" s="43" cm="1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 cm="1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 cm="1">
        <f t="array" ref="Y66">IF(COUNTIFS($X$2:$X66,$X66)=1,"1",VALUE(SUBSTITUTE(INDEX(Y:Y,_xlfn.XMATCH($X66,$X$1:$X65,0,-1)),"A",""))+INDEX(Z:Z,_xlfn.XMATCH($X66,$X$1:$X65,0,-1))+1)</f>
        <v>3</v>
      </c>
      <c r="Z66" s="43" cm="1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 cm="1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 cm="1">
        <f t="array" ref="Y67">IF(COUNTIFS($X$2:$X67,$X67)=1,"1",VALUE(SUBSTITUTE(INDEX(Y:Y,_xlfn.XMATCH($X67,$X$1:$X66,0,-1)),"A",""))+INDEX(Z:Z,_xlfn.XMATCH($X67,$X$1:$X66,0,-1))+1)</f>
        <v>4</v>
      </c>
      <c r="Z67" s="43" cm="1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 cm="1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 cm="1">
        <f t="array" ref="Y68">IF(COUNTIFS($X$2:$X68,$X68)=1,"1",VALUE(SUBSTITUTE(INDEX(Y:Y,_xlfn.XMATCH($X68,$X$1:$X67,0,-1)),"A",""))+INDEX(Z:Z,_xlfn.XMATCH($X68,$X$1:$X67,0,-1))+1)</f>
        <v>5</v>
      </c>
      <c r="Z68" s="43" cm="1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 cm="1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 cm="1">
        <f t="array" ref="Y69">IF(COUNTIFS($X$2:$X69,$X69)=1,"1",VALUE(SUBSTITUTE(INDEX(Y:Y,_xlfn.XMATCH($X69,$X$1:$X68,0,-1)),"A",""))+INDEX(Z:Z,_xlfn.XMATCH($X69,$X$1:$X68,0,-1))+1)</f>
        <v>1</v>
      </c>
      <c r="Z69" s="43" cm="1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 cm="1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 cm="1">
        <f t="array" ref="Y70">IF(COUNTIFS($X$2:$X70,$X70)=1,"1",VALUE(SUBSTITUTE(INDEX(Y:Y,_xlfn.XMATCH($X70,$X$1:$X69,0,-1)),"A",""))+INDEX(Z:Z,_xlfn.XMATCH($X70,$X$1:$X69,0,-1))+1)</f>
        <v>2</v>
      </c>
      <c r="Z70" s="43" cm="1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 cm="1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 cm="1">
        <f t="array" ref="Y71">IF(COUNTIFS($X$2:$X71,$X71)=1,"1",VALUE(SUBSTITUTE(INDEX(Y:Y,_xlfn.XMATCH($X71,$X$1:$X70,0,-1)),"A",""))+INDEX(Z:Z,_xlfn.XMATCH($X71,$X$1:$X70,0,-1))+1)</f>
        <v>6</v>
      </c>
      <c r="Z71" s="43" cm="1">
        <f t="array" ref="Z71">SUM(IF(ISNUMBER(FIND("TmAi",$BE$1:$AAD$1)),IF(IFERROR(ISODD(SUBSTITUTE($BE71:$AAD71,"A","")),FALSE),IF(ISODD(SUBSTITUTE($BE71:$AAD71,"A","")),1,0),0)))</f>
        <v>0</v>
      </c>
      <c r="AA71" t="str">
        <f t="shared" ref="AA71:AA75" si="120">CONCATENATE($Y71*2-1,"B")</f>
        <v>11B</v>
      </c>
      <c r="AB71" t="str">
        <f t="shared" ref="AB71:AB75" si="121"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 cm="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 cm="1">
        <f t="array" ref="Y72">IF(COUNTIFS($X$2:$X72,$X72)=1,"1",VALUE(SUBSTITUTE(INDEX(Y:Y,_xlfn.XMATCH($X72,$X$1:$X71,0,-1)),"A",""))+INDEX(Z:Z,_xlfn.XMATCH($X72,$X$1:$X71,0,-1))+1)</f>
        <v>7</v>
      </c>
      <c r="Z72" s="43" cm="1">
        <f t="array" ref="Z72">SUM(IF(ISNUMBER(FIND("TmAi",$BE$1:$AAD$1)),IF(IFERROR(ISODD(SUBSTITUTE($BE72:$AAD72,"A","")),FALSE),IF(ISODD(SUBSTITUTE($BE72:$AAD72,"A","")),1,0),0)))</f>
        <v>0</v>
      </c>
      <c r="AA72" t="str">
        <f t="shared" si="120"/>
        <v>13B</v>
      </c>
      <c r="AB72" t="str">
        <f t="shared" si="121"/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 cm="1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 cm="1">
        <f t="array" ref="Y73">IF(COUNTIFS($X$2:$X73,$X73)=1,"1",VALUE(SUBSTITUTE(INDEX(Y:Y,_xlfn.XMATCH($X73,$X$1:$X72,0,-1)),"A",""))+INDEX(Z:Z,_xlfn.XMATCH($X73,$X$1:$X72,0,-1))+1)</f>
        <v>8</v>
      </c>
      <c r="Z73" s="43" cm="1">
        <f t="array" ref="Z73">SUM(IF(ISNUMBER(FIND("TmAi",$BE$1:$AAD$1)),IF(IFERROR(ISODD(SUBSTITUTE($BE73:$AAD73,"A","")),FALSE),IF(ISODD(SUBSTITUTE($BE73:$AAD73,"A","")),1,0),0)))</f>
        <v>0</v>
      </c>
      <c r="AA73" t="str">
        <f t="shared" si="120"/>
        <v>15B</v>
      </c>
      <c r="AB73" t="str">
        <f t="shared" si="121"/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 cm="1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 cm="1">
        <f t="array" ref="Y74">IF(COUNTIFS($X$2:$X74,$X74)=1,"1",VALUE(SUBSTITUTE(INDEX(Y:Y,_xlfn.XMATCH($X74,$X$1:$X73,0,-1)),"A",""))+INDEX(Z:Z,_xlfn.XMATCH($X74,$X$1:$X73,0,-1))+1)</f>
        <v>1</v>
      </c>
      <c r="Z74" s="43" cm="1">
        <f t="array" ref="Z74">SUM(IF(ISNUMBER(FIND("TmAi",$BE$1:$AAD$1)),IF(IFERROR(ISODD(SUBSTITUTE($BE74:$AAD74,"A","")),FALSE),IF(ISODD(SUBSTITUTE($BE74:$AAD74,"A","")),1,0),0)))</f>
        <v>0</v>
      </c>
      <c r="AA74" t="str">
        <f t="shared" si="120"/>
        <v>1B</v>
      </c>
      <c r="AB74" t="str">
        <f t="shared" si="121"/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 cm="1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 cm="1">
        <f t="array" ref="Y75">IF(COUNTIFS($X$2:$X75,$X75)=1,"1",VALUE(SUBSTITUTE(INDEX(Y:Y,_xlfn.XMATCH($X75,$X$1:$X74,0,-1)),"A",""))+INDEX(Z:Z,_xlfn.XMATCH($X75,$X$1:$X74,0,-1))+1)</f>
        <v>2</v>
      </c>
      <c r="Z75" s="43" cm="1">
        <f t="array" ref="Z75">SUM(IF(ISNUMBER(FIND("TmAi",$BE$1:$AAD$1)),IF(IFERROR(ISODD(SUBSTITUTE($BE75:$AAD75,"A","")),FALSE),IF(ISODD(SUBSTITUTE($BE75:$AAD75,"A","")),1,0),0)))</f>
        <v>0</v>
      </c>
      <c r="AA75" t="str">
        <f t="shared" si="120"/>
        <v>3B</v>
      </c>
      <c r="AB75" t="str">
        <f t="shared" si="121"/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 cm="1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 cm="1">
        <f t="array" ref="Y76">IF(COUNTIFS($X$2:$X76,$X76)=1,"1",VALUE(SUBSTITUTE(INDEX(Y:Y,_xlfn.XMATCH($X76,$X$1:$X75,0,-1)),"A",""))+INDEX(Z:Z,_xlfn.XMATCH($X76,$X$1:$X75,0,-1))+1)</f>
        <v>3</v>
      </c>
      <c r="Z76" s="43" cm="1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 cm="1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 cm="1">
        <f t="array" ref="Y77">IF(COUNTIFS($X$2:$X77,$X77)=1,"1",VALUE(SUBSTITUTE(INDEX(Y:Y,_xlfn.XMATCH($X77,$X$1:$X76,0,-1)),"A",""))+INDEX(Z:Z,_xlfn.XMATCH($X77,$X$1:$X76,0,-1))+1)</f>
        <v>4</v>
      </c>
      <c r="Z77" s="43" cm="1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2">CONCATENATE($Y77*2-1,"B")</f>
        <v>7B</v>
      </c>
      <c r="AB77" t="str">
        <f t="shared" ref="AB77:AB88" si="123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 cm="1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 cm="1">
        <f t="array" ref="Y78">IF(COUNTIFS($X$2:$X78,$X78)=1,"1",VALUE(SUBSTITUTE(INDEX(Y:Y,_xlfn.XMATCH($X78,$X$1:$X77,0,-1)),"A",""))+INDEX(Z:Z,_xlfn.XMATCH($X78,$X$1:$X77,0,-1))+1)</f>
        <v>5</v>
      </c>
      <c r="Z78" s="43" cm="1">
        <f t="array" ref="Z78">SUM(IF(ISNUMBER(FIND("TmAi",$BE$1:$AAD$1)),IF(IFERROR(ISODD(SUBSTITUTE($BE78:$AAD78,"A","")),FALSE),IF(ISODD(SUBSTITUTE($BE78:$AAD78,"A","")),1,0),0)))</f>
        <v>0</v>
      </c>
      <c r="AA78" t="str">
        <f t="shared" si="122"/>
        <v>9B</v>
      </c>
      <c r="AB78" t="str">
        <f t="shared" si="123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 cm="1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 cm="1">
        <f t="array" ref="Y79">IF(COUNTIFS($X$2:$X79,$X79)=1,"1",VALUE(SUBSTITUTE(INDEX(Y:Y,_xlfn.XMATCH($X79,$X$1:$X78,0,-1)),"A",""))+INDEX(Z:Z,_xlfn.XMATCH($X79,$X$1:$X78,0,-1))+1)</f>
        <v>6</v>
      </c>
      <c r="Z79" s="43" cm="1">
        <f t="array" ref="Z79">SUM(IF(ISNUMBER(FIND("TmAi",$BE$1:$AAD$1)),IF(IFERROR(ISODD(SUBSTITUTE($BE79:$AAD79,"A","")),FALSE),IF(ISODD(SUBSTITUTE($BE79:$AAD79,"A","")),1,0),0)))</f>
        <v>0</v>
      </c>
      <c r="AA79" t="str">
        <f t="shared" si="122"/>
        <v>11B</v>
      </c>
      <c r="AB79" t="str">
        <f t="shared" si="123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 cm="1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 cm="1">
        <f t="array" ref="Y80">IF(COUNTIFS($X$2:$X80,$X80)=1,"1",VALUE(SUBSTITUTE(INDEX(Y:Y,_xlfn.XMATCH($X80,$X$1:$X79,0,-1)),"A",""))+INDEX(Z:Z,_xlfn.XMATCH($X80,$X$1:$X79,0,-1))+1)</f>
        <v>7</v>
      </c>
      <c r="Z80" s="43" cm="1">
        <f t="array" ref="Z80">SUM(IF(ISNUMBER(FIND("TmAi",$BE$1:$AAD$1)),IF(IFERROR(ISODD(SUBSTITUTE($BE80:$AAD80,"A","")),FALSE),IF(ISODD(SUBSTITUTE($BE80:$AAD80,"A","")),1,0),0)))</f>
        <v>0</v>
      </c>
      <c r="AA80" t="str">
        <f t="shared" si="122"/>
        <v>13B</v>
      </c>
      <c r="AB80" t="str">
        <f t="shared" si="123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 cm="1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 cm="1">
        <f t="array" ref="Y81">IF(COUNTIFS($X$2:$X81,$X81)=1,"1",VALUE(SUBSTITUTE(INDEX(Y:Y,_xlfn.XMATCH($X81,$X$1:$X80,0,-1)),"A",""))+INDEX(Z:Z,_xlfn.XMATCH($X81,$X$1:$X80,0,-1))+1)</f>
        <v>8</v>
      </c>
      <c r="Z81" s="43" cm="1">
        <f t="array" ref="Z81">SUM(IF(ISNUMBER(FIND("TmAi",$BE$1:$AAD$1)),IF(IFERROR(ISODD(SUBSTITUTE($BE81:$AAD81,"A","")),FALSE),IF(ISODD(SUBSTITUTE($BE81:$AAD81,"A","")),1,0),0)))</f>
        <v>0</v>
      </c>
      <c r="AA81" t="str">
        <f t="shared" si="122"/>
        <v>15B</v>
      </c>
      <c r="AB81" t="str">
        <f t="shared" si="123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 cm="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 cm="1">
        <f t="array" ref="Y82">IF(COUNTIFS($X$2:$X82,$X82)=1,"1",VALUE(SUBSTITUTE(INDEX(Y:Y,_xlfn.XMATCH($X82,$X$1:$X81,0,-1)),"A",""))+INDEX(Z:Z,_xlfn.XMATCH($X82,$X$1:$X81,0,-1))+1)</f>
        <v>1</v>
      </c>
      <c r="Z82" s="43" cm="1">
        <f t="array" ref="Z82">SUM(IF(ISNUMBER(FIND("TmAi",$BE$1:$AAD$1)),IF(IFERROR(ISODD(SUBSTITUTE($BE82:$AAD82,"A","")),FALSE),IF(ISODD(SUBSTITUTE($BE82:$AAD82,"A","")),1,0),0)))</f>
        <v>0</v>
      </c>
      <c r="AA82" t="str">
        <f t="shared" si="122"/>
        <v>1B</v>
      </c>
      <c r="AB82" t="str">
        <f t="shared" si="123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 cm="1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 cm="1">
        <f t="array" ref="Y83">IF(COUNTIFS($X$2:$X83,$X83)=1,"1",VALUE(SUBSTITUTE(INDEX(Y:Y,_xlfn.XMATCH($X83,$X$1:$X82,0,-1)),"A",""))+INDEX(Z:Z,_xlfn.XMATCH($X83,$X$1:$X82,0,-1))+1)</f>
        <v>2</v>
      </c>
      <c r="Z83" s="43" cm="1">
        <f t="array" ref="Z83">SUM(IF(ISNUMBER(FIND("TmAi",$BE$1:$AAD$1)),IF(IFERROR(ISODD(SUBSTITUTE($BE83:$AAD83,"A","")),FALSE),IF(ISODD(SUBSTITUTE($BE83:$AAD83,"A","")),1,0),0)))</f>
        <v>0</v>
      </c>
      <c r="AA83" t="str">
        <f t="shared" si="122"/>
        <v>3B</v>
      </c>
      <c r="AB83" t="str">
        <f t="shared" si="123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 cm="1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 cm="1">
        <f t="array" ref="Y84">IF(COUNTIFS($X$2:$X84,$X84)=1,"1",VALUE(SUBSTITUTE(INDEX(Y:Y,_xlfn.XMATCH($X84,$X$1:$X83,0,-1)),"A",""))+INDEX(Z:Z,_xlfn.XMATCH($X84,$X$1:$X83,0,-1))+1)</f>
        <v>3</v>
      </c>
      <c r="Z84" s="43" cm="1">
        <f t="array" ref="Z84">SUM(IF(ISNUMBER(FIND("TmAi",$BE$1:$AAD$1)),IF(IFERROR(ISODD(SUBSTITUTE($BE84:$AAD84,"A","")),FALSE),IF(ISODD(SUBSTITUTE($BE84:$AAD84,"A","")),1,0),0)))</f>
        <v>0</v>
      </c>
      <c r="AA84" t="str">
        <f t="shared" si="122"/>
        <v>5B</v>
      </c>
      <c r="AB84" t="str">
        <f t="shared" si="123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 cm="1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 cm="1">
        <f t="array" ref="Y85">IF(COUNTIFS($X$2:$X85,$X85)=1,"1",VALUE(SUBSTITUTE(INDEX(Y:Y,_xlfn.XMATCH($X85,$X$1:$X84,0,-1)),"A",""))+INDEX(Z:Z,_xlfn.XMATCH($X85,$X$1:$X84,0,-1))+1)</f>
        <v>4</v>
      </c>
      <c r="Z85" s="43" cm="1">
        <f t="array" ref="Z85">SUM(IF(ISNUMBER(FIND("TmAi",$BE$1:$AAD$1)),IF(IFERROR(ISODD(SUBSTITUTE($BE85:$AAD85,"A","")),FALSE),IF(ISODD(SUBSTITUTE($BE85:$AAD85,"A","")),1,0),0)))</f>
        <v>0</v>
      </c>
      <c r="AA85" t="str">
        <f t="shared" si="122"/>
        <v>7B</v>
      </c>
      <c r="AB85" t="str">
        <f t="shared" si="123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 cm="1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 cm="1">
        <f t="array" ref="Y86">IF(COUNTIFS($X$2:$X86,$X86)=1,"1",VALUE(SUBSTITUTE(INDEX(Y:Y,_xlfn.XMATCH($X86,$X$1:$X85,0,-1)),"A",""))+INDEX(Z:Z,_xlfn.XMATCH($X86,$X$1:$X85,0,-1))+1)</f>
        <v>5</v>
      </c>
      <c r="Z86" s="43" cm="1">
        <f t="array" ref="Z86">SUM(IF(ISNUMBER(FIND("TmAi",$BE$1:$AAD$1)),IF(IFERROR(ISODD(SUBSTITUTE($BE86:$AAD86,"A","")),FALSE),IF(ISODD(SUBSTITUTE($BE86:$AAD86,"A","")),1,0),0)))</f>
        <v>0</v>
      </c>
      <c r="AA86" t="str">
        <f t="shared" si="122"/>
        <v>9B</v>
      </c>
      <c r="AB86" t="str">
        <f t="shared" si="123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 cm="1">
        <f t="array" ref="KI86">IF(COUNTIFS($U$2:$U86,$U86)=1,1,INDEX(KI:KI,_xlfn.XMATCH(U86,U$1:U85,0,-1))+COUNT(KI85:KM85))</f>
        <v>97</v>
      </c>
      <c r="KJ86">
        <f t="shared" ref="KJ86:KM101" si="124">KI86+1</f>
        <v>98</v>
      </c>
      <c r="KK86">
        <f t="shared" si="124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 cm="1">
        <f t="array" ref="Y87">IF(COUNTIFS($X$2:$X87,$X87)=1,"1",VALUE(SUBSTITUTE(INDEX(Y:Y,_xlfn.XMATCH($X87,$X$1:$X86,0,-1)),"A",""))+INDEX(Z:Z,_xlfn.XMATCH($X87,$X$1:$X86,0,-1))+1)</f>
        <v>6</v>
      </c>
      <c r="Z87" s="43" cm="1">
        <f t="array" ref="Z87">SUM(IF(ISNUMBER(FIND("TmAi",$BE$1:$AAD$1)),IF(IFERROR(ISODD(SUBSTITUTE($BE87:$AAD87,"A","")),FALSE),IF(ISODD(SUBSTITUTE($BE87:$AAD87,"A","")),1,0),0)))</f>
        <v>0</v>
      </c>
      <c r="AA87" t="str">
        <f t="shared" si="122"/>
        <v>11B</v>
      </c>
      <c r="AB87" t="str">
        <f t="shared" si="123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 cm="1">
        <f t="array" ref="KI87">IF(COUNTIFS($U$2:$U87,$U87)=1,1,INDEX(KI:KI,_xlfn.XMATCH(U87,U$1:U86,0,-1))+COUNT(KI86:KM86))</f>
        <v>100</v>
      </c>
      <c r="KJ87">
        <f t="shared" si="124"/>
        <v>101</v>
      </c>
      <c r="KK87">
        <f t="shared" si="124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 cm="1">
        <f t="array" ref="Y88">IF(COUNTIFS($X$2:$X88,$X88)=1,"1",VALUE(SUBSTITUTE(INDEX(Y:Y,_xlfn.XMATCH($X88,$X$1:$X87,0,-1)),"A",""))+INDEX(Z:Z,_xlfn.XMATCH($X88,$X$1:$X87,0,-1))+1)</f>
        <v>7</v>
      </c>
      <c r="Z88" s="43" cm="1">
        <f t="array" ref="Z88">SUM(IF(ISNUMBER(FIND("TmAi",$BE$1:$AAD$1)),IF(IFERROR(ISODD(SUBSTITUTE($BE88:$AAD88,"A","")),FALSE),IF(ISODD(SUBSTITUTE($BE88:$AAD88,"A","")),1,0),0)))</f>
        <v>0</v>
      </c>
      <c r="AA88" t="str">
        <f t="shared" si="122"/>
        <v>13B</v>
      </c>
      <c r="AB88" t="str">
        <f t="shared" si="123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 cm="1">
        <f t="array" ref="KI88">IF(COUNTIFS($U$2:$U88,$U88)=1,1,INDEX(KI:KI,_xlfn.XMATCH(U88,U$1:U87,0,-1))+COUNT(KI87:KM87))</f>
        <v>103</v>
      </c>
      <c r="KJ88">
        <f t="shared" si="124"/>
        <v>104</v>
      </c>
      <c r="KK88">
        <f t="shared" si="124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 cm="1">
        <f t="array" ref="Y89">IF(COUNTIFS($X$2:$X89,$X89)=1,"1",VALUE(SUBSTITUTE(INDEX(Y:Y,_xlfn.XMATCH($X89,$X$1:$X88,0,-1)),"A",""))+INDEX(Z:Z,_xlfn.XMATCH($X89,$X$1:$X88,0,-1))+1)</f>
        <v>8</v>
      </c>
      <c r="Z89" s="43" cm="1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 cm="1">
        <f t="array" ref="KI89">IF(COUNTIFS($U$2:$U89,$U89)=1,1,INDEX(KI:KI,_xlfn.XMATCH(U89,U$1:U88,0,-1))+COUNT(KI88:KM88))</f>
        <v>106</v>
      </c>
      <c r="KJ89">
        <f t="shared" si="124"/>
        <v>107</v>
      </c>
      <c r="KK89">
        <f t="shared" si="124"/>
        <v>108</v>
      </c>
      <c r="KL89">
        <f t="shared" si="124"/>
        <v>109</v>
      </c>
      <c r="KM89">
        <f t="shared" si="124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 cm="1">
        <f t="array" ref="Y90">IF(COUNTIFS($X$2:$X90,$X90)=1,"1",VALUE(SUBSTITUTE(INDEX(Y:Y,_xlfn.XMATCH($X90,$X$1:$X89,0,-1)),"A",""))+INDEX(Z:Z,_xlfn.XMATCH($X90,$X$1:$X89,0,-1))+1)</f>
        <v>1</v>
      </c>
      <c r="Z90" s="43" cm="1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5">CONCATENATE($Y90*2-1,"B")</f>
        <v>1B</v>
      </c>
      <c r="AB90" t="str">
        <f t="shared" ref="AB90:AB153" si="126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 cm="1">
        <f t="array" ref="KI90">IF(COUNTIFS($U$2:$U90,$U90)=1,1,INDEX(KI:KI,_xlfn.XMATCH(U90,U$1:U89,0,-1))+COUNT(KI89:KM89))</f>
        <v>111</v>
      </c>
      <c r="KJ90">
        <f t="shared" si="124"/>
        <v>112</v>
      </c>
      <c r="KK90">
        <f t="shared" si="124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 cm="1">
        <f t="array" ref="Y91">IF(COUNTIFS($X$2:$X91,$X91)=1,"1",VALUE(SUBSTITUTE(INDEX(Y:Y,_xlfn.XMATCH($X91,$X$1:$X90,0,-1)),"A",""))+INDEX(Z:Z,_xlfn.XMATCH($X91,$X$1:$X90,0,-1))+1)</f>
        <v>2</v>
      </c>
      <c r="Z91" s="43" cm="1">
        <f t="array" ref="Z91">SUM(IF(ISNUMBER(FIND("TmAi",$BE$1:$AAD$1)),IF(IFERROR(ISODD(SUBSTITUTE($BE91:$AAD91,"A","")),FALSE),IF(ISODD(SUBSTITUTE($BE91:$AAD91,"A","")),1,0),0)))</f>
        <v>0</v>
      </c>
      <c r="AA91" t="str">
        <f t="shared" si="125"/>
        <v>3B</v>
      </c>
      <c r="AB91" t="str">
        <f t="shared" si="126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 cm="1">
        <f t="array" ref="KI91">IF(COUNTIFS($U$2:$U91,$U91)=1,1,INDEX(KI:KI,_xlfn.XMATCH(U91,U$1:U90,0,-1))+COUNT(KI90:KM90))</f>
        <v>114</v>
      </c>
      <c r="KJ91">
        <f t="shared" si="124"/>
        <v>115</v>
      </c>
      <c r="KK91">
        <f t="shared" si="124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 cm="1">
        <f t="array" ref="Y92">IF(COUNTIFS($X$2:$X92,$X92)=1,"1",VALUE(SUBSTITUTE(INDEX(Y:Y,_xlfn.XMATCH($X92,$X$1:$X91,0,-1)),"A",""))+INDEX(Z:Z,_xlfn.XMATCH($X92,$X$1:$X91,0,-1))+1)</f>
        <v>3</v>
      </c>
      <c r="Z92" s="43" cm="1">
        <f t="array" ref="Z92">SUM(IF(ISNUMBER(FIND("TmAi",$BE$1:$AAD$1)),IF(IFERROR(ISODD(SUBSTITUTE($BE92:$AAD92,"A","")),FALSE),IF(ISODD(SUBSTITUTE($BE92:$AAD92,"A","")),1,0),0)))</f>
        <v>0</v>
      </c>
      <c r="AA92" t="str">
        <f t="shared" si="125"/>
        <v>5B</v>
      </c>
      <c r="AB92" t="str">
        <f t="shared" si="126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 cm="1">
        <f t="array" ref="KI92">IF(COUNTIFS($U$2:$U92,$U92)=1,1,INDEX(KI:KI,_xlfn.XMATCH(U92,U$1:U91,0,-1))+COUNT(KI91:KM91))</f>
        <v>117</v>
      </c>
      <c r="KJ92">
        <f t="shared" si="124"/>
        <v>118</v>
      </c>
      <c r="KK92">
        <f t="shared" si="124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 cm="1">
        <f t="array" ref="Y93">IF(COUNTIFS($X$2:$X93,$X93)=1,"1",VALUE(SUBSTITUTE(INDEX(Y:Y,_xlfn.XMATCH($X93,$X$1:$X92,0,-1)),"A",""))+INDEX(Z:Z,_xlfn.XMATCH($X93,$X$1:$X92,0,-1))+1)</f>
        <v>4</v>
      </c>
      <c r="Z93" s="43" cm="1">
        <f t="array" ref="Z93">SUM(IF(ISNUMBER(FIND("TmAi",$BE$1:$AAD$1)),IF(IFERROR(ISODD(SUBSTITUTE($BE93:$AAD93,"A","")),FALSE),IF(ISODD(SUBSTITUTE($BE93:$AAD93,"A","")),1,0),0)))</f>
        <v>0</v>
      </c>
      <c r="AA93" t="str">
        <f t="shared" si="125"/>
        <v>7B</v>
      </c>
      <c r="AB93" t="str">
        <f t="shared" si="126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 cm="1">
        <f t="array" ref="KI93">IF(COUNTIFS($U$2:$U93,$U93)=1,1,INDEX(KI:KI,_xlfn.XMATCH(U93,U$1:U92,0,-1))+COUNT(KI92:KM92))</f>
        <v>120</v>
      </c>
      <c r="KJ93">
        <f t="shared" si="124"/>
        <v>121</v>
      </c>
      <c r="KK93">
        <f t="shared" si="124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 cm="1">
        <f t="array" ref="Y94">IF(COUNTIFS($X$2:$X94,$X94)=1,"1",VALUE(SUBSTITUTE(INDEX(Y:Y,_xlfn.XMATCH($X94,$X$1:$X93,0,-1)),"A",""))+INDEX(Z:Z,_xlfn.XMATCH($X94,$X$1:$X93,0,-1))+1)</f>
        <v>5</v>
      </c>
      <c r="Z94" s="43" cm="1">
        <f t="array" ref="Z94">SUM(IF(ISNUMBER(FIND("TmAi",$BE$1:$AAD$1)),IF(IFERROR(ISODD(SUBSTITUTE($BE94:$AAD94,"A","")),FALSE),IF(ISODD(SUBSTITUTE($BE94:$AAD94,"A","")),1,0),0)))</f>
        <v>0</v>
      </c>
      <c r="AA94" t="str">
        <f t="shared" si="125"/>
        <v>9B</v>
      </c>
      <c r="AB94" t="str">
        <f t="shared" si="126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 cm="1">
        <f t="array" ref="KI94">IF(COUNTIFS($U$2:$U94,$U94)=1,1,INDEX(KI:KI,_xlfn.XMATCH(U94,U$1:U93,0,-1))+COUNT(KI93:KM93))</f>
        <v>123</v>
      </c>
      <c r="KJ94">
        <f t="shared" si="124"/>
        <v>124</v>
      </c>
      <c r="KK94">
        <f t="shared" si="124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 cm="1">
        <f t="array" ref="Y95">IF(COUNTIFS($X$2:$X95,$X95)=1,"1",VALUE(SUBSTITUTE(INDEX(Y:Y,_xlfn.XMATCH($X95,$X$1:$X94,0,-1)),"A",""))+INDEX(Z:Z,_xlfn.XMATCH($X95,$X$1:$X94,0,-1))+1)</f>
        <v>6</v>
      </c>
      <c r="Z95" s="43" cm="1">
        <f t="array" ref="Z95">SUM(IF(ISNUMBER(FIND("TmAi",$BE$1:$AAD$1)),IF(IFERROR(ISODD(SUBSTITUTE($BE95:$AAD95,"A","")),FALSE),IF(ISODD(SUBSTITUTE($BE95:$AAD95,"A","")),1,0),0)))</f>
        <v>0</v>
      </c>
      <c r="AA95" t="str">
        <f t="shared" si="125"/>
        <v>11B</v>
      </c>
      <c r="AB95" t="str">
        <f t="shared" si="126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 cm="1">
        <f t="array" ref="KI95">IF(COUNTIFS($U$2:$U95,$U95)=1,1,INDEX(KI:KI,_xlfn.XMATCH(U95,U$1:U94,0,-1))+COUNT(KI94:KM94))</f>
        <v>126</v>
      </c>
      <c r="KJ95">
        <f t="shared" si="124"/>
        <v>127</v>
      </c>
      <c r="KK95">
        <f t="shared" si="124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 cm="1">
        <f t="array" ref="Y96">IF(COUNTIFS($X$2:$X96,$X96)=1,"1",VALUE(SUBSTITUTE(INDEX(Y:Y,_xlfn.XMATCH($X96,$X$1:$X95,0,-1)),"A",""))+INDEX(Z:Z,_xlfn.XMATCH($X96,$X$1:$X95,0,-1))+1)</f>
        <v>7</v>
      </c>
      <c r="Z96" s="43" cm="1">
        <f t="array" ref="Z96">SUM(IF(ISNUMBER(FIND("TmAi",$BE$1:$AAD$1)),IF(IFERROR(ISODD(SUBSTITUTE($BE96:$AAD96,"A","")),FALSE),IF(ISODD(SUBSTITUTE($BE96:$AAD96,"A","")),1,0),0)))</f>
        <v>0</v>
      </c>
      <c r="AA96" t="str">
        <f t="shared" si="125"/>
        <v>13B</v>
      </c>
      <c r="AB96" t="str">
        <f t="shared" si="126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 cm="1">
        <f t="array" ref="KI96">IF(COUNTIFS($U$2:$U96,$U96)=1,1,INDEX(KI:KI,_xlfn.XMATCH(U96,U$1:U95,0,-1))+COUNT(KI95:KM95))</f>
        <v>129</v>
      </c>
      <c r="KJ96">
        <f t="shared" si="124"/>
        <v>130</v>
      </c>
      <c r="KK96">
        <f t="shared" si="124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 cm="1">
        <f t="array" ref="Y97">IF(COUNTIFS($X$2:$X97,$X97)=1,"1",VALUE(SUBSTITUTE(INDEX(Y:Y,_xlfn.XMATCH($X97,$X$1:$X96,0,-1)),"A",""))+INDEX(Z:Z,_xlfn.XMATCH($X97,$X$1:$X96,0,-1))+1)</f>
        <v>8</v>
      </c>
      <c r="Z97" s="43" cm="1">
        <f t="array" ref="Z97">SUM(IF(ISNUMBER(FIND("TmAi",$BE$1:$AAD$1)),IF(IFERROR(ISODD(SUBSTITUTE($BE97:$AAD97,"A","")),FALSE),IF(ISODD(SUBSTITUTE($BE97:$AAD97,"A","")),1,0),0)))</f>
        <v>0</v>
      </c>
      <c r="AA97" t="str">
        <f t="shared" si="125"/>
        <v>15B</v>
      </c>
      <c r="AB97" t="str">
        <f t="shared" si="126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 cm="1">
        <f t="array" ref="KI97">IF(COUNTIFS($U$2:$U97,$U97)=1,1,INDEX(KI:KI,_xlfn.XMATCH(U97,U$1:U96,0,-1))+COUNT(KI96:KM96))</f>
        <v>132</v>
      </c>
      <c r="KJ97">
        <f t="shared" si="124"/>
        <v>133</v>
      </c>
      <c r="KK97">
        <f t="shared" si="124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 cm="1">
        <f t="array" ref="Y98">IF(COUNTIFS($X$2:$X98,$X98)=1,"1",VALUE(SUBSTITUTE(INDEX(Y:Y,_xlfn.XMATCH($X98,$X$1:$X97,0,-1)),"A",""))+INDEX(Z:Z,_xlfn.XMATCH($X98,$X$1:$X97,0,-1))+1)</f>
        <v>1</v>
      </c>
      <c r="Z98" s="43" cm="1">
        <f t="array" ref="Z98">SUM(IF(ISNUMBER(FIND("TmAi",$BE$1:$AAD$1)),IF(IFERROR(ISODD(SUBSTITUTE($BE98:$AAD98,"A","")),FALSE),IF(ISODD(SUBSTITUTE($BE98:$AAD98,"A","")),1,0),0)))</f>
        <v>0</v>
      </c>
      <c r="AA98" t="str">
        <f t="shared" si="125"/>
        <v>1B</v>
      </c>
      <c r="AB98" t="str">
        <f t="shared" si="126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 cm="1">
        <f t="array" ref="KI98">IF(COUNTIFS($U$2:$U98,$U98)=1,1,INDEX(KI:KI,_xlfn.XMATCH(U98,U$1:U97,0,-1))+COUNT(KI97:KM97))</f>
        <v>135</v>
      </c>
      <c r="KJ98">
        <f t="shared" si="124"/>
        <v>136</v>
      </c>
      <c r="KK98">
        <f t="shared" si="124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 cm="1">
        <f t="array" ref="Y99">IF(COUNTIFS($X$2:$X99,$X99)=1,"1",VALUE(SUBSTITUTE(INDEX(Y:Y,_xlfn.XMATCH($X99,$X$1:$X98,0,-1)),"A",""))+INDEX(Z:Z,_xlfn.XMATCH($X99,$X$1:$X98,0,-1))+1)</f>
        <v>2</v>
      </c>
      <c r="Z99" s="43" cm="1">
        <f t="array" ref="Z99">SUM(IF(ISNUMBER(FIND("TmAi",$BE$1:$AAD$1)),IF(IFERROR(ISODD(SUBSTITUTE($BE99:$AAD99,"A","")),FALSE),IF(ISODD(SUBSTITUTE($BE99:$AAD99,"A","")),1,0),0)))</f>
        <v>0</v>
      </c>
      <c r="AA99" t="str">
        <f t="shared" si="125"/>
        <v>3B</v>
      </c>
      <c r="AB99" t="str">
        <f t="shared" si="126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 cm="1">
        <f t="array" ref="KI99">IF(COUNTIFS($U$2:$U99,$U99)=1,1,INDEX(KI:KI,_xlfn.XMATCH(U99,U$1:U98,0,-1))+COUNT(KI98:KM98))</f>
        <v>138</v>
      </c>
      <c r="KJ99">
        <f t="shared" si="124"/>
        <v>139</v>
      </c>
      <c r="KK99">
        <f t="shared" si="124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 cm="1">
        <f t="array" ref="Y100">IF(COUNTIFS($X$2:$X100,$X100)=1,"1",VALUE(SUBSTITUTE(INDEX(Y:Y,_xlfn.XMATCH($X100,$X$1:$X99,0,-1)),"A",""))+INDEX(Z:Z,_xlfn.XMATCH($X100,$X$1:$X99,0,-1))+1)</f>
        <v>3</v>
      </c>
      <c r="Z100" s="43" cm="1">
        <f t="array" ref="Z100">SUM(IF(ISNUMBER(FIND("TmAi",$BE$1:$AAD$1)),IF(IFERROR(ISODD(SUBSTITUTE($BE100:$AAD100,"A","")),FALSE),IF(ISODD(SUBSTITUTE($BE100:$AAD100,"A","")),1,0),0)))</f>
        <v>0</v>
      </c>
      <c r="AA100" t="str">
        <f t="shared" si="125"/>
        <v>5B</v>
      </c>
      <c r="AB100" t="str">
        <f t="shared" si="126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 cm="1">
        <f t="array" ref="KI100">IF(COUNTIFS($U$2:$U100,$U100)=1,1,INDEX(KI:KI,_xlfn.XMATCH(U100,U$1:U99,0,-1))+COUNT(KI99:KM99))</f>
        <v>141</v>
      </c>
      <c r="KJ100">
        <f t="shared" si="124"/>
        <v>142</v>
      </c>
      <c r="KK100">
        <f t="shared" si="124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 cm="1">
        <f t="array" ref="Y101">IF(COUNTIFS($X$2:$X101,$X101)=1,"1",VALUE(SUBSTITUTE(INDEX(Y:Y,_xlfn.XMATCH($X101,$X$1:$X100,0,-1)),"A",""))+INDEX(Z:Z,_xlfn.XMATCH($X101,$X$1:$X100,0,-1))+1)</f>
        <v>4</v>
      </c>
      <c r="Z101" s="43" cm="1">
        <f t="array" ref="Z101">SUM(IF(ISNUMBER(FIND("TmAi",$BE$1:$AAD$1)),IF(IFERROR(ISODD(SUBSTITUTE($BE101:$AAD101,"A","")),FALSE),IF(ISODD(SUBSTITUTE($BE101:$AAD101,"A","")),1,0),0)))</f>
        <v>0</v>
      </c>
      <c r="AA101" t="str">
        <f t="shared" si="125"/>
        <v>7B</v>
      </c>
      <c r="AB101" t="str">
        <f t="shared" si="126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 cm="1">
        <f t="array" ref="KI101">IF(COUNTIFS($U$2:$U101,$U101)=1,1,INDEX(KI:KI,_xlfn.XMATCH(U101,U$1:U100,0,-1))+COUNT(KI100:KM100))</f>
        <v>144</v>
      </c>
      <c r="KJ101">
        <f t="shared" si="124"/>
        <v>145</v>
      </c>
      <c r="KK101">
        <f t="shared" si="124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 cm="1">
        <f t="array" ref="Y102">IF(COUNTIFS($X$2:$X102,$X102)=1,"1",VALUE(SUBSTITUTE(INDEX(Y:Y,_xlfn.XMATCH($X102,$X$1:$X101,0,-1)),"A",""))+INDEX(Z:Z,_xlfn.XMATCH($X102,$X$1:$X101,0,-1))+1)</f>
        <v>5</v>
      </c>
      <c r="Z102" s="43" cm="1">
        <f t="array" ref="Z102">SUM(IF(ISNUMBER(FIND("TmAi",$BE$1:$AAD$1)),IF(IFERROR(ISODD(SUBSTITUTE($BE102:$AAD102,"A","")),FALSE),IF(ISODD(SUBSTITUTE($BE102:$AAD102,"A","")),1,0),0)))</f>
        <v>0</v>
      </c>
      <c r="AA102" t="str">
        <f t="shared" si="125"/>
        <v>9B</v>
      </c>
      <c r="AB102" t="str">
        <f t="shared" si="126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 cm="1">
        <f t="array" ref="KI102">IF(COUNTIFS($U$2:$U102,$U102)=1,1,INDEX(KI:KI,_xlfn.XMATCH(U102,U$1:U101,0,-1))+COUNT(KI101:KM101))</f>
        <v>147</v>
      </c>
      <c r="KJ102">
        <f t="shared" ref="KJ102:KK122" si="127">KI102+1</f>
        <v>148</v>
      </c>
      <c r="KK102">
        <f t="shared" si="127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 cm="1">
        <f t="array" ref="Y103">IF(COUNTIFS($X$2:$X103,$X103)=1,"1",VALUE(SUBSTITUTE(INDEX(Y:Y,_xlfn.XMATCH($X103,$X$1:$X102,0,-1)),"A",""))+INDEX(Z:Z,_xlfn.XMATCH($X103,$X$1:$X102,0,-1))+1)</f>
        <v>6</v>
      </c>
      <c r="Z103" s="43" cm="1">
        <f t="array" ref="Z103">SUM(IF(ISNUMBER(FIND("TmAi",$BE$1:$AAD$1)),IF(IFERROR(ISODD(SUBSTITUTE($BE103:$AAD103,"A","")),FALSE),IF(ISODD(SUBSTITUTE($BE103:$AAD103,"A","")),1,0),0)))</f>
        <v>0</v>
      </c>
      <c r="AA103" t="str">
        <f t="shared" si="125"/>
        <v>11B</v>
      </c>
      <c r="AB103" t="str">
        <f t="shared" si="126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 cm="1">
        <f t="array" ref="KI103">IF(COUNTIFS($U$2:$U103,$U103)=1,1,INDEX(KI:KI,_xlfn.XMATCH(U103,U$1:U102,0,-1))+COUNT(KI102:KM102))</f>
        <v>150</v>
      </c>
      <c r="KJ103">
        <f t="shared" si="127"/>
        <v>151</v>
      </c>
      <c r="KK103">
        <f t="shared" si="127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 cm="1">
        <f t="array" ref="Y104">IF(COUNTIFS($X$2:$X104,$X104)=1,"1",VALUE(SUBSTITUTE(INDEX(Y:Y,_xlfn.XMATCH($X104,$X$1:$X103,0,-1)),"A",""))+INDEX(Z:Z,_xlfn.XMATCH($X104,$X$1:$X103,0,-1))+1)</f>
        <v>7</v>
      </c>
      <c r="Z104" s="43" cm="1">
        <f t="array" ref="Z104">SUM(IF(ISNUMBER(FIND("TmAi",$BE$1:$AAD$1)),IF(IFERROR(ISODD(SUBSTITUTE($BE104:$AAD104,"A","")),FALSE),IF(ISODD(SUBSTITUTE($BE104:$AAD104,"A","")),1,0),0)))</f>
        <v>0</v>
      </c>
      <c r="AA104" t="str">
        <f t="shared" si="125"/>
        <v>13B</v>
      </c>
      <c r="AB104" t="str">
        <f t="shared" si="126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 cm="1">
        <f t="array" ref="KI104">IF(COUNTIFS($U$2:$U104,$U104)=1,1,INDEX(KI:KI,_xlfn.XMATCH(U104,U$1:U103,0,-1))+COUNT(KI103:KM103))</f>
        <v>153</v>
      </c>
      <c r="KJ104">
        <f t="shared" si="127"/>
        <v>154</v>
      </c>
      <c r="KK104">
        <f t="shared" si="127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 cm="1">
        <f t="array" ref="Y105">IF(COUNTIFS($X$2:$X105,$X105)=1,"1",VALUE(SUBSTITUTE(INDEX(Y:Y,_xlfn.XMATCH($X105,$X$1:$X104,0,-1)),"A",""))+INDEX(Z:Z,_xlfn.XMATCH($X105,$X$1:$X104,0,-1))+1)</f>
        <v>8</v>
      </c>
      <c r="Z105" s="43" cm="1">
        <f t="array" ref="Z105">SUM(IF(ISNUMBER(FIND("TmAi",$BE$1:$AAD$1)),IF(IFERROR(ISODD(SUBSTITUTE($BE105:$AAD105,"A","")),FALSE),IF(ISODD(SUBSTITUTE($BE105:$AAD105,"A","")),1,0),0)))</f>
        <v>0</v>
      </c>
      <c r="AA105" t="str">
        <f t="shared" si="125"/>
        <v>15B</v>
      </c>
      <c r="AB105" t="str">
        <f t="shared" si="126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 cm="1">
        <f t="array" ref="KI105">IF(COUNTIFS($U$2:$U105,$U105)=1,1,INDEX(KI:KI,_xlfn.XMATCH(U105,U$1:U104,0,-1))+COUNT(KI104:KM104))</f>
        <v>156</v>
      </c>
      <c r="KJ105">
        <f t="shared" si="127"/>
        <v>157</v>
      </c>
      <c r="KK105">
        <f t="shared" si="127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 cm="1">
        <f t="array" ref="Y106">IF(COUNTIFS($X$2:$X106,$X106)=1,"1",VALUE(SUBSTITUTE(INDEX(Y:Y,_xlfn.XMATCH($X106,$X$1:$X105,0,-1)),"A",""))+INDEX(Z:Z,_xlfn.XMATCH($X106,$X$1:$X105,0,-1))+1)</f>
        <v>1</v>
      </c>
      <c r="Z106" s="43" cm="1">
        <f t="array" ref="Z106">SUM(IF(ISNUMBER(FIND("TmAi",$BE$1:$AAD$1)),IF(IFERROR(ISODD(SUBSTITUTE($BE106:$AAD106,"A","")),FALSE),IF(ISODD(SUBSTITUTE($BE106:$AAD106,"A","")),1,0),0)))</f>
        <v>0</v>
      </c>
      <c r="AA106" t="str">
        <f t="shared" si="125"/>
        <v>1B</v>
      </c>
      <c r="AB106" t="str">
        <f t="shared" si="126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 cm="1">
        <f t="array" ref="KI106">IF(COUNTIFS($U$2:$U106,$U106)=1,1,INDEX(KI:KI,_xlfn.XMATCH(U106,U$1:U105,0,-1))+COUNT(KI105:KM105))</f>
        <v>159</v>
      </c>
      <c r="KJ106">
        <f t="shared" si="127"/>
        <v>160</v>
      </c>
      <c r="KK106">
        <f t="shared" si="127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 cm="1">
        <f t="array" ref="Y107">IF(COUNTIFS($X$2:$X107,$X107)=1,"1",VALUE(SUBSTITUTE(INDEX(Y:Y,_xlfn.XMATCH($X107,$X$1:$X106,0,-1)),"A",""))+INDEX(Z:Z,_xlfn.XMATCH($X107,$X$1:$X106,0,-1))+1)</f>
        <v>2</v>
      </c>
      <c r="Z107" s="43" cm="1">
        <f t="array" ref="Z107">SUM(IF(ISNUMBER(FIND("TmAi",$BE$1:$AAD$1)),IF(IFERROR(ISODD(SUBSTITUTE($BE107:$AAD107,"A","")),FALSE),IF(ISODD(SUBSTITUTE($BE107:$AAD107,"A","")),1,0),0)))</f>
        <v>0</v>
      </c>
      <c r="AA107" t="str">
        <f t="shared" si="125"/>
        <v>3B</v>
      </c>
      <c r="AB107" t="str">
        <f t="shared" si="126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 cm="1">
        <f t="array" ref="KI107">IF(COUNTIFS($U$2:$U107,$U107)=1,1,INDEX(KI:KI,_xlfn.XMATCH(U107,U$1:U106,0,-1))+COUNT(KI106:KM106))</f>
        <v>162</v>
      </c>
      <c r="KJ107">
        <f t="shared" si="127"/>
        <v>163</v>
      </c>
      <c r="KK107">
        <f t="shared" si="127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 cm="1">
        <f t="array" ref="Y108">IF(COUNTIFS($X$2:$X108,$X108)=1,"1",VALUE(SUBSTITUTE(INDEX(Y:Y,_xlfn.XMATCH($X108,$X$1:$X107,0,-1)),"A",""))+INDEX(Z:Z,_xlfn.XMATCH($X108,$X$1:$X107,0,-1))+1)</f>
        <v>3</v>
      </c>
      <c r="Z108" s="43" cm="1">
        <f t="array" ref="Z108">SUM(IF(ISNUMBER(FIND("TmAi",$BE$1:$AAD$1)),IF(IFERROR(ISODD(SUBSTITUTE($BE108:$AAD108,"A","")),FALSE),IF(ISODD(SUBSTITUTE($BE108:$AAD108,"A","")),1,0),0)))</f>
        <v>0</v>
      </c>
      <c r="AA108" t="str">
        <f t="shared" si="125"/>
        <v>5B</v>
      </c>
      <c r="AB108" t="str">
        <f t="shared" si="126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 cm="1">
        <f t="array" ref="KI108">IF(COUNTIFS($U$2:$U108,$U108)=1,1,INDEX(KI:KI,_xlfn.XMATCH(U108,U$1:U107,0,-1))+COUNT(KI107:KM107))</f>
        <v>165</v>
      </c>
      <c r="KJ108">
        <f t="shared" si="127"/>
        <v>166</v>
      </c>
      <c r="KK108">
        <f t="shared" si="127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 cm="1">
        <f t="array" ref="Y109">IF(COUNTIFS($X$2:$X109,$X109)=1,"1",VALUE(SUBSTITUTE(INDEX(Y:Y,_xlfn.XMATCH($X109,$X$1:$X108,0,-1)),"A",""))+INDEX(Z:Z,_xlfn.XMATCH($X109,$X$1:$X108,0,-1))+1)</f>
        <v>4</v>
      </c>
      <c r="Z109" s="43" cm="1">
        <f t="array" ref="Z109">SUM(IF(ISNUMBER(FIND("TmAi",$BE$1:$AAD$1)),IF(IFERROR(ISODD(SUBSTITUTE($BE109:$AAD109,"A","")),FALSE),IF(ISODD(SUBSTITUTE($BE109:$AAD109,"A","")),1,0),0)))</f>
        <v>0</v>
      </c>
      <c r="AA109" t="str">
        <f t="shared" si="125"/>
        <v>7B</v>
      </c>
      <c r="AB109" t="str">
        <f t="shared" si="126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 cm="1">
        <f t="array" ref="KI109">IF(COUNTIFS($U$2:$U109,$U109)=1,1,INDEX(KI:KI,_xlfn.XMATCH(U109,U$1:U108,0,-1))+COUNT(KI108:KM108))</f>
        <v>168</v>
      </c>
      <c r="KJ109">
        <f t="shared" si="127"/>
        <v>169</v>
      </c>
      <c r="KK109">
        <f t="shared" si="127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 cm="1">
        <f t="array" ref="Y110">IF(COUNTIFS($X$2:$X110,$X110)=1,"1",VALUE(SUBSTITUTE(INDEX(Y:Y,_xlfn.XMATCH($X110,$X$1:$X109,0,-1)),"A",""))+INDEX(Z:Z,_xlfn.XMATCH($X110,$X$1:$X109,0,-1))+1)</f>
        <v>5</v>
      </c>
      <c r="Z110" s="43" cm="1">
        <f t="array" ref="Z110">SUM(IF(ISNUMBER(FIND("TmAi",$BE$1:$AAD$1)),IF(IFERROR(ISODD(SUBSTITUTE($BE110:$AAD110,"A","")),FALSE),IF(ISODD(SUBSTITUTE($BE110:$AAD110,"A","")),1,0),0)))</f>
        <v>0</v>
      </c>
      <c r="AA110" t="str">
        <f t="shared" si="125"/>
        <v>9B</v>
      </c>
      <c r="AB110" t="str">
        <f t="shared" si="126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 cm="1">
        <f t="array" ref="KI110">IF(COUNTIFS($U$2:$U110,$U110)=1,1,INDEX(KI:KI,_xlfn.XMATCH(U110,U$1:U109,0,-1))+COUNT(KI109:KM109))</f>
        <v>171</v>
      </c>
      <c r="KJ110">
        <f t="shared" si="127"/>
        <v>172</v>
      </c>
      <c r="KK110">
        <f t="shared" si="127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 cm="1">
        <f t="array" ref="Y111">IF(COUNTIFS($X$2:$X111,$X111)=1,"1",VALUE(SUBSTITUTE(INDEX(Y:Y,_xlfn.XMATCH($X111,$X$1:$X110,0,-1)),"A",""))+INDEX(Z:Z,_xlfn.XMATCH($X111,$X$1:$X110,0,-1))+1)</f>
        <v>6</v>
      </c>
      <c r="Z111" s="43" cm="1">
        <f t="array" ref="Z111">SUM(IF(ISNUMBER(FIND("TmAi",$BE$1:$AAD$1)),IF(IFERROR(ISODD(SUBSTITUTE($BE111:$AAD111,"A","")),FALSE),IF(ISODD(SUBSTITUTE($BE111:$AAD111,"A","")),1,0),0)))</f>
        <v>0</v>
      </c>
      <c r="AA111" t="str">
        <f t="shared" si="125"/>
        <v>11B</v>
      </c>
      <c r="AB111" t="str">
        <f t="shared" si="126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 cm="1">
        <f t="array" ref="KI111">IF(COUNTIFS($U$2:$U111,$U111)=1,1,INDEX(KI:KI,_xlfn.XMATCH(U111,U$1:U110,0,-1))+COUNT(KI110:KM110))</f>
        <v>174</v>
      </c>
      <c r="KJ111">
        <f t="shared" si="127"/>
        <v>175</v>
      </c>
      <c r="KK111">
        <f t="shared" si="127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 cm="1">
        <f t="array" ref="Y112">IF(COUNTIFS($X$2:$X112,$X112)=1,"1",VALUE(SUBSTITUTE(INDEX(Y:Y,_xlfn.XMATCH($X112,$X$1:$X111,0,-1)),"A",""))+INDEX(Z:Z,_xlfn.XMATCH($X112,$X$1:$X111,0,-1))+1)</f>
        <v>7</v>
      </c>
      <c r="Z112" s="43" cm="1">
        <f t="array" ref="Z112">SUM(IF(ISNUMBER(FIND("TmAi",$BE$1:$AAD$1)),IF(IFERROR(ISODD(SUBSTITUTE($BE112:$AAD112,"A","")),FALSE),IF(ISODD(SUBSTITUTE($BE112:$AAD112,"A","")),1,0),0)))</f>
        <v>0</v>
      </c>
      <c r="AA112" t="str">
        <f t="shared" si="125"/>
        <v>13B</v>
      </c>
      <c r="AB112" t="str">
        <f t="shared" si="126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 cm="1">
        <f t="array" ref="KI112">IF(COUNTIFS($U$2:$U112,$U112)=1,1,INDEX(KI:KI,_xlfn.XMATCH(U112,U$1:U111,0,-1))+COUNT(KI111:KM111))</f>
        <v>177</v>
      </c>
      <c r="KJ112">
        <f t="shared" si="127"/>
        <v>178</v>
      </c>
      <c r="KK112">
        <f t="shared" si="127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 cm="1">
        <f t="array" ref="Y113">IF(COUNTIFS($X$2:$X113,$X113)=1,"1",VALUE(SUBSTITUTE(INDEX(Y:Y,_xlfn.XMATCH($X113,$X$1:$X112,0,-1)),"A",""))+INDEX(Z:Z,_xlfn.XMATCH($X113,$X$1:$X112,0,-1))+1)</f>
        <v>8</v>
      </c>
      <c r="Z113" s="43" cm="1">
        <f t="array" ref="Z113">SUM(IF(ISNUMBER(FIND("TmAi",$BE$1:$AAD$1)),IF(IFERROR(ISODD(SUBSTITUTE($BE113:$AAD113,"A","")),FALSE),IF(ISODD(SUBSTITUTE($BE113:$AAD113,"A","")),1,0),0)))</f>
        <v>0</v>
      </c>
      <c r="AA113" t="str">
        <f t="shared" si="125"/>
        <v>15B</v>
      </c>
      <c r="AB113" t="str">
        <f t="shared" si="126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 cm="1">
        <f t="array" ref="KI113">IF(COUNTIFS($U$2:$U113,$U113)=1,1,INDEX(KI:KI,_xlfn.XMATCH(U113,U$1:U112,0,-1))+COUNT(KI112:KM112))</f>
        <v>180</v>
      </c>
      <c r="KJ113">
        <f t="shared" si="127"/>
        <v>181</v>
      </c>
      <c r="KK113">
        <f t="shared" si="127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 cm="1">
        <f t="array" ref="Y114">IF(COUNTIFS($X$2:$X114,$X114)=1,"1",VALUE(SUBSTITUTE(INDEX(Y:Y,_xlfn.XMATCH($X114,$X$1:$X113,0,-1)),"A",""))+INDEX(Z:Z,_xlfn.XMATCH($X114,$X$1:$X113,0,-1))+1)</f>
        <v>1</v>
      </c>
      <c r="Z114" s="43" cm="1">
        <f t="array" ref="Z114">SUM(IF(ISNUMBER(FIND("TmAi",$BE$1:$AAD$1)),IF(IFERROR(ISODD(SUBSTITUTE($BE114:$AAD114,"A","")),FALSE),IF(ISODD(SUBSTITUTE($BE114:$AAD114,"A","")),1,0),0)))</f>
        <v>0</v>
      </c>
      <c r="AA114" t="str">
        <f t="shared" si="125"/>
        <v>1B</v>
      </c>
      <c r="AB114" t="str">
        <f t="shared" si="126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 cm="1">
        <f t="array" ref="KI114">IF(COUNTIFS($U$2:$U114,$U114)=1,1,INDEX(KI:KI,_xlfn.XMATCH(U114,U$1:U113,0,-1))+COUNT(KI113:KM113))</f>
        <v>183</v>
      </c>
      <c r="KJ114">
        <f t="shared" si="127"/>
        <v>184</v>
      </c>
      <c r="KK114">
        <f t="shared" si="127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 cm="1">
        <f t="array" ref="Y115">IF(COUNTIFS($X$2:$X115,$X115)=1,"1",VALUE(SUBSTITUTE(INDEX(Y:Y,_xlfn.XMATCH($X115,$X$1:$X114,0,-1)),"A",""))+INDEX(Z:Z,_xlfn.XMATCH($X115,$X$1:$X114,0,-1))+1)</f>
        <v>2</v>
      </c>
      <c r="Z115" s="43" cm="1">
        <f t="array" ref="Z115">SUM(IF(ISNUMBER(FIND("TmAi",$BE$1:$AAD$1)),IF(IFERROR(ISODD(SUBSTITUTE($BE115:$AAD115,"A","")),FALSE),IF(ISODD(SUBSTITUTE($BE115:$AAD115,"A","")),1,0),0)))</f>
        <v>0</v>
      </c>
      <c r="AA115" t="str">
        <f t="shared" si="125"/>
        <v>3B</v>
      </c>
      <c r="AB115" t="str">
        <f t="shared" si="126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 cm="1">
        <f t="array" ref="KI115">IF(COUNTIFS($U$2:$U115,$U115)=1,1,INDEX(KI:KI,_xlfn.XMATCH(U115,U$1:U114,0,-1))+COUNT(KI114:KM114))</f>
        <v>186</v>
      </c>
      <c r="KJ115">
        <f t="shared" si="127"/>
        <v>187</v>
      </c>
      <c r="KK115">
        <f t="shared" si="127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 cm="1">
        <f t="array" ref="Y116">IF(COUNTIFS($X$2:$X116,$X116)=1,"1",VALUE(SUBSTITUTE(INDEX(Y:Y,_xlfn.XMATCH($X116,$X$1:$X115,0,-1)),"A",""))+INDEX(Z:Z,_xlfn.XMATCH($X116,$X$1:$X115,0,-1))+1)</f>
        <v>3</v>
      </c>
      <c r="Z116" s="43" cm="1">
        <f t="array" ref="Z116">SUM(IF(ISNUMBER(FIND("TmAi",$BE$1:$AAD$1)),IF(IFERROR(ISODD(SUBSTITUTE($BE116:$AAD116,"A","")),FALSE),IF(ISODD(SUBSTITUTE($BE116:$AAD116,"A","")),1,0),0)))</f>
        <v>0</v>
      </c>
      <c r="AA116" t="str">
        <f t="shared" si="125"/>
        <v>5B</v>
      </c>
      <c r="AB116" t="str">
        <f t="shared" si="126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 cm="1">
        <f t="array" ref="KI116">IF(COUNTIFS($U$2:$U116,$U116)=1,1,INDEX(KI:KI,_xlfn.XMATCH(U116,U$1:U115,0,-1))+COUNT(KI115:KM115))</f>
        <v>189</v>
      </c>
      <c r="KJ116">
        <f t="shared" si="127"/>
        <v>190</v>
      </c>
      <c r="KK116">
        <f t="shared" si="127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 cm="1">
        <f t="array" ref="Y117">IF(COUNTIFS($X$2:$X117,$X117)=1,"1",VALUE(SUBSTITUTE(INDEX(Y:Y,_xlfn.XMATCH($X117,$X$1:$X116,0,-1)),"A",""))+INDEX(Z:Z,_xlfn.XMATCH($X117,$X$1:$X116,0,-1))+1)</f>
        <v>4</v>
      </c>
      <c r="Z117" s="43" cm="1">
        <f t="array" ref="Z117">SUM(IF(ISNUMBER(FIND("TmAi",$BE$1:$AAD$1)),IF(IFERROR(ISODD(SUBSTITUTE($BE117:$AAD117,"A","")),FALSE),IF(ISODD(SUBSTITUTE($BE117:$AAD117,"A","")),1,0),0)))</f>
        <v>0</v>
      </c>
      <c r="AA117" t="str">
        <f t="shared" si="125"/>
        <v>7B</v>
      </c>
      <c r="AB117" t="str">
        <f t="shared" si="126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 cm="1">
        <f t="array" ref="KI117">IF(COUNTIFS($U$2:$U117,$U117)=1,1,INDEX(KI:KI,_xlfn.XMATCH(U117,U$1:U116,0,-1))+COUNT(KI116:KM116))</f>
        <v>192</v>
      </c>
      <c r="KJ117">
        <f t="shared" si="127"/>
        <v>193</v>
      </c>
      <c r="KK117">
        <f t="shared" si="127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 cm="1">
        <f t="array" ref="Y118">IF(COUNTIFS($X$2:$X118,$X118)=1,"1",VALUE(SUBSTITUTE(INDEX(Y:Y,_xlfn.XMATCH($X118,$X$1:$X117,0,-1)),"A",""))+INDEX(Z:Z,_xlfn.XMATCH($X118,$X$1:$X117,0,-1))+1)</f>
        <v>5</v>
      </c>
      <c r="Z118" s="43" cm="1">
        <f t="array" ref="Z118">SUM(IF(ISNUMBER(FIND("TmAi",$BE$1:$AAD$1)),IF(IFERROR(ISODD(SUBSTITUTE($BE118:$AAD118,"A","")),FALSE),IF(ISODD(SUBSTITUTE($BE118:$AAD118,"A","")),1,0),0)))</f>
        <v>0</v>
      </c>
      <c r="AA118" t="str">
        <f t="shared" si="125"/>
        <v>9B</v>
      </c>
      <c r="AB118" t="str">
        <f t="shared" si="126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 cm="1">
        <f t="array" ref="KI118">IF(COUNTIFS($U$2:$U118,$U118)=1,1,INDEX(KI:KI,_xlfn.XMATCH(U118,U$1:U117,0,-1))+COUNT(KI117:KM117))</f>
        <v>195</v>
      </c>
      <c r="KJ118">
        <f t="shared" si="127"/>
        <v>196</v>
      </c>
      <c r="KK118">
        <f t="shared" si="127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 cm="1">
        <f t="array" ref="Y119">IF(COUNTIFS($X$2:$X119,$X119)=1,"1",VALUE(SUBSTITUTE(INDEX(Y:Y,_xlfn.XMATCH($X119,$X$1:$X118,0,-1)),"A",""))+INDEX(Z:Z,_xlfn.XMATCH($X119,$X$1:$X118,0,-1))+1)</f>
        <v>6</v>
      </c>
      <c r="Z119" s="43" cm="1">
        <f t="array" ref="Z119">SUM(IF(ISNUMBER(FIND("TmAi",$BE$1:$AAD$1)),IF(IFERROR(ISODD(SUBSTITUTE($BE119:$AAD119,"A","")),FALSE),IF(ISODD(SUBSTITUTE($BE119:$AAD119,"A","")),1,0),0)))</f>
        <v>0</v>
      </c>
      <c r="AA119" t="str">
        <f t="shared" si="125"/>
        <v>11B</v>
      </c>
      <c r="AB119" t="str">
        <f t="shared" si="126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 cm="1">
        <f t="array" ref="KI119">IF(COUNTIFS($U$2:$U119,$U119)=1,1,INDEX(KI:KI,_xlfn.XMATCH(U119,U$1:U118,0,-1))+COUNT(KI118:KM118))</f>
        <v>198</v>
      </c>
      <c r="KJ119">
        <f t="shared" si="127"/>
        <v>199</v>
      </c>
      <c r="KK119">
        <f t="shared" si="127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 cm="1">
        <f t="array" ref="Y120">IF(COUNTIFS($X$2:$X120,$X120)=1,"1",VALUE(SUBSTITUTE(INDEX(Y:Y,_xlfn.XMATCH($X120,$X$1:$X119,0,-1)),"A",""))+INDEX(Z:Z,_xlfn.XMATCH($X120,$X$1:$X119,0,-1))+1)</f>
        <v>7</v>
      </c>
      <c r="Z120" s="43" cm="1">
        <f t="array" ref="Z120">SUM(IF(ISNUMBER(FIND("TmAi",$BE$1:$AAD$1)),IF(IFERROR(ISODD(SUBSTITUTE($BE120:$AAD120,"A","")),FALSE),IF(ISODD(SUBSTITUTE($BE120:$AAD120,"A","")),1,0),0)))</f>
        <v>0</v>
      </c>
      <c r="AA120" t="str">
        <f t="shared" si="125"/>
        <v>13B</v>
      </c>
      <c r="AB120" t="str">
        <f t="shared" si="126"/>
        <v>14B</v>
      </c>
      <c r="AP120" t="s">
        <v>137</v>
      </c>
      <c r="AS120" t="s">
        <v>396</v>
      </c>
      <c r="JZ120" s="27" t="str">
        <f t="shared" ref="JZ120:JZ168" si="128">CONCATENATE("XT",U120)</f>
        <v>XT55</v>
      </c>
      <c r="KC120" t="str">
        <f t="shared" ref="KC120:KC168" si="129">CONCATENATE(T120,"-AI",REPLACE($X120,1,3,""),"-",AA120)</f>
        <v>F0-AI10-13B</v>
      </c>
      <c r="KD120" t="str">
        <f t="shared" ref="KD120:KD168" si="130">CONCATENATE(T120,"-AI",REPLACE($X120,1,3,""),"-",AB120)</f>
        <v>F0-AI10-14B</v>
      </c>
      <c r="KI120" cm="1">
        <f t="array" ref="KI120">IF(COUNTIFS($U$2:$U120,$U120)=1,1,INDEX(KI:KI,_xlfn.XMATCH(U120,U$1:U119,0,-1))+COUNT(KI119:KM119))</f>
        <v>201</v>
      </c>
      <c r="KJ120">
        <f t="shared" si="127"/>
        <v>202</v>
      </c>
      <c r="KK120">
        <f t="shared" si="127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 cm="1">
        <f t="array" ref="Y121">IF(COUNTIFS($X$2:$X121,$X121)=1,"1",VALUE(SUBSTITUTE(INDEX(Y:Y,_xlfn.XMATCH($X121,$X$1:$X120,0,-1)),"A",""))+INDEX(Z:Z,_xlfn.XMATCH($X121,$X$1:$X120,0,-1))+1)</f>
        <v>8</v>
      </c>
      <c r="Z121" s="43" cm="1">
        <f t="array" ref="Z121">SUM(IF(ISNUMBER(FIND("TmAi",$BE$1:$AAD$1)),IF(IFERROR(ISODD(SUBSTITUTE($BE121:$AAD121,"A","")),FALSE),IF(ISODD(SUBSTITUTE($BE121:$AAD121,"A","")),1,0),0)))</f>
        <v>0</v>
      </c>
      <c r="AA121" t="str">
        <f t="shared" si="125"/>
        <v>15B</v>
      </c>
      <c r="AB121" t="str">
        <f t="shared" si="126"/>
        <v>16B</v>
      </c>
      <c r="AP121" t="s">
        <v>137</v>
      </c>
      <c r="AS121" t="s">
        <v>396</v>
      </c>
      <c r="JZ121" s="27" t="str">
        <f t="shared" si="128"/>
        <v>XT55</v>
      </c>
      <c r="KC121" t="str">
        <f t="shared" si="129"/>
        <v>F0-AI10-15B</v>
      </c>
      <c r="KD121" t="str">
        <f t="shared" si="130"/>
        <v>F0-AI10-16B</v>
      </c>
      <c r="KI121" cm="1">
        <f t="array" ref="KI121">IF(COUNTIFS($U$2:$U121,$U121)=1,1,INDEX(KI:KI,_xlfn.XMATCH(U121,U$1:U120,0,-1))+COUNT(KI120:KM120))</f>
        <v>204</v>
      </c>
      <c r="KJ121">
        <f t="shared" si="127"/>
        <v>205</v>
      </c>
      <c r="KK121">
        <f t="shared" si="127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 cm="1">
        <f t="array" ref="Y122">IF(COUNTIFS($X$2:$X122,$X122)=1,"1",VALUE(SUBSTITUTE(INDEX(Y:Y,_xlfn.XMATCH($X122,$X$1:$X121,0,-1)),"A",""))+INDEX(Z:Z,_xlfn.XMATCH($X122,$X$1:$X121,0,-1))+1)</f>
        <v>1</v>
      </c>
      <c r="Z122" s="43" cm="1">
        <f t="array" ref="Z122">SUM(IF(ISNUMBER(FIND("TmAi",$BE$1:$AAD$1)),IF(IFERROR(ISODD(SUBSTITUTE($BE122:$AAD122,"A","")),FALSE),IF(ISODD(SUBSTITUTE($BE122:$AAD122,"A","")),1,0),0)))</f>
        <v>0</v>
      </c>
      <c r="AA122" t="str">
        <f t="shared" si="125"/>
        <v>1B</v>
      </c>
      <c r="AB122" t="str">
        <f t="shared" si="126"/>
        <v>2B</v>
      </c>
      <c r="AP122" t="s">
        <v>137</v>
      </c>
      <c r="AS122" t="s">
        <v>396</v>
      </c>
      <c r="JZ122" s="27" t="str">
        <f t="shared" si="128"/>
        <v>XT55</v>
      </c>
      <c r="KC122" t="str">
        <f t="shared" si="129"/>
        <v>F0-AI11-1B</v>
      </c>
      <c r="KD122" t="str">
        <f t="shared" si="130"/>
        <v>F0-AI11-2B</v>
      </c>
      <c r="KI122" cm="1">
        <f t="array" ref="KI122">IF(COUNTIFS($U$2:$U122,$U122)=1,1,INDEX(KI:KI,_xlfn.XMATCH(U122,U$1:U121,0,-1))+COUNT(KI121:KM121))</f>
        <v>207</v>
      </c>
      <c r="KJ122">
        <f t="shared" si="127"/>
        <v>208</v>
      </c>
      <c r="KK122">
        <f t="shared" si="127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 cm="1">
        <f t="array" ref="Y123">IF(COUNTIFS($X$2:$X123,$X123)=1,"1",VALUE(SUBSTITUTE(INDEX(Y:Y,_xlfn.XMATCH($X123,$X$1:$X122,0,-1)),"A",""))+INDEX(Z:Z,_xlfn.XMATCH($X123,$X$1:$X122,0,-1))+1)</f>
        <v>2</v>
      </c>
      <c r="Z123" s="43" cm="1">
        <f t="array" ref="Z123">SUM(IF(ISNUMBER(FIND("TmAi",$BE$1:$AAD$1)),IF(IFERROR(ISODD(SUBSTITUTE($BE123:$AAD123,"A","")),FALSE),IF(ISODD(SUBSTITUTE($BE123:$AAD123,"A","")),1,0),0)))</f>
        <v>0</v>
      </c>
      <c r="AA123" t="str">
        <f t="shared" si="125"/>
        <v>3B</v>
      </c>
      <c r="AB123" t="str">
        <f t="shared" si="126"/>
        <v>4B</v>
      </c>
      <c r="AP123" t="s">
        <v>137</v>
      </c>
      <c r="AS123" t="s">
        <v>396</v>
      </c>
      <c r="JZ123" s="27" t="str">
        <f t="shared" si="128"/>
        <v>XT55</v>
      </c>
      <c r="KC123" t="str">
        <f t="shared" si="129"/>
        <v>F0-AI11-3B</v>
      </c>
      <c r="KD123" t="str">
        <f t="shared" si="130"/>
        <v>F0-AI11-4B</v>
      </c>
      <c r="KI123" cm="1">
        <f t="array" ref="KI123">IF(COUNTIFS($U$2:$U123,$U123)=1,1,INDEX(KI:KI,_xlfn.XMATCH(U123,U$1:U122,0,-1))+COUNT(KI122:KM122))</f>
        <v>210</v>
      </c>
      <c r="KJ123">
        <f t="shared" ref="KJ123:KK161" si="131">KI123+1</f>
        <v>211</v>
      </c>
      <c r="KK123">
        <f t="shared" si="131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 cm="1">
        <f t="array" ref="Y124">IF(COUNTIFS($X$2:$X124,$X124)=1,"1",VALUE(SUBSTITUTE(INDEX(Y:Y,_xlfn.XMATCH($X124,$X$1:$X123,0,-1)),"A",""))+INDEX(Z:Z,_xlfn.XMATCH($X124,$X$1:$X123,0,-1))+1)</f>
        <v>3</v>
      </c>
      <c r="Z124" s="43" cm="1">
        <f t="array" ref="Z124">SUM(IF(ISNUMBER(FIND("TmAi",$BE$1:$AAD$1)),IF(IFERROR(ISODD(SUBSTITUTE($BE124:$AAD124,"A","")),FALSE),IF(ISODD(SUBSTITUTE($BE124:$AAD124,"A","")),1,0),0)))</f>
        <v>0</v>
      </c>
      <c r="AA124" t="str">
        <f t="shared" si="125"/>
        <v>5B</v>
      </c>
      <c r="AB124" t="str">
        <f t="shared" si="126"/>
        <v>6B</v>
      </c>
      <c r="AP124" t="s">
        <v>137</v>
      </c>
      <c r="AS124" t="s">
        <v>396</v>
      </c>
      <c r="JZ124" s="27" t="str">
        <f t="shared" si="128"/>
        <v>XT55</v>
      </c>
      <c r="KC124" t="str">
        <f t="shared" si="129"/>
        <v>F0-AI11-5B</v>
      </c>
      <c r="KD124" t="str">
        <f t="shared" si="130"/>
        <v>F0-AI11-6B</v>
      </c>
      <c r="KI124" cm="1">
        <f t="array" ref="KI124">IF(COUNTIFS($U$2:$U124,$U124)=1,1,INDEX(KI:KI,_xlfn.XMATCH(U124,U$1:U123,0,-1))+COUNT(KI123:KM123))</f>
        <v>213</v>
      </c>
      <c r="KJ124">
        <f t="shared" si="131"/>
        <v>214</v>
      </c>
      <c r="KK124">
        <f t="shared" si="131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 cm="1">
        <f t="array" ref="Y125">IF(COUNTIFS($X$2:$X125,$X125)=1,"1",VALUE(SUBSTITUTE(INDEX(Y:Y,_xlfn.XMATCH($X125,$X$1:$X124,0,-1)),"A",""))+INDEX(Z:Z,_xlfn.XMATCH($X125,$X$1:$X124,0,-1))+1)</f>
        <v>4</v>
      </c>
      <c r="Z125" s="43" cm="1">
        <f t="array" ref="Z125">SUM(IF(ISNUMBER(FIND("TmAi",$BE$1:$AAD$1)),IF(IFERROR(ISODD(SUBSTITUTE($BE125:$AAD125,"A","")),FALSE),IF(ISODD(SUBSTITUTE($BE125:$AAD125,"A","")),1,0),0)))</f>
        <v>0</v>
      </c>
      <c r="AA125" t="str">
        <f t="shared" si="125"/>
        <v>7B</v>
      </c>
      <c r="AB125" t="str">
        <f t="shared" si="126"/>
        <v>8B</v>
      </c>
      <c r="AP125" t="s">
        <v>137</v>
      </c>
      <c r="AS125" t="s">
        <v>396</v>
      </c>
      <c r="JZ125" s="27" t="str">
        <f t="shared" si="128"/>
        <v>XT55</v>
      </c>
      <c r="KC125" t="str">
        <f t="shared" si="129"/>
        <v>F0-AI11-7B</v>
      </c>
      <c r="KD125" t="str">
        <f t="shared" si="130"/>
        <v>F0-AI11-8B</v>
      </c>
      <c r="KI125" cm="1">
        <f t="array" ref="KI125">IF(COUNTIFS($U$2:$U125,$U125)=1,1,INDEX(KI:KI,_xlfn.XMATCH(U125,U$1:U124,0,-1))+COUNT(KI124:KM124))</f>
        <v>216</v>
      </c>
      <c r="KJ125">
        <f t="shared" si="131"/>
        <v>217</v>
      </c>
      <c r="KK125">
        <f t="shared" si="131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 cm="1">
        <f t="array" ref="Y126">IF(COUNTIFS($X$2:$X126,$X126)=1,"1",VALUE(SUBSTITUTE(INDEX(Y:Y,_xlfn.XMATCH($X126,$X$1:$X125,0,-1)),"A",""))+INDEX(Z:Z,_xlfn.XMATCH($X126,$X$1:$X125,0,-1))+1)</f>
        <v>5</v>
      </c>
      <c r="Z126" s="43" cm="1">
        <f t="array" ref="Z126">SUM(IF(ISNUMBER(FIND("TmAi",$BE$1:$AAD$1)),IF(IFERROR(ISODD(SUBSTITUTE($BE126:$AAD126,"A","")),FALSE),IF(ISODD(SUBSTITUTE($BE126:$AAD126,"A","")),1,0),0)))</f>
        <v>0</v>
      </c>
      <c r="AA126" t="str">
        <f t="shared" si="125"/>
        <v>9B</v>
      </c>
      <c r="AB126" t="str">
        <f t="shared" si="126"/>
        <v>10B</v>
      </c>
      <c r="AP126" t="s">
        <v>137</v>
      </c>
      <c r="AS126" t="s">
        <v>396</v>
      </c>
      <c r="JZ126" s="27" t="str">
        <f t="shared" si="128"/>
        <v>XT55</v>
      </c>
      <c r="KC126" t="str">
        <f t="shared" si="129"/>
        <v>F0-AI11-9B</v>
      </c>
      <c r="KD126" t="str">
        <f t="shared" si="130"/>
        <v>F0-AI11-10B</v>
      </c>
      <c r="KI126" cm="1">
        <f t="array" ref="KI126">IF(COUNTIFS($U$2:$U126,$U126)=1,1,INDEX(KI:KI,_xlfn.XMATCH(U126,U$1:U125,0,-1))+COUNT(KI125:KM125))</f>
        <v>219</v>
      </c>
      <c r="KJ126">
        <f t="shared" si="131"/>
        <v>220</v>
      </c>
      <c r="KK126">
        <f t="shared" si="131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 cm="1">
        <f t="array" ref="Y127">IF(COUNTIFS($X$2:$X127,$X127)=1,"1",VALUE(SUBSTITUTE(INDEX(Y:Y,_xlfn.XMATCH($X127,$X$1:$X126,0,-1)),"A",""))+INDEX(Z:Z,_xlfn.XMATCH($X127,$X$1:$X126,0,-1))+1)</f>
        <v>6</v>
      </c>
      <c r="Z127" s="43" cm="1">
        <f t="array" ref="Z127">SUM(IF(ISNUMBER(FIND("TmAi",$BE$1:$AAD$1)),IF(IFERROR(ISODD(SUBSTITUTE($BE127:$AAD127,"A","")),FALSE),IF(ISODD(SUBSTITUTE($BE127:$AAD127,"A","")),1,0),0)))</f>
        <v>0</v>
      </c>
      <c r="AA127" t="str">
        <f t="shared" si="125"/>
        <v>11B</v>
      </c>
      <c r="AB127" t="str">
        <f t="shared" si="126"/>
        <v>12B</v>
      </c>
      <c r="AP127" t="s">
        <v>137</v>
      </c>
      <c r="AS127" t="s">
        <v>396</v>
      </c>
      <c r="JZ127" s="27" t="str">
        <f t="shared" si="128"/>
        <v>XT55</v>
      </c>
      <c r="KC127" t="str">
        <f t="shared" si="129"/>
        <v>F0-AI11-11B</v>
      </c>
      <c r="KD127" t="str">
        <f t="shared" si="130"/>
        <v>F0-AI11-12B</v>
      </c>
      <c r="KI127" cm="1">
        <f t="array" ref="KI127">IF(COUNTIFS($U$2:$U127,$U127)=1,1,INDEX(KI:KI,_xlfn.XMATCH(U127,U$1:U126,0,-1))+COUNT(KI126:KM126))</f>
        <v>222</v>
      </c>
      <c r="KJ127">
        <f t="shared" si="131"/>
        <v>223</v>
      </c>
      <c r="KK127">
        <f t="shared" si="131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 cm="1">
        <f t="array" ref="Y128">IF(COUNTIFS($X$2:$X128,$X128)=1,"1",VALUE(SUBSTITUTE(INDEX(Y:Y,_xlfn.XMATCH($X128,$X$1:$X127,0,-1)),"A",""))+INDEX(Z:Z,_xlfn.XMATCH($X128,$X$1:$X127,0,-1))+1)</f>
        <v>7</v>
      </c>
      <c r="Z128" s="43" cm="1">
        <f t="array" ref="Z128">SUM(IF(ISNUMBER(FIND("TmAi",$BE$1:$AAD$1)),IF(IFERROR(ISODD(SUBSTITUTE($BE128:$AAD128,"A","")),FALSE),IF(ISODD(SUBSTITUTE($BE128:$AAD128,"A","")),1,0),0)))</f>
        <v>0</v>
      </c>
      <c r="AA128" t="str">
        <f t="shared" si="125"/>
        <v>13B</v>
      </c>
      <c r="AB128" t="str">
        <f t="shared" si="126"/>
        <v>14B</v>
      </c>
      <c r="AP128" t="s">
        <v>137</v>
      </c>
      <c r="AS128" t="s">
        <v>396</v>
      </c>
      <c r="JZ128" s="27" t="str">
        <f t="shared" si="128"/>
        <v>XT55</v>
      </c>
      <c r="KC128" t="str">
        <f t="shared" si="129"/>
        <v>F0-AI11-13B</v>
      </c>
      <c r="KD128" t="str">
        <f t="shared" si="130"/>
        <v>F0-AI11-14B</v>
      </c>
      <c r="KI128" cm="1">
        <f t="array" ref="KI128">IF(COUNTIFS($U$2:$U128,$U128)=1,1,INDEX(KI:KI,_xlfn.XMATCH(U128,U$1:U127,0,-1))+COUNT(KI127:KM127))</f>
        <v>225</v>
      </c>
      <c r="KJ128">
        <f t="shared" si="131"/>
        <v>226</v>
      </c>
      <c r="KK128">
        <f t="shared" si="131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 cm="1">
        <f t="array" ref="Y129">IF(COUNTIFS($X$2:$X129,$X129)=1,"1",VALUE(SUBSTITUTE(INDEX(Y:Y,_xlfn.XMATCH($X129,$X$1:$X128,0,-1)),"A",""))+INDEX(Z:Z,_xlfn.XMATCH($X129,$X$1:$X128,0,-1))+1)</f>
        <v>8</v>
      </c>
      <c r="Z129" s="43" cm="1">
        <f t="array" ref="Z129">SUM(IF(ISNUMBER(FIND("TmAi",$BE$1:$AAD$1)),IF(IFERROR(ISODD(SUBSTITUTE($BE129:$AAD129,"A","")),FALSE),IF(ISODD(SUBSTITUTE($BE129:$AAD129,"A","")),1,0),0)))</f>
        <v>0</v>
      </c>
      <c r="AA129" t="str">
        <f t="shared" si="125"/>
        <v>15B</v>
      </c>
      <c r="AB129" t="str">
        <f t="shared" si="126"/>
        <v>16B</v>
      </c>
      <c r="AP129" t="s">
        <v>137</v>
      </c>
      <c r="AS129" t="s">
        <v>396</v>
      </c>
      <c r="JZ129" s="27" t="str">
        <f t="shared" si="128"/>
        <v>XT55</v>
      </c>
      <c r="KC129" t="str">
        <f t="shared" si="129"/>
        <v>F0-AI11-15B</v>
      </c>
      <c r="KD129" t="str">
        <f t="shared" si="130"/>
        <v>F0-AI11-16B</v>
      </c>
      <c r="KI129" cm="1">
        <f t="array" ref="KI129">IF(COUNTIFS($U$2:$U129,$U129)=1,1,INDEX(KI:KI,_xlfn.XMATCH(U129,U$1:U128,0,-1))+COUNT(KI128:KM128))</f>
        <v>228</v>
      </c>
      <c r="KJ129">
        <f t="shared" si="131"/>
        <v>229</v>
      </c>
      <c r="KK129">
        <f t="shared" si="131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 cm="1">
        <f t="array" ref="Y130">IF(COUNTIFS($X$2:$X130,$X130)=1,"1",VALUE(SUBSTITUTE(INDEX(Y:Y,_xlfn.XMATCH($X130,$X$1:$X129,0,-1)),"A",""))+INDEX(Z:Z,_xlfn.XMATCH($X130,$X$1:$X129,0,-1))+1)</f>
        <v>1</v>
      </c>
      <c r="Z130" s="43" cm="1">
        <f t="array" ref="Z130">SUM(IF(ISNUMBER(FIND("TmAi",$BE$1:$AAD$1)),IF(IFERROR(ISODD(SUBSTITUTE($BE130:$AAD130,"A","")),FALSE),IF(ISODD(SUBSTITUTE($BE130:$AAD130,"A","")),1,0),0)))</f>
        <v>0</v>
      </c>
      <c r="AA130" t="str">
        <f t="shared" si="125"/>
        <v>1B</v>
      </c>
      <c r="AB130" t="str">
        <f t="shared" si="126"/>
        <v>2B</v>
      </c>
      <c r="AP130" t="s">
        <v>137</v>
      </c>
      <c r="AS130" t="s">
        <v>396</v>
      </c>
      <c r="JZ130" s="27" t="str">
        <f t="shared" si="128"/>
        <v>XT55</v>
      </c>
      <c r="KC130" t="str">
        <f t="shared" si="129"/>
        <v>F0-AI12-1B</v>
      </c>
      <c r="KD130" t="str">
        <f t="shared" si="130"/>
        <v>F0-AI12-2B</v>
      </c>
      <c r="KI130" cm="1">
        <f t="array" ref="KI130">IF(COUNTIFS($U$2:$U130,$U130)=1,1,INDEX(KI:KI,_xlfn.XMATCH(U130,U$1:U129,0,-1))+COUNT(KI129:KM129))</f>
        <v>231</v>
      </c>
      <c r="KJ130">
        <f t="shared" si="131"/>
        <v>232</v>
      </c>
      <c r="KK130">
        <f t="shared" si="131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 cm="1">
        <f t="array" ref="Y131">IF(COUNTIFS($X$2:$X131,$X131)=1,"1",VALUE(SUBSTITUTE(INDEX(Y:Y,_xlfn.XMATCH($X131,$X$1:$X130,0,-1)),"A",""))+INDEX(Z:Z,_xlfn.XMATCH($X131,$X$1:$X130,0,-1))+1)</f>
        <v>2</v>
      </c>
      <c r="Z131" s="43" cm="1">
        <f t="array" ref="Z131">SUM(IF(ISNUMBER(FIND("TmAi",$BE$1:$AAD$1)),IF(IFERROR(ISODD(SUBSTITUTE($BE131:$AAD131,"A","")),FALSE),IF(ISODD(SUBSTITUTE($BE131:$AAD131,"A","")),1,0),0)))</f>
        <v>0</v>
      </c>
      <c r="AA131" t="str">
        <f t="shared" si="125"/>
        <v>3B</v>
      </c>
      <c r="AB131" t="str">
        <f t="shared" si="126"/>
        <v>4B</v>
      </c>
      <c r="AP131" t="s">
        <v>137</v>
      </c>
      <c r="AS131" t="s">
        <v>396</v>
      </c>
      <c r="JZ131" s="27" t="str">
        <f t="shared" si="128"/>
        <v>XT55</v>
      </c>
      <c r="KC131" t="str">
        <f t="shared" si="129"/>
        <v>F0-AI12-3B</v>
      </c>
      <c r="KD131" t="str">
        <f t="shared" si="130"/>
        <v>F0-AI12-4B</v>
      </c>
      <c r="KI131" cm="1">
        <f t="array" ref="KI131">IF(COUNTIFS($U$2:$U131,$U131)=1,1,INDEX(KI:KI,_xlfn.XMATCH(U131,U$1:U130,0,-1))+COUNT(KI130:KM130))</f>
        <v>234</v>
      </c>
      <c r="KJ131">
        <f t="shared" si="131"/>
        <v>235</v>
      </c>
      <c r="KK131">
        <f t="shared" si="131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 cm="1">
        <f t="array" ref="Y132">IF(COUNTIFS($X$2:$X132,$X132)=1,"1",VALUE(SUBSTITUTE(INDEX(Y:Y,_xlfn.XMATCH($X132,$X$1:$X131,0,-1)),"A",""))+INDEX(Z:Z,_xlfn.XMATCH($X132,$X$1:$X131,0,-1))+1)</f>
        <v>3</v>
      </c>
      <c r="Z132" s="43" cm="1">
        <f t="array" ref="Z132">SUM(IF(ISNUMBER(FIND("TmAi",$BE$1:$AAD$1)),IF(IFERROR(ISODD(SUBSTITUTE($BE132:$AAD132,"A","")),FALSE),IF(ISODD(SUBSTITUTE($BE132:$AAD132,"A","")),1,0),0)))</f>
        <v>0</v>
      </c>
      <c r="AA132" t="str">
        <f t="shared" si="125"/>
        <v>5B</v>
      </c>
      <c r="AB132" t="str">
        <f t="shared" si="126"/>
        <v>6B</v>
      </c>
      <c r="AP132" t="s">
        <v>137</v>
      </c>
      <c r="AS132" t="s">
        <v>396</v>
      </c>
      <c r="JZ132" s="27" t="str">
        <f t="shared" si="128"/>
        <v>XT55</v>
      </c>
      <c r="KC132" t="str">
        <f t="shared" si="129"/>
        <v>F0-AI12-5B</v>
      </c>
      <c r="KD132" t="str">
        <f t="shared" si="130"/>
        <v>F0-AI12-6B</v>
      </c>
      <c r="KI132" cm="1">
        <f t="array" ref="KI132">IF(COUNTIFS($U$2:$U132,$U132)=1,1,INDEX(KI:KI,_xlfn.XMATCH(U132,U$1:U131,0,-1))+COUNT(KI131:KM131))</f>
        <v>237</v>
      </c>
      <c r="KJ132">
        <f t="shared" si="131"/>
        <v>238</v>
      </c>
      <c r="KK132">
        <f t="shared" si="131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 cm="1">
        <f t="array" ref="Y133">IF(COUNTIFS($X$2:$X133,$X133)=1,"1",VALUE(SUBSTITUTE(INDEX(Y:Y,_xlfn.XMATCH($X133,$X$1:$X132,0,-1)),"A",""))+INDEX(Z:Z,_xlfn.XMATCH($X133,$X$1:$X132,0,-1))+1)</f>
        <v>4</v>
      </c>
      <c r="Z133" s="43" cm="1">
        <f t="array" ref="Z133">SUM(IF(ISNUMBER(FIND("TmAi",$BE$1:$AAD$1)),IF(IFERROR(ISODD(SUBSTITUTE($BE133:$AAD133,"A","")),FALSE),IF(ISODD(SUBSTITUTE($BE133:$AAD133,"A","")),1,0),0)))</f>
        <v>0</v>
      </c>
      <c r="AA133" t="str">
        <f t="shared" si="125"/>
        <v>7B</v>
      </c>
      <c r="AB133" t="str">
        <f t="shared" si="126"/>
        <v>8B</v>
      </c>
      <c r="AP133" t="s">
        <v>137</v>
      </c>
      <c r="AS133" t="s">
        <v>396</v>
      </c>
      <c r="JZ133" s="27" t="str">
        <f t="shared" si="128"/>
        <v>XT55</v>
      </c>
      <c r="KC133" t="str">
        <f t="shared" si="129"/>
        <v>F0-AI12-7B</v>
      </c>
      <c r="KD133" t="str">
        <f t="shared" si="130"/>
        <v>F0-AI12-8B</v>
      </c>
      <c r="KI133" cm="1">
        <f t="array" ref="KI133">IF(COUNTIFS($U$2:$U133,$U133)=1,1,INDEX(KI:KI,_xlfn.XMATCH(U133,U$1:U132,0,-1))+COUNT(KI132:KM132))</f>
        <v>240</v>
      </c>
      <c r="KJ133">
        <f t="shared" si="131"/>
        <v>241</v>
      </c>
      <c r="KK133">
        <f t="shared" si="131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 cm="1">
        <f t="array" ref="Y134">IF(COUNTIFS($X$2:$X134,$X134)=1,"1",VALUE(SUBSTITUTE(INDEX(Y:Y,_xlfn.XMATCH($X134,$X$1:$X133,0,-1)),"A",""))+INDEX(Z:Z,_xlfn.XMATCH($X134,$X$1:$X133,0,-1))+1)</f>
        <v>5</v>
      </c>
      <c r="Z134" s="43" cm="1">
        <f t="array" ref="Z134">SUM(IF(ISNUMBER(FIND("TmAi",$BE$1:$AAD$1)),IF(IFERROR(ISODD(SUBSTITUTE($BE134:$AAD134,"A","")),FALSE),IF(ISODD(SUBSTITUTE($BE134:$AAD134,"A","")),1,0),0)))</f>
        <v>0</v>
      </c>
      <c r="AA134" t="str">
        <f t="shared" si="125"/>
        <v>9B</v>
      </c>
      <c r="AB134" t="str">
        <f t="shared" si="126"/>
        <v>10B</v>
      </c>
      <c r="AP134" t="s">
        <v>137</v>
      </c>
      <c r="AS134" t="s">
        <v>396</v>
      </c>
      <c r="JZ134" s="27" t="str">
        <f t="shared" si="128"/>
        <v>XT55</v>
      </c>
      <c r="KC134" t="str">
        <f t="shared" si="129"/>
        <v>F0-AI12-9B</v>
      </c>
      <c r="KD134" t="str">
        <f t="shared" si="130"/>
        <v>F0-AI12-10B</v>
      </c>
      <c r="KI134" cm="1">
        <f t="array" ref="KI134">IF(COUNTIFS($U$2:$U134,$U134)=1,1,INDEX(KI:KI,_xlfn.XMATCH(U134,U$1:U133,0,-1))+COUNT(KI133:KM133))</f>
        <v>243</v>
      </c>
      <c r="KJ134">
        <f t="shared" si="131"/>
        <v>244</v>
      </c>
      <c r="KK134">
        <f t="shared" si="131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 cm="1">
        <f t="array" ref="Y135">IF(COUNTIFS($X$2:$X135,$X135)=1,"1",VALUE(SUBSTITUTE(INDEX(Y:Y,_xlfn.XMATCH($X135,$X$1:$X134,0,-1)),"A",""))+INDEX(Z:Z,_xlfn.XMATCH($X135,$X$1:$X134,0,-1))+1)</f>
        <v>6</v>
      </c>
      <c r="Z135" s="43" cm="1">
        <f t="array" ref="Z135">SUM(IF(ISNUMBER(FIND("TmAi",$BE$1:$AAD$1)),IF(IFERROR(ISODD(SUBSTITUTE($BE135:$AAD135,"A","")),FALSE),IF(ISODD(SUBSTITUTE($BE135:$AAD135,"A","")),1,0),0)))</f>
        <v>0</v>
      </c>
      <c r="AA135" t="str">
        <f t="shared" si="125"/>
        <v>11B</v>
      </c>
      <c r="AB135" t="str">
        <f t="shared" si="126"/>
        <v>12B</v>
      </c>
      <c r="AP135" t="s">
        <v>137</v>
      </c>
      <c r="AS135" t="s">
        <v>396</v>
      </c>
      <c r="JZ135" s="27" t="str">
        <f t="shared" si="128"/>
        <v>XT55</v>
      </c>
      <c r="KC135" t="str">
        <f t="shared" si="129"/>
        <v>F0-AI12-11B</v>
      </c>
      <c r="KD135" t="str">
        <f t="shared" si="130"/>
        <v>F0-AI12-12B</v>
      </c>
      <c r="KI135" cm="1">
        <f t="array" ref="KI135">IF(COUNTIFS($U$2:$U135,$U135)=1,1,INDEX(KI:KI,_xlfn.XMATCH(U135,U$1:U134,0,-1))+COUNT(KI134:KM134))</f>
        <v>246</v>
      </c>
      <c r="KJ135">
        <f t="shared" si="131"/>
        <v>247</v>
      </c>
      <c r="KK135">
        <f t="shared" si="131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 cm="1">
        <f t="array" ref="Y136">IF(COUNTIFS($X$2:$X136,$X136)=1,"1",VALUE(SUBSTITUTE(INDEX(Y:Y,_xlfn.XMATCH($X136,$X$1:$X135,0,-1)),"A",""))+INDEX(Z:Z,_xlfn.XMATCH($X136,$X$1:$X135,0,-1))+1)</f>
        <v>7</v>
      </c>
      <c r="Z136" s="43" cm="1">
        <f t="array" ref="Z136">SUM(IF(ISNUMBER(FIND("TmAi",$BE$1:$AAD$1)),IF(IFERROR(ISODD(SUBSTITUTE($BE136:$AAD136,"A","")),FALSE),IF(ISODD(SUBSTITUTE($BE136:$AAD136,"A","")),1,0),0)))</f>
        <v>0</v>
      </c>
      <c r="AA136" t="str">
        <f t="shared" si="125"/>
        <v>13B</v>
      </c>
      <c r="AB136" t="str">
        <f t="shared" si="126"/>
        <v>14B</v>
      </c>
      <c r="AP136" t="s">
        <v>137</v>
      </c>
      <c r="AS136" t="s">
        <v>396</v>
      </c>
      <c r="JZ136" s="27" t="str">
        <f t="shared" si="128"/>
        <v>XT55</v>
      </c>
      <c r="KC136" t="str">
        <f t="shared" si="129"/>
        <v>F0-AI12-13B</v>
      </c>
      <c r="KD136" t="str">
        <f t="shared" si="130"/>
        <v>F0-AI12-14B</v>
      </c>
      <c r="KI136" cm="1">
        <f t="array" ref="KI136">IF(COUNTIFS($U$2:$U136,$U136)=1,1,INDEX(KI:KI,_xlfn.XMATCH(U136,U$1:U135,0,-1))+COUNT(KI135:KM135))</f>
        <v>249</v>
      </c>
      <c r="KJ136">
        <f t="shared" si="131"/>
        <v>250</v>
      </c>
      <c r="KK136">
        <f t="shared" si="131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 cm="1">
        <f t="array" ref="Y137">IF(COUNTIFS($X$2:$X137,$X137)=1,"1",VALUE(SUBSTITUTE(INDEX(Y:Y,_xlfn.XMATCH($X137,$X$1:$X136,0,-1)),"A",""))+INDEX(Z:Z,_xlfn.XMATCH($X137,$X$1:$X136,0,-1))+1)</f>
        <v>8</v>
      </c>
      <c r="Z137" s="43" cm="1">
        <f t="array" ref="Z137">SUM(IF(ISNUMBER(FIND("TmAi",$BE$1:$AAD$1)),IF(IFERROR(ISODD(SUBSTITUTE($BE137:$AAD137,"A","")),FALSE),IF(ISODD(SUBSTITUTE($BE137:$AAD137,"A","")),1,0),0)))</f>
        <v>0</v>
      </c>
      <c r="AA137" t="str">
        <f t="shared" si="125"/>
        <v>15B</v>
      </c>
      <c r="AB137" t="str">
        <f t="shared" si="126"/>
        <v>16B</v>
      </c>
      <c r="AP137" t="s">
        <v>137</v>
      </c>
      <c r="AS137" t="s">
        <v>396</v>
      </c>
      <c r="JZ137" s="27" t="str">
        <f t="shared" si="128"/>
        <v>XT55</v>
      </c>
      <c r="KC137" t="str">
        <f t="shared" si="129"/>
        <v>F0-AI12-15B</v>
      </c>
      <c r="KD137" t="str">
        <f t="shared" si="130"/>
        <v>F0-AI12-16B</v>
      </c>
      <c r="KI137" cm="1">
        <f t="array" ref="KI137">IF(COUNTIFS($U$2:$U137,$U137)=1,1,INDEX(KI:KI,_xlfn.XMATCH(U137,U$1:U136,0,-1))+COUNT(KI136:KM136))</f>
        <v>252</v>
      </c>
      <c r="KJ137">
        <f t="shared" si="131"/>
        <v>253</v>
      </c>
      <c r="KK137">
        <f t="shared" si="131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 cm="1">
        <f t="array" ref="Y138">IF(COUNTIFS($X$2:$X138,$X138)=1,"1",VALUE(SUBSTITUTE(INDEX(Y:Y,_xlfn.XMATCH($X138,$X$1:$X137,0,-1)),"A",""))+INDEX(Z:Z,_xlfn.XMATCH($X138,$X$1:$X137,0,-1))+1)</f>
        <v>1</v>
      </c>
      <c r="Z138" s="43" cm="1">
        <f t="array" ref="Z138">SUM(IF(ISNUMBER(FIND("TmAi",$BE$1:$AAD$1)),IF(IFERROR(ISODD(SUBSTITUTE($BE138:$AAD138,"A","")),FALSE),IF(ISODD(SUBSTITUTE($BE138:$AAD138,"A","")),1,0),0)))</f>
        <v>0</v>
      </c>
      <c r="AA138" t="str">
        <f t="shared" si="125"/>
        <v>1B</v>
      </c>
      <c r="AB138" t="str">
        <f t="shared" si="126"/>
        <v>2B</v>
      </c>
      <c r="AP138" t="s">
        <v>137</v>
      </c>
      <c r="AS138" t="s">
        <v>396</v>
      </c>
      <c r="JZ138" s="27" t="str">
        <f t="shared" si="128"/>
        <v>XT55</v>
      </c>
      <c r="KC138" t="str">
        <f t="shared" si="129"/>
        <v>F0-AI13-1B</v>
      </c>
      <c r="KD138" t="str">
        <f t="shared" si="130"/>
        <v>F0-AI13-2B</v>
      </c>
      <c r="KI138" cm="1">
        <f t="array" ref="KI138">IF(COUNTIFS($U$2:$U138,$U138)=1,1,INDEX(KI:KI,_xlfn.XMATCH(U138,U$1:U137,0,-1))+COUNT(KI137:KM137))</f>
        <v>255</v>
      </c>
      <c r="KJ138">
        <f t="shared" si="131"/>
        <v>256</v>
      </c>
      <c r="KK138">
        <f t="shared" si="131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 cm="1">
        <f t="array" ref="Y139">IF(COUNTIFS($X$2:$X139,$X139)=1,"1",VALUE(SUBSTITUTE(INDEX(Y:Y,_xlfn.XMATCH($X139,$X$1:$X138,0,-1)),"A",""))+INDEX(Z:Z,_xlfn.XMATCH($X139,$X$1:$X138,0,-1))+1)</f>
        <v>2</v>
      </c>
      <c r="Z139" s="43" cm="1">
        <f t="array" ref="Z139">SUM(IF(ISNUMBER(FIND("TmAi",$BE$1:$AAD$1)),IF(IFERROR(ISODD(SUBSTITUTE($BE139:$AAD139,"A","")),FALSE),IF(ISODD(SUBSTITUTE($BE139:$AAD139,"A","")),1,0),0)))</f>
        <v>0</v>
      </c>
      <c r="AA139" t="str">
        <f t="shared" si="125"/>
        <v>3B</v>
      </c>
      <c r="AB139" t="str">
        <f t="shared" si="126"/>
        <v>4B</v>
      </c>
      <c r="AP139" t="s">
        <v>137</v>
      </c>
      <c r="AS139" t="s">
        <v>396</v>
      </c>
      <c r="JZ139" s="27" t="str">
        <f t="shared" si="128"/>
        <v>XT55</v>
      </c>
      <c r="KC139" t="str">
        <f t="shared" si="129"/>
        <v>F0-AI13-3B</v>
      </c>
      <c r="KD139" t="str">
        <f t="shared" si="130"/>
        <v>F0-AI13-4B</v>
      </c>
      <c r="KI139" cm="1">
        <f t="array" ref="KI139">IF(COUNTIFS($U$2:$U139,$U139)=1,1,INDEX(KI:KI,_xlfn.XMATCH(U139,U$1:U138,0,-1))+COUNT(KI138:KM138))</f>
        <v>258</v>
      </c>
      <c r="KJ139">
        <f t="shared" si="131"/>
        <v>259</v>
      </c>
      <c r="KK139">
        <f t="shared" si="131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 cm="1">
        <f t="array" ref="Y140">IF(COUNTIFS($X$2:$X140,$X140)=1,"1",VALUE(SUBSTITUTE(INDEX(Y:Y,_xlfn.XMATCH($X140,$X$1:$X139,0,-1)),"A",""))+INDEX(Z:Z,_xlfn.XMATCH($X140,$X$1:$X139,0,-1))+1)</f>
        <v>3</v>
      </c>
      <c r="Z140" s="43" cm="1">
        <f t="array" ref="Z140">SUM(IF(ISNUMBER(FIND("TmAi",$BE$1:$AAD$1)),IF(IFERROR(ISODD(SUBSTITUTE($BE140:$AAD140,"A","")),FALSE),IF(ISODD(SUBSTITUTE($BE140:$AAD140,"A","")),1,0),0)))</f>
        <v>0</v>
      </c>
      <c r="AA140" t="str">
        <f t="shared" si="125"/>
        <v>5B</v>
      </c>
      <c r="AB140" t="str">
        <f t="shared" si="126"/>
        <v>6B</v>
      </c>
      <c r="AP140" t="s">
        <v>137</v>
      </c>
      <c r="AS140" t="s">
        <v>396</v>
      </c>
      <c r="JZ140" s="27" t="str">
        <f t="shared" si="128"/>
        <v>XT55</v>
      </c>
      <c r="KC140" t="str">
        <f t="shared" si="129"/>
        <v>F0-AI13-5B</v>
      </c>
      <c r="KD140" t="str">
        <f t="shared" si="130"/>
        <v>F0-AI13-6B</v>
      </c>
      <c r="KI140" cm="1">
        <f t="array" ref="KI140">IF(COUNTIFS($U$2:$U140,$U140)=1,1,INDEX(KI:KI,_xlfn.XMATCH(U140,U$1:U139,0,-1))+COUNT(KI139:KM139))</f>
        <v>261</v>
      </c>
      <c r="KJ140">
        <f t="shared" si="131"/>
        <v>262</v>
      </c>
      <c r="KK140">
        <f t="shared" si="131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 cm="1">
        <f t="array" ref="Y141">IF(COUNTIFS($X$2:$X141,$X141)=1,"1",VALUE(SUBSTITUTE(INDEX(Y:Y,_xlfn.XMATCH($X141,$X$1:$X140,0,-1)),"A",""))+INDEX(Z:Z,_xlfn.XMATCH($X141,$X$1:$X140,0,-1))+1)</f>
        <v>4</v>
      </c>
      <c r="Z141" s="43" cm="1">
        <f t="array" ref="Z141">SUM(IF(ISNUMBER(FIND("TmAi",$BE$1:$AAD$1)),IF(IFERROR(ISODD(SUBSTITUTE($BE141:$AAD141,"A","")),FALSE),IF(ISODD(SUBSTITUTE($BE141:$AAD141,"A","")),1,0),0)))</f>
        <v>0</v>
      </c>
      <c r="AA141" t="str">
        <f t="shared" si="125"/>
        <v>7B</v>
      </c>
      <c r="AB141" t="str">
        <f t="shared" si="126"/>
        <v>8B</v>
      </c>
      <c r="AP141" t="s">
        <v>137</v>
      </c>
      <c r="AS141" t="s">
        <v>396</v>
      </c>
      <c r="JZ141" s="27" t="str">
        <f t="shared" si="128"/>
        <v>XT55</v>
      </c>
      <c r="KC141" t="str">
        <f t="shared" si="129"/>
        <v>F0-AI13-7B</v>
      </c>
      <c r="KD141" t="str">
        <f t="shared" si="130"/>
        <v>F0-AI13-8B</v>
      </c>
      <c r="KI141" cm="1">
        <f t="array" ref="KI141">IF(COUNTIFS($U$2:$U141,$U141)=1,1,INDEX(KI:KI,_xlfn.XMATCH(U141,U$1:U140,0,-1))+COUNT(KI140:KM140))</f>
        <v>264</v>
      </c>
      <c r="KJ141">
        <f t="shared" si="131"/>
        <v>265</v>
      </c>
      <c r="KK141">
        <f t="shared" si="131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 cm="1">
        <f t="array" ref="Y142">IF(COUNTIFS($X$2:$X142,$X142)=1,"1",VALUE(SUBSTITUTE(INDEX(Y:Y,_xlfn.XMATCH($X142,$X$1:$X141,0,-1)),"A",""))+INDEX(Z:Z,_xlfn.XMATCH($X142,$X$1:$X141,0,-1))+1)</f>
        <v>5</v>
      </c>
      <c r="Z142" s="43" cm="1">
        <f t="array" ref="Z142">SUM(IF(ISNUMBER(FIND("TmAi",$BE$1:$AAD$1)),IF(IFERROR(ISODD(SUBSTITUTE($BE142:$AAD142,"A","")),FALSE),IF(ISODD(SUBSTITUTE($BE142:$AAD142,"A","")),1,0),0)))</f>
        <v>0</v>
      </c>
      <c r="AA142" t="str">
        <f t="shared" si="125"/>
        <v>9B</v>
      </c>
      <c r="AB142" t="str">
        <f t="shared" si="126"/>
        <v>10B</v>
      </c>
      <c r="AP142" t="s">
        <v>137</v>
      </c>
      <c r="AS142" t="s">
        <v>396</v>
      </c>
      <c r="JZ142" s="27" t="str">
        <f t="shared" si="128"/>
        <v>XT55</v>
      </c>
      <c r="KC142" t="str">
        <f t="shared" si="129"/>
        <v>F0-AI13-9B</v>
      </c>
      <c r="KD142" t="str">
        <f t="shared" si="130"/>
        <v>F0-AI13-10B</v>
      </c>
      <c r="KI142" cm="1">
        <f t="array" ref="KI142">IF(COUNTIFS($U$2:$U142,$U142)=1,1,INDEX(KI:KI,_xlfn.XMATCH(U142,U$1:U141,0,-1))+COUNT(KI141:KM141))</f>
        <v>267</v>
      </c>
      <c r="KJ142">
        <f t="shared" si="131"/>
        <v>268</v>
      </c>
      <c r="KK142">
        <f t="shared" si="131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 cm="1">
        <f t="array" ref="Y143">IF(COUNTIFS($X$2:$X143,$X143)=1,"1",VALUE(SUBSTITUTE(INDEX(Y:Y,_xlfn.XMATCH($X143,$X$1:$X142,0,-1)),"A",""))+INDEX(Z:Z,_xlfn.XMATCH($X143,$X$1:$X142,0,-1))+1)</f>
        <v>6</v>
      </c>
      <c r="Z143" s="43" cm="1">
        <f t="array" ref="Z143">SUM(IF(ISNUMBER(FIND("TmAi",$BE$1:$AAD$1)),IF(IFERROR(ISODD(SUBSTITUTE($BE143:$AAD143,"A","")),FALSE),IF(ISODD(SUBSTITUTE($BE143:$AAD143,"A","")),1,0),0)))</f>
        <v>0</v>
      </c>
      <c r="AA143" t="str">
        <f t="shared" si="125"/>
        <v>11B</v>
      </c>
      <c r="AB143" t="str">
        <f t="shared" si="126"/>
        <v>12B</v>
      </c>
      <c r="AP143" t="s">
        <v>137</v>
      </c>
      <c r="AS143" t="s">
        <v>396</v>
      </c>
      <c r="JZ143" s="27" t="str">
        <f t="shared" si="128"/>
        <v>XT55</v>
      </c>
      <c r="KC143" t="str">
        <f t="shared" si="129"/>
        <v>F0-AI13-11B</v>
      </c>
      <c r="KD143" t="str">
        <f t="shared" si="130"/>
        <v>F0-AI13-12B</v>
      </c>
      <c r="KI143" cm="1">
        <f t="array" ref="KI143">IF(COUNTIFS($U$2:$U143,$U143)=1,1,INDEX(KI:KI,_xlfn.XMATCH(U143,U$1:U142,0,-1))+COUNT(KI142:KM142))</f>
        <v>270</v>
      </c>
      <c r="KJ143">
        <f t="shared" si="131"/>
        <v>271</v>
      </c>
      <c r="KK143">
        <f t="shared" si="131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 cm="1">
        <f t="array" ref="Y144">IF(COUNTIFS($X$2:$X144,$X144)=1,"1",VALUE(SUBSTITUTE(INDEX(Y:Y,_xlfn.XMATCH($X144,$X$1:$X143,0,-1)),"A",""))+INDEX(Z:Z,_xlfn.XMATCH($X144,$X$1:$X143,0,-1))+1)</f>
        <v>7</v>
      </c>
      <c r="Z144" s="43" cm="1">
        <f t="array" ref="Z144">SUM(IF(ISNUMBER(FIND("TmAi",$BE$1:$AAD$1)),IF(IFERROR(ISODD(SUBSTITUTE($BE144:$AAD144,"A","")),FALSE),IF(ISODD(SUBSTITUTE($BE144:$AAD144,"A","")),1,0),0)))</f>
        <v>0</v>
      </c>
      <c r="AA144" t="str">
        <f t="shared" si="125"/>
        <v>13B</v>
      </c>
      <c r="AB144" t="str">
        <f t="shared" si="126"/>
        <v>14B</v>
      </c>
      <c r="AP144" t="s">
        <v>137</v>
      </c>
      <c r="AS144" t="s">
        <v>396</v>
      </c>
      <c r="JZ144" s="27" t="str">
        <f t="shared" si="128"/>
        <v>XT55</v>
      </c>
      <c r="KC144" t="str">
        <f t="shared" si="129"/>
        <v>F0-AI13-13B</v>
      </c>
      <c r="KD144" t="str">
        <f t="shared" si="130"/>
        <v>F0-AI13-14B</v>
      </c>
      <c r="KI144" cm="1">
        <f t="array" ref="KI144">IF(COUNTIFS($U$2:$U144,$U144)=1,1,INDEX(KI:KI,_xlfn.XMATCH(U144,U$1:U143,0,-1))+COUNT(KI143:KM143))</f>
        <v>273</v>
      </c>
      <c r="KJ144">
        <f t="shared" si="131"/>
        <v>274</v>
      </c>
      <c r="KK144">
        <f t="shared" si="131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 cm="1">
        <f t="array" ref="Y145">IF(COUNTIFS($X$2:$X145,$X145)=1,"1",VALUE(SUBSTITUTE(INDEX(Y:Y,_xlfn.XMATCH($X145,$X$1:$X144,0,-1)),"A",""))+INDEX(Z:Z,_xlfn.XMATCH($X145,$X$1:$X144,0,-1))+1)</f>
        <v>8</v>
      </c>
      <c r="Z145" s="43" cm="1">
        <f t="array" ref="Z145">SUM(IF(ISNUMBER(FIND("TmAi",$BE$1:$AAD$1)),IF(IFERROR(ISODD(SUBSTITUTE($BE145:$AAD145,"A","")),FALSE),IF(ISODD(SUBSTITUTE($BE145:$AAD145,"A","")),1,0),0)))</f>
        <v>0</v>
      </c>
      <c r="AA145" t="str">
        <f t="shared" si="125"/>
        <v>15B</v>
      </c>
      <c r="AB145" t="str">
        <f t="shared" si="126"/>
        <v>16B</v>
      </c>
      <c r="AP145" t="s">
        <v>137</v>
      </c>
      <c r="AS145" t="s">
        <v>396</v>
      </c>
      <c r="JZ145" s="27" t="str">
        <f t="shared" si="128"/>
        <v>XT55</v>
      </c>
      <c r="KC145" t="str">
        <f t="shared" si="129"/>
        <v>F0-AI13-15B</v>
      </c>
      <c r="KD145" t="str">
        <f t="shared" si="130"/>
        <v>F0-AI13-16B</v>
      </c>
      <c r="KI145" cm="1">
        <f t="array" ref="KI145">IF(COUNTIFS($U$2:$U145,$U145)=1,1,INDEX(KI:KI,_xlfn.XMATCH(U145,U$1:U144,0,-1))+COUNT(KI144:KM144))</f>
        <v>276</v>
      </c>
      <c r="KJ145">
        <f t="shared" si="131"/>
        <v>277</v>
      </c>
      <c r="KK145">
        <f t="shared" si="131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 cm="1">
        <f t="array" ref="Y146">IF(COUNTIFS($X$2:$X146,$X146)=1,"1",VALUE(SUBSTITUTE(INDEX(Y:Y,_xlfn.XMATCH($X146,$X$1:$X145,0,-1)),"A",""))+INDEX(Z:Z,_xlfn.XMATCH($X146,$X$1:$X145,0,-1))+1)</f>
        <v>1</v>
      </c>
      <c r="Z146" s="43" cm="1">
        <f t="array" ref="Z146">SUM(IF(ISNUMBER(FIND("TmAi",$BE$1:$AAD$1)),IF(IFERROR(ISODD(SUBSTITUTE($BE146:$AAD146,"A","")),FALSE),IF(ISODD(SUBSTITUTE($BE146:$AAD146,"A","")),1,0),0)))</f>
        <v>0</v>
      </c>
      <c r="AA146" t="str">
        <f t="shared" si="125"/>
        <v>1B</v>
      </c>
      <c r="AB146" t="str">
        <f t="shared" si="126"/>
        <v>2B</v>
      </c>
      <c r="AP146" t="s">
        <v>137</v>
      </c>
      <c r="AS146" t="s">
        <v>396</v>
      </c>
      <c r="JZ146" s="27" t="str">
        <f t="shared" si="128"/>
        <v>XT55</v>
      </c>
      <c r="KC146" t="str">
        <f t="shared" si="129"/>
        <v>F0-AI14-1B</v>
      </c>
      <c r="KD146" t="str">
        <f t="shared" si="130"/>
        <v>F0-AI14-2B</v>
      </c>
      <c r="KI146" cm="1">
        <f t="array" ref="KI146">IF(COUNTIFS($U$2:$U146,$U146)=1,1,INDEX(KI:KI,_xlfn.XMATCH(U146,U$1:U145,0,-1))+COUNT(KI145:KM145))</f>
        <v>279</v>
      </c>
      <c r="KJ146">
        <f t="shared" si="131"/>
        <v>280</v>
      </c>
      <c r="KK146">
        <f t="shared" si="131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 cm="1">
        <f t="array" ref="Y147">IF(COUNTIFS($X$2:$X147,$X147)=1,"1",VALUE(SUBSTITUTE(INDEX(Y:Y,_xlfn.XMATCH($X147,$X$1:$X146,0,-1)),"A",""))+INDEX(Z:Z,_xlfn.XMATCH($X147,$X$1:$X146,0,-1))+1)</f>
        <v>2</v>
      </c>
      <c r="Z147" s="43" cm="1">
        <f t="array" ref="Z147">SUM(IF(ISNUMBER(FIND("TmAi",$BE$1:$AAD$1)),IF(IFERROR(ISODD(SUBSTITUTE($BE147:$AAD147,"A","")),FALSE),IF(ISODD(SUBSTITUTE($BE147:$AAD147,"A","")),1,0),0)))</f>
        <v>0</v>
      </c>
      <c r="AA147" t="str">
        <f t="shared" si="125"/>
        <v>3B</v>
      </c>
      <c r="AB147" t="str">
        <f t="shared" si="126"/>
        <v>4B</v>
      </c>
      <c r="AP147" t="s">
        <v>137</v>
      </c>
      <c r="AS147" t="s">
        <v>396</v>
      </c>
      <c r="JZ147" s="27" t="str">
        <f t="shared" si="128"/>
        <v>XT55</v>
      </c>
      <c r="KC147" t="str">
        <f t="shared" si="129"/>
        <v>F0-AI14-3B</v>
      </c>
      <c r="KD147" t="str">
        <f t="shared" si="130"/>
        <v>F0-AI14-4B</v>
      </c>
      <c r="KI147" cm="1">
        <f t="array" ref="KI147">IF(COUNTIFS($U$2:$U147,$U147)=1,1,INDEX(KI:KI,_xlfn.XMATCH(U147,U$1:U146,0,-1))+COUNT(KI146:KM146))</f>
        <v>282</v>
      </c>
      <c r="KJ147">
        <f t="shared" si="131"/>
        <v>283</v>
      </c>
      <c r="KK147">
        <f t="shared" si="131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 cm="1">
        <f t="array" ref="Y148">IF(COUNTIFS($X$2:$X148,$X148)=1,"1",VALUE(SUBSTITUTE(INDEX(Y:Y,_xlfn.XMATCH($X148,$X$1:$X147,0,-1)),"A",""))+INDEX(Z:Z,_xlfn.XMATCH($X148,$X$1:$X147,0,-1))+1)</f>
        <v>3</v>
      </c>
      <c r="Z148" s="43" cm="1">
        <f t="array" ref="Z148">SUM(IF(ISNUMBER(FIND("TmAi",$BE$1:$AAD$1)),IF(IFERROR(ISODD(SUBSTITUTE($BE148:$AAD148,"A","")),FALSE),IF(ISODD(SUBSTITUTE($BE148:$AAD148,"A","")),1,0),0)))</f>
        <v>0</v>
      </c>
      <c r="AA148" t="str">
        <f t="shared" si="125"/>
        <v>5B</v>
      </c>
      <c r="AB148" t="str">
        <f t="shared" si="126"/>
        <v>6B</v>
      </c>
      <c r="AP148" t="s">
        <v>137</v>
      </c>
      <c r="AS148" t="s">
        <v>396</v>
      </c>
      <c r="JZ148" s="27" t="str">
        <f t="shared" si="128"/>
        <v>XT55</v>
      </c>
      <c r="KC148" t="str">
        <f t="shared" si="129"/>
        <v>F0-AI14-5B</v>
      </c>
      <c r="KD148" t="str">
        <f t="shared" si="130"/>
        <v>F0-AI14-6B</v>
      </c>
      <c r="KI148" cm="1">
        <f t="array" ref="KI148">IF(COUNTIFS($U$2:$U148,$U148)=1,1,INDEX(KI:KI,_xlfn.XMATCH(U148,U$1:U147,0,-1))+COUNT(KI147:KM147))</f>
        <v>285</v>
      </c>
      <c r="KJ148">
        <f t="shared" si="131"/>
        <v>286</v>
      </c>
      <c r="KK148">
        <f t="shared" si="131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 cm="1">
        <f t="array" ref="Y149">IF(COUNTIFS($X$2:$X149,$X149)=1,"1",VALUE(SUBSTITUTE(INDEX(Y:Y,_xlfn.XMATCH($X149,$X$1:$X148,0,-1)),"A",""))+INDEX(Z:Z,_xlfn.XMATCH($X149,$X$1:$X148,0,-1))+1)</f>
        <v>4</v>
      </c>
      <c r="Z149" s="43" cm="1">
        <f t="array" ref="Z149">SUM(IF(ISNUMBER(FIND("TmAi",$BE$1:$AAD$1)),IF(IFERROR(ISODD(SUBSTITUTE($BE149:$AAD149,"A","")),FALSE),IF(ISODD(SUBSTITUTE($BE149:$AAD149,"A","")),1,0),0)))</f>
        <v>0</v>
      </c>
      <c r="AA149" t="str">
        <f t="shared" si="125"/>
        <v>7B</v>
      </c>
      <c r="AB149" t="str">
        <f t="shared" si="126"/>
        <v>8B</v>
      </c>
      <c r="AP149" t="s">
        <v>137</v>
      </c>
      <c r="AS149" t="s">
        <v>396</v>
      </c>
      <c r="JZ149" s="27" t="str">
        <f t="shared" si="128"/>
        <v>XT55</v>
      </c>
      <c r="KC149" t="str">
        <f t="shared" si="129"/>
        <v>F0-AI14-7B</v>
      </c>
      <c r="KD149" t="str">
        <f t="shared" si="130"/>
        <v>F0-AI14-8B</v>
      </c>
      <c r="KI149" cm="1">
        <f t="array" ref="KI149">IF(COUNTIFS($U$2:$U149,$U149)=1,1,INDEX(KI:KI,_xlfn.XMATCH(U149,U$1:U148,0,-1))+COUNT(KI148:KM148))</f>
        <v>288</v>
      </c>
      <c r="KJ149">
        <f t="shared" si="131"/>
        <v>289</v>
      </c>
      <c r="KK149">
        <f t="shared" si="131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 cm="1">
        <f t="array" ref="Y150">IF(COUNTIFS($X$2:$X150,$X150)=1,"1",VALUE(SUBSTITUTE(INDEX(Y:Y,_xlfn.XMATCH($X150,$X$1:$X149,0,-1)),"A",""))+INDEX(Z:Z,_xlfn.XMATCH($X150,$X$1:$X149,0,-1))+1)</f>
        <v>5</v>
      </c>
      <c r="Z150" s="43" cm="1">
        <f t="array" ref="Z150">SUM(IF(ISNUMBER(FIND("TmAi",$BE$1:$AAD$1)),IF(IFERROR(ISODD(SUBSTITUTE($BE150:$AAD150,"A","")),FALSE),IF(ISODD(SUBSTITUTE($BE150:$AAD150,"A","")),1,0),0)))</f>
        <v>0</v>
      </c>
      <c r="AA150" t="str">
        <f t="shared" si="125"/>
        <v>9B</v>
      </c>
      <c r="AB150" t="str">
        <f t="shared" si="126"/>
        <v>10B</v>
      </c>
      <c r="AP150" t="s">
        <v>137</v>
      </c>
      <c r="AS150" t="s">
        <v>396</v>
      </c>
      <c r="JZ150" s="27" t="str">
        <f t="shared" si="128"/>
        <v>XT55</v>
      </c>
      <c r="KC150" t="str">
        <f t="shared" si="129"/>
        <v>F0-AI14-9B</v>
      </c>
      <c r="KD150" t="str">
        <f t="shared" si="130"/>
        <v>F0-AI14-10B</v>
      </c>
      <c r="KI150" cm="1">
        <f t="array" ref="KI150">IF(COUNTIFS($U$2:$U150,$U150)=1,1,INDEX(KI:KI,_xlfn.XMATCH(U150,U$1:U149,0,-1))+COUNT(KI149:KM149))</f>
        <v>291</v>
      </c>
      <c r="KJ150">
        <f t="shared" si="131"/>
        <v>292</v>
      </c>
      <c r="KK150">
        <f t="shared" si="131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 cm="1">
        <f t="array" ref="Y151">IF(COUNTIFS($X$2:$X151,$X151)=1,"1",VALUE(SUBSTITUTE(INDEX(Y:Y,_xlfn.XMATCH($X151,$X$1:$X150,0,-1)),"A",""))+INDEX(Z:Z,_xlfn.XMATCH($X151,$X$1:$X150,0,-1))+1)</f>
        <v>6</v>
      </c>
      <c r="Z151" s="43" cm="1">
        <f t="array" ref="Z151">SUM(IF(ISNUMBER(FIND("TmAi",$BE$1:$AAD$1)),IF(IFERROR(ISODD(SUBSTITUTE($BE151:$AAD151,"A","")),FALSE),IF(ISODD(SUBSTITUTE($BE151:$AAD151,"A","")),1,0),0)))</f>
        <v>0</v>
      </c>
      <c r="AA151" t="str">
        <f t="shared" si="125"/>
        <v>11B</v>
      </c>
      <c r="AB151" t="str">
        <f t="shared" si="126"/>
        <v>12B</v>
      </c>
      <c r="AP151" t="s">
        <v>137</v>
      </c>
      <c r="AS151" t="s">
        <v>396</v>
      </c>
      <c r="JZ151" s="27" t="str">
        <f t="shared" si="128"/>
        <v>XT55</v>
      </c>
      <c r="KC151" t="str">
        <f t="shared" si="129"/>
        <v>F0-AI14-11B</v>
      </c>
      <c r="KD151" t="str">
        <f t="shared" si="130"/>
        <v>F0-AI14-12B</v>
      </c>
      <c r="KI151" cm="1">
        <f t="array" ref="KI151">IF(COUNTIFS($U$2:$U151,$U151)=1,1,INDEX(KI:KI,_xlfn.XMATCH(U151,U$1:U150,0,-1))+COUNT(KI150:KM150))</f>
        <v>294</v>
      </c>
      <c r="KJ151">
        <f t="shared" si="131"/>
        <v>295</v>
      </c>
      <c r="KK151">
        <f t="shared" si="131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 cm="1">
        <f t="array" ref="Y152">IF(COUNTIFS($X$2:$X152,$X152)=1,"1",VALUE(SUBSTITUTE(INDEX(Y:Y,_xlfn.XMATCH($X152,$X$1:$X151,0,-1)),"A",""))+INDEX(Z:Z,_xlfn.XMATCH($X152,$X$1:$X151,0,-1))+1)</f>
        <v>7</v>
      </c>
      <c r="Z152" s="43" cm="1">
        <f t="array" ref="Z152">SUM(IF(ISNUMBER(FIND("TmAi",$BE$1:$AAD$1)),IF(IFERROR(ISODD(SUBSTITUTE($BE152:$AAD152,"A","")),FALSE),IF(ISODD(SUBSTITUTE($BE152:$AAD152,"A","")),1,0),0)))</f>
        <v>0</v>
      </c>
      <c r="AA152" t="str">
        <f t="shared" si="125"/>
        <v>13B</v>
      </c>
      <c r="AB152" t="str">
        <f t="shared" si="126"/>
        <v>14B</v>
      </c>
      <c r="AP152" t="s">
        <v>137</v>
      </c>
      <c r="AS152" t="s">
        <v>396</v>
      </c>
      <c r="JZ152" s="27" t="str">
        <f t="shared" si="128"/>
        <v>XT55</v>
      </c>
      <c r="KC152" t="str">
        <f t="shared" si="129"/>
        <v>F0-AI14-13B</v>
      </c>
      <c r="KD152" t="str">
        <f t="shared" si="130"/>
        <v>F0-AI14-14B</v>
      </c>
      <c r="KI152" cm="1">
        <f t="array" ref="KI152">IF(COUNTIFS($U$2:$U152,$U152)=1,1,INDEX(KI:KI,_xlfn.XMATCH(U152,U$1:U151,0,-1))+COUNT(KI151:KM151))</f>
        <v>297</v>
      </c>
      <c r="KJ152">
        <f t="shared" si="131"/>
        <v>298</v>
      </c>
      <c r="KK152">
        <f t="shared" si="131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 cm="1">
        <f t="array" ref="Y153">IF(COUNTIFS($X$2:$X153,$X153)=1,"1",VALUE(SUBSTITUTE(INDEX(Y:Y,_xlfn.XMATCH($X153,$X$1:$X152,0,-1)),"A",""))+INDEX(Z:Z,_xlfn.XMATCH($X153,$X$1:$X152,0,-1))+1)</f>
        <v>8</v>
      </c>
      <c r="Z153" s="43" cm="1">
        <f t="array" ref="Z153">SUM(IF(ISNUMBER(FIND("TmAi",$BE$1:$AAD$1)),IF(IFERROR(ISODD(SUBSTITUTE($BE153:$AAD153,"A","")),FALSE),IF(ISODD(SUBSTITUTE($BE153:$AAD153,"A","")),1,0),0)))</f>
        <v>0</v>
      </c>
      <c r="AA153" t="str">
        <f t="shared" si="125"/>
        <v>15B</v>
      </c>
      <c r="AB153" t="str">
        <f t="shared" si="126"/>
        <v>16B</v>
      </c>
      <c r="AP153" t="s">
        <v>137</v>
      </c>
      <c r="AS153" t="s">
        <v>396</v>
      </c>
      <c r="JZ153" s="27" t="str">
        <f t="shared" si="128"/>
        <v>XT55</v>
      </c>
      <c r="KC153" t="str">
        <f t="shared" si="129"/>
        <v>F0-AI14-15B</v>
      </c>
      <c r="KD153" t="str">
        <f t="shared" si="130"/>
        <v>F0-AI14-16B</v>
      </c>
      <c r="KI153" cm="1">
        <f t="array" ref="KI153">IF(COUNTIFS($U$2:$U153,$U153)=1,1,INDEX(KI:KI,_xlfn.XMATCH(U153,U$1:U152,0,-1))+COUNT(KI152:KM152))</f>
        <v>300</v>
      </c>
      <c r="KJ153">
        <f t="shared" si="131"/>
        <v>301</v>
      </c>
      <c r="KK153">
        <f t="shared" si="131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 cm="1">
        <f t="array" ref="Y154">IF(COUNTIFS($X$2:$X154,$X154)=1,"1",VALUE(SUBSTITUTE(INDEX(Y:Y,_xlfn.XMATCH($X154,$X$1:$X153,0,-1)),"A",""))+INDEX(Z:Z,_xlfn.XMATCH($X154,$X$1:$X153,0,-1))+1)</f>
        <v>1</v>
      </c>
      <c r="Z154" s="43" cm="1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2">CONCATENATE($Y154*2-1,"B")</f>
        <v>1B</v>
      </c>
      <c r="AB154" t="str">
        <f t="shared" ref="AB154:AB165" si="133">CONCATENATE($Y154*2,"B")</f>
        <v>2B</v>
      </c>
      <c r="AP154" t="s">
        <v>137</v>
      </c>
      <c r="AS154" t="s">
        <v>396</v>
      </c>
      <c r="JZ154" s="27" t="str">
        <f t="shared" si="128"/>
        <v>XT55</v>
      </c>
      <c r="KC154" t="str">
        <f t="shared" si="129"/>
        <v>F0-AI15-1B</v>
      </c>
      <c r="KD154" t="str">
        <f t="shared" si="130"/>
        <v>F0-AI15-2B</v>
      </c>
      <c r="KI154" cm="1">
        <f t="array" ref="KI154">IF(COUNTIFS($U$2:$U154,$U154)=1,1,INDEX(KI:KI,_xlfn.XMATCH(U154,U$1:U153,0,-1))+COUNT(KI153:KM153))</f>
        <v>303</v>
      </c>
      <c r="KJ154">
        <f t="shared" si="131"/>
        <v>304</v>
      </c>
      <c r="KK154">
        <f t="shared" si="131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 cm="1">
        <f t="array" ref="Y155">IF(COUNTIFS($X$2:$X155,$X155)=1,"1",VALUE(SUBSTITUTE(INDEX(Y:Y,_xlfn.XMATCH($X155,$X$1:$X154,0,-1)),"A",""))+INDEX(Z:Z,_xlfn.XMATCH($X155,$X$1:$X154,0,-1))+1)</f>
        <v>2</v>
      </c>
      <c r="Z155" s="43" cm="1">
        <f t="array" ref="Z155">SUM(IF(ISNUMBER(FIND("TmAi",$BE$1:$AAD$1)),IF(IFERROR(ISODD(SUBSTITUTE($BE155:$AAD155,"A","")),FALSE),IF(ISODD(SUBSTITUTE($BE155:$AAD155,"A","")),1,0),0)))</f>
        <v>0</v>
      </c>
      <c r="AA155" t="str">
        <f t="shared" si="132"/>
        <v>3B</v>
      </c>
      <c r="AB155" t="str">
        <f t="shared" si="133"/>
        <v>4B</v>
      </c>
      <c r="AP155" t="s">
        <v>137</v>
      </c>
      <c r="AS155" t="s">
        <v>396</v>
      </c>
      <c r="JZ155" s="27" t="str">
        <f t="shared" si="128"/>
        <v>XT55</v>
      </c>
      <c r="KC155" t="str">
        <f t="shared" si="129"/>
        <v>F0-AI15-3B</v>
      </c>
      <c r="KD155" t="str">
        <f t="shared" si="130"/>
        <v>F0-AI15-4B</v>
      </c>
      <c r="KI155" cm="1">
        <f t="array" ref="KI155">IF(COUNTIFS($U$2:$U155,$U155)=1,1,INDEX(KI:KI,_xlfn.XMATCH(U155,U$1:U154,0,-1))+COUNT(KI154:KM154))</f>
        <v>306</v>
      </c>
      <c r="KJ155">
        <f t="shared" si="131"/>
        <v>307</v>
      </c>
      <c r="KK155">
        <f t="shared" si="131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 cm="1">
        <f t="array" ref="Y156">IF(COUNTIFS($X$2:$X156,$X156)=1,"1",VALUE(SUBSTITUTE(INDEX(Y:Y,_xlfn.XMATCH($X156,$X$1:$X155,0,-1)),"A",""))+INDEX(Z:Z,_xlfn.XMATCH($X156,$X$1:$X155,0,-1))+1)</f>
        <v>3</v>
      </c>
      <c r="Z156" s="43" cm="1">
        <f t="array" ref="Z156">SUM(IF(ISNUMBER(FIND("TmAi",$BE$1:$AAD$1)),IF(IFERROR(ISODD(SUBSTITUTE($BE156:$AAD156,"A","")),FALSE),IF(ISODD(SUBSTITUTE($BE156:$AAD156,"A","")),1,0),0)))</f>
        <v>0</v>
      </c>
      <c r="AA156" t="str">
        <f t="shared" si="132"/>
        <v>5B</v>
      </c>
      <c r="AB156" t="str">
        <f t="shared" si="133"/>
        <v>6B</v>
      </c>
      <c r="AP156" t="s">
        <v>137</v>
      </c>
      <c r="AS156" t="s">
        <v>396</v>
      </c>
      <c r="JZ156" s="27" t="str">
        <f t="shared" si="128"/>
        <v>XT55</v>
      </c>
      <c r="KC156" t="str">
        <f t="shared" si="129"/>
        <v>F0-AI15-5B</v>
      </c>
      <c r="KD156" t="str">
        <f t="shared" si="130"/>
        <v>F0-AI15-6B</v>
      </c>
      <c r="KI156" cm="1">
        <f t="array" ref="KI156">IF(COUNTIFS($U$2:$U156,$U156)=1,1,INDEX(KI:KI,_xlfn.XMATCH(U156,U$1:U155,0,-1))+COUNT(KI155:KM155))</f>
        <v>309</v>
      </c>
      <c r="KJ156">
        <f t="shared" si="131"/>
        <v>310</v>
      </c>
      <c r="KK156">
        <f t="shared" si="131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 cm="1">
        <f t="array" ref="Y157">IF(COUNTIFS($X$2:$X157,$X157)=1,"1",VALUE(SUBSTITUTE(INDEX(Y:Y,_xlfn.XMATCH($X157,$X$1:$X156,0,-1)),"A",""))+INDEX(Z:Z,_xlfn.XMATCH($X157,$X$1:$X156,0,-1))+1)</f>
        <v>4</v>
      </c>
      <c r="Z157" s="43" cm="1">
        <f t="array" ref="Z157">SUM(IF(ISNUMBER(FIND("TmAi",$BE$1:$AAD$1)),IF(IFERROR(ISODD(SUBSTITUTE($BE157:$AAD157,"A","")),FALSE),IF(ISODD(SUBSTITUTE($BE157:$AAD157,"A","")),1,0),0)))</f>
        <v>0</v>
      </c>
      <c r="AA157" t="str">
        <f t="shared" si="132"/>
        <v>7B</v>
      </c>
      <c r="AB157" t="str">
        <f t="shared" si="133"/>
        <v>8B</v>
      </c>
      <c r="AP157" t="s">
        <v>137</v>
      </c>
      <c r="AS157" t="s">
        <v>396</v>
      </c>
      <c r="JZ157" s="27" t="str">
        <f t="shared" si="128"/>
        <v>XT55</v>
      </c>
      <c r="KC157" t="str">
        <f t="shared" si="129"/>
        <v>F0-AI15-7B</v>
      </c>
      <c r="KD157" t="str">
        <f t="shared" si="130"/>
        <v>F0-AI15-8B</v>
      </c>
      <c r="KI157" cm="1">
        <f t="array" ref="KI157">IF(COUNTIFS($U$2:$U157,$U157)=1,1,INDEX(KI:KI,_xlfn.XMATCH(U157,U$1:U156,0,-1))+COUNT(KI156:KM156))</f>
        <v>312</v>
      </c>
      <c r="KJ157">
        <f t="shared" si="131"/>
        <v>313</v>
      </c>
      <c r="KK157">
        <f t="shared" si="131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 cm="1">
        <f t="array" ref="Y158">IF(COUNTIFS($X$2:$X158,$X158)=1,"1",VALUE(SUBSTITUTE(INDEX(Y:Y,_xlfn.XMATCH($X158,$X$1:$X157,0,-1)),"A",""))+INDEX(Z:Z,_xlfn.XMATCH($X158,$X$1:$X157,0,-1))+1)</f>
        <v>5</v>
      </c>
      <c r="Z158" s="43" cm="1">
        <f t="array" ref="Z158">SUM(IF(ISNUMBER(FIND("TmAi",$BE$1:$AAD$1)),IF(IFERROR(ISODD(SUBSTITUTE($BE158:$AAD158,"A","")),FALSE),IF(ISODD(SUBSTITUTE($BE158:$AAD158,"A","")),1,0),0)))</f>
        <v>0</v>
      </c>
      <c r="AA158" t="str">
        <f t="shared" si="132"/>
        <v>9B</v>
      </c>
      <c r="AB158" t="str">
        <f t="shared" si="133"/>
        <v>10B</v>
      </c>
      <c r="AP158" t="s">
        <v>137</v>
      </c>
      <c r="AS158" t="s">
        <v>396</v>
      </c>
      <c r="JZ158" s="27" t="str">
        <f t="shared" si="128"/>
        <v>XT55</v>
      </c>
      <c r="KC158" t="str">
        <f t="shared" si="129"/>
        <v>F0-AI15-9B</v>
      </c>
      <c r="KD158" t="str">
        <f t="shared" si="130"/>
        <v>F0-AI15-10B</v>
      </c>
      <c r="KI158" cm="1">
        <f t="array" ref="KI158">IF(COUNTIFS($U$2:$U158,$U158)=1,1,INDEX(KI:KI,_xlfn.XMATCH(U158,U$1:U157,0,-1))+COUNT(KI157:KM157))</f>
        <v>315</v>
      </c>
      <c r="KJ158">
        <f t="shared" si="131"/>
        <v>316</v>
      </c>
      <c r="KK158">
        <f t="shared" si="131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 cm="1">
        <f t="array" ref="Y159">IF(COUNTIFS($X$2:$X159,$X159)=1,"1",VALUE(SUBSTITUTE(INDEX(Y:Y,_xlfn.XMATCH($X159,$X$1:$X158,0,-1)),"A",""))+INDEX(Z:Z,_xlfn.XMATCH($X159,$X$1:$X158,0,-1))+1)</f>
        <v>6</v>
      </c>
      <c r="Z159" s="43" cm="1">
        <f t="array" ref="Z159">SUM(IF(ISNUMBER(FIND("TmAi",$BE$1:$AAD$1)),IF(IFERROR(ISODD(SUBSTITUTE($BE159:$AAD159,"A","")),FALSE),IF(ISODD(SUBSTITUTE($BE159:$AAD159,"A","")),1,0),0)))</f>
        <v>0</v>
      </c>
      <c r="AA159" t="str">
        <f t="shared" si="132"/>
        <v>11B</v>
      </c>
      <c r="AB159" t="str">
        <f t="shared" si="133"/>
        <v>12B</v>
      </c>
      <c r="AP159" t="s">
        <v>137</v>
      </c>
      <c r="AS159" t="s">
        <v>396</v>
      </c>
      <c r="JZ159" s="27" t="str">
        <f t="shared" si="128"/>
        <v>XT55</v>
      </c>
      <c r="KC159" t="str">
        <f t="shared" si="129"/>
        <v>F0-AI15-11B</v>
      </c>
      <c r="KD159" t="str">
        <f t="shared" si="130"/>
        <v>F0-AI15-12B</v>
      </c>
      <c r="KI159" cm="1">
        <f t="array" ref="KI159">IF(COUNTIFS($U$2:$U159,$U159)=1,1,INDEX(KI:KI,_xlfn.XMATCH(U159,U$1:U158,0,-1))+COUNT(KI158:KM158))</f>
        <v>318</v>
      </c>
      <c r="KJ159">
        <f t="shared" si="131"/>
        <v>319</v>
      </c>
      <c r="KK159">
        <f t="shared" si="131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 cm="1">
        <f t="array" ref="Y160">IF(COUNTIFS($X$2:$X160,$X160)=1,"1",VALUE(SUBSTITUTE(INDEX(Y:Y,_xlfn.XMATCH($X160,$X$1:$X159,0,-1)),"A",""))+INDEX(Z:Z,_xlfn.XMATCH($X160,$X$1:$X159,0,-1))+1)</f>
        <v>7</v>
      </c>
      <c r="Z160" s="43" cm="1">
        <f t="array" ref="Z160">SUM(IF(ISNUMBER(FIND("TmAi",$BE$1:$AAD$1)),IF(IFERROR(ISODD(SUBSTITUTE($BE160:$AAD160,"A","")),FALSE),IF(ISODD(SUBSTITUTE($BE160:$AAD160,"A","")),1,0),0)))</f>
        <v>0</v>
      </c>
      <c r="AA160" t="str">
        <f t="shared" si="132"/>
        <v>13B</v>
      </c>
      <c r="AB160" t="str">
        <f t="shared" si="133"/>
        <v>14B</v>
      </c>
      <c r="AP160" t="s">
        <v>137</v>
      </c>
      <c r="AS160" t="s">
        <v>396</v>
      </c>
      <c r="JZ160" s="27" t="str">
        <f t="shared" si="128"/>
        <v>XT55</v>
      </c>
      <c r="KC160" t="str">
        <f t="shared" si="129"/>
        <v>F0-AI15-13B</v>
      </c>
      <c r="KD160" t="str">
        <f t="shared" si="130"/>
        <v>F0-AI15-14B</v>
      </c>
      <c r="KI160" cm="1">
        <f t="array" ref="KI160">IF(COUNTIFS($U$2:$U160,$U160)=1,1,INDEX(KI:KI,_xlfn.XMATCH(U160,U$1:U159,0,-1))+COUNT(KI159:KM159))</f>
        <v>321</v>
      </c>
      <c r="KJ160">
        <f t="shared" si="131"/>
        <v>322</v>
      </c>
      <c r="KK160">
        <f t="shared" si="131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 cm="1">
        <f t="array" ref="Y161">IF(COUNTIFS($X$2:$X161,$X161)=1,"1",VALUE(SUBSTITUTE(INDEX(Y:Y,_xlfn.XMATCH($X161,$X$1:$X160,0,-1)),"A",""))+INDEX(Z:Z,_xlfn.XMATCH($X161,$X$1:$X160,0,-1))+1)</f>
        <v>8</v>
      </c>
      <c r="Z161" s="43" cm="1">
        <f t="array" ref="Z161">SUM(IF(ISNUMBER(FIND("TmAi",$BE$1:$AAD$1)),IF(IFERROR(ISODD(SUBSTITUTE($BE161:$AAD161,"A","")),FALSE),IF(ISODD(SUBSTITUTE($BE161:$AAD161,"A","")),1,0),0)))</f>
        <v>0</v>
      </c>
      <c r="AA161" t="str">
        <f t="shared" si="132"/>
        <v>15B</v>
      </c>
      <c r="AB161" t="str">
        <f t="shared" si="133"/>
        <v>16B</v>
      </c>
      <c r="AP161" t="s">
        <v>137</v>
      </c>
      <c r="AS161" t="s">
        <v>396</v>
      </c>
      <c r="JZ161" s="27" t="str">
        <f t="shared" si="128"/>
        <v>XT55</v>
      </c>
      <c r="KC161" t="str">
        <f t="shared" si="129"/>
        <v>F0-AI15-15B</v>
      </c>
      <c r="KD161" t="str">
        <f t="shared" si="130"/>
        <v>F0-AI15-16B</v>
      </c>
      <c r="KI161" cm="1">
        <f t="array" ref="KI161">IF(COUNTIFS($U$2:$U161,$U161)=1,1,INDEX(KI:KI,_xlfn.XMATCH(U161,U$1:U160,0,-1))+COUNT(KI160:KM160))</f>
        <v>324</v>
      </c>
      <c r="KJ161">
        <f t="shared" si="131"/>
        <v>325</v>
      </c>
      <c r="KK161">
        <f t="shared" si="131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 cm="1">
        <f t="array" ref="Y162">IF(COUNTIFS($X$2:$X162,$X162)=1,"1",VALUE(SUBSTITUTE(INDEX(Y:Y,_xlfn.XMATCH($X162,$X$1:$X161,0,-1)),"A",""))+INDEX(Z:Z,_xlfn.XMATCH($X162,$X$1:$X161,0,-1))+1)</f>
        <v>1</v>
      </c>
      <c r="Z162" s="46" cm="1">
        <f t="array" ref="Z162">SUM(IF(ISNUMBER(FIND("TmAi",$BE$1:$AAD$1)),IF(IFERROR(ISODD(SUBSTITUTE($BE162:$AAD162,"A","")),FALSE),IF(ISODD(SUBSTITUTE($BE162:$AAD162,"A","")),1,0),0)))</f>
        <v>0</v>
      </c>
      <c r="AA162" t="str">
        <f t="shared" si="132"/>
        <v>1B</v>
      </c>
      <c r="AB162" t="str">
        <f t="shared" si="133"/>
        <v>2B</v>
      </c>
      <c r="AP162" t="s">
        <v>137</v>
      </c>
      <c r="AS162" t="s">
        <v>396</v>
      </c>
      <c r="JZ162" s="27" t="str">
        <f t="shared" si="128"/>
        <v>XT55</v>
      </c>
      <c r="KC162" t="str">
        <f t="shared" si="129"/>
        <v>F0-AI16-1B</v>
      </c>
      <c r="KD162" t="str">
        <f t="shared" si="130"/>
        <v>F0-AI16-2B</v>
      </c>
      <c r="KI162" cm="1">
        <f t="array" ref="KI162">IF(COUNTIFS($U$2:$U162,$U162)=1,1,INDEX(KI:KI,_xlfn.XMATCH(U162,U$1:U161,0,-1))+COUNT(KI161:KM161))</f>
        <v>327</v>
      </c>
      <c r="KJ162">
        <f t="shared" ref="KJ162:KL168" si="134">KI162+1</f>
        <v>328</v>
      </c>
      <c r="KK162">
        <f t="shared" si="134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 cm="1">
        <f t="array" ref="Y163">IF(COUNTIFS($X$2:$X163,$X163)=1,"1",VALUE(SUBSTITUTE(INDEX(Y:Y,_xlfn.XMATCH($X163,$X$1:$X162,0,-1)),"A",""))+INDEX(Z:Z,_xlfn.XMATCH($X163,$X$1:$X162,0,-1))+1)</f>
        <v>2</v>
      </c>
      <c r="Z163" s="46" cm="1">
        <f t="array" ref="Z163">SUM(IF(ISNUMBER(FIND("TmAi",$BE$1:$AAD$1)),IF(IFERROR(ISODD(SUBSTITUTE($BE163:$AAD163,"A","")),FALSE),IF(ISODD(SUBSTITUTE($BE163:$AAD163,"A","")),1,0),0)))</f>
        <v>0</v>
      </c>
      <c r="AA163" t="str">
        <f t="shared" si="132"/>
        <v>3B</v>
      </c>
      <c r="AB163" t="str">
        <f t="shared" si="133"/>
        <v>4B</v>
      </c>
      <c r="AP163" t="s">
        <v>137</v>
      </c>
      <c r="AS163" t="s">
        <v>396</v>
      </c>
      <c r="JZ163" s="27" t="str">
        <f t="shared" si="128"/>
        <v>XT55</v>
      </c>
      <c r="KC163" t="str">
        <f t="shared" si="129"/>
        <v>F0-AI16-3B</v>
      </c>
      <c r="KD163" t="str">
        <f t="shared" si="130"/>
        <v>F0-AI16-4B</v>
      </c>
      <c r="KI163" cm="1">
        <f t="array" ref="KI163">IF(COUNTIFS($U$2:$U163,$U163)=1,1,INDEX(KI:KI,_xlfn.XMATCH(U163,U$1:U162,0,-1))+COUNT(KI162:KM162))</f>
        <v>330</v>
      </c>
      <c r="KJ163">
        <f t="shared" si="134"/>
        <v>331</v>
      </c>
      <c r="KK163">
        <f t="shared" si="134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 cm="1">
        <f t="array" ref="Y164">IF(COUNTIFS($X$2:$X164,$X164)=1,"1",VALUE(SUBSTITUTE(INDEX(Y:Y,_xlfn.XMATCH($X164,$X$1:$X163,0,-1)),"A",""))+INDEX(Z:Z,_xlfn.XMATCH($X164,$X$1:$X163,0,-1))+1)</f>
        <v>3</v>
      </c>
      <c r="Z164" s="46" cm="1">
        <f t="array" ref="Z164">SUM(IF(ISNUMBER(FIND("TmAi",$BE$1:$AAD$1)),IF(IFERROR(ISODD(SUBSTITUTE($BE164:$AAD164,"A","")),FALSE),IF(ISODD(SUBSTITUTE($BE164:$AAD164,"A","")),1,0),0)))</f>
        <v>0</v>
      </c>
      <c r="AA164" t="str">
        <f t="shared" si="132"/>
        <v>5B</v>
      </c>
      <c r="AB164" t="str">
        <f t="shared" si="133"/>
        <v>6B</v>
      </c>
      <c r="AP164" t="s">
        <v>137</v>
      </c>
      <c r="AS164" t="s">
        <v>396</v>
      </c>
      <c r="JZ164" s="27" t="str">
        <f t="shared" si="128"/>
        <v>XT55</v>
      </c>
      <c r="KC164" t="str">
        <f t="shared" si="129"/>
        <v>F0-AI16-5B</v>
      </c>
      <c r="KD164" t="str">
        <f t="shared" si="130"/>
        <v>F0-AI16-6B</v>
      </c>
      <c r="KI164" cm="1">
        <f t="array" ref="KI164">IF(COUNTIFS($U$2:$U164,$U164)=1,1,INDEX(KI:KI,_xlfn.XMATCH(U164,U$1:U163,0,-1))+COUNT(KI163:KM163))</f>
        <v>333</v>
      </c>
      <c r="KJ164">
        <f t="shared" si="134"/>
        <v>334</v>
      </c>
      <c r="KK164">
        <f t="shared" si="134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 cm="1">
        <f t="array" ref="Y165">IF(COUNTIFS($X$2:$X165,$X165)=1,"1",VALUE(SUBSTITUTE(INDEX(Y:Y,_xlfn.XMATCH($X165,$X$1:$X164,0,-1)),"A",""))+INDEX(Z:Z,_xlfn.XMATCH($X165,$X$1:$X164,0,-1))+1)</f>
        <v>4</v>
      </c>
      <c r="Z165" s="46" cm="1">
        <f t="array" ref="Z165">SUM(IF(ISNUMBER(FIND("TmAi",$BE$1:$AAD$1)),IF(IFERROR(ISODD(SUBSTITUTE($BE165:$AAD165,"A","")),FALSE),IF(ISODD(SUBSTITUTE($BE165:$AAD165,"A","")),1,0),0)))</f>
        <v>0</v>
      </c>
      <c r="AA165" t="str">
        <f t="shared" si="132"/>
        <v>7B</v>
      </c>
      <c r="AB165" t="str">
        <f t="shared" si="133"/>
        <v>8B</v>
      </c>
      <c r="AP165" t="s">
        <v>137</v>
      </c>
      <c r="AS165" t="s">
        <v>396</v>
      </c>
      <c r="JZ165" s="27" t="str">
        <f t="shared" si="128"/>
        <v>XT55</v>
      </c>
      <c r="KC165" t="str">
        <f t="shared" si="129"/>
        <v>F0-AI16-7B</v>
      </c>
      <c r="KD165" t="str">
        <f t="shared" si="130"/>
        <v>F0-AI16-8B</v>
      </c>
      <c r="KI165" cm="1">
        <f t="array" ref="KI165">IF(COUNTIFS($U$2:$U165,$U165)=1,1,INDEX(KI:KI,_xlfn.XMATCH(U165,U$1:U164,0,-1))+COUNT(KI164:KM164))</f>
        <v>336</v>
      </c>
      <c r="KJ165">
        <f t="shared" si="134"/>
        <v>337</v>
      </c>
      <c r="KK165">
        <f t="shared" si="134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 cm="1">
        <f t="array" ref="Y166">IF(COUNTIFS($X$2:$X166,$X166)=1,"1",VALUE(SUBSTITUTE(INDEX(Y:Y,_xlfn.XMATCH($X166,$X$1:$X165,0,-1)),"A",""))+INDEX(Z:Z,_xlfn.XMATCH($X166,$X$1:$X165,0,-1))+1)</f>
        <v>3</v>
      </c>
      <c r="Z166" s="46" cm="1">
        <f t="array" ref="Z166">SUM(IF(ISNUMBER(FIND("TmAi",$BE$1:$AAD$1)),IF(IFERROR(ISODD(SUBSTITUTE($BE166:$AAD166,"A","")),FALSE),IF(ISODD(SUBSTITUTE($BE166:$AAD166,"A","")),1,0),0)))</f>
        <v>0</v>
      </c>
      <c r="AA166" t="str">
        <f t="shared" ref="AA166:AA168" si="135">CONCATENATE($Y166*2-1,"A")</f>
        <v>5A</v>
      </c>
      <c r="AB166" t="str">
        <f t="shared" ref="AB166:AB168" si="136">CONCATENATE($Y166*2-1,"B")</f>
        <v>5B</v>
      </c>
      <c r="AP166" t="s">
        <v>137</v>
      </c>
      <c r="AS166" t="s">
        <v>396</v>
      </c>
      <c r="JZ166" s="27" t="str">
        <f t="shared" si="128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9"/>
        <v>F0-AI34-5A</v>
      </c>
      <c r="KD166" t="str">
        <f t="shared" si="130"/>
        <v>F0-AI34-5B</v>
      </c>
      <c r="KE166" t="str">
        <f>CONCATENATE($T166,"-AI",REPLACE($X166,1,3,""),"-",KA166)</f>
        <v>F0-AI34-6A</v>
      </c>
      <c r="KF166" t="str">
        <f>CONCATENATE($T166,"-AI",REPLACE($X166,1,3,""),"-",KB166)</f>
        <v>F0-AI34-6B</v>
      </c>
      <c r="KI166" cm="1">
        <f t="array" ref="KI166">IF(COUNTIFS($U$2:$U166,$U166)=1,1,INDEX(KI:KI,_xlfn.XMATCH(U166,U$1:U165,0,-1))+COUNT(KI165:KM165))</f>
        <v>339</v>
      </c>
      <c r="KJ166">
        <f t="shared" si="134"/>
        <v>340</v>
      </c>
      <c r="KK166">
        <f t="shared" si="134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 cm="1">
        <f t="array" ref="Y167">IF(COUNTIFS($X$2:$X167,$X167)=1,"1",VALUE(SUBSTITUTE(INDEX(Y:Y,_xlfn.XMATCH($X167,$X$1:$X166,0,-1)),"A",""))+INDEX(Z:Z,_xlfn.XMATCH($X167,$X$1:$X166,0,-1))+1)</f>
        <v>4</v>
      </c>
      <c r="Z167" s="46" cm="1">
        <f t="array" ref="Z167">SUM(IF(ISNUMBER(FIND("TmAi",$BE$1:$AAD$1)),IF(IFERROR(ISODD(SUBSTITUTE($BE167:$AAD167,"A","")),FALSE),IF(ISODD(SUBSTITUTE($BE167:$AAD167,"A","")),1,0),0)))</f>
        <v>0</v>
      </c>
      <c r="AA167" t="str">
        <f t="shared" si="135"/>
        <v>7A</v>
      </c>
      <c r="AB167" t="str">
        <f t="shared" si="136"/>
        <v>7B</v>
      </c>
      <c r="AP167" t="s">
        <v>137</v>
      </c>
      <c r="AS167" t="s">
        <v>396</v>
      </c>
      <c r="JZ167" s="27" t="str">
        <f t="shared" si="128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9"/>
        <v>F0-AI34-7A</v>
      </c>
      <c r="KD167" t="str">
        <f t="shared" si="130"/>
        <v>F0-AI34-7B</v>
      </c>
      <c r="KE167" t="str">
        <f t="shared" ref="KE167:KF168" si="137">CONCATENATE($T167,"-AI",REPLACE($X167,1,3,""),"-",KA167)</f>
        <v>F0-AI34-8A</v>
      </c>
      <c r="KF167" t="str">
        <f t="shared" si="137"/>
        <v>F0-AI34-8B</v>
      </c>
      <c r="KI167" cm="1">
        <f t="array" ref="KI167">IF(COUNTIFS($U$2:$U167,$U167)=1,1,INDEX(KI:KI,_xlfn.XMATCH(U167,U$1:U166,0,-1))+COUNT(KI166:KM166))</f>
        <v>343</v>
      </c>
      <c r="KJ167">
        <f t="shared" si="134"/>
        <v>344</v>
      </c>
      <c r="KK167">
        <f t="shared" si="134"/>
        <v>345</v>
      </c>
      <c r="KL167">
        <f t="shared" si="134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 cm="1">
        <f t="array" ref="Y168">IF(COUNTIFS($X$2:$X168,$X168)=1,"1",VALUE(SUBSTITUTE(INDEX(Y:Y,_xlfn.XMATCH($X168,$X$1:$X167,0,-1)),"A",""))+INDEX(Z:Z,_xlfn.XMATCH($X168,$X$1:$X167,0,-1))+1)</f>
        <v>5</v>
      </c>
      <c r="Z168" s="46" cm="1">
        <f t="array" ref="Z168">SUM(IF(ISNUMBER(FIND("TmAi",$BE$1:$AAD$1)),IF(IFERROR(ISODD(SUBSTITUTE($BE168:$AAD168,"A","")),FALSE),IF(ISODD(SUBSTITUTE($BE168:$AAD168,"A","")),1,0),0)))</f>
        <v>0</v>
      </c>
      <c r="AA168" t="str">
        <f t="shared" si="135"/>
        <v>9A</v>
      </c>
      <c r="AB168" t="str">
        <f t="shared" si="136"/>
        <v>9B</v>
      </c>
      <c r="AP168" t="s">
        <v>137</v>
      </c>
      <c r="AS168" t="s">
        <v>396</v>
      </c>
      <c r="JZ168" s="28" t="str">
        <f t="shared" si="128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9"/>
        <v>F0-AI34-9A</v>
      </c>
      <c r="KD168" s="19" t="str">
        <f t="shared" si="130"/>
        <v>F0-AI34-9B</v>
      </c>
      <c r="KE168" s="19" t="str">
        <f t="shared" si="137"/>
        <v>F0-AI34-10A</v>
      </c>
      <c r="KF168" s="19" t="str">
        <f t="shared" si="137"/>
        <v>F0-AI34-10B</v>
      </c>
      <c r="KG168" s="19"/>
      <c r="KH168" s="19"/>
      <c r="KI168" s="19" cm="1">
        <f t="array" ref="KI168">IF(COUNTIFS($U$2:$U168,$U168)=1,1,INDEX(KI:KI,_xlfn.XMATCH(U168,U$1:U167,0,-1))+COUNT(KI167:KM167))</f>
        <v>347</v>
      </c>
      <c r="KJ168" s="19">
        <f t="shared" si="134"/>
        <v>348</v>
      </c>
      <c r="KK168" s="19">
        <f t="shared" si="134"/>
        <v>349</v>
      </c>
      <c r="KL168" s="19">
        <f t="shared" si="134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 cm="1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 cm="1">
        <f t="array" ref="Y170">IF(COUNTIFS($X$2:$X170,$X170)=1,"1",VALUE(SUBSTITUTE(INDEX(Y:Y,_xlfn.XMATCH($X170,$X$1:$X169,0,-1)),"A",""))+INDEX(Z:Z,_xlfn.XMATCH($X170,$X$1:$X169,0,-1))+1)</f>
        <v>5</v>
      </c>
      <c r="Z170" s="46" cm="1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8">CONCATENATE($Y170*2-1,"A")</f>
        <v>9A</v>
      </c>
      <c r="AB170" t="str">
        <f t="shared" ref="AB170:AB176" si="139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40">CONCATENATE("XT",U170)</f>
        <v>XT57</v>
      </c>
      <c r="LO170" s="12" t="str">
        <f t="shared" ref="LO170:LO176" si="141">CONCATENATE(T170,"-AI",REPLACE($X170,1,3,""),"-",AA170)</f>
        <v>F0-AI16-9A</v>
      </c>
      <c r="LP170" s="12" t="str">
        <f t="shared" ref="LP170:LP176" si="142">CONCATENATE(T170,"-AI",REPLACE($X170,1,3,""),"-",AB170)</f>
        <v>F0-AI16-9B</v>
      </c>
      <c r="LQ170" s="12">
        <v>1</v>
      </c>
      <c r="LR170" s="12">
        <f t="shared" ref="LR170:LS176" si="143">LQ170+1</f>
        <v>2</v>
      </c>
      <c r="LS170" s="12">
        <f t="shared" si="143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 cm="1">
        <f t="array" ref="Y171">IF(COUNTIFS($X$2:$X171,$X171)=1,"1",VALUE(SUBSTITUTE(INDEX(Y:Y,_xlfn.XMATCH($X171,$X$1:$X170,0,-1)),"A",""))+INDEX(Z:Z,_xlfn.XMATCH($X171,$X$1:$X170,0,-1))+1)</f>
        <v>6</v>
      </c>
      <c r="Z171" s="46" cm="1">
        <f t="array" ref="Z171">SUM(IF(ISNUMBER(FIND("TmAi",$BE$1:$AAD$1)),IF(IFERROR(ISODD(SUBSTITUTE($BE171:$AAD171,"A","")),FALSE),IF(ISODD(SUBSTITUTE($BE171:$AAD171,"A","")),1,0),0)))</f>
        <v>0</v>
      </c>
      <c r="AA171" t="str">
        <f t="shared" si="138"/>
        <v>11A</v>
      </c>
      <c r="AB171" t="str">
        <f t="shared" si="139"/>
        <v>11B</v>
      </c>
      <c r="AP171" t="s">
        <v>137</v>
      </c>
      <c r="AQ171" t="s">
        <v>873</v>
      </c>
      <c r="AS171" t="s">
        <v>396</v>
      </c>
      <c r="LN171" s="27" t="str">
        <f t="shared" si="140"/>
        <v>XT57</v>
      </c>
      <c r="LO171" t="str">
        <f t="shared" si="141"/>
        <v>F0-AI16-11A</v>
      </c>
      <c r="LP171" t="str">
        <f t="shared" si="142"/>
        <v>F0-AI16-11B</v>
      </c>
      <c r="LQ171">
        <f>LQ170+3</f>
        <v>4</v>
      </c>
      <c r="LR171">
        <f t="shared" si="143"/>
        <v>5</v>
      </c>
      <c r="LS171">
        <f t="shared" si="143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 cm="1">
        <f t="array" ref="Y172">IF(COUNTIFS($X$2:$X172,$X172)=1,"1",VALUE(SUBSTITUTE(INDEX(Y:Y,_xlfn.XMATCH($X172,$X$1:$X171,0,-1)),"A",""))+INDEX(Z:Z,_xlfn.XMATCH($X172,$X$1:$X171,0,-1))+1)</f>
        <v>7</v>
      </c>
      <c r="Z172" s="46" cm="1">
        <f t="array" ref="Z172">SUM(IF(ISNUMBER(FIND("TmAi",$BE$1:$AAD$1)),IF(IFERROR(ISODD(SUBSTITUTE($BE172:$AAD172,"A","")),FALSE),IF(ISODD(SUBSTITUTE($BE172:$AAD172,"A","")),1,0),0)))</f>
        <v>0</v>
      </c>
      <c r="AA172" t="str">
        <f t="shared" si="138"/>
        <v>13A</v>
      </c>
      <c r="AB172" t="str">
        <f t="shared" si="139"/>
        <v>13B</v>
      </c>
      <c r="AP172" t="s">
        <v>137</v>
      </c>
      <c r="AQ172" t="s">
        <v>873</v>
      </c>
      <c r="AS172" t="s">
        <v>396</v>
      </c>
      <c r="LN172" s="27" t="str">
        <f t="shared" si="140"/>
        <v>XT57</v>
      </c>
      <c r="LO172" t="str">
        <f t="shared" si="141"/>
        <v>F0-AI16-13A</v>
      </c>
      <c r="LP172" t="str">
        <f t="shared" si="142"/>
        <v>F0-AI16-13B</v>
      </c>
      <c r="LQ172">
        <f t="shared" ref="LQ172:LQ176" si="144">LQ171+3</f>
        <v>7</v>
      </c>
      <c r="LR172">
        <f t="shared" si="143"/>
        <v>8</v>
      </c>
      <c r="LS172">
        <f t="shared" si="143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 cm="1">
        <f t="array" ref="Y173">IF(COUNTIFS($X$2:$X173,$X173)=1,"1",VALUE(SUBSTITUTE(INDEX(Y:Y,_xlfn.XMATCH($X173,$X$1:$X172,0,-1)),"A",""))+INDEX(Z:Z,_xlfn.XMATCH($X173,$X$1:$X172,0,-1))+1)</f>
        <v>8</v>
      </c>
      <c r="Z173" s="46" cm="1">
        <f t="array" ref="Z173">SUM(IF(ISNUMBER(FIND("TmAi",$BE$1:$AAD$1)),IF(IFERROR(ISODD(SUBSTITUTE($BE173:$AAD173,"A","")),FALSE),IF(ISODD(SUBSTITUTE($BE173:$AAD173,"A","")),1,0),0)))</f>
        <v>0</v>
      </c>
      <c r="AA173" t="str">
        <f t="shared" si="138"/>
        <v>15A</v>
      </c>
      <c r="AB173" t="str">
        <f t="shared" si="139"/>
        <v>15B</v>
      </c>
      <c r="AP173" t="s">
        <v>137</v>
      </c>
      <c r="AQ173" t="s">
        <v>873</v>
      </c>
      <c r="AS173" t="s">
        <v>396</v>
      </c>
      <c r="LN173" s="27" t="str">
        <f t="shared" si="140"/>
        <v>XT57</v>
      </c>
      <c r="LO173" t="str">
        <f t="shared" si="141"/>
        <v>F0-AI16-15A</v>
      </c>
      <c r="LP173" t="str">
        <f t="shared" si="142"/>
        <v>F0-AI16-15B</v>
      </c>
      <c r="LQ173">
        <f t="shared" si="144"/>
        <v>10</v>
      </c>
      <c r="LR173">
        <f t="shared" si="143"/>
        <v>11</v>
      </c>
      <c r="LS173">
        <f t="shared" si="143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 cm="1">
        <f t="array" ref="Y174">IF(COUNTIFS($X$2:$X174,$X174)=1,"1",VALUE(SUBSTITUTE(INDEX(Y:Y,_xlfn.XMATCH($X174,$X$1:$X173,0,-1)),"A",""))+INDEX(Z:Z,_xlfn.XMATCH($X174,$X$1:$X173,0,-1))+1)</f>
        <v>1</v>
      </c>
      <c r="Z174" s="46" cm="1">
        <f t="array" ref="Z174">SUM(IF(ISNUMBER(FIND("TmAi",$BE$1:$AAD$1)),IF(IFERROR(ISODD(SUBSTITUTE($BE174:$AAD174,"A","")),FALSE),IF(ISODD(SUBSTITUTE($BE174:$AAD174,"A","")),1,0),0)))</f>
        <v>0</v>
      </c>
      <c r="AA174" t="str">
        <f t="shared" si="138"/>
        <v>1A</v>
      </c>
      <c r="AB174" t="str">
        <f t="shared" si="139"/>
        <v>1B</v>
      </c>
      <c r="AP174" t="s">
        <v>137</v>
      </c>
      <c r="AQ174" t="s">
        <v>873</v>
      </c>
      <c r="AS174" t="s">
        <v>396</v>
      </c>
      <c r="LN174" s="27" t="str">
        <f t="shared" si="140"/>
        <v>XT57</v>
      </c>
      <c r="LO174" t="str">
        <f t="shared" si="141"/>
        <v>F0-AI17-1A</v>
      </c>
      <c r="LP174" t="str">
        <f t="shared" si="142"/>
        <v>F0-AI17-1B</v>
      </c>
      <c r="LQ174">
        <f t="shared" si="144"/>
        <v>13</v>
      </c>
      <c r="LR174">
        <f t="shared" si="143"/>
        <v>14</v>
      </c>
      <c r="LS174">
        <f t="shared" si="143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 cm="1">
        <f t="array" ref="Y175">IF(COUNTIFS($X$2:$X175,$X175)=1,"1",VALUE(SUBSTITUTE(INDEX(Y:Y,_xlfn.XMATCH($X175,$X$1:$X174,0,-1)),"A",""))+INDEX(Z:Z,_xlfn.XMATCH($X175,$X$1:$X174,0,-1))+1)</f>
        <v>2</v>
      </c>
      <c r="Z175" s="46" cm="1">
        <f t="array" ref="Z175">SUM(IF(ISNUMBER(FIND("TmAi",$BE$1:$AAD$1)),IF(IFERROR(ISODD(SUBSTITUTE($BE175:$AAD175,"A","")),FALSE),IF(ISODD(SUBSTITUTE($BE175:$AAD175,"A","")),1,0),0)))</f>
        <v>0</v>
      </c>
      <c r="AA175" t="str">
        <f t="shared" si="138"/>
        <v>3A</v>
      </c>
      <c r="AB175" t="str">
        <f t="shared" si="139"/>
        <v>3B</v>
      </c>
      <c r="AP175" t="s">
        <v>137</v>
      </c>
      <c r="AQ175" t="s">
        <v>873</v>
      </c>
      <c r="AS175" t="s">
        <v>396</v>
      </c>
      <c r="LN175" s="27" t="str">
        <f t="shared" si="140"/>
        <v>XT57</v>
      </c>
      <c r="LO175" t="str">
        <f t="shared" si="141"/>
        <v>F0-AI17-3A</v>
      </c>
      <c r="LP175" t="str">
        <f t="shared" si="142"/>
        <v>F0-AI17-3B</v>
      </c>
      <c r="LQ175">
        <f t="shared" si="144"/>
        <v>16</v>
      </c>
      <c r="LR175">
        <f t="shared" si="143"/>
        <v>17</v>
      </c>
      <c r="LS175">
        <f t="shared" si="143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 cm="1">
        <f t="array" ref="Y176">IF(COUNTIFS($X$2:$X176,$X176)=1,"1",VALUE(SUBSTITUTE(INDEX(Y:Y,_xlfn.XMATCH($X176,$X$1:$X175,0,-1)),"A",""))+INDEX(Z:Z,_xlfn.XMATCH($X176,$X$1:$X175,0,-1))+1)</f>
        <v>3</v>
      </c>
      <c r="Z176" s="46" cm="1">
        <f t="array" ref="Z176">SUM(IF(ISNUMBER(FIND("TmAi",$BE$1:$AAD$1)),IF(IFERROR(ISODD(SUBSTITUTE($BE176:$AAD176,"A","")),FALSE),IF(ISODD(SUBSTITUTE($BE176:$AAD176,"A","")),1,0),0)))</f>
        <v>0</v>
      </c>
      <c r="AA176" t="str">
        <f t="shared" si="138"/>
        <v>5A</v>
      </c>
      <c r="AB176" t="str">
        <f t="shared" si="139"/>
        <v>5B</v>
      </c>
      <c r="AP176" t="s">
        <v>137</v>
      </c>
      <c r="AQ176" t="s">
        <v>873</v>
      </c>
      <c r="AS176" t="s">
        <v>396</v>
      </c>
      <c r="LN176" s="27" t="str">
        <f t="shared" si="140"/>
        <v>XT57</v>
      </c>
      <c r="LO176" t="str">
        <f t="shared" si="141"/>
        <v>F0-AI17-5A</v>
      </c>
      <c r="LP176" t="str">
        <f t="shared" si="142"/>
        <v>F0-AI17-5B</v>
      </c>
      <c r="LQ176">
        <f t="shared" si="144"/>
        <v>19</v>
      </c>
      <c r="LR176">
        <f t="shared" si="143"/>
        <v>20</v>
      </c>
      <c r="LS176">
        <f t="shared" si="143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5">MI177+1</f>
        <v>5</v>
      </c>
      <c r="MK177" s="12">
        <f t="shared" si="145"/>
        <v>6</v>
      </c>
      <c r="ML177" s="12">
        <f t="shared" si="145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5"/>
        <v>9</v>
      </c>
      <c r="MK178">
        <f t="shared" si="145"/>
        <v>10</v>
      </c>
      <c r="ML178">
        <f t="shared" si="145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 cm="1">
        <f t="array" ref="Y179">IF(COUNTIFS($X$2:$X179,$X179)=1,"1",VALUE(SUBSTITUTE(INDEX(Y:Y,_xlfn.XMATCH($X179,$X$1:$X178,0,-1)),"A",""))+INDEX(Z:Z,_xlfn.XMATCH($X179,$X$1:$X178,0,-1))+1)</f>
        <v>4</v>
      </c>
      <c r="Z179" s="46" cm="1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6">CONCATENATE($Y179*2-1,"A")</f>
        <v>7A</v>
      </c>
      <c r="AB179" t="str">
        <f t="shared" ref="AB179:AB185" si="147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 cm="1">
        <f t="array" ref="Y180">IF(COUNTIFS($X$2:$X180,$X180)=1,"1",VALUE(SUBSTITUTE(INDEX(Y:Y,_xlfn.XMATCH($X180,$X$1:$X179,0,-1)),"A",""))+INDEX(Z:Z,_xlfn.XMATCH($X180,$X$1:$X179,0,-1))+1)</f>
        <v>6</v>
      </c>
      <c r="Z180" s="46" cm="1">
        <f t="array" ref="Z180">SUM(IF(ISNUMBER(FIND("TmAi",$BE$1:$AAD$1)),IF(IFERROR(ISODD(SUBSTITUTE($BE180:$AAD180,"A","")),FALSE),IF(ISODD(SUBSTITUTE($BE180:$AAD180,"A","")),1,0),0)))</f>
        <v>0</v>
      </c>
      <c r="AA180" t="str">
        <f t="shared" si="146"/>
        <v>11A</v>
      </c>
      <c r="AB180" t="str">
        <f t="shared" si="147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 cm="1">
        <f t="array" ref="Y181">IF(COUNTIFS($X$2:$X181,$X181)=1,"1",VALUE(SUBSTITUTE(INDEX(Y:Y,_xlfn.XMATCH($X181,$X$1:$X180,0,-1)),"A",""))+INDEX(Z:Z,_xlfn.XMATCH($X181,$X$1:$X180,0,-1))+1)</f>
        <v>7</v>
      </c>
      <c r="Z181" s="46" cm="1">
        <f t="array" ref="Z181">SUM(IF(ISNUMBER(FIND("TmAi",$BE$1:$AAD$1)),IF(IFERROR(ISODD(SUBSTITUTE($BE181:$AAD181,"A","")),FALSE),IF(ISODD(SUBSTITUTE($BE181:$AAD181,"A","")),1,0),0)))</f>
        <v>0</v>
      </c>
      <c r="AA181" t="str">
        <f t="shared" si="146"/>
        <v>13A</v>
      </c>
      <c r="AB181" t="str">
        <f t="shared" si="147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 cm="1">
        <f t="array" ref="KI181">IF(COUNTIFS($U$2:$U181,$U181)=1,1,INDEX(KI:KI,_xlfn.XMATCH(U181,U$1:U180,0,-1))+COUNT(KI168:KM168))</f>
        <v>351</v>
      </c>
      <c r="KJ181">
        <f t="shared" ref="KJ181:KM182" si="148">KI181+1</f>
        <v>352</v>
      </c>
      <c r="KK181">
        <f t="shared" si="148"/>
        <v>353</v>
      </c>
      <c r="KL181">
        <f t="shared" si="148"/>
        <v>354</v>
      </c>
      <c r="KM181">
        <f t="shared" si="148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 cm="1">
        <f t="array" ref="Y182">IF(COUNTIFS($X$2:$X182,$X182)=1,"1",VALUE(SUBSTITUTE(INDEX(Y:Y,_xlfn.XMATCH($X182,$X$1:$X181,0,-1)),"A",""))+INDEX(Z:Z,_xlfn.XMATCH($X182,$X$1:$X181,0,-1))+1)</f>
        <v>8</v>
      </c>
      <c r="Z182" s="46" cm="1">
        <f t="array" ref="Z182">SUM(IF(ISNUMBER(FIND("TmAi",$BE$1:$AAD$1)),IF(IFERROR(ISODD(SUBSTITUTE($BE182:$AAD182,"A","")),FALSE),IF(ISODD(SUBSTITUTE($BE182:$AAD182,"A","")),1,0),0)))</f>
        <v>0</v>
      </c>
      <c r="AA182" t="str">
        <f t="shared" si="146"/>
        <v>15A</v>
      </c>
      <c r="AB182" t="str">
        <f t="shared" si="147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 cm="1">
        <f t="array" ref="KI182">IF(COUNTIFS($U$2:$U182,$U182)=1,1,INDEX(KI:KI,_xlfn.XMATCH(U182,U$1:U181,0,-1))+COUNT(KI181:KM181))</f>
        <v>356</v>
      </c>
      <c r="KJ182">
        <f t="shared" si="148"/>
        <v>357</v>
      </c>
      <c r="KK182">
        <f t="shared" si="148"/>
        <v>358</v>
      </c>
      <c r="KL182">
        <f t="shared" si="148"/>
        <v>359</v>
      </c>
      <c r="KM182">
        <f t="shared" si="148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 cm="1">
        <f t="array" ref="Y183">IF(COUNTIFS($X$2:$X183,$X183)=1,"1",VALUE(SUBSTITUTE(INDEX(Y:Y,_xlfn.XMATCH($X183,$X$1:$X182,0,-1)),"A",""))+INDEX(Z:Z,_xlfn.XMATCH($X183,$X$1:$X182,0,-1))+1)</f>
        <v>1</v>
      </c>
      <c r="Z183" s="46" cm="1">
        <f t="array" ref="Z183">SUM(IF(ISNUMBER(FIND("TmAi",$BE$1:$AAD$1)),IF(IFERROR(ISODD(SUBSTITUTE($BE183:$AAD183,"A","")),FALSE),IF(ISODD(SUBSTITUTE($BE183:$AAD183,"A","")),1,0),0)))</f>
        <v>1</v>
      </c>
      <c r="AA183" t="str">
        <f t="shared" si="146"/>
        <v>1A</v>
      </c>
      <c r="AB183" t="str">
        <f t="shared" si="147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9">CONCATENATE(REPLACE(OK183,LEN(OK183),1,"")+1,RIGHT(OK183))</f>
        <v>3B</v>
      </c>
      <c r="ON183" s="12" t="str">
        <f t="shared" si="149"/>
        <v>4A</v>
      </c>
      <c r="OO183" s="12" t="str">
        <f t="shared" si="149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50">CONCATENATE($T183,"-AI",REPLACE($X183,1,3,""),"-",OJ183)</f>
        <v>F0-AI35-2A</v>
      </c>
      <c r="OW183" s="12" t="str">
        <f t="shared" si="150"/>
        <v>F0-AI35-2B</v>
      </c>
      <c r="OX183" s="12" t="str">
        <f t="shared" si="150"/>
        <v>F0-AI35-3A</v>
      </c>
      <c r="OY183" s="12" t="str">
        <f t="shared" si="150"/>
        <v>F0-AI35-3B</v>
      </c>
      <c r="OZ183" s="12" t="str">
        <f t="shared" si="150"/>
        <v>F0-AI35-4A</v>
      </c>
      <c r="PA183" s="12" t="str">
        <f t="shared" si="150"/>
        <v>F0-AI35-4B</v>
      </c>
      <c r="PB183" s="12"/>
      <c r="PC183" s="12"/>
      <c r="PD183" s="12"/>
      <c r="PE183" s="12"/>
      <c r="PF183" s="12" cm="1">
        <f t="array" ref="PF183">IF(COUNTIFS($U$2:$U183,$U183)=1,1,INDEX(PF:PF,_xlfn.XMATCH($U183,$U$1:EF182,0,-1))+COUNT(PF182:PK182))</f>
        <v>1</v>
      </c>
      <c r="PG183" s="12">
        <f t="shared" ref="PG183:PN185" si="151">PF183+1</f>
        <v>2</v>
      </c>
      <c r="PH183" s="12">
        <f t="shared" si="151"/>
        <v>3</v>
      </c>
      <c r="PI183" s="12">
        <f>PH183+1</f>
        <v>4</v>
      </c>
      <c r="PJ183" s="12">
        <f t="shared" ref="PJ183:PK183" si="152">PI183+1</f>
        <v>5</v>
      </c>
      <c r="PK183" s="12">
        <f t="shared" si="152"/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 cm="1">
        <f t="array" ref="Y184">IF(COUNTIFS($X$2:$X184,$X184)=1,"1",VALUE(SUBSTITUTE(INDEX(Y:Y,_xlfn.XMATCH($X184,$X$1:$X183,0,-1)),"A",""))+INDEX(Z:Z,_xlfn.XMATCH($X184,$X$1:$X183,0,-1))+1)</f>
        <v>3</v>
      </c>
      <c r="Z184" s="46" cm="1">
        <f t="array" ref="Z184">SUM(IF(ISNUMBER(FIND("TmAi",$BE$1:$AAD$1)),IF(IFERROR(ISODD(SUBSTITUTE($BE184:$AAD184,"A","")),FALSE),IF(ISODD(SUBSTITUTE($BE184:$AAD184,"A","")),1,0),0)))</f>
        <v>1</v>
      </c>
      <c r="AA184" t="str">
        <f t="shared" si="146"/>
        <v>5A</v>
      </c>
      <c r="AB184" t="str">
        <f t="shared" si="147"/>
        <v>5B</v>
      </c>
      <c r="AP184" t="s">
        <v>137</v>
      </c>
      <c r="AR184" t="s">
        <v>1023</v>
      </c>
      <c r="AS184" t="s">
        <v>396</v>
      </c>
      <c r="OE184" s="27" t="str">
        <f t="shared" ref="OE184:OE185" si="153">CONCATENATE("XT",$U184)</f>
        <v>XT59</v>
      </c>
      <c r="OF184" t="s">
        <v>1030</v>
      </c>
      <c r="OG184" t="s">
        <v>1026</v>
      </c>
      <c r="OJ184" t="str">
        <f t="shared" ref="OJ184:OJ185" si="154">CONCATENATE(REPLACE($AA184,LEN($AA184),1,"")+1,RIGHT($AA184))</f>
        <v>6A</v>
      </c>
      <c r="OK184" t="str">
        <f t="shared" ref="OK184:OK185" si="155">CONCATENATE(REPLACE($AB184,LEN($AB184),1,"")+1,RIGHT($AB184))</f>
        <v>6B</v>
      </c>
      <c r="OL184" t="str">
        <f t="shared" ref="OL184:OL185" si="156">CONCATENATE(REPLACE(OJ184,LEN(OJ184),1,"")+1,RIGHT(OJ184))</f>
        <v>7A</v>
      </c>
      <c r="OM184" t="str">
        <f t="shared" si="149"/>
        <v>7B</v>
      </c>
      <c r="ON184" t="str">
        <f t="shared" si="149"/>
        <v>8A</v>
      </c>
      <c r="OO184" t="str">
        <f t="shared" si="149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50"/>
        <v>F0-AI35-6A</v>
      </c>
      <c r="OW184" t="str">
        <f t="shared" si="150"/>
        <v>F0-AI35-6B</v>
      </c>
      <c r="OX184" t="str">
        <f t="shared" si="150"/>
        <v>F0-AI35-7A</v>
      </c>
      <c r="OY184" t="str">
        <f t="shared" si="150"/>
        <v>F0-AI35-7B</v>
      </c>
      <c r="OZ184" t="str">
        <f t="shared" si="150"/>
        <v>F0-AI35-8A</v>
      </c>
      <c r="PA184" t="str">
        <f t="shared" si="150"/>
        <v>F0-AI35-8B</v>
      </c>
      <c r="PF184" cm="1">
        <f t="array" ref="PF184">IF(COUNTIFS($U$2:$U184,$U184)=1,1,INDEX(PF:PF,_xlfn.XMATCH($U184,$U$1:$U183,0,-1))+COUNT(PF183:PK183))</f>
        <v>7</v>
      </c>
      <c r="PG184">
        <f t="shared" si="151"/>
        <v>8</v>
      </c>
      <c r="PH184">
        <f t="shared" si="151"/>
        <v>9</v>
      </c>
      <c r="PI184">
        <f t="shared" si="151"/>
        <v>10</v>
      </c>
      <c r="PJ184">
        <f t="shared" si="151"/>
        <v>11</v>
      </c>
      <c r="PK184">
        <f t="shared" si="151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 cm="1">
        <f t="array" ref="Y185">IF(COUNTIFS($X$2:$X185,$X185)=1,"1",VALUE(SUBSTITUTE(INDEX(Y:Y,_xlfn.XMATCH($X185,$X$1:$X184,0,-1)),"A",""))+INDEX(Z:Z,_xlfn.XMATCH($X185,$X$1:$X184,0,-1))+1)</f>
        <v>5</v>
      </c>
      <c r="Z185" s="46" cm="1">
        <f t="array" ref="Z185">SUM(IF(ISNUMBER(FIND("TmAi",$BE$1:$AAD$1)),IF(IFERROR(ISODD(SUBSTITUTE($BE185:$AAD185,"A","")),FALSE),IF(ISODD(SUBSTITUTE($BE185:$AAD185,"A","")),1,0),0)))</f>
        <v>2</v>
      </c>
      <c r="AA185" t="str">
        <f t="shared" si="146"/>
        <v>9A</v>
      </c>
      <c r="AB185" t="str">
        <f t="shared" si="147"/>
        <v>9B</v>
      </c>
      <c r="AP185" t="s">
        <v>137</v>
      </c>
      <c r="AR185" t="s">
        <v>1048</v>
      </c>
      <c r="AS185" t="s">
        <v>396</v>
      </c>
      <c r="OE185" s="27" t="str">
        <f t="shared" si="153"/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 t="shared" si="154"/>
        <v>10A</v>
      </c>
      <c r="OK185" t="str">
        <f t="shared" si="155"/>
        <v>10B</v>
      </c>
      <c r="OL185" t="str">
        <f t="shared" si="156"/>
        <v>11A</v>
      </c>
      <c r="OM185" t="str">
        <f t="shared" si="149"/>
        <v>11B</v>
      </c>
      <c r="ON185" t="str">
        <f t="shared" si="149"/>
        <v>12A</v>
      </c>
      <c r="OO185" t="str">
        <f t="shared" si="149"/>
        <v>12B</v>
      </c>
      <c r="OP185" t="str">
        <f t="shared" si="149"/>
        <v>13A</v>
      </c>
      <c r="OQ185" t="str">
        <f t="shared" si="149"/>
        <v>13B</v>
      </c>
      <c r="OR185" t="str">
        <f t="shared" si="149"/>
        <v>14A</v>
      </c>
      <c r="OS185" t="str">
        <f t="shared" si="149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50"/>
        <v>F0-AI35-10A</v>
      </c>
      <c r="OW185" t="str">
        <f t="shared" si="150"/>
        <v>F0-AI35-10B</v>
      </c>
      <c r="OX185" t="str">
        <f t="shared" si="150"/>
        <v>F0-AI35-11A</v>
      </c>
      <c r="OY185" t="str">
        <f t="shared" si="150"/>
        <v>F0-AI35-11B</v>
      </c>
      <c r="OZ185" t="str">
        <f t="shared" si="150"/>
        <v>F0-AI35-12A</v>
      </c>
      <c r="PA185" t="str">
        <f t="shared" si="150"/>
        <v>F0-AI35-12B</v>
      </c>
      <c r="PB185" t="str">
        <f t="shared" si="150"/>
        <v>F0-AI35-13A</v>
      </c>
      <c r="PC185" t="str">
        <f t="shared" si="150"/>
        <v>F0-AI35-13B</v>
      </c>
      <c r="PD185" t="str">
        <f t="shared" si="150"/>
        <v>F0-AI35-14A</v>
      </c>
      <c r="PE185" t="str">
        <f t="shared" si="150"/>
        <v>F0-AI35-14B</v>
      </c>
      <c r="PF185" cm="1">
        <f t="array" ref="PF185">IF(COUNTIFS($U$2:$U185,$U185)=1,1,INDEX(PF:PF,_xlfn.XMATCH($U185,$U$1:$U184,0,-1))+COUNT(PF184:PK184))</f>
        <v>13</v>
      </c>
      <c r="PG185">
        <f t="shared" si="151"/>
        <v>14</v>
      </c>
      <c r="PH185">
        <f t="shared" si="151"/>
        <v>15</v>
      </c>
      <c r="PI185">
        <f t="shared" si="151"/>
        <v>16</v>
      </c>
      <c r="PJ185">
        <f t="shared" si="151"/>
        <v>17</v>
      </c>
      <c r="PK185">
        <f t="shared" si="151"/>
        <v>18</v>
      </c>
      <c r="PL185">
        <f t="shared" si="151"/>
        <v>19</v>
      </c>
      <c r="PM185">
        <f t="shared" si="151"/>
        <v>20</v>
      </c>
      <c r="PN185">
        <f t="shared" si="151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 cm="1">
        <f t="array" ref="Y186">IF(COUNTIFS($X$2:$X186,$X186)=1,"1",VALUE(SUBSTITUTE(INDEX(Y:Y,_xlfn.XMATCH($X186,$X$1:$X185,0,-1)),"A",""))+INDEX(Z:Z,_xlfn.XMATCH($X186,$X$1:$X185,0,-1))+1)</f>
        <v>1</v>
      </c>
      <c r="Z186" s="46" cm="1">
        <f t="array" ref="Z186">SUM(IF(ISNUMBER(FIND("TmAi",$BE$1:$AAD$1)),IF(IFERROR(ISODD(SUBSTITUTE($BE186:$AAD186,"A","")),FALSE),IF(ISODD(SUBSTITUTE($BE186:$AAD186,"A","")),1,0),0)))</f>
        <v>0</v>
      </c>
      <c r="AA186" t="str">
        <f t="shared" ref="AA186" si="157">CONCATENATE($Y186*2-1,"B")</f>
        <v>1B</v>
      </c>
      <c r="AB186" t="str">
        <f t="shared" ref="AB186" si="158"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 t="shared" ref="KJ186:KK186" si="159">KI186+1</f>
        <v>23</v>
      </c>
      <c r="KK186">
        <f t="shared" si="159"/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 cm="1">
        <f t="array" ref="Y187">IF(COUNTIFS($X$2:$X187,$X187)=1,"1",VALUE(SUBSTITUTE(INDEX(Y:Y,_xlfn.XMATCH($X187,$X$1:$X186,0,-1)),"A",""))+INDEX(Z:Z,_xlfn.XMATCH($X187,$X$1:$X186,0,-1))+1)</f>
        <v>2</v>
      </c>
      <c r="Z187" s="46" cm="1">
        <f t="array" ref="Z187">SUM(IF(ISNUMBER(FIND("TmAi",$BE$1:$AAD$1)),IF(IFERROR(ISODD(SUBSTITUTE($BE187:$AAD187,"A","")),FALSE),IF(ISODD(SUBSTITUTE($BE187:$AAD187,"A","")),1,0),0)))</f>
        <v>11</v>
      </c>
      <c r="AA187" t="str">
        <f t="shared" ref="AA187:AA190" si="160">CONCATENATE($Y187*2-1,"A")</f>
        <v>3A</v>
      </c>
      <c r="AB187" t="str">
        <f t="shared" ref="AB187:AB190" si="161">CONCATENATE($Y187*2-1,"B")</f>
        <v>3B</v>
      </c>
      <c r="AP187" t="s">
        <v>137</v>
      </c>
      <c r="AR187" t="s">
        <v>1058</v>
      </c>
      <c r="AS187" t="s">
        <v>396</v>
      </c>
      <c r="JZ187" s="27"/>
      <c r="KI187" cm="1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 t="shared" ref="QC187" si="162">CONCATENATE(VALUE(SUBSTITUTE(QA187,"B",""))+2,"B")</f>
        <v>9B</v>
      </c>
      <c r="QD187" s="12" t="str">
        <f t="shared" ref="QD187" si="163">CONCATENATE(VALUE(SUBSTITUTE(QB187,"A",""))+2,"A")</f>
        <v>9A</v>
      </c>
      <c r="QE187" s="12" t="str">
        <f t="shared" ref="QE187" si="164">CONCATENATE(VALUE(SUBSTITUTE(QC187,"B",""))+2,"B")</f>
        <v>11B</v>
      </c>
      <c r="QF187" s="12" t="str">
        <f t="shared" ref="QF187" si="165">CONCATENATE(VALUE(SUBSTITUTE(QD187,"A",""))+2,"A")</f>
        <v>11A</v>
      </c>
      <c r="QG187" s="12" t="str">
        <f t="shared" ref="QG187" si="166">CONCATENATE(VALUE(SUBSTITUTE(QE187,"B",""))+2,"B")</f>
        <v>13B</v>
      </c>
      <c r="QH187" s="12" t="str">
        <f t="shared" ref="QH187" si="167">CONCATENATE(VALUE(SUBSTITUTE(QF187,"A",""))+2,"A")</f>
        <v>13A</v>
      </c>
      <c r="QI187" s="12" t="s">
        <v>135</v>
      </c>
      <c r="QJ187" s="12" t="s">
        <v>136</v>
      </c>
      <c r="QK187" s="12" t="str">
        <f t="shared" ref="QK187" si="168">CONCATENATE(VALUE(SUBSTITUTE(QI187,"B",""))+2,"B")</f>
        <v>3B</v>
      </c>
      <c r="QL187" s="12" t="str">
        <f t="shared" ref="QL187" si="169">CONCATENATE(VALUE(SUBSTITUTE(QJ187,"A",""))+2,"A")</f>
        <v>3A</v>
      </c>
      <c r="QM187" s="12" t="str">
        <f t="shared" ref="QM187" si="170">CONCATENATE(VALUE(SUBSTITUTE(QK187,"B",""))+2,"B")</f>
        <v>5B</v>
      </c>
      <c r="QN187" s="12" t="str">
        <f t="shared" ref="QN187" si="171">CONCATENATE(VALUE(SUBSTITUTE(QL187,"A",""))+2,"A")</f>
        <v>5A</v>
      </c>
      <c r="QO187" s="12" t="str">
        <f t="shared" ref="QO187" si="172">CONCATENATE(VALUE(SUBSTITUTE(QM187,"B",""))+2,"B")</f>
        <v>7B</v>
      </c>
      <c r="QP187" s="12" t="str">
        <f t="shared" ref="QP187" si="173">CONCATENATE(VALUE(SUBSTITUTE(QN187,"A",""))+2,"A")</f>
        <v>7A</v>
      </c>
      <c r="QQ187" s="12" t="str">
        <f t="shared" ref="QQ187" si="174">CONCATENATE(VALUE(SUBSTITUTE(QO187,"B",""))+2,"B")</f>
        <v>9B</v>
      </c>
      <c r="QR187" s="12" t="str">
        <f t="shared" ref="QR187" si="175">CONCATENATE(VALUE(SUBSTITUTE(QP187,"A",""))+2,"A")</f>
        <v>9A</v>
      </c>
      <c r="QS187" s="12" t="str">
        <f t="shared" ref="QS187" si="176">CONCATENATE(VALUE(SUBSTITUTE(QQ187,"B",""))+2,"B")</f>
        <v>11B</v>
      </c>
      <c r="QT187" s="12" t="str">
        <f t="shared" ref="QT187" si="177"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78">CONCATENATE($T187,"-AI",REPLACE($X187,1,3,""),"-",QA187)</f>
        <v>F0-AI18-7B</v>
      </c>
      <c r="QZ187" s="12" t="str">
        <f t="shared" si="178"/>
        <v>F0-AI18-7A</v>
      </c>
      <c r="RA187" s="12" t="str">
        <f t="shared" si="178"/>
        <v>F0-AI18-9B</v>
      </c>
      <c r="RB187" s="12" t="str">
        <f t="shared" si="178"/>
        <v>F0-AI18-9A</v>
      </c>
      <c r="RC187" s="12" t="str">
        <f t="shared" si="178"/>
        <v>F0-AI18-11B</v>
      </c>
      <c r="RD187" s="12" t="str">
        <f t="shared" si="178"/>
        <v>F0-AI18-11A</v>
      </c>
      <c r="RE187" s="12" t="str">
        <f t="shared" si="178"/>
        <v>F0-AI18-13B</v>
      </c>
      <c r="RF187" s="12" t="str">
        <f t="shared" si="178"/>
        <v>F0-AI18-13A</v>
      </c>
      <c r="RG187" s="12" t="str">
        <f t="shared" ref="RG187:RR187" si="179">CONCATENATE($T187,"-AI",REPLACE($PX187,1,3,""),"-",QI187)</f>
        <v>F0-AI19-1B</v>
      </c>
      <c r="RH187" s="12" t="str">
        <f t="shared" si="179"/>
        <v>F0-AI19-1A</v>
      </c>
      <c r="RI187" s="12" t="str">
        <f t="shared" si="179"/>
        <v>F0-AI19-3B</v>
      </c>
      <c r="RJ187" s="12" t="str">
        <f t="shared" si="179"/>
        <v>F0-AI19-3A</v>
      </c>
      <c r="RK187" s="12" t="str">
        <f t="shared" si="179"/>
        <v>F0-AI19-5B</v>
      </c>
      <c r="RL187" s="12" t="str">
        <f t="shared" si="179"/>
        <v>F0-AI19-5A</v>
      </c>
      <c r="RM187" s="12" t="str">
        <f t="shared" si="179"/>
        <v>F0-AI19-7B</v>
      </c>
      <c r="RN187" s="12" t="str">
        <f t="shared" si="179"/>
        <v>F0-AI19-7A</v>
      </c>
      <c r="RO187" s="12" t="str">
        <f t="shared" si="179"/>
        <v>F0-AI19-9B</v>
      </c>
      <c r="RP187" s="12" t="str">
        <f t="shared" si="179"/>
        <v>F0-AI19-9A</v>
      </c>
      <c r="RQ187" s="12" t="str">
        <f t="shared" si="179"/>
        <v>F0-AI19-11B</v>
      </c>
      <c r="RR187" s="12" t="str">
        <f t="shared" si="179"/>
        <v>F0-AI19-11A</v>
      </c>
      <c r="RS187" s="12" t="str">
        <f t="shared" ref="RS187" si="180"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 cm="1">
        <f t="array" ref="Y188">IF(COUNTIFS($X$2:$X188,$X188)=1,"1",VALUE(SUBSTITUTE(INDEX(Y:Y,_xlfn.XMATCH($X188,$X$1:$X187,0,-1)),"A",""))+INDEX(Z:Z,_xlfn.XMATCH($X188,$X$1:$X187,0,-1))+1)</f>
        <v>1</v>
      </c>
      <c r="Z188" s="46" cm="1">
        <f t="array" ref="Z188">SUM(IF(ISNUMBER(FIND("TmAi",$BE$1:$AAD$1)),IF(IFERROR(ISODD(SUBSTITUTE($BE188:$AAD188,"A","")),FALSE),IF(ISODD(SUBSTITUTE($BE188:$AAD188,"A","")),1,0),0)))</f>
        <v>1</v>
      </c>
      <c r="AA188" t="str">
        <f t="shared" si="160"/>
        <v>1A</v>
      </c>
      <c r="AB188" t="str">
        <f t="shared" si="161"/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81">CONCATENATE(REPLACE(OK188,LEN(OK188),1,"")+1,RIGHT(OK188))</f>
        <v>3B</v>
      </c>
      <c r="ON188" s="12" t="str">
        <f t="shared" si="181"/>
        <v>4A</v>
      </c>
      <c r="OO188" s="12" t="str">
        <f t="shared" si="181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82">CONCATENATE($T188,"-AI",REPLACE($X188,1,3,""),"-",OJ188)</f>
        <v>F0-AI36-2A</v>
      </c>
      <c r="OW188" s="12" t="str">
        <f t="shared" si="182"/>
        <v>F0-AI36-2B</v>
      </c>
      <c r="OX188" s="12" t="str">
        <f t="shared" si="182"/>
        <v>F0-AI36-3A</v>
      </c>
      <c r="OY188" s="12" t="str">
        <f t="shared" si="182"/>
        <v>F0-AI36-3B</v>
      </c>
      <c r="OZ188" s="12" t="str">
        <f t="shared" si="182"/>
        <v>F0-AI36-4A</v>
      </c>
      <c r="PA188" s="12" t="str">
        <f t="shared" si="182"/>
        <v>F0-AI36-4B</v>
      </c>
      <c r="PB188" s="12"/>
      <c r="PC188" s="12"/>
      <c r="PD188" s="12"/>
      <c r="PE188" s="12"/>
      <c r="PF188" s="12" cm="1">
        <f t="array" ref="PF188">IF(COUNTIFS($U$2:$U188,$U188)=1,1,INDEX(PF:PF,_xlfn.XMATCH($U188,$U$1:EF187,0,-1))+COUNT(PF187:PK187))</f>
        <v>1</v>
      </c>
      <c r="PG188" s="12">
        <f t="shared" ref="PG188:PI190" si="183">PF188+1</f>
        <v>2</v>
      </c>
      <c r="PH188" s="12">
        <f t="shared" si="183"/>
        <v>3</v>
      </c>
      <c r="PI188" s="12">
        <f>PH188+1</f>
        <v>4</v>
      </c>
      <c r="PJ188" s="12">
        <f t="shared" ref="PJ188:PN190" si="184">PI188+1</f>
        <v>5</v>
      </c>
      <c r="PK188" s="12">
        <f t="shared" si="184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 cm="1">
        <f t="array" ref="Y189">IF(COUNTIFS($X$2:$X189,$X189)=1,"1",VALUE(SUBSTITUTE(INDEX(Y:Y,_xlfn.XMATCH($X189,$X$1:$X188,0,-1)),"A",""))+INDEX(Z:Z,_xlfn.XMATCH($X189,$X$1:$X188,0,-1))+1)</f>
        <v>3</v>
      </c>
      <c r="Z189" s="46" cm="1">
        <f t="array" ref="Z189">SUM(IF(ISNUMBER(FIND("TmAi",$BE$1:$AAD$1)),IF(IFERROR(ISODD(SUBSTITUTE($BE189:$AAD189,"A","")),FALSE),IF(ISODD(SUBSTITUTE($BE189:$AAD189,"A","")),1,0),0)))</f>
        <v>1</v>
      </c>
      <c r="AA189" t="str">
        <f t="shared" si="160"/>
        <v>5A</v>
      </c>
      <c r="AB189" t="str">
        <f t="shared" si="161"/>
        <v>5B</v>
      </c>
      <c r="AP189" t="s">
        <v>137</v>
      </c>
      <c r="AR189" t="s">
        <v>1152</v>
      </c>
      <c r="AS189" t="s">
        <v>396</v>
      </c>
      <c r="OE189" s="27" t="str">
        <f t="shared" ref="OE189:OE190" si="185">CONCATENATE("XT",$U189)</f>
        <v>XT60</v>
      </c>
      <c r="OF189" t="s">
        <v>1175</v>
      </c>
      <c r="OG189" t="s">
        <v>1181</v>
      </c>
      <c r="OJ189" t="str">
        <f t="shared" ref="OJ189:OJ190" si="186">CONCATENATE(REPLACE($AA189,LEN($AA189),1,"")+1,RIGHT($AA189))</f>
        <v>6A</v>
      </c>
      <c r="OK189" t="str">
        <f t="shared" ref="OK189:OK190" si="187">CONCATENATE(REPLACE($AB189,LEN($AB189),1,"")+1,RIGHT($AB189))</f>
        <v>6B</v>
      </c>
      <c r="OL189" t="str">
        <f t="shared" ref="OL189:OL190" si="188">CONCATENATE(REPLACE(OJ189,LEN(OJ189),1,"")+1,RIGHT(OJ189))</f>
        <v>7A</v>
      </c>
      <c r="OM189" t="str">
        <f t="shared" si="181"/>
        <v>7B</v>
      </c>
      <c r="ON189" t="str">
        <f t="shared" si="181"/>
        <v>8A</v>
      </c>
      <c r="OO189" t="str">
        <f t="shared" si="181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82"/>
        <v>F0-AI36-6A</v>
      </c>
      <c r="OW189" t="str">
        <f t="shared" si="182"/>
        <v>F0-AI36-6B</v>
      </c>
      <c r="OX189" t="str">
        <f t="shared" si="182"/>
        <v>F0-AI36-7A</v>
      </c>
      <c r="OY189" t="str">
        <f t="shared" si="182"/>
        <v>F0-AI36-7B</v>
      </c>
      <c r="OZ189" t="str">
        <f t="shared" si="182"/>
        <v>F0-AI36-8A</v>
      </c>
      <c r="PA189" t="str">
        <f t="shared" si="182"/>
        <v>F0-AI36-8B</v>
      </c>
      <c r="PF189" cm="1">
        <f t="array" ref="PF189">IF(COUNTIFS($U$2:$U189,$U189)=1,1,INDEX(PF:PF,_xlfn.XMATCH($U189,$U$1:$U188,0,-1))+COUNT(PF188:PK188))</f>
        <v>7</v>
      </c>
      <c r="PG189">
        <f t="shared" si="183"/>
        <v>8</v>
      </c>
      <c r="PH189">
        <f t="shared" si="183"/>
        <v>9</v>
      </c>
      <c r="PI189">
        <f t="shared" si="183"/>
        <v>10</v>
      </c>
      <c r="PJ189">
        <f t="shared" si="184"/>
        <v>11</v>
      </c>
      <c r="PK189">
        <f t="shared" si="184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 cm="1">
        <f t="array" ref="Y190">IF(COUNTIFS($X$2:$X190,$X190)=1,"1",VALUE(SUBSTITUTE(INDEX(Y:Y,_xlfn.XMATCH($X190,$X$1:$X189,0,-1)),"A",""))+INDEX(Z:Z,_xlfn.XMATCH($X190,$X$1:$X189,0,-1))+1)</f>
        <v>5</v>
      </c>
      <c r="Z190" s="46" cm="1">
        <f t="array" ref="Z190">SUM(IF(ISNUMBER(FIND("TmAi",$BE$1:$AAD$1)),IF(IFERROR(ISODD(SUBSTITUTE($BE190:$AAD190,"A","")),FALSE),IF(ISODD(SUBSTITUTE($BE190:$AAD190,"A","")),1,0),0)))</f>
        <v>2</v>
      </c>
      <c r="AA190" t="str">
        <f t="shared" si="160"/>
        <v>9A</v>
      </c>
      <c r="AB190" t="str">
        <f t="shared" si="161"/>
        <v>9B</v>
      </c>
      <c r="AP190" t="s">
        <v>137</v>
      </c>
      <c r="AR190" t="s">
        <v>1153</v>
      </c>
      <c r="AS190" t="s">
        <v>396</v>
      </c>
      <c r="OE190" s="27" t="str">
        <f t="shared" si="185"/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 t="shared" si="186"/>
        <v>10A</v>
      </c>
      <c r="OK190" t="str">
        <f t="shared" si="187"/>
        <v>10B</v>
      </c>
      <c r="OL190" t="str">
        <f t="shared" si="188"/>
        <v>11A</v>
      </c>
      <c r="OM190" t="str">
        <f t="shared" si="181"/>
        <v>11B</v>
      </c>
      <c r="ON190" t="str">
        <f t="shared" si="181"/>
        <v>12A</v>
      </c>
      <c r="OO190" t="str">
        <f t="shared" si="181"/>
        <v>12B</v>
      </c>
      <c r="OP190" t="str">
        <f t="shared" si="181"/>
        <v>13A</v>
      </c>
      <c r="OQ190" t="str">
        <f t="shared" si="181"/>
        <v>13B</v>
      </c>
      <c r="OR190" t="str">
        <f t="shared" si="181"/>
        <v>14A</v>
      </c>
      <c r="OS190" t="str">
        <f t="shared" si="181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82"/>
        <v>F0-AI36-10A</v>
      </c>
      <c r="OW190" t="str">
        <f t="shared" si="182"/>
        <v>F0-AI36-10B</v>
      </c>
      <c r="OX190" t="str">
        <f t="shared" si="182"/>
        <v>F0-AI36-11A</v>
      </c>
      <c r="OY190" t="str">
        <f t="shared" si="182"/>
        <v>F0-AI36-11B</v>
      </c>
      <c r="OZ190" t="str">
        <f t="shared" si="182"/>
        <v>F0-AI36-12A</v>
      </c>
      <c r="PA190" t="str">
        <f t="shared" si="182"/>
        <v>F0-AI36-12B</v>
      </c>
      <c r="PB190" t="str">
        <f t="shared" si="182"/>
        <v>F0-AI36-13A</v>
      </c>
      <c r="PC190" t="str">
        <f t="shared" si="182"/>
        <v>F0-AI36-13B</v>
      </c>
      <c r="PD190" t="str">
        <f t="shared" si="182"/>
        <v>F0-AI36-14A</v>
      </c>
      <c r="PE190" t="str">
        <f t="shared" si="182"/>
        <v>F0-AI36-14B</v>
      </c>
      <c r="PF190" cm="1">
        <f t="array" ref="PF190">IF(COUNTIFS($U$2:$U190,$U190)=1,1,INDEX(PF:PF,_xlfn.XMATCH($U190,$U$1:$U189,0,-1))+COUNT(PF189:PK189))</f>
        <v>13</v>
      </c>
      <c r="PG190">
        <f t="shared" si="183"/>
        <v>14</v>
      </c>
      <c r="PH190">
        <f t="shared" si="183"/>
        <v>15</v>
      </c>
      <c r="PI190">
        <f t="shared" si="183"/>
        <v>16</v>
      </c>
      <c r="PJ190">
        <f t="shared" si="184"/>
        <v>17</v>
      </c>
      <c r="PK190">
        <f t="shared" si="184"/>
        <v>18</v>
      </c>
      <c r="PL190">
        <f t="shared" si="184"/>
        <v>19</v>
      </c>
      <c r="PM190">
        <f t="shared" si="184"/>
        <v>20</v>
      </c>
      <c r="PN190">
        <f t="shared" si="184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 cm="1">
        <f t="array" ref="Y191">IF(COUNTIFS($X$2:$X191,$X191)=1,"1",VALUE(SUBSTITUTE(INDEX(Y:Y,_xlfn.XMATCH($X191,$X$1:$X190,0,-1)),"A",""))+INDEX(Z:Z,_xlfn.XMATCH($X191,$X$1:$X190,0,-1))+1)</f>
        <v>1</v>
      </c>
      <c r="Z191" s="46" cm="1">
        <f t="array" ref="Z191">SUM(IF(ISNUMBER(FIND("TmAi",$BE$1:$AAD$1)),IF(IFERROR(ISODD(SUBSTITUTE($BE191:$AAD191,"A","")),FALSE),IF(ISODD(SUBSTITUTE($BE191:$AAD191,"A","")),1,0),0)))</f>
        <v>0</v>
      </c>
      <c r="AA191" t="str">
        <f t="shared" ref="AA191" si="189">CONCATENATE($Y191*2-1,"B")</f>
        <v>1B</v>
      </c>
      <c r="AB191" t="str">
        <f t="shared" ref="AB191" si="190"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 t="shared" ref="KJ191:KK191" si="191">KI191+1</f>
        <v>23</v>
      </c>
      <c r="KK191">
        <f t="shared" si="191"/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 cm="1">
        <f t="array" ref="Y192">IF(COUNTIFS($X$2:$X192,$X192)=1,"1",VALUE(SUBSTITUTE(INDEX(Y:Y,_xlfn.XMATCH($X192,$X$1:$X191,0,-1)),"A",""))+INDEX(Z:Z,_xlfn.XMATCH($X192,$X$1:$X191,0,-1))+1)</f>
        <v>2</v>
      </c>
      <c r="Z192" s="46" cm="1">
        <f t="array" ref="Z192">SUM(IF(ISNUMBER(FIND("TmAi",$BE$1:$AAD$1)),IF(IFERROR(ISODD(SUBSTITUTE($BE192:$AAD192,"A","")),FALSE),IF(ISODD(SUBSTITUTE($BE192:$AAD192,"A","")),1,0),0)))</f>
        <v>11</v>
      </c>
      <c r="AA192" t="str">
        <f t="shared" ref="AA192:AA195" si="192">CONCATENATE($Y192*2-1,"A")</f>
        <v>3A</v>
      </c>
      <c r="AB192" t="str">
        <f t="shared" ref="AB192:AB195" si="193">CONCATENATE($Y192*2-1,"B")</f>
        <v>3B</v>
      </c>
      <c r="AP192" t="s">
        <v>137</v>
      </c>
      <c r="AR192" t="s">
        <v>1147</v>
      </c>
      <c r="AS192" t="s">
        <v>396</v>
      </c>
      <c r="JZ192" s="27"/>
      <c r="KI192" cm="1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 t="shared" ref="QC192" si="194">CONCATENATE(VALUE(SUBSTITUTE(QA192,"B",""))+2,"B")</f>
        <v>9B</v>
      </c>
      <c r="QD192" s="12" t="str">
        <f t="shared" ref="QD192" si="195">CONCATENATE(VALUE(SUBSTITUTE(QB192,"A",""))+2,"A")</f>
        <v>9A</v>
      </c>
      <c r="QE192" s="12" t="str">
        <f t="shared" ref="QE192" si="196">CONCATENATE(VALUE(SUBSTITUTE(QC192,"B",""))+2,"B")</f>
        <v>11B</v>
      </c>
      <c r="QF192" s="12" t="str">
        <f t="shared" ref="QF192" si="197">CONCATENATE(VALUE(SUBSTITUTE(QD192,"A",""))+2,"A")</f>
        <v>11A</v>
      </c>
      <c r="QG192" s="12" t="str">
        <f t="shared" ref="QG192" si="198">CONCATENATE(VALUE(SUBSTITUTE(QE192,"B",""))+2,"B")</f>
        <v>13B</v>
      </c>
      <c r="QH192" s="12" t="str">
        <f t="shared" ref="QH192" si="199">CONCATENATE(VALUE(SUBSTITUTE(QF192,"A",""))+2,"A")</f>
        <v>13A</v>
      </c>
      <c r="QI192" s="12" t="s">
        <v>135</v>
      </c>
      <c r="QJ192" s="12" t="s">
        <v>136</v>
      </c>
      <c r="QK192" s="12" t="str">
        <f t="shared" ref="QK192" si="200">CONCATENATE(VALUE(SUBSTITUTE(QI192,"B",""))+2,"B")</f>
        <v>3B</v>
      </c>
      <c r="QL192" s="12" t="str">
        <f t="shared" ref="QL192" si="201">CONCATENATE(VALUE(SUBSTITUTE(QJ192,"A",""))+2,"A")</f>
        <v>3A</v>
      </c>
      <c r="QM192" s="12" t="str">
        <f t="shared" ref="QM192" si="202">CONCATENATE(VALUE(SUBSTITUTE(QK192,"B",""))+2,"B")</f>
        <v>5B</v>
      </c>
      <c r="QN192" s="12" t="str">
        <f t="shared" ref="QN192" si="203">CONCATENATE(VALUE(SUBSTITUTE(QL192,"A",""))+2,"A")</f>
        <v>5A</v>
      </c>
      <c r="QO192" s="12" t="str">
        <f t="shared" ref="QO192" si="204">CONCATENATE(VALUE(SUBSTITUTE(QM192,"B",""))+2,"B")</f>
        <v>7B</v>
      </c>
      <c r="QP192" s="12" t="str">
        <f t="shared" ref="QP192" si="205">CONCATENATE(VALUE(SUBSTITUTE(QN192,"A",""))+2,"A")</f>
        <v>7A</v>
      </c>
      <c r="QQ192" s="12" t="str">
        <f t="shared" ref="QQ192" si="206">CONCATENATE(VALUE(SUBSTITUTE(QO192,"B",""))+2,"B")</f>
        <v>9B</v>
      </c>
      <c r="QR192" s="12" t="str">
        <f t="shared" ref="QR192" si="207">CONCATENATE(VALUE(SUBSTITUTE(QP192,"A",""))+2,"A")</f>
        <v>9A</v>
      </c>
      <c r="QS192" s="12" t="str">
        <f t="shared" ref="QS192" si="208">CONCATENATE(VALUE(SUBSTITUTE(QQ192,"B",""))+2,"B")</f>
        <v>11B</v>
      </c>
      <c r="QT192" s="12" t="str">
        <f t="shared" ref="QT192" si="209"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210">CONCATENATE($T192,"-AI",REPLACE($X192,1,3,""),"-",QA192)</f>
        <v>F0-AI20-7B</v>
      </c>
      <c r="QZ192" s="12" t="str">
        <f t="shared" si="210"/>
        <v>F0-AI20-7A</v>
      </c>
      <c r="RA192" s="12" t="str">
        <f t="shared" si="210"/>
        <v>F0-AI20-9B</v>
      </c>
      <c r="RB192" s="12" t="str">
        <f t="shared" si="210"/>
        <v>F0-AI20-9A</v>
      </c>
      <c r="RC192" s="12" t="str">
        <f t="shared" si="210"/>
        <v>F0-AI20-11B</v>
      </c>
      <c r="RD192" s="12" t="str">
        <f t="shared" si="210"/>
        <v>F0-AI20-11A</v>
      </c>
      <c r="RE192" s="12" t="str">
        <f t="shared" si="210"/>
        <v>F0-AI20-13B</v>
      </c>
      <c r="RF192" s="12" t="str">
        <f t="shared" si="210"/>
        <v>F0-AI20-13A</v>
      </c>
      <c r="RG192" s="12" t="str">
        <f t="shared" ref="RG192:RR192" si="211">CONCATENATE($T192,"-AI",REPLACE($PX192,1,3,""),"-",QI192)</f>
        <v>F0-AI21-1B</v>
      </c>
      <c r="RH192" s="12" t="str">
        <f t="shared" si="211"/>
        <v>F0-AI21-1A</v>
      </c>
      <c r="RI192" s="12" t="str">
        <f t="shared" si="211"/>
        <v>F0-AI21-3B</v>
      </c>
      <c r="RJ192" s="12" t="str">
        <f t="shared" si="211"/>
        <v>F0-AI21-3A</v>
      </c>
      <c r="RK192" s="12" t="str">
        <f t="shared" si="211"/>
        <v>F0-AI21-5B</v>
      </c>
      <c r="RL192" s="12" t="str">
        <f t="shared" si="211"/>
        <v>F0-AI21-5A</v>
      </c>
      <c r="RM192" s="12" t="str">
        <f t="shared" si="211"/>
        <v>F0-AI21-7B</v>
      </c>
      <c r="RN192" s="12" t="str">
        <f t="shared" si="211"/>
        <v>F0-AI21-7A</v>
      </c>
      <c r="RO192" s="12" t="str">
        <f t="shared" si="211"/>
        <v>F0-AI21-9B</v>
      </c>
      <c r="RP192" s="12" t="str">
        <f t="shared" si="211"/>
        <v>F0-AI21-9A</v>
      </c>
      <c r="RQ192" s="12" t="str">
        <f t="shared" si="211"/>
        <v>F0-AI21-11B</v>
      </c>
      <c r="RR192" s="12" t="str">
        <f t="shared" si="211"/>
        <v>F0-AI21-11A</v>
      </c>
      <c r="RS192" s="12" t="str">
        <f t="shared" ref="RS192" si="212"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 cm="1">
        <f t="array" ref="Y193">IF(COUNTIFS($X$2:$X193,$X193)=1,"1",VALUE(SUBSTITUTE(INDEX(Y:Y,_xlfn.XMATCH($X193,$X$1:$X192,0,-1)),"A",""))+INDEX(Z:Z,_xlfn.XMATCH($X193,$X$1:$X192,0,-1))+1)</f>
        <v>1</v>
      </c>
      <c r="Z193" s="46" cm="1">
        <f t="array" ref="Z193">SUM(IF(ISNUMBER(FIND("TmAi",$BE$1:$AAD$1)),IF(IFERROR(ISODD(SUBSTITUTE($BE193:$AAD193,"A","")),FALSE),IF(ISODD(SUBSTITUTE($BE193:$AAD193,"A","")),1,0),0)))</f>
        <v>1</v>
      </c>
      <c r="AA193" t="str">
        <f t="shared" si="192"/>
        <v>1A</v>
      </c>
      <c r="AB193" t="str">
        <f t="shared" si="193"/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213">CONCATENATE(REPLACE(OK193,LEN(OK193),1,"")+1,RIGHT(OK193))</f>
        <v>3B</v>
      </c>
      <c r="ON193" s="12" t="str">
        <f t="shared" si="213"/>
        <v>4A</v>
      </c>
      <c r="OO193" s="12" t="str">
        <f t="shared" si="213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214">CONCATENATE($T193,"-AI",REPLACE($X193,1,3,""),"-",OJ193)</f>
        <v>F0-AI37-2A</v>
      </c>
      <c r="OW193" s="12" t="str">
        <f t="shared" si="214"/>
        <v>F0-AI37-2B</v>
      </c>
      <c r="OX193" s="12" t="str">
        <f t="shared" si="214"/>
        <v>F0-AI37-3A</v>
      </c>
      <c r="OY193" s="12" t="str">
        <f t="shared" si="214"/>
        <v>F0-AI37-3B</v>
      </c>
      <c r="OZ193" s="12" t="str">
        <f t="shared" si="214"/>
        <v>F0-AI37-4A</v>
      </c>
      <c r="PA193" s="12" t="str">
        <f t="shared" si="214"/>
        <v>F0-AI37-4B</v>
      </c>
      <c r="PB193" s="12"/>
      <c r="PC193" s="12"/>
      <c r="PD193" s="12"/>
      <c r="PE193" s="12"/>
      <c r="PF193" s="12" cm="1">
        <f t="array" ref="PF193">IF(COUNTIFS($U$2:$U193,$U193)=1,1,INDEX(PF:PF,_xlfn.XMATCH($U193,$U$1:EF192,0,-1))+COUNT(PF192:PK192))</f>
        <v>1</v>
      </c>
      <c r="PG193" s="12">
        <f t="shared" ref="PG193:PI195" si="215">PF193+1</f>
        <v>2</v>
      </c>
      <c r="PH193" s="12">
        <f t="shared" si="215"/>
        <v>3</v>
      </c>
      <c r="PI193" s="12">
        <f>PH193+1</f>
        <v>4</v>
      </c>
      <c r="PJ193" s="12">
        <f t="shared" ref="PJ193:PN195" si="216">PI193+1</f>
        <v>5</v>
      </c>
      <c r="PK193" s="12">
        <f t="shared" si="216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 cm="1">
        <f t="array" ref="Y194">IF(COUNTIFS($X$2:$X194,$X194)=1,"1",VALUE(SUBSTITUTE(INDEX(Y:Y,_xlfn.XMATCH($X194,$X$1:$X193,0,-1)),"A",""))+INDEX(Z:Z,_xlfn.XMATCH($X194,$X$1:$X193,0,-1))+1)</f>
        <v>3</v>
      </c>
      <c r="Z194" s="46" cm="1">
        <f t="array" ref="Z194">SUM(IF(ISNUMBER(FIND("TmAi",$BE$1:$AAD$1)),IF(IFERROR(ISODD(SUBSTITUTE($BE194:$AAD194,"A","")),FALSE),IF(ISODD(SUBSTITUTE($BE194:$AAD194,"A","")),1,0),0)))</f>
        <v>1</v>
      </c>
      <c r="AA194" t="str">
        <f t="shared" si="192"/>
        <v>5A</v>
      </c>
      <c r="AB194" t="str">
        <f t="shared" si="193"/>
        <v>5B</v>
      </c>
      <c r="AP194" t="s">
        <v>137</v>
      </c>
      <c r="AR194" t="s">
        <v>1207</v>
      </c>
      <c r="AS194" t="s">
        <v>396</v>
      </c>
      <c r="OE194" s="27" t="str">
        <f t="shared" ref="OE194:OE195" si="217">CONCATENATE("XT",$U194)</f>
        <v>XT61</v>
      </c>
      <c r="OF194" t="s">
        <v>1189</v>
      </c>
      <c r="OG194" t="s">
        <v>1324</v>
      </c>
      <c r="OJ194" t="str">
        <f t="shared" ref="OJ194:OJ195" si="218">CONCATENATE(REPLACE($AA194,LEN($AA194),1,"")+1,RIGHT($AA194))</f>
        <v>6A</v>
      </c>
      <c r="OK194" t="str">
        <f t="shared" ref="OK194:OK195" si="219">CONCATENATE(REPLACE($AB194,LEN($AB194),1,"")+1,RIGHT($AB194))</f>
        <v>6B</v>
      </c>
      <c r="OL194" t="str">
        <f t="shared" ref="OL194:OL195" si="220">CONCATENATE(REPLACE(OJ194,LEN(OJ194),1,"")+1,RIGHT(OJ194))</f>
        <v>7A</v>
      </c>
      <c r="OM194" t="str">
        <f t="shared" si="213"/>
        <v>7B</v>
      </c>
      <c r="ON194" t="str">
        <f t="shared" si="213"/>
        <v>8A</v>
      </c>
      <c r="OO194" t="str">
        <f t="shared" si="213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214"/>
        <v>F0-AI37-6A</v>
      </c>
      <c r="OW194" t="str">
        <f t="shared" si="214"/>
        <v>F0-AI37-6B</v>
      </c>
      <c r="OX194" t="str">
        <f t="shared" si="214"/>
        <v>F0-AI37-7A</v>
      </c>
      <c r="OY194" t="str">
        <f t="shared" si="214"/>
        <v>F0-AI37-7B</v>
      </c>
      <c r="OZ194" t="str">
        <f t="shared" si="214"/>
        <v>F0-AI37-8A</v>
      </c>
      <c r="PA194" t="str">
        <f t="shared" si="214"/>
        <v>F0-AI37-8B</v>
      </c>
      <c r="PF194" cm="1">
        <f t="array" ref="PF194">IF(COUNTIFS($U$2:$U194,$U194)=1,1,INDEX(PF:PF,_xlfn.XMATCH($U194,$U$1:$U193,0,-1))+COUNT(PF193:PK193))</f>
        <v>7</v>
      </c>
      <c r="PG194">
        <f t="shared" si="215"/>
        <v>8</v>
      </c>
      <c r="PH194">
        <f t="shared" si="215"/>
        <v>9</v>
      </c>
      <c r="PI194">
        <f t="shared" si="215"/>
        <v>10</v>
      </c>
      <c r="PJ194">
        <f t="shared" si="216"/>
        <v>11</v>
      </c>
      <c r="PK194">
        <f t="shared" si="216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 cm="1">
        <f t="array" ref="Y195">IF(COUNTIFS($X$2:$X195,$X195)=1,"1",VALUE(SUBSTITUTE(INDEX(Y:Y,_xlfn.XMATCH($X195,$X$1:$X194,0,-1)),"A",""))+INDEX(Z:Z,_xlfn.XMATCH($X195,$X$1:$X194,0,-1))+1)</f>
        <v>5</v>
      </c>
      <c r="Z195" s="46" cm="1">
        <f t="array" ref="Z195">SUM(IF(ISNUMBER(FIND("TmAi",$BE$1:$AAD$1)),IF(IFERROR(ISODD(SUBSTITUTE($BE195:$AAD195,"A","")),FALSE),IF(ISODD(SUBSTITUTE($BE195:$AAD195,"A","")),1,0),0)))</f>
        <v>2</v>
      </c>
      <c r="AA195" t="str">
        <f t="shared" si="192"/>
        <v>9A</v>
      </c>
      <c r="AB195" t="str">
        <f t="shared" si="193"/>
        <v>9B</v>
      </c>
      <c r="AP195" t="s">
        <v>137</v>
      </c>
      <c r="AR195" t="s">
        <v>1210</v>
      </c>
      <c r="AS195" t="s">
        <v>396</v>
      </c>
      <c r="OE195" s="27" t="str">
        <f t="shared" si="217"/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 t="shared" si="218"/>
        <v>10A</v>
      </c>
      <c r="OK195" t="str">
        <f t="shared" si="219"/>
        <v>10B</v>
      </c>
      <c r="OL195" t="str">
        <f t="shared" si="220"/>
        <v>11A</v>
      </c>
      <c r="OM195" t="str">
        <f t="shared" si="213"/>
        <v>11B</v>
      </c>
      <c r="ON195" t="str">
        <f t="shared" si="213"/>
        <v>12A</v>
      </c>
      <c r="OO195" t="str">
        <f t="shared" si="213"/>
        <v>12B</v>
      </c>
      <c r="OP195" t="str">
        <f t="shared" si="213"/>
        <v>13A</v>
      </c>
      <c r="OQ195" t="str">
        <f t="shared" si="213"/>
        <v>13B</v>
      </c>
      <c r="OR195" t="str">
        <f t="shared" si="213"/>
        <v>14A</v>
      </c>
      <c r="OS195" t="str">
        <f t="shared" si="213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214"/>
        <v>F0-AI37-10A</v>
      </c>
      <c r="OW195" t="str">
        <f t="shared" si="214"/>
        <v>F0-AI37-10B</v>
      </c>
      <c r="OX195" t="str">
        <f t="shared" si="214"/>
        <v>F0-AI37-11A</v>
      </c>
      <c r="OY195" t="str">
        <f t="shared" si="214"/>
        <v>F0-AI37-11B</v>
      </c>
      <c r="OZ195" t="str">
        <f t="shared" si="214"/>
        <v>F0-AI37-12A</v>
      </c>
      <c r="PA195" t="str">
        <f t="shared" si="214"/>
        <v>F0-AI37-12B</v>
      </c>
      <c r="PB195" t="str">
        <f t="shared" si="214"/>
        <v>F0-AI37-13A</v>
      </c>
      <c r="PC195" t="str">
        <f t="shared" si="214"/>
        <v>F0-AI37-13B</v>
      </c>
      <c r="PD195" t="str">
        <f t="shared" si="214"/>
        <v>F0-AI37-14A</v>
      </c>
      <c r="PE195" t="str">
        <f t="shared" si="214"/>
        <v>F0-AI37-14B</v>
      </c>
      <c r="PF195" cm="1">
        <f t="array" ref="PF195">IF(COUNTIFS($U$2:$U195,$U195)=1,1,INDEX(PF:PF,_xlfn.XMATCH($U195,$U$1:$U194,0,-1))+COUNT(PF194:PK194))</f>
        <v>13</v>
      </c>
      <c r="PG195">
        <f t="shared" si="215"/>
        <v>14</v>
      </c>
      <c r="PH195">
        <f t="shared" si="215"/>
        <v>15</v>
      </c>
      <c r="PI195">
        <f t="shared" si="215"/>
        <v>16</v>
      </c>
      <c r="PJ195">
        <f t="shared" si="216"/>
        <v>17</v>
      </c>
      <c r="PK195">
        <f t="shared" si="216"/>
        <v>18</v>
      </c>
      <c r="PL195">
        <f t="shared" si="216"/>
        <v>19</v>
      </c>
      <c r="PM195">
        <f t="shared" si="216"/>
        <v>20</v>
      </c>
      <c r="PN195">
        <f t="shared" si="216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 cm="1">
        <f t="array" ref="Y196">IF(COUNTIFS($X$2:$X196,$X196)=1,"1",VALUE(SUBSTITUTE(INDEX(Y:Y,_xlfn.XMATCH($X196,$X$1:$X195,0,-1)),"A",""))+INDEX(Z:Z,_xlfn.XMATCH($X196,$X$1:$X195,0,-1))+1)</f>
        <v>1</v>
      </c>
      <c r="Z196" s="46" cm="1">
        <f t="array" ref="Z196">SUM(IF(ISNUMBER(FIND("TmAi",$BE$1:$AAD$1)),IF(IFERROR(ISODD(SUBSTITUTE($BE196:$AAD196,"A","")),FALSE),IF(ISODD(SUBSTITUTE($BE196:$AAD196,"A","")),1,0),0)))</f>
        <v>0</v>
      </c>
      <c r="AA196" t="str">
        <f t="shared" ref="AA196" si="221">CONCATENATE($Y196*2-1,"B")</f>
        <v>1B</v>
      </c>
      <c r="AB196" t="str">
        <f t="shared" ref="AB196" si="222"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 t="shared" ref="KJ196:KK196" si="223">KI196+1</f>
        <v>23</v>
      </c>
      <c r="KK196">
        <f t="shared" si="223"/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 cm="1">
        <f t="array" ref="Y197">IF(COUNTIFS($X$2:$X197,$X197)=1,"1",VALUE(SUBSTITUTE(INDEX(Y:Y,_xlfn.XMATCH($X197,$X$1:$X196,0,-1)),"A",""))+INDEX(Z:Z,_xlfn.XMATCH($X197,$X$1:$X196,0,-1))+1)</f>
        <v>2</v>
      </c>
      <c r="Z197" s="46" cm="1">
        <f t="array" ref="Z197">SUM(IF(ISNUMBER(FIND("TmAi",$BE$1:$AAD$1)),IF(IFERROR(ISODD(SUBSTITUTE($BE197:$AAD197,"A","")),FALSE),IF(ISODD(SUBSTITUTE($BE197:$AAD197,"A","")),1,0),0)))</f>
        <v>11</v>
      </c>
      <c r="AA197" t="str">
        <f t="shared" ref="AA197:AA200" si="224">CONCATENATE($Y197*2-1,"A")</f>
        <v>3A</v>
      </c>
      <c r="AB197" t="str">
        <f t="shared" ref="AB197:AB200" si="225">CONCATENATE($Y197*2-1,"B")</f>
        <v>3B</v>
      </c>
      <c r="AP197" t="s">
        <v>137</v>
      </c>
      <c r="AR197" t="s">
        <v>1213</v>
      </c>
      <c r="AS197" t="s">
        <v>396</v>
      </c>
      <c r="JZ197" s="27"/>
      <c r="KI197" cm="1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 t="shared" ref="QC197" si="226">CONCATENATE(VALUE(SUBSTITUTE(QA197,"B",""))+2,"B")</f>
        <v>9B</v>
      </c>
      <c r="QD197" s="12" t="str">
        <f t="shared" ref="QD197" si="227">CONCATENATE(VALUE(SUBSTITUTE(QB197,"A",""))+2,"A")</f>
        <v>9A</v>
      </c>
      <c r="QE197" s="12" t="str">
        <f t="shared" ref="QE197" si="228">CONCATENATE(VALUE(SUBSTITUTE(QC197,"B",""))+2,"B")</f>
        <v>11B</v>
      </c>
      <c r="QF197" s="12" t="str">
        <f t="shared" ref="QF197" si="229">CONCATENATE(VALUE(SUBSTITUTE(QD197,"A",""))+2,"A")</f>
        <v>11A</v>
      </c>
      <c r="QG197" s="12" t="str">
        <f t="shared" ref="QG197" si="230">CONCATENATE(VALUE(SUBSTITUTE(QE197,"B",""))+2,"B")</f>
        <v>13B</v>
      </c>
      <c r="QH197" s="12" t="str">
        <f t="shared" ref="QH197" si="231">CONCATENATE(VALUE(SUBSTITUTE(QF197,"A",""))+2,"A")</f>
        <v>13A</v>
      </c>
      <c r="QI197" s="12" t="s">
        <v>135</v>
      </c>
      <c r="QJ197" s="12" t="s">
        <v>136</v>
      </c>
      <c r="QK197" s="12" t="str">
        <f t="shared" ref="QK197" si="232">CONCATENATE(VALUE(SUBSTITUTE(QI197,"B",""))+2,"B")</f>
        <v>3B</v>
      </c>
      <c r="QL197" s="12" t="str">
        <f t="shared" ref="QL197" si="233">CONCATENATE(VALUE(SUBSTITUTE(QJ197,"A",""))+2,"A")</f>
        <v>3A</v>
      </c>
      <c r="QM197" s="12" t="str">
        <f t="shared" ref="QM197" si="234">CONCATENATE(VALUE(SUBSTITUTE(QK197,"B",""))+2,"B")</f>
        <v>5B</v>
      </c>
      <c r="QN197" s="12" t="str">
        <f t="shared" ref="QN197" si="235">CONCATENATE(VALUE(SUBSTITUTE(QL197,"A",""))+2,"A")</f>
        <v>5A</v>
      </c>
      <c r="QO197" s="12" t="str">
        <f t="shared" ref="QO197" si="236">CONCATENATE(VALUE(SUBSTITUTE(QM197,"B",""))+2,"B")</f>
        <v>7B</v>
      </c>
      <c r="QP197" s="12" t="str">
        <f t="shared" ref="QP197" si="237">CONCATENATE(VALUE(SUBSTITUTE(QN197,"A",""))+2,"A")</f>
        <v>7A</v>
      </c>
      <c r="QQ197" s="12" t="str">
        <f t="shared" ref="QQ197" si="238">CONCATENATE(VALUE(SUBSTITUTE(QO197,"B",""))+2,"B")</f>
        <v>9B</v>
      </c>
      <c r="QR197" s="12" t="str">
        <f t="shared" ref="QR197" si="239">CONCATENATE(VALUE(SUBSTITUTE(QP197,"A",""))+2,"A")</f>
        <v>9A</v>
      </c>
      <c r="QS197" s="12" t="str">
        <f t="shared" ref="QS197" si="240">CONCATENATE(VALUE(SUBSTITUTE(QQ197,"B",""))+2,"B")</f>
        <v>11B</v>
      </c>
      <c r="QT197" s="12" t="str">
        <f t="shared" ref="QT197" si="241"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242">CONCATENATE($T197,"-AI",REPLACE($X197,1,3,""),"-",QA197)</f>
        <v>F0-AI22-7B</v>
      </c>
      <c r="QZ197" s="12" t="str">
        <f t="shared" si="242"/>
        <v>F0-AI22-7A</v>
      </c>
      <c r="RA197" s="12" t="str">
        <f t="shared" si="242"/>
        <v>F0-AI22-9B</v>
      </c>
      <c r="RB197" s="12" t="str">
        <f t="shared" si="242"/>
        <v>F0-AI22-9A</v>
      </c>
      <c r="RC197" s="12" t="str">
        <f t="shared" si="242"/>
        <v>F0-AI22-11B</v>
      </c>
      <c r="RD197" s="12" t="str">
        <f t="shared" si="242"/>
        <v>F0-AI22-11A</v>
      </c>
      <c r="RE197" s="12" t="str">
        <f t="shared" si="242"/>
        <v>F0-AI22-13B</v>
      </c>
      <c r="RF197" s="12" t="str">
        <f t="shared" si="242"/>
        <v>F0-AI22-13A</v>
      </c>
      <c r="RG197" s="12" t="str">
        <f t="shared" ref="RG197:RR197" si="243">CONCATENATE($T197,"-AI",REPLACE($PX197,1,3,""),"-",QI197)</f>
        <v>F0-AI23-1B</v>
      </c>
      <c r="RH197" s="12" t="str">
        <f t="shared" si="243"/>
        <v>F0-AI23-1A</v>
      </c>
      <c r="RI197" s="12" t="str">
        <f t="shared" si="243"/>
        <v>F0-AI23-3B</v>
      </c>
      <c r="RJ197" s="12" t="str">
        <f t="shared" si="243"/>
        <v>F0-AI23-3A</v>
      </c>
      <c r="RK197" s="12" t="str">
        <f t="shared" si="243"/>
        <v>F0-AI23-5B</v>
      </c>
      <c r="RL197" s="12" t="str">
        <f t="shared" si="243"/>
        <v>F0-AI23-5A</v>
      </c>
      <c r="RM197" s="12" t="str">
        <f t="shared" si="243"/>
        <v>F0-AI23-7B</v>
      </c>
      <c r="RN197" s="12" t="str">
        <f t="shared" si="243"/>
        <v>F0-AI23-7A</v>
      </c>
      <c r="RO197" s="12" t="str">
        <f t="shared" si="243"/>
        <v>F0-AI23-9B</v>
      </c>
      <c r="RP197" s="12" t="str">
        <f t="shared" si="243"/>
        <v>F0-AI23-9A</v>
      </c>
      <c r="RQ197" s="12" t="str">
        <f t="shared" si="243"/>
        <v>F0-AI23-11B</v>
      </c>
      <c r="RR197" s="12" t="str">
        <f t="shared" si="243"/>
        <v>F0-AI23-11A</v>
      </c>
      <c r="RS197" s="12" t="str">
        <f t="shared" ref="RS197" si="244"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 cm="1">
        <f t="array" ref="Y198">IF(COUNTIFS($X$2:$X198,$X198)=1,"1",VALUE(SUBSTITUTE(INDEX(Y:Y,_xlfn.XMATCH($X198,$X$1:$X197,0,-1)),"A",""))+INDEX(Z:Z,_xlfn.XMATCH($X198,$X$1:$X197,0,-1))+1)</f>
        <v>1</v>
      </c>
      <c r="Z198" s="46" cm="1">
        <f t="array" ref="Z198">SUM(IF(ISNUMBER(FIND("TmAi",$BE$1:$AAD$1)),IF(IFERROR(ISODD(SUBSTITUTE($BE198:$AAD198,"A","")),FALSE),IF(ISODD(SUBSTITUTE($BE198:$AAD198,"A","")),1,0),0)))</f>
        <v>1</v>
      </c>
      <c r="AA198" t="str">
        <f t="shared" si="224"/>
        <v>1A</v>
      </c>
      <c r="AB198" t="str">
        <f t="shared" si="225"/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245">CONCATENATE(REPLACE(OK198,LEN(OK198),1,"")+1,RIGHT(OK198))</f>
        <v>3B</v>
      </c>
      <c r="ON198" s="12" t="str">
        <f t="shared" si="245"/>
        <v>4A</v>
      </c>
      <c r="OO198" s="12" t="str">
        <f t="shared" si="245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246">CONCATENATE($T198,"-AI",REPLACE($X198,1,3,""),"-",OJ198)</f>
        <v>F0-AI38-2A</v>
      </c>
      <c r="OW198" s="12" t="str">
        <f t="shared" si="246"/>
        <v>F0-AI38-2B</v>
      </c>
      <c r="OX198" s="12" t="str">
        <f t="shared" si="246"/>
        <v>F0-AI38-3A</v>
      </c>
      <c r="OY198" s="12" t="str">
        <f t="shared" si="246"/>
        <v>F0-AI38-3B</v>
      </c>
      <c r="OZ198" s="12" t="str">
        <f t="shared" si="246"/>
        <v>F0-AI38-4A</v>
      </c>
      <c r="PA198" s="12" t="str">
        <f t="shared" si="246"/>
        <v>F0-AI38-4B</v>
      </c>
      <c r="PB198" s="12"/>
      <c r="PC198" s="12"/>
      <c r="PD198" s="12"/>
      <c r="PE198" s="12"/>
      <c r="PF198" s="12" cm="1">
        <f t="array" ref="PF198">IF(COUNTIFS($U$2:$U198,$U198)=1,1,INDEX(PF:PF,_xlfn.XMATCH($U198,$U$1:EF197,0,-1))+COUNT(PF197:PK197))</f>
        <v>1</v>
      </c>
      <c r="PG198" s="12">
        <f t="shared" ref="PG198:PI200" si="247">PF198+1</f>
        <v>2</v>
      </c>
      <c r="PH198" s="12">
        <f t="shared" si="247"/>
        <v>3</v>
      </c>
      <c r="PI198" s="12">
        <f>PH198+1</f>
        <v>4</v>
      </c>
      <c r="PJ198" s="12">
        <f t="shared" ref="PJ198:PN200" si="248">PI198+1</f>
        <v>5</v>
      </c>
      <c r="PK198" s="12">
        <f t="shared" si="248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 cm="1">
        <f t="array" ref="Y199">IF(COUNTIFS($X$2:$X199,$X199)=1,"1",VALUE(SUBSTITUTE(INDEX(Y:Y,_xlfn.XMATCH($X199,$X$1:$X198,0,-1)),"A",""))+INDEX(Z:Z,_xlfn.XMATCH($X199,$X$1:$X198,0,-1))+1)</f>
        <v>3</v>
      </c>
      <c r="Z199" s="46" cm="1">
        <f t="array" ref="Z199">SUM(IF(ISNUMBER(FIND("TmAi",$BE$1:$AAD$1)),IF(IFERROR(ISODD(SUBSTITUTE($BE199:$AAD199,"A","")),FALSE),IF(ISODD(SUBSTITUTE($BE199:$AAD199,"A","")),1,0),0)))</f>
        <v>1</v>
      </c>
      <c r="AA199" t="str">
        <f t="shared" si="224"/>
        <v>5A</v>
      </c>
      <c r="AB199" t="str">
        <f t="shared" si="225"/>
        <v>5B</v>
      </c>
      <c r="AP199" t="s">
        <v>137</v>
      </c>
      <c r="AR199" t="s">
        <v>1216</v>
      </c>
      <c r="AS199" t="s">
        <v>396</v>
      </c>
      <c r="OE199" s="27" t="str">
        <f t="shared" ref="OE199:OE200" si="249">CONCATENATE("XT",$U199)</f>
        <v>XT62</v>
      </c>
      <c r="OF199" t="s">
        <v>1226</v>
      </c>
      <c r="OG199" t="s">
        <v>1328</v>
      </c>
      <c r="OJ199" t="str">
        <f t="shared" ref="OJ199:OJ200" si="250">CONCATENATE(REPLACE($AA199,LEN($AA199),1,"")+1,RIGHT($AA199))</f>
        <v>6A</v>
      </c>
      <c r="OK199" t="str">
        <f t="shared" ref="OK199:OK200" si="251">CONCATENATE(REPLACE($AB199,LEN($AB199),1,"")+1,RIGHT($AB199))</f>
        <v>6B</v>
      </c>
      <c r="OL199" t="str">
        <f t="shared" ref="OL199:OL200" si="252">CONCATENATE(REPLACE(OJ199,LEN(OJ199),1,"")+1,RIGHT(OJ199))</f>
        <v>7A</v>
      </c>
      <c r="OM199" t="str">
        <f t="shared" si="245"/>
        <v>7B</v>
      </c>
      <c r="ON199" t="str">
        <f t="shared" si="245"/>
        <v>8A</v>
      </c>
      <c r="OO199" t="str">
        <f t="shared" si="245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246"/>
        <v>F0-AI38-6A</v>
      </c>
      <c r="OW199" t="str">
        <f t="shared" si="246"/>
        <v>F0-AI38-6B</v>
      </c>
      <c r="OX199" t="str">
        <f t="shared" si="246"/>
        <v>F0-AI38-7A</v>
      </c>
      <c r="OY199" t="str">
        <f t="shared" si="246"/>
        <v>F0-AI38-7B</v>
      </c>
      <c r="OZ199" t="str">
        <f t="shared" si="246"/>
        <v>F0-AI38-8A</v>
      </c>
      <c r="PA199" t="str">
        <f t="shared" si="246"/>
        <v>F0-AI38-8B</v>
      </c>
      <c r="PF199" cm="1">
        <f t="array" ref="PF199">IF(COUNTIFS($U$2:$U199,$U199)=1,1,INDEX(PF:PF,_xlfn.XMATCH($U199,$U$1:$U198,0,-1))+COUNT(PF198:PK198))</f>
        <v>7</v>
      </c>
      <c r="PG199">
        <f t="shared" si="247"/>
        <v>8</v>
      </c>
      <c r="PH199">
        <f t="shared" si="247"/>
        <v>9</v>
      </c>
      <c r="PI199">
        <f t="shared" si="247"/>
        <v>10</v>
      </c>
      <c r="PJ199">
        <f t="shared" si="248"/>
        <v>11</v>
      </c>
      <c r="PK199">
        <f t="shared" si="248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 cm="1">
        <f t="array" ref="Y200">IF(COUNTIFS($X$2:$X200,$X200)=1,"1",VALUE(SUBSTITUTE(INDEX(Y:Y,_xlfn.XMATCH($X200,$X$1:$X199,0,-1)),"A",""))+INDEX(Z:Z,_xlfn.XMATCH($X200,$X$1:$X199,0,-1))+1)</f>
        <v>5</v>
      </c>
      <c r="Z200" s="46" cm="1">
        <f t="array" ref="Z200">SUM(IF(ISNUMBER(FIND("TmAi",$BE$1:$AAD$1)),IF(IFERROR(ISODD(SUBSTITUTE($BE200:$AAD200,"A","")),FALSE),IF(ISODD(SUBSTITUTE($BE200:$AAD200,"A","")),1,0),0)))</f>
        <v>2</v>
      </c>
      <c r="AA200" t="str">
        <f t="shared" si="224"/>
        <v>9A</v>
      </c>
      <c r="AB200" t="str">
        <f t="shared" si="225"/>
        <v>9B</v>
      </c>
      <c r="AP200" t="s">
        <v>137</v>
      </c>
      <c r="AR200" t="s">
        <v>1219</v>
      </c>
      <c r="AS200" t="s">
        <v>396</v>
      </c>
      <c r="OE200" s="27" t="str">
        <f t="shared" si="249"/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 t="shared" si="250"/>
        <v>10A</v>
      </c>
      <c r="OK200" t="str">
        <f t="shared" si="251"/>
        <v>10B</v>
      </c>
      <c r="OL200" t="str">
        <f t="shared" si="252"/>
        <v>11A</v>
      </c>
      <c r="OM200" t="str">
        <f t="shared" si="245"/>
        <v>11B</v>
      </c>
      <c r="ON200" t="str">
        <f t="shared" si="245"/>
        <v>12A</v>
      </c>
      <c r="OO200" t="str">
        <f t="shared" si="245"/>
        <v>12B</v>
      </c>
      <c r="OP200" t="str">
        <f t="shared" si="245"/>
        <v>13A</v>
      </c>
      <c r="OQ200" t="str">
        <f t="shared" si="245"/>
        <v>13B</v>
      </c>
      <c r="OR200" t="str">
        <f t="shared" si="245"/>
        <v>14A</v>
      </c>
      <c r="OS200" t="str">
        <f t="shared" si="245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246"/>
        <v>F0-AI38-10A</v>
      </c>
      <c r="OW200" t="str">
        <f t="shared" si="246"/>
        <v>F0-AI38-10B</v>
      </c>
      <c r="OX200" t="str">
        <f t="shared" si="246"/>
        <v>F0-AI38-11A</v>
      </c>
      <c r="OY200" t="str">
        <f t="shared" si="246"/>
        <v>F0-AI38-11B</v>
      </c>
      <c r="OZ200" t="str">
        <f t="shared" si="246"/>
        <v>F0-AI38-12A</v>
      </c>
      <c r="PA200" t="str">
        <f t="shared" si="246"/>
        <v>F0-AI38-12B</v>
      </c>
      <c r="PB200" t="str">
        <f t="shared" si="246"/>
        <v>F0-AI38-13A</v>
      </c>
      <c r="PC200" t="str">
        <f t="shared" si="246"/>
        <v>F0-AI38-13B</v>
      </c>
      <c r="PD200" t="str">
        <f t="shared" si="246"/>
        <v>F0-AI38-14A</v>
      </c>
      <c r="PE200" t="str">
        <f t="shared" si="246"/>
        <v>F0-AI38-14B</v>
      </c>
      <c r="PF200" cm="1">
        <f t="array" ref="PF200">IF(COUNTIFS($U$2:$U200,$U200)=1,1,INDEX(PF:PF,_xlfn.XMATCH($U200,$U$1:$U199,0,-1))+COUNT(PF199:PK199))</f>
        <v>13</v>
      </c>
      <c r="PG200">
        <f t="shared" si="247"/>
        <v>14</v>
      </c>
      <c r="PH200">
        <f t="shared" si="247"/>
        <v>15</v>
      </c>
      <c r="PI200">
        <f t="shared" si="247"/>
        <v>16</v>
      </c>
      <c r="PJ200">
        <f t="shared" si="248"/>
        <v>17</v>
      </c>
      <c r="PK200">
        <f t="shared" si="248"/>
        <v>18</v>
      </c>
      <c r="PL200">
        <f t="shared" si="248"/>
        <v>19</v>
      </c>
      <c r="PM200">
        <f t="shared" si="248"/>
        <v>20</v>
      </c>
      <c r="PN200">
        <f t="shared" si="248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 cm="1">
        <f t="array" ref="Y201">IF(COUNTIFS($X$2:$X201,$X201)=1,"1",VALUE(SUBSTITUTE(INDEX(Y:Y,_xlfn.XMATCH($X201,$X$1:$X200,0,-1)),"A",""))+INDEX(Z:Z,_xlfn.XMATCH($X201,$X$1:$X200,0,-1))+1)</f>
        <v>1</v>
      </c>
      <c r="Z201" s="46" cm="1">
        <f t="array" ref="Z201">SUM(IF(ISNUMBER(FIND("TmAi",$BE$1:$AAD$1)),IF(IFERROR(ISODD(SUBSTITUTE($BE201:$AAD201,"A","")),FALSE),IF(ISODD(SUBSTITUTE($BE201:$AAD201,"A","")),1,0),0)))</f>
        <v>0</v>
      </c>
      <c r="AA201" t="str">
        <f t="shared" ref="AA201" si="253">CONCATENATE($Y201*2-1,"B")</f>
        <v>1B</v>
      </c>
      <c r="AB201" t="str">
        <f t="shared" ref="AB201" si="254"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 t="shared" ref="KJ201:KK201" si="255">KI201+1</f>
        <v>23</v>
      </c>
      <c r="KK201">
        <f t="shared" si="255"/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 cm="1">
        <f t="array" ref="Y202">IF(COUNTIFS($X$2:$X202,$X202)=1,"1",VALUE(SUBSTITUTE(INDEX(Y:Y,_xlfn.XMATCH($X202,$X$1:$X201,0,-1)),"A",""))+INDEX(Z:Z,_xlfn.XMATCH($X202,$X$1:$X201,0,-1))+1)</f>
        <v>2</v>
      </c>
      <c r="Z202" s="46" cm="1">
        <f t="array" ref="Z202">SUM(IF(ISNUMBER(FIND("TmAi",$BE$1:$AAD$1)),IF(IFERROR(ISODD(SUBSTITUTE($BE202:$AAD202,"A","")),FALSE),IF(ISODD(SUBSTITUTE($BE202:$AAD202,"A","")),1,0),0)))</f>
        <v>11</v>
      </c>
      <c r="AA202" t="str">
        <f t="shared" ref="AA202:AA203" si="256">CONCATENATE($Y202*2-1,"A")</f>
        <v>3A</v>
      </c>
      <c r="AB202" t="str">
        <f t="shared" ref="AB202:AB203" si="257">CONCATENATE($Y202*2-1,"B")</f>
        <v>3B</v>
      </c>
      <c r="AP202" t="s">
        <v>137</v>
      </c>
      <c r="AR202" t="s">
        <v>1222</v>
      </c>
      <c r="AS202" t="s">
        <v>396</v>
      </c>
      <c r="JZ202" s="27"/>
      <c r="KI202" cm="1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 t="shared" ref="QC202" si="258">CONCATENATE(VALUE(SUBSTITUTE(QA202,"B",""))+2,"B")</f>
        <v>9B</v>
      </c>
      <c r="QD202" s="12" t="str">
        <f t="shared" ref="QD202" si="259">CONCATENATE(VALUE(SUBSTITUTE(QB202,"A",""))+2,"A")</f>
        <v>9A</v>
      </c>
      <c r="QE202" s="12" t="str">
        <f t="shared" ref="QE202" si="260">CONCATENATE(VALUE(SUBSTITUTE(QC202,"B",""))+2,"B")</f>
        <v>11B</v>
      </c>
      <c r="QF202" s="12" t="str">
        <f t="shared" ref="QF202" si="261">CONCATENATE(VALUE(SUBSTITUTE(QD202,"A",""))+2,"A")</f>
        <v>11A</v>
      </c>
      <c r="QG202" s="12" t="str">
        <f t="shared" ref="QG202" si="262">CONCATENATE(VALUE(SUBSTITUTE(QE202,"B",""))+2,"B")</f>
        <v>13B</v>
      </c>
      <c r="QH202" s="12" t="str">
        <f t="shared" ref="QH202" si="263">CONCATENATE(VALUE(SUBSTITUTE(QF202,"A",""))+2,"A")</f>
        <v>13A</v>
      </c>
      <c r="QI202" s="12" t="s">
        <v>135</v>
      </c>
      <c r="QJ202" s="12" t="s">
        <v>136</v>
      </c>
      <c r="QK202" s="12" t="str">
        <f t="shared" ref="QK202" si="264">CONCATENATE(VALUE(SUBSTITUTE(QI202,"B",""))+2,"B")</f>
        <v>3B</v>
      </c>
      <c r="QL202" s="12" t="str">
        <f t="shared" ref="QL202" si="265">CONCATENATE(VALUE(SUBSTITUTE(QJ202,"A",""))+2,"A")</f>
        <v>3A</v>
      </c>
      <c r="QM202" s="12" t="str">
        <f t="shared" ref="QM202" si="266">CONCATENATE(VALUE(SUBSTITUTE(QK202,"B",""))+2,"B")</f>
        <v>5B</v>
      </c>
      <c r="QN202" s="12" t="str">
        <f t="shared" ref="QN202" si="267">CONCATENATE(VALUE(SUBSTITUTE(QL202,"A",""))+2,"A")</f>
        <v>5A</v>
      </c>
      <c r="QO202" s="12" t="str">
        <f t="shared" ref="QO202" si="268">CONCATENATE(VALUE(SUBSTITUTE(QM202,"B",""))+2,"B")</f>
        <v>7B</v>
      </c>
      <c r="QP202" s="12" t="str">
        <f t="shared" ref="QP202" si="269">CONCATENATE(VALUE(SUBSTITUTE(QN202,"A",""))+2,"A")</f>
        <v>7A</v>
      </c>
      <c r="QQ202" s="12" t="str">
        <f t="shared" ref="QQ202" si="270">CONCATENATE(VALUE(SUBSTITUTE(QO202,"B",""))+2,"B")</f>
        <v>9B</v>
      </c>
      <c r="QR202" s="12" t="str">
        <f t="shared" ref="QR202" si="271">CONCATENATE(VALUE(SUBSTITUTE(QP202,"A",""))+2,"A")</f>
        <v>9A</v>
      </c>
      <c r="QS202" s="12" t="str">
        <f t="shared" ref="QS202" si="272">CONCATENATE(VALUE(SUBSTITUTE(QQ202,"B",""))+2,"B")</f>
        <v>11B</v>
      </c>
      <c r="QT202" s="12" t="str">
        <f t="shared" ref="QT202" si="273"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274">CONCATENATE($T202,"-AI",REPLACE($X202,1,3,""),"-",QA202)</f>
        <v>F0-AI24-7B</v>
      </c>
      <c r="QZ202" s="12" t="str">
        <f t="shared" si="274"/>
        <v>F0-AI24-7A</v>
      </c>
      <c r="RA202" s="12" t="str">
        <f t="shared" si="274"/>
        <v>F0-AI24-9B</v>
      </c>
      <c r="RB202" s="12" t="str">
        <f t="shared" si="274"/>
        <v>F0-AI24-9A</v>
      </c>
      <c r="RC202" s="12" t="str">
        <f t="shared" si="274"/>
        <v>F0-AI24-11B</v>
      </c>
      <c r="RD202" s="12" t="str">
        <f t="shared" si="274"/>
        <v>F0-AI24-11A</v>
      </c>
      <c r="RE202" s="12" t="str">
        <f t="shared" si="274"/>
        <v>F0-AI24-13B</v>
      </c>
      <c r="RF202" s="12" t="str">
        <f t="shared" si="274"/>
        <v>F0-AI24-13A</v>
      </c>
      <c r="RG202" s="12" t="str">
        <f t="shared" ref="RG202:RR202" si="275">CONCATENATE($T202,"-AI",REPLACE($PX202,1,3,""),"-",QI202)</f>
        <v>F0-AI25-1B</v>
      </c>
      <c r="RH202" s="12" t="str">
        <f t="shared" si="275"/>
        <v>F0-AI25-1A</v>
      </c>
      <c r="RI202" s="12" t="str">
        <f t="shared" si="275"/>
        <v>F0-AI25-3B</v>
      </c>
      <c r="RJ202" s="12" t="str">
        <f t="shared" si="275"/>
        <v>F0-AI25-3A</v>
      </c>
      <c r="RK202" s="12" t="str">
        <f t="shared" si="275"/>
        <v>F0-AI25-5B</v>
      </c>
      <c r="RL202" s="12" t="str">
        <f t="shared" si="275"/>
        <v>F0-AI25-5A</v>
      </c>
      <c r="RM202" s="12" t="str">
        <f t="shared" si="275"/>
        <v>F0-AI25-7B</v>
      </c>
      <c r="RN202" s="12" t="str">
        <f t="shared" si="275"/>
        <v>F0-AI25-7A</v>
      </c>
      <c r="RO202" s="12" t="str">
        <f t="shared" si="275"/>
        <v>F0-AI25-9B</v>
      </c>
      <c r="RP202" s="12" t="str">
        <f t="shared" si="275"/>
        <v>F0-AI25-9A</v>
      </c>
      <c r="RQ202" s="12" t="str">
        <f t="shared" si="275"/>
        <v>F0-AI25-11B</v>
      </c>
      <c r="RR202" s="12" t="str">
        <f t="shared" si="275"/>
        <v>F0-AI25-11A</v>
      </c>
      <c r="RS202" s="12" t="str">
        <f t="shared" ref="RS202" si="276"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1979</v>
      </c>
      <c r="Y203" s="45" t="str" cm="1">
        <f t="array" ref="Y203">IF(COUNTIFS($X$2:$X203,$X203)=1,"1",VALUE(SUBSTITUTE(INDEX(Y:Y,_xlfn.XMATCH($X203,$X$1:$X202,0,-1)),"A",""))+INDEX(Z:Z,_xlfn.XMATCH($X203,$X$1:$X202,0,-1))+1)</f>
        <v>1</v>
      </c>
      <c r="Z203" s="46" cm="1">
        <f t="array" ref="Z203">SUM(IF(ISNUMBER(FIND("TmAi",$BE$1:$AAD$1)),IF(IFERROR(ISODD(SUBSTITUTE($BE203:$AAD203,"A","")),FALSE),IF(ISODD(SUBSTITUTE($BE203:$AAD203,"A","")),1,0),0)))</f>
        <v>1</v>
      </c>
      <c r="AA203" t="str">
        <f t="shared" si="256"/>
        <v>1A</v>
      </c>
      <c r="AB203" t="str">
        <f t="shared" si="257"/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 t="shared" ref="OM203:OO203" si="277">CONCATENATE(REPLACE(OK203,LEN(OK203),1,"")+1,RIGHT(OK203))</f>
        <v>3B</v>
      </c>
      <c r="ON203" s="12" t="str">
        <f t="shared" si="277"/>
        <v>4A</v>
      </c>
      <c r="OO203" s="12" t="str">
        <f t="shared" si="277"/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278">CONCATENATE($T203,"-AI",REPLACE($X203,1,3,""),"-",OJ203)</f>
        <v>F0-AI39-2A</v>
      </c>
      <c r="OW203" s="12" t="str">
        <f t="shared" si="278"/>
        <v>F0-AI39-2B</v>
      </c>
      <c r="OX203" s="12" t="str">
        <f t="shared" si="278"/>
        <v>F0-AI39-3A</v>
      </c>
      <c r="OY203" s="12" t="str">
        <f t="shared" si="278"/>
        <v>F0-AI39-3B</v>
      </c>
      <c r="OZ203" s="12" t="str">
        <f t="shared" si="278"/>
        <v>F0-AI39-4A</v>
      </c>
      <c r="PA203" s="12" t="str">
        <f t="shared" si="278"/>
        <v>F0-AI39-4B</v>
      </c>
      <c r="PB203" s="12"/>
      <c r="PC203" s="12"/>
      <c r="PD203" s="12"/>
      <c r="PE203" s="12"/>
      <c r="PF203" s="12" cm="1">
        <f t="array" ref="PF203">IF(COUNTIFS($U$2:$U203,$U203)=1,1,INDEX(PF:PF,_xlfn.XMATCH($U203,$U$1:EF202,0,-1))+COUNT(PF202:PK202))</f>
        <v>1</v>
      </c>
      <c r="PG203" s="12">
        <f t="shared" ref="PG203:PH203" si="279">PF203+1</f>
        <v>2</v>
      </c>
      <c r="PH203" s="12">
        <f t="shared" si="279"/>
        <v>3</v>
      </c>
      <c r="PI203" s="12">
        <f>PH203+1</f>
        <v>4</v>
      </c>
      <c r="PJ203" s="12">
        <f t="shared" ref="PJ203:PK203" si="280">PI203+1</f>
        <v>5</v>
      </c>
      <c r="PK203" s="12">
        <f t="shared" si="280"/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 cm="1">
        <f t="array" ref="Y204">IF(COUNTIFS($X$2:$X204,$X204)=1,"1",VALUE(SUBSTITUTE(INDEX(Y:Y,_xlfn.XMATCH($X204,$X$1:$X203,0,-1)),"A",""))+INDEX(Z:Z,_xlfn.XMATCH($X204,$X$1:$X203,0,-1))+1)</f>
        <v>1</v>
      </c>
      <c r="Z204" s="46" cm="1">
        <f t="array" ref="Z204">SUM(IF(ISNUMBER(FIND("TmAi",$BE$1:$AAD$1)),IF(IFERROR(ISODD(SUBSTITUTE($BE204:$AAD204,"A","")),FALSE),IF(ISODD(SUBSTITUTE($BE204:$AAD204,"A","")),1,0),0)))</f>
        <v>0</v>
      </c>
      <c r="AA204" t="str">
        <f t="shared" ref="AA204" si="281">CONCATENATE($Y204*2-1,"B")</f>
        <v>1B</v>
      </c>
      <c r="AB204" t="str">
        <f t="shared" ref="AB204" si="282"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 t="shared" ref="KJ204:KK204" si="283">KI204+1</f>
        <v>8</v>
      </c>
      <c r="KK204">
        <f t="shared" si="283"/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1979</v>
      </c>
      <c r="Y205" s="45" cm="1">
        <f t="array" ref="Y205">IF(COUNTIFS($X$2:$X205,$X205)=1,"1",VALUE(SUBSTITUTE(INDEX(Y:Y,_xlfn.XMATCH($X205,$X$1:$X204,0,-1)),"A",""))+INDEX(Z:Z,_xlfn.XMATCH($X205,$X$1:$X204,0,-1))+1)</f>
        <v>3</v>
      </c>
      <c r="Z205" s="46" cm="1">
        <f t="array" ref="Z205">SUM(IF(ISNUMBER(FIND("TmAi",$BE$1:$AAD$1)),IF(IFERROR(ISODD(SUBSTITUTE($BE205:$AAD205,"A","")),FALSE),IF(ISODD(SUBSTITUTE($BE205:$AAD205,"A","")),1,0),0)))</f>
        <v>1</v>
      </c>
      <c r="AA205" t="str">
        <f t="shared" ref="AA205" si="284">CONCATENATE($Y205*2-1,"A")</f>
        <v>5A</v>
      </c>
      <c r="AB205" t="str">
        <f t="shared" ref="AB205" si="285"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 t="shared" ref="OM205:OO205" si="286">CONCATENATE(REPLACE(OK205,LEN(OK205),1,"")+1,RIGHT(OK205))</f>
        <v>7B</v>
      </c>
      <c r="ON205" s="12" t="str">
        <f t="shared" si="286"/>
        <v>8A</v>
      </c>
      <c r="OO205" s="12" t="str">
        <f t="shared" si="286"/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287">CONCATENATE($T205,"-AI",REPLACE($X205,1,3,""),"-",OJ205)</f>
        <v>F0-AI39-6A</v>
      </c>
      <c r="OW205" s="12" t="str">
        <f t="shared" si="287"/>
        <v>F0-AI39-6B</v>
      </c>
      <c r="OX205" s="12" t="str">
        <f t="shared" si="287"/>
        <v>F0-AI39-7A</v>
      </c>
      <c r="OY205" s="12" t="str">
        <f t="shared" si="287"/>
        <v>F0-AI39-7B</v>
      </c>
      <c r="OZ205" s="12" t="str">
        <f t="shared" si="287"/>
        <v>F0-AI39-8A</v>
      </c>
      <c r="PA205" s="12" t="str">
        <f t="shared" si="287"/>
        <v>F0-AI39-8B</v>
      </c>
      <c r="PB205" s="12"/>
      <c r="PC205" s="12"/>
      <c r="PD205" s="12"/>
      <c r="PE205" s="12"/>
      <c r="PF205" s="12" cm="1">
        <f t="array" ref="PF205">IF(COUNTIFS($U$2:$U205,$U205)=1,1,INDEX(PF:PF,_xlfn.XMATCH($U205,$U$1:EF204,0,-1))+COUNT(PF204:PK204))</f>
        <v>1</v>
      </c>
      <c r="PG205" s="12">
        <f t="shared" ref="PG205:PH205" si="288">PF205+1</f>
        <v>2</v>
      </c>
      <c r="PH205" s="12">
        <f t="shared" si="288"/>
        <v>3</v>
      </c>
      <c r="PI205" s="12">
        <f>PH205+1</f>
        <v>4</v>
      </c>
      <c r="PJ205" s="12">
        <f t="shared" ref="PJ205:PK205" si="289">PI205+1</f>
        <v>5</v>
      </c>
      <c r="PK205" s="12">
        <f t="shared" si="289"/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 cm="1">
        <f t="array" ref="Y206">IF(COUNTIFS($X$2:$X206,$X206)=1,"1",VALUE(SUBSTITUTE(INDEX(Y:Y,_xlfn.XMATCH($X206,$X$1:$X205,0,-1)),"A",""))+INDEX(Z:Z,_xlfn.XMATCH($X206,$X$1:$X205,0,-1))+1)</f>
        <v>2</v>
      </c>
      <c r="Z206" s="46" cm="1">
        <f t="array" ref="Z206">SUM(IF(ISNUMBER(FIND("TmAi",$BE$1:$AAD$1)),IF(IFERROR(ISODD(SUBSTITUTE($BE206:$AAD206,"A","")),FALSE),IF(ISODD(SUBSTITUTE($BE206:$AAD206,"A","")),1,0),0)))</f>
        <v>0</v>
      </c>
      <c r="AA206" t="str">
        <f t="shared" ref="AA206" si="290">CONCATENATE($Y206*2-1,"B")</f>
        <v>3B</v>
      </c>
      <c r="AB206" t="str">
        <f t="shared" ref="AB206" si="291"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 t="shared" ref="KJ206:KK206" si="292">KI206+1</f>
        <v>8</v>
      </c>
      <c r="KK206">
        <f t="shared" si="292"/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1980</v>
      </c>
      <c r="Y207" s="45" t="str" cm="1">
        <f t="array" ref="Y207">IF(COUNTIFS($X$2:$X207,$X207)=1,"1",VALUE(SUBSTITUTE(INDEX(Y:Y,_xlfn.XMATCH($X207,$X$1:$X206,0,-1)),"A",""))+INDEX(Z:Z,_xlfn.XMATCH($X207,$X$1:$X206,0,-1))+1)</f>
        <v>1</v>
      </c>
      <c r="Z207" s="46" cm="1">
        <f t="array" ref="Z207">SUM(IF(ISNUMBER(FIND("TmAi",$BE$1:$AAD$1)),IF(IFERROR(ISODD(SUBSTITUTE($BE207:$AAD207,"A","")),FALSE),IF(ISODD(SUBSTITUTE($BE207:$AAD207,"A","")),1,0),0)))</f>
        <v>1</v>
      </c>
      <c r="AA207" t="str">
        <f t="shared" ref="AA207" si="293">CONCATENATE($Y207*2-1,"A")</f>
        <v>1A</v>
      </c>
      <c r="AB207" t="str">
        <f t="shared" ref="AB207" si="294"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 t="shared" ref="OM207:OO207" si="295">CONCATENATE(REPLACE(OK207,LEN(OK207),1,"")+1,RIGHT(OK207))</f>
        <v>3B</v>
      </c>
      <c r="ON207" s="12" t="str">
        <f t="shared" si="295"/>
        <v>4A</v>
      </c>
      <c r="OO207" s="12" t="str">
        <f t="shared" si="295"/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296">CONCATENATE($T207,"-AI",REPLACE($X207,1,3,""),"-",OJ207)</f>
        <v>F0-AI40-2A</v>
      </c>
      <c r="OW207" s="12" t="str">
        <f t="shared" si="296"/>
        <v>F0-AI40-2B</v>
      </c>
      <c r="OX207" s="12" t="str">
        <f t="shared" si="296"/>
        <v>F0-AI40-3A</v>
      </c>
      <c r="OY207" s="12" t="str">
        <f t="shared" si="296"/>
        <v>F0-AI40-3B</v>
      </c>
      <c r="OZ207" s="12" t="str">
        <f t="shared" si="296"/>
        <v>F0-AI40-4A</v>
      </c>
      <c r="PA207" s="12" t="str">
        <f t="shared" si="296"/>
        <v>F0-AI40-4B</v>
      </c>
      <c r="PB207" s="12"/>
      <c r="PC207" s="12"/>
      <c r="PD207" s="12"/>
      <c r="PE207" s="12"/>
      <c r="PF207" s="12" cm="1">
        <f t="array" ref="PF207">IF(COUNTIFS($U$2:$U207,$U207)=1,1,INDEX(PF:PF,_xlfn.XMATCH($U207,$U$1:EF206,0,-1))+COUNT(PF206:PK206))</f>
        <v>1</v>
      </c>
      <c r="PG207" s="12">
        <f t="shared" ref="PG207:PH207" si="297">PF207+1</f>
        <v>2</v>
      </c>
      <c r="PH207" s="12">
        <f t="shared" si="297"/>
        <v>3</v>
      </c>
      <c r="PI207" s="12">
        <f>PH207+1</f>
        <v>4</v>
      </c>
      <c r="PJ207" s="12">
        <f t="shared" ref="PJ207:PK207" si="298">PI207+1</f>
        <v>5</v>
      </c>
      <c r="PK207" s="12">
        <f t="shared" si="298"/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 cm="1">
        <f t="array" ref="Y208">IF(COUNTIFS($X$2:$X208,$X208)=1,"1",VALUE(SUBSTITUTE(INDEX(Y:Y,_xlfn.XMATCH($X208,$X$1:$X207,0,-1)),"A",""))+INDEX(Z:Z,_xlfn.XMATCH($X208,$X$1:$X207,0,-1))+1)</f>
        <v>3</v>
      </c>
      <c r="Z208" s="46" cm="1">
        <f t="array" ref="Z208">SUM(IF(ISNUMBER(FIND("TmAi",$BE$1:$AAD$1)),IF(IFERROR(ISODD(SUBSTITUTE($BE208:$AAD208,"A","")),FALSE),IF(ISODD(SUBSTITUTE($BE208:$AAD208,"A","")),1,0),0)))</f>
        <v>0</v>
      </c>
      <c r="AA208" t="str">
        <f t="shared" ref="AA208" si="299">CONCATENATE($Y208*2-1,"B")</f>
        <v>5B</v>
      </c>
      <c r="AB208" t="str">
        <f t="shared" ref="AB208" si="300"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 t="shared" ref="KJ208:KK208" si="301">KI208+1</f>
        <v>8</v>
      </c>
      <c r="KK208">
        <f t="shared" si="301"/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1980</v>
      </c>
      <c r="Y209" s="45" cm="1">
        <f t="array" ref="Y209">IF(COUNTIFS($X$2:$X209,$X209)=1,"1",VALUE(SUBSTITUTE(INDEX(Y:Y,_xlfn.XMATCH($X209,$X$1:$X208,0,-1)),"A",""))+INDEX(Z:Z,_xlfn.XMATCH($X209,$X$1:$X208,0,-1))+1)</f>
        <v>3</v>
      </c>
      <c r="Z209" s="46" cm="1">
        <f t="array" ref="Z209">SUM(IF(ISNUMBER(FIND("TmAi",$BE$1:$AAD$1)),IF(IFERROR(ISODD(SUBSTITUTE($BE209:$AAD209,"A","")),FALSE),IF(ISODD(SUBSTITUTE($BE209:$AAD209,"A","")),1,0),0)))</f>
        <v>1</v>
      </c>
      <c r="AA209" t="str">
        <f t="shared" ref="AA209" si="302">CONCATENATE($Y209*2-1,"A")</f>
        <v>5A</v>
      </c>
      <c r="AB209" t="str">
        <f t="shared" ref="AB209" si="303"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 t="shared" ref="OM209:OO209" si="304">CONCATENATE(REPLACE(OK209,LEN(OK209),1,"")+1,RIGHT(OK209))</f>
        <v>7B</v>
      </c>
      <c r="ON209" s="12" t="str">
        <f t="shared" si="304"/>
        <v>8A</v>
      </c>
      <c r="OO209" s="12" t="str">
        <f t="shared" si="304"/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305">CONCATENATE($T209,"-AI",REPLACE($X209,1,3,""),"-",OJ209)</f>
        <v>F0-AI40-6A</v>
      </c>
      <c r="OW209" s="12" t="str">
        <f t="shared" si="305"/>
        <v>F0-AI40-6B</v>
      </c>
      <c r="OX209" s="12" t="str">
        <f t="shared" si="305"/>
        <v>F0-AI40-7A</v>
      </c>
      <c r="OY209" s="12" t="str">
        <f t="shared" si="305"/>
        <v>F0-AI40-7B</v>
      </c>
      <c r="OZ209" s="12" t="str">
        <f t="shared" si="305"/>
        <v>F0-AI40-8A</v>
      </c>
      <c r="PA209" s="12" t="str">
        <f t="shared" si="305"/>
        <v>F0-AI40-8B</v>
      </c>
      <c r="PB209" s="12"/>
      <c r="PC209" s="12"/>
      <c r="PD209" s="12"/>
      <c r="PE209" s="12"/>
      <c r="PF209" s="12" cm="1">
        <f t="array" ref="PF209">IF(COUNTIFS($U$2:$U209,$U209)=1,1,INDEX(PF:PF,_xlfn.XMATCH($U209,$U$1:EF208,0,-1))+COUNT(PF208:PK208))</f>
        <v>1</v>
      </c>
      <c r="PG209" s="12">
        <f t="shared" ref="PG209:PH209" si="306">PF209+1</f>
        <v>2</v>
      </c>
      <c r="PH209" s="12">
        <f t="shared" si="306"/>
        <v>3</v>
      </c>
      <c r="PI209" s="12">
        <f>PH209+1</f>
        <v>4</v>
      </c>
      <c r="PJ209" s="12">
        <f t="shared" ref="PJ209:PK209" si="307">PI209+1</f>
        <v>5</v>
      </c>
      <c r="PK209" s="12">
        <f t="shared" si="307"/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 cm="1">
        <f t="array" ref="Y210">IF(COUNTIFS($X$2:$X210,$X210)=1,"1",VALUE(SUBSTITUTE(INDEX(Y:Y,_xlfn.XMATCH($X210,$X$1:$X209,0,-1)),"A",""))+INDEX(Z:Z,_xlfn.XMATCH($X210,$X$1:$X209,0,-1))+1)</f>
        <v>4</v>
      </c>
      <c r="Z210" s="46" cm="1">
        <f t="array" ref="Z210">SUM(IF(ISNUMBER(FIND("TmAi",$BE$1:$AAD$1)),IF(IFERROR(ISODD(SUBSTITUTE($BE210:$AAD210,"A","")),FALSE),IF(ISODD(SUBSTITUTE($BE210:$AAD210,"A","")),1,0),0)))</f>
        <v>0</v>
      </c>
      <c r="AA210" t="str">
        <f t="shared" ref="AA210" si="308">CONCATENATE($Y210*2-1,"B")</f>
        <v>7B</v>
      </c>
      <c r="AB210" t="str">
        <f t="shared" ref="AB210" si="309"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 t="shared" ref="KJ210:KK210" si="310">KI210+1</f>
        <v>8</v>
      </c>
      <c r="KK210">
        <f t="shared" si="310"/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1980</v>
      </c>
      <c r="Y211" s="45" cm="1">
        <f t="array" ref="Y211">IF(COUNTIFS($X$2:$X211,$X211)=1,"1",VALUE(SUBSTITUTE(INDEX(Y:Y,_xlfn.XMATCH($X211,$X$1:$X210,0,-1)),"A",""))+INDEX(Z:Z,_xlfn.XMATCH($X211,$X$1:$X210,0,-1))+1)</f>
        <v>5</v>
      </c>
      <c r="Z211" s="46" cm="1">
        <f t="array" ref="Z211">SUM(IF(ISNUMBER(FIND("TmAi",$BE$1:$AAD$1)),IF(IFERROR(ISODD(SUBSTITUTE($BE211:$AAD211,"A","")),FALSE),IF(ISODD(SUBSTITUTE($BE211:$AAD211,"A","")),1,0),0)))</f>
        <v>1</v>
      </c>
      <c r="AA211" t="str">
        <f t="shared" ref="AA211" si="311">CONCATENATE($Y211*2-1,"A")</f>
        <v>9A</v>
      </c>
      <c r="AB211" t="str">
        <f t="shared" ref="AB211" si="312"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 t="shared" ref="OM211:OO211" si="313">CONCATENATE(REPLACE(OK211,LEN(OK211),1,"")+1,RIGHT(OK211))</f>
        <v>11B</v>
      </c>
      <c r="ON211" s="12" t="str">
        <f t="shared" si="313"/>
        <v>12A</v>
      </c>
      <c r="OO211" s="12" t="str">
        <f t="shared" si="313"/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314">CONCATENATE($T211,"-AI",REPLACE($X211,1,3,""),"-",OJ211)</f>
        <v>F0-AI40-10A</v>
      </c>
      <c r="OW211" s="12" t="str">
        <f t="shared" si="314"/>
        <v>F0-AI40-10B</v>
      </c>
      <c r="OX211" s="12" t="str">
        <f t="shared" si="314"/>
        <v>F0-AI40-11A</v>
      </c>
      <c r="OY211" s="12" t="str">
        <f t="shared" si="314"/>
        <v>F0-AI40-11B</v>
      </c>
      <c r="OZ211" s="12" t="str">
        <f t="shared" si="314"/>
        <v>F0-AI40-12A</v>
      </c>
      <c r="PA211" s="12" t="str">
        <f t="shared" si="314"/>
        <v>F0-AI40-12B</v>
      </c>
      <c r="PB211" s="12"/>
      <c r="PC211" s="12"/>
      <c r="PD211" s="12"/>
      <c r="PE211" s="12"/>
      <c r="PF211" s="12" cm="1">
        <f t="array" ref="PF211">IF(COUNTIFS($U$2:$U211,$U211)=1,1,INDEX(PF:PF,_xlfn.XMATCH($U211,$U$1:EF210,0,-1))+COUNT(PF210:PK210))</f>
        <v>1</v>
      </c>
      <c r="PG211" s="12">
        <f t="shared" ref="PG211:PH211" si="315">PF211+1</f>
        <v>2</v>
      </c>
      <c r="PH211" s="12">
        <f t="shared" si="315"/>
        <v>3</v>
      </c>
      <c r="PI211" s="12">
        <f>PH211+1</f>
        <v>4</v>
      </c>
      <c r="PJ211" s="12">
        <f t="shared" ref="PJ211:PK211" si="316">PI211+1</f>
        <v>5</v>
      </c>
      <c r="PK211" s="12">
        <f t="shared" si="316"/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 cm="1">
        <f t="array" ref="Y212">IF(COUNTIFS($X$2:$X212,$X212)=1,"1",VALUE(SUBSTITUTE(INDEX(Y:Y,_xlfn.XMATCH($X212,$X$1:$X211,0,-1)),"A",""))+INDEX(Z:Z,_xlfn.XMATCH($X212,$X$1:$X211,0,-1))+1)</f>
        <v>5</v>
      </c>
      <c r="Z212" s="46" cm="1">
        <f t="array" ref="Z212">SUM(IF(ISNUMBER(FIND("TmAi",$BE$1:$AAD$1)),IF(IFERROR(ISODD(SUBSTITUTE($BE212:$AAD212,"A","")),FALSE),IF(ISODD(SUBSTITUTE($BE212:$AAD212,"A","")),1,0),0)))</f>
        <v>0</v>
      </c>
      <c r="AA212" t="str">
        <f t="shared" ref="AA212" si="317">CONCATENATE($Y212*2-1,"B")</f>
        <v>9B</v>
      </c>
      <c r="AB212" t="str">
        <f t="shared" ref="AB212" si="318"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 t="shared" ref="KJ212:KK212" si="319">KI212+1</f>
        <v>8</v>
      </c>
      <c r="KK212">
        <f t="shared" si="319"/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1981</v>
      </c>
      <c r="Y213" s="45" t="str" cm="1">
        <f t="array" ref="Y213">IF(COUNTIFS($X$2:$X213,$X213)=1,"1",VALUE(SUBSTITUTE(INDEX(Y:Y,_xlfn.XMATCH($X213,$X$1:$X212,0,-1)),"A",""))+INDEX(Z:Z,_xlfn.XMATCH($X213,$X$1:$X212,0,-1))+1)</f>
        <v>1</v>
      </c>
      <c r="Z213" s="46" cm="1">
        <f t="array" ref="Z213">SUM(IF(ISNUMBER(FIND("TmAi",$BE$1:$AAD$1)),IF(IFERROR(ISODD(SUBSTITUTE($BE213:$AAD213,"A","")),FALSE),IF(ISODD(SUBSTITUTE($BE213:$AAD213,"A","")),1,0),0)))</f>
        <v>1</v>
      </c>
      <c r="AA213" t="str">
        <f t="shared" ref="AA213" si="320">CONCATENATE($Y213*2-1,"A")</f>
        <v>1A</v>
      </c>
      <c r="AB213" t="str">
        <f t="shared" ref="AB213" si="321"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 t="shared" ref="OM213:OO213" si="322">CONCATENATE(REPLACE(OK213,LEN(OK213),1,"")+1,RIGHT(OK213))</f>
        <v>3B</v>
      </c>
      <c r="ON213" s="12" t="str">
        <f t="shared" si="322"/>
        <v>4A</v>
      </c>
      <c r="OO213" s="12" t="str">
        <f t="shared" si="322"/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323">CONCATENATE($T213,"-AI",REPLACE($X213,1,3,""),"-",OJ213)</f>
        <v>F0-AI41-2A</v>
      </c>
      <c r="OW213" s="12" t="str">
        <f t="shared" si="323"/>
        <v>F0-AI41-2B</v>
      </c>
      <c r="OX213" s="12" t="str">
        <f t="shared" si="323"/>
        <v>F0-AI41-3A</v>
      </c>
      <c r="OY213" s="12" t="str">
        <f t="shared" si="323"/>
        <v>F0-AI41-3B</v>
      </c>
      <c r="OZ213" s="12" t="str">
        <f t="shared" si="323"/>
        <v>F0-AI41-4A</v>
      </c>
      <c r="PA213" s="12" t="str">
        <f t="shared" si="323"/>
        <v>F0-AI41-4B</v>
      </c>
      <c r="PB213" s="12"/>
      <c r="PC213" s="12"/>
      <c r="PD213" s="12"/>
      <c r="PE213" s="12"/>
      <c r="PF213" s="12" cm="1">
        <f t="array" ref="PF213">IF(COUNTIFS($U$2:$U213,$U213)=1,1,INDEX(PF:PF,_xlfn.XMATCH($U213,$U$1:EF212,0,-1))+COUNT(PF212:PK212))</f>
        <v>1</v>
      </c>
      <c r="PG213" s="12">
        <f t="shared" ref="PG213:PH213" si="324">PF213+1</f>
        <v>2</v>
      </c>
      <c r="PH213" s="12">
        <f t="shared" si="324"/>
        <v>3</v>
      </c>
      <c r="PI213" s="12">
        <f>PH213+1</f>
        <v>4</v>
      </c>
      <c r="PJ213" s="12">
        <f t="shared" ref="PJ213:PK213" si="325">PI213+1</f>
        <v>5</v>
      </c>
      <c r="PK213" s="12">
        <f t="shared" si="325"/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 cm="1">
        <f t="array" ref="Y214">IF(COUNTIFS($X$2:$X214,$X214)=1,"1",VALUE(SUBSTITUTE(INDEX(Y:Y,_xlfn.XMATCH($X214,$X$1:$X213,0,-1)),"A",""))+INDEX(Z:Z,_xlfn.XMATCH($X214,$X$1:$X213,0,-1))+1)</f>
        <v>6</v>
      </c>
      <c r="Z214" s="46" cm="1">
        <f t="array" ref="Z214">SUM(IF(ISNUMBER(FIND("TmAi",$BE$1:$AAD$1)),IF(IFERROR(ISODD(SUBSTITUTE($BE214:$AAD214,"A","")),FALSE),IF(ISODD(SUBSTITUTE($BE214:$AAD214,"A","")),1,0),0)))</f>
        <v>0</v>
      </c>
      <c r="AA214" t="str">
        <f t="shared" ref="AA214" si="326">CONCATENATE($Y214*2-1,"B")</f>
        <v>11B</v>
      </c>
      <c r="AB214" t="str">
        <f t="shared" ref="AB214" si="327"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 t="shared" ref="KJ214:KK214" si="328">KI214+1</f>
        <v>8</v>
      </c>
      <c r="KK214">
        <f t="shared" si="328"/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1981</v>
      </c>
      <c r="Y215" s="45" cm="1">
        <f t="array" ref="Y215">IF(COUNTIFS($X$2:$X215,$X215)=1,"1",VALUE(SUBSTITUTE(INDEX(Y:Y,_xlfn.XMATCH($X215,$X$1:$X214,0,-1)),"A",""))+INDEX(Z:Z,_xlfn.XMATCH($X215,$X$1:$X214,0,-1))+1)</f>
        <v>3</v>
      </c>
      <c r="Z215" s="46" cm="1">
        <f t="array" ref="Z215">SUM(IF(ISNUMBER(FIND("TmAi",$BE$1:$AAD$1)),IF(IFERROR(ISODD(SUBSTITUTE($BE215:$AAD215,"A","")),FALSE),IF(ISODD(SUBSTITUTE($BE215:$AAD215,"A","")),1,0),0)))</f>
        <v>1</v>
      </c>
      <c r="AA215" t="str">
        <f t="shared" ref="AA215" si="329">CONCATENATE($Y215*2-1,"A")</f>
        <v>5A</v>
      </c>
      <c r="AB215" t="str">
        <f t="shared" ref="AB215" si="330"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 t="shared" ref="OM215:OO215" si="331">CONCATENATE(REPLACE(OK215,LEN(OK215),1,"")+1,RIGHT(OK215))</f>
        <v>7B</v>
      </c>
      <c r="ON215" s="12" t="str">
        <f t="shared" si="331"/>
        <v>8A</v>
      </c>
      <c r="OO215" s="12" t="str">
        <f t="shared" si="331"/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332">CONCATENATE($T215,"-AI",REPLACE($X215,1,3,""),"-",OJ215)</f>
        <v>F0-AI41-6A</v>
      </c>
      <c r="OW215" s="12" t="str">
        <f t="shared" si="332"/>
        <v>F0-AI41-6B</v>
      </c>
      <c r="OX215" s="12" t="str">
        <f t="shared" si="332"/>
        <v>F0-AI41-7A</v>
      </c>
      <c r="OY215" s="12" t="str">
        <f t="shared" si="332"/>
        <v>F0-AI41-7B</v>
      </c>
      <c r="OZ215" s="12" t="str">
        <f t="shared" si="332"/>
        <v>F0-AI41-8A</v>
      </c>
      <c r="PA215" s="12" t="str">
        <f t="shared" si="332"/>
        <v>F0-AI41-8B</v>
      </c>
      <c r="PB215" s="12"/>
      <c r="PC215" s="12"/>
      <c r="PD215" s="12"/>
      <c r="PE215" s="12"/>
      <c r="PF215" s="12" cm="1">
        <f t="array" ref="PF215">IF(COUNTIFS($U$2:$U215,$U215)=1,1,INDEX(PF:PF,_xlfn.XMATCH($U215,$U$1:EF214,0,-1))+COUNT(PF214:PK214))</f>
        <v>1</v>
      </c>
      <c r="PG215" s="12">
        <f t="shared" ref="PG215:PH215" si="333">PF215+1</f>
        <v>2</v>
      </c>
      <c r="PH215" s="12">
        <f t="shared" si="333"/>
        <v>3</v>
      </c>
      <c r="PI215" s="12">
        <f>PH215+1</f>
        <v>4</v>
      </c>
      <c r="PJ215" s="12">
        <f t="shared" ref="PJ215:PK215" si="334">PI215+1</f>
        <v>5</v>
      </c>
      <c r="PK215" s="12">
        <f t="shared" si="334"/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 cm="1">
        <f t="array" ref="Y216">IF(COUNTIFS($X$2:$X216,$X216)=1,"1",VALUE(SUBSTITUTE(INDEX(Y:Y,_xlfn.XMATCH($X216,$X$1:$X215,0,-1)),"A",""))+INDEX(Z:Z,_xlfn.XMATCH($X216,$X$1:$X215,0,-1))+1)</f>
        <v>7</v>
      </c>
      <c r="Z216" s="46" cm="1">
        <f t="array" ref="Z216">SUM(IF(ISNUMBER(FIND("TmAi",$BE$1:$AAD$1)),IF(IFERROR(ISODD(SUBSTITUTE($BE216:$AAD216,"A","")),FALSE),IF(ISODD(SUBSTITUTE($BE216:$AAD216,"A","")),1,0),0)))</f>
        <v>0</v>
      </c>
      <c r="AA216" t="str">
        <f t="shared" ref="AA216:AA220" si="335">CONCATENATE($Y216*2-1,"B")</f>
        <v>13B</v>
      </c>
      <c r="AB216" t="str">
        <f t="shared" ref="AB216:AB220" si="336"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337">CONCATENATE("XT",U216)</f>
        <v>XT69</v>
      </c>
      <c r="KC216" t="str">
        <f t="shared" ref="KC216:KC224" si="338">CONCATENATE(T216,"-AI",REPLACE($X216,1,3,""),"-",AA216)</f>
        <v>F0-AI25-13B</v>
      </c>
      <c r="KD216" t="str">
        <f t="shared" ref="KD216:KD224" si="339">CONCATENATE(T216,"-AI",REPLACE($X216,1,3,""),"-",AB216)</f>
        <v>F0-AI25-14B</v>
      </c>
      <c r="KI216">
        <v>7</v>
      </c>
      <c r="KJ216">
        <f t="shared" ref="KJ216:KL224" si="340">KI216+1</f>
        <v>8</v>
      </c>
      <c r="KK216">
        <f t="shared" si="340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 cm="1">
        <f t="array" ref="Y217">IF(COUNTIFS($X$2:$X217,$X217)=1,"1",VALUE(SUBSTITUTE(INDEX(Y:Y,_xlfn.XMATCH($X217,$X$1:$X216,0,-1)),"A",""))+INDEX(Z:Z,_xlfn.XMATCH($X217,$X$1:$X216,0,-1))+1)</f>
        <v>1</v>
      </c>
      <c r="Z217" s="46" cm="1">
        <f t="array" ref="Z217">SUM(IF(ISNUMBER(FIND("TmAi",$BE$1:$AAD$1)),IF(IFERROR(ISODD(SUBSTITUTE($BE217:$AAD217,"A","")),FALSE),IF(ISODD(SUBSTITUTE($BE217:$AAD217,"A","")),1,0),0)))</f>
        <v>0</v>
      </c>
      <c r="AA217" t="str">
        <f t="shared" si="335"/>
        <v>1B</v>
      </c>
      <c r="AB217" t="str">
        <f t="shared" si="336"/>
        <v>2B</v>
      </c>
      <c r="AP217" t="s">
        <v>137</v>
      </c>
      <c r="AQ217" t="s">
        <v>1307</v>
      </c>
      <c r="AS217" t="s">
        <v>396</v>
      </c>
      <c r="JZ217" s="27" t="str">
        <f t="shared" si="337"/>
        <v>XT70</v>
      </c>
      <c r="KC217" t="str">
        <f t="shared" si="338"/>
        <v>F0-AI26-1B</v>
      </c>
      <c r="KD217" t="str">
        <f t="shared" si="339"/>
        <v>F0-AI26-2B</v>
      </c>
      <c r="KI217">
        <v>1</v>
      </c>
      <c r="KJ217">
        <f t="shared" si="340"/>
        <v>2</v>
      </c>
      <c r="KK217">
        <f t="shared" si="340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 cm="1">
        <f t="array" ref="Y218">IF(COUNTIFS($X$2:$X218,$X218)=1,"1",VALUE(SUBSTITUTE(INDEX(Y:Y,_xlfn.XMATCH($X218,$X$1:$X217,0,-1)),"A",""))+INDEX(Z:Z,_xlfn.XMATCH($X218,$X$1:$X217,0,-1))+1)</f>
        <v>2</v>
      </c>
      <c r="Z218" s="46" cm="1">
        <f t="array" ref="Z218">SUM(IF(ISNUMBER(FIND("TmAi",$BE$1:$AAD$1)),IF(IFERROR(ISODD(SUBSTITUTE($BE218:$AAD218,"A","")),FALSE),IF(ISODD(SUBSTITUTE($BE218:$AAD218,"A","")),1,0),0)))</f>
        <v>0</v>
      </c>
      <c r="AA218" t="str">
        <f t="shared" si="335"/>
        <v>3B</v>
      </c>
      <c r="AB218" t="str">
        <f t="shared" si="336"/>
        <v>4B</v>
      </c>
      <c r="AP218" t="s">
        <v>137</v>
      </c>
      <c r="AQ218" t="s">
        <v>1307</v>
      </c>
      <c r="AS218" t="s">
        <v>396</v>
      </c>
      <c r="JZ218" s="27" t="str">
        <f t="shared" si="337"/>
        <v>XT70</v>
      </c>
      <c r="KC218" t="str">
        <f t="shared" si="338"/>
        <v>F0-AI26-3B</v>
      </c>
      <c r="KD218" t="str">
        <f t="shared" si="339"/>
        <v>F0-AI26-4B</v>
      </c>
      <c r="KI218" cm="1">
        <f t="array" ref="KI218">IF(COUNTIFS($U$2:$U218,$U218)=1,1,INDEX(KI:KI,_xlfn.XMATCH(U218,U$1:U217,0,-1))+COUNT(KI217:KM217))</f>
        <v>4</v>
      </c>
      <c r="KJ218">
        <f t="shared" si="340"/>
        <v>5</v>
      </c>
      <c r="KK218">
        <f t="shared" si="340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 cm="1">
        <f t="array" ref="Y219">IF(COUNTIFS($X$2:$X219,$X219)=1,"1",VALUE(SUBSTITUTE(INDEX(Y:Y,_xlfn.XMATCH($X219,$X$1:$X218,0,-1)),"A",""))+INDEX(Z:Z,_xlfn.XMATCH($X219,$X$1:$X218,0,-1))+1)</f>
        <v>3</v>
      </c>
      <c r="Z219" s="46" cm="1">
        <f t="array" ref="Z219">SUM(IF(ISNUMBER(FIND("TmAi",$BE$1:$AAD$1)),IF(IFERROR(ISODD(SUBSTITUTE($BE219:$AAD219,"A","")),FALSE),IF(ISODD(SUBSTITUTE($BE219:$AAD219,"A","")),1,0),0)))</f>
        <v>0</v>
      </c>
      <c r="AA219" t="str">
        <f t="shared" si="335"/>
        <v>5B</v>
      </c>
      <c r="AB219" t="str">
        <f t="shared" si="336"/>
        <v>6B</v>
      </c>
      <c r="AP219" t="s">
        <v>137</v>
      </c>
      <c r="AQ219" t="s">
        <v>1302</v>
      </c>
      <c r="AS219" t="s">
        <v>396</v>
      </c>
      <c r="JZ219" s="27" t="str">
        <f t="shared" si="337"/>
        <v>XT70</v>
      </c>
      <c r="KC219" t="str">
        <f t="shared" si="338"/>
        <v>F0-AI26-5B</v>
      </c>
      <c r="KD219" t="str">
        <f t="shared" si="339"/>
        <v>F0-AI26-6B</v>
      </c>
      <c r="KI219" cm="1">
        <f t="array" ref="KI219">IF(COUNTIFS($U$2:$U219,$U219)=1,1,INDEX(KI:KI,_xlfn.XMATCH(U219,U$1:U218,0,-1))+COUNT(KI218:KM218))</f>
        <v>7</v>
      </c>
      <c r="KJ219">
        <f t="shared" si="340"/>
        <v>8</v>
      </c>
      <c r="KK219">
        <f t="shared" si="340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 cm="1">
        <f t="array" ref="Y220">IF(COUNTIFS($X$2:$X220,$X220)=1,"1",VALUE(SUBSTITUTE(INDEX(Y:Y,_xlfn.XMATCH($X220,$X$1:$X219,0,-1)),"A",""))+INDEX(Z:Z,_xlfn.XMATCH($X220,$X$1:$X219,0,-1))+1)</f>
        <v>4</v>
      </c>
      <c r="Z220" s="46" cm="1">
        <f t="array" ref="Z220">SUM(IF(ISNUMBER(FIND("TmAi",$BE$1:$AAD$1)),IF(IFERROR(ISODD(SUBSTITUTE($BE220:$AAD220,"A","")),FALSE),IF(ISODD(SUBSTITUTE($BE220:$AAD220,"A","")),1,0),0)))</f>
        <v>0</v>
      </c>
      <c r="AA220" t="str">
        <f t="shared" si="335"/>
        <v>7B</v>
      </c>
      <c r="AB220" t="str">
        <f t="shared" si="336"/>
        <v>8B</v>
      </c>
      <c r="AP220" t="s">
        <v>137</v>
      </c>
      <c r="AQ220" t="s">
        <v>1302</v>
      </c>
      <c r="AS220" t="s">
        <v>396</v>
      </c>
      <c r="JZ220" s="27" t="str">
        <f t="shared" si="337"/>
        <v>XT70</v>
      </c>
      <c r="KC220" t="str">
        <f t="shared" si="338"/>
        <v>F0-AI26-7B</v>
      </c>
      <c r="KD220" t="str">
        <f t="shared" si="339"/>
        <v>F0-AI26-8B</v>
      </c>
      <c r="KI220" cm="1">
        <f t="array" ref="KI220">IF(COUNTIFS($U$2:$U220,$U220)=1,1,INDEX(KI:KI,_xlfn.XMATCH(U220,U$1:U219,0,-1))+COUNT(KI219:KM219))</f>
        <v>10</v>
      </c>
      <c r="KJ220">
        <f t="shared" si="340"/>
        <v>11</v>
      </c>
      <c r="KK220">
        <f t="shared" si="340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1982</v>
      </c>
      <c r="Y221" s="43" t="str" cm="1">
        <f t="array" ref="Y221">IF(COUNTIFS($X$2:$X221,$X221)=1,"1",VALUE(SUBSTITUTE(INDEX(Y:Y,_xlfn.XMATCH($X221,$X$1:$X220,0,-1)),"A",""))+INDEX(Z:Z,_xlfn.XMATCH($X221,$X$1:$X220,0,-1))+1)</f>
        <v>1</v>
      </c>
      <c r="Z221" s="46" cm="1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337"/>
        <v>XT71</v>
      </c>
      <c r="KA221" t="str">
        <f>REPLACE(AA221,1,1,LEFT(AA221,1)+1)</f>
        <v>2A</v>
      </c>
      <c r="KC221" t="str">
        <f t="shared" si="338"/>
        <v>F0-AI42-1A</v>
      </c>
      <c r="KD221" t="str">
        <f t="shared" si="339"/>
        <v>F0-AI42-1B</v>
      </c>
      <c r="KE221" t="str">
        <f t="shared" ref="KE221:KF222" si="341">CONCATENATE($T221,"-AI",REPLACE($X221,1,3,""),"-",KA221)</f>
        <v>F0-AI42-2A</v>
      </c>
      <c r="KF221" t="str">
        <f t="shared" si="341"/>
        <v>F0-AI42-</v>
      </c>
      <c r="KI221" cm="1">
        <f t="array" ref="KI221">IF(COUNTIFS($U$2:$U221,$U221)=1,1,INDEX(KI:KI,_xlfn.XMATCH(U221,U$1:U220,0,-1))+COUNT(KI220:KM220))</f>
        <v>1</v>
      </c>
      <c r="KJ221">
        <f t="shared" si="340"/>
        <v>2</v>
      </c>
      <c r="KK221">
        <f t="shared" si="340"/>
        <v>3</v>
      </c>
      <c r="KL221">
        <f t="shared" si="340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 cm="1">
        <f t="array" ref="Y222">IF(COUNTIFS($X$2:$X222,$X222)=1,"1",VALUE(SUBSTITUTE(INDEX(Y:Y,_xlfn.XMATCH($X222,$X$1:$X221,0,-1)),"A",""))+INDEX(Z:Z,_xlfn.XMATCH($X222,$X$1:$X221,0,-1))+1)</f>
        <v>2</v>
      </c>
      <c r="Z222" s="46" cm="1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337"/>
        <v>XT71</v>
      </c>
      <c r="KA222" t="str">
        <f>REPLACE(AA222,1,1,LEFT(AA222,1)+1)</f>
        <v>4A</v>
      </c>
      <c r="KC222" t="str">
        <f t="shared" si="338"/>
        <v>F0-AI42-3A</v>
      </c>
      <c r="KD222" t="str">
        <f t="shared" si="339"/>
        <v>F0-AI42-3B</v>
      </c>
      <c r="KE222" t="str">
        <f t="shared" si="341"/>
        <v>F0-AI42-4A</v>
      </c>
      <c r="KF222" t="str">
        <f t="shared" si="341"/>
        <v>F0-AI42-</v>
      </c>
      <c r="KI222" cm="1">
        <f t="array" ref="KI222">IF(COUNTIFS($U$2:$U222,$U222)=1,1,INDEX(KI:KI,_xlfn.XMATCH(U222,U$1:U221,0,-1))+COUNT(KI221:KM221))</f>
        <v>5</v>
      </c>
      <c r="KJ222">
        <f t="shared" si="340"/>
        <v>6</v>
      </c>
      <c r="KK222">
        <f t="shared" si="340"/>
        <v>7</v>
      </c>
      <c r="KL222">
        <f t="shared" si="340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 cm="1">
        <f t="array" ref="Y223">IF(COUNTIFS($X$2:$X223,$X223)=1,"1",VALUE(SUBSTITUTE(INDEX(Y:Y,_xlfn.XMATCH($X223,$X$1:$X222,0,-1)),"A",""))+INDEX(Z:Z,_xlfn.XMATCH($X223,$X$1:$X222,0,-1))+1)</f>
        <v>1</v>
      </c>
      <c r="Z223" s="46" cm="1">
        <f t="array" ref="Z223">SUM(IF(ISNUMBER(FIND("TmAi",$BE$1:$AAD$1)),IF(IFERROR(ISODD(SUBSTITUTE($BE223:$AAD223,"A","")),FALSE),IF(ISODD(SUBSTITUTE($BE223:$AAD223,"A","")),1,0),0)))</f>
        <v>0</v>
      </c>
      <c r="AA223" t="str">
        <f t="shared" ref="AA223:AA224" si="342">CONCATENATE($Y223*2-1,"B")</f>
        <v>1B</v>
      </c>
      <c r="AB223" t="str">
        <f t="shared" ref="AB223:AB224" si="343">CONCATENATE($Y223*2,"B")</f>
        <v>2B</v>
      </c>
      <c r="AP223" t="s">
        <v>137</v>
      </c>
      <c r="AS223" t="s">
        <v>396</v>
      </c>
      <c r="JZ223" s="27" t="str">
        <f t="shared" si="337"/>
        <v>XT71</v>
      </c>
      <c r="KC223" t="str">
        <f t="shared" si="338"/>
        <v>F0-AI27-1B</v>
      </c>
      <c r="KD223" t="str">
        <f t="shared" si="339"/>
        <v>F0-AI27-2B</v>
      </c>
      <c r="KI223" cm="1">
        <f t="array" ref="KI223">IF(COUNTIFS($U$2:$U223,$U223)=1,1,INDEX(KI:KI,_xlfn.XMATCH(U223,U$1:U222,0,-1))+COUNT(KI222:KM222))</f>
        <v>9</v>
      </c>
      <c r="KJ223">
        <f t="shared" si="340"/>
        <v>10</v>
      </c>
      <c r="KK223">
        <f t="shared" si="340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 cm="1">
        <f t="array" ref="Y224">IF(COUNTIFS($X$2:$X224,$X224)=1,"1",VALUE(SUBSTITUTE(INDEX(Y:Y,_xlfn.XMATCH($X224,$X$1:$X223,0,-1)),"A",""))+INDEX(Z:Z,_xlfn.XMATCH($X224,$X$1:$X223,0,-1))+1)</f>
        <v>2</v>
      </c>
      <c r="Z224" s="46" cm="1">
        <f t="array" ref="Z224">SUM(IF(ISNUMBER(FIND("TmAi",$BE$1:$AAD$1)),IF(IFERROR(ISODD(SUBSTITUTE($BE224:$AAD224,"A","")),FALSE),IF(ISODD(SUBSTITUTE($BE224:$AAD224,"A","")),1,0),0)))</f>
        <v>0</v>
      </c>
      <c r="AA224" t="str">
        <f t="shared" si="342"/>
        <v>3B</v>
      </c>
      <c r="AB224" t="str">
        <f t="shared" si="343"/>
        <v>4B</v>
      </c>
      <c r="AP224" t="s">
        <v>137</v>
      </c>
      <c r="AS224" t="s">
        <v>396</v>
      </c>
      <c r="JZ224" s="27" t="str">
        <f t="shared" si="337"/>
        <v>XT71</v>
      </c>
      <c r="KC224" t="str">
        <f t="shared" si="338"/>
        <v>F0-AI27-3B</v>
      </c>
      <c r="KD224" t="str">
        <f t="shared" si="339"/>
        <v>F0-AI27-4B</v>
      </c>
      <c r="KI224" cm="1">
        <f t="array" ref="KI224">IF(COUNTIFS($U$2:$U224,$U224)=1,1,INDEX(KI:KI,_xlfn.XMATCH(U224,U$1:U223,0,-1))+COUNT(KI223:KM223))</f>
        <v>12</v>
      </c>
      <c r="KJ224">
        <f t="shared" si="340"/>
        <v>13</v>
      </c>
      <c r="KK224">
        <f t="shared" si="340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 t="shared" ref="AO225:AO229" si="344"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>CONCATENATE("DI",REPLACE($AC225,1,3,""),"-",AF225)</f>
        <v>DI13-C1</v>
      </c>
      <c r="EZ225" s="12" t="str">
        <f>CONCATENATE("DI",REPLACE($AC225,1,3,""),"-",AG225)</f>
        <v>DI13-B1</v>
      </c>
      <c r="FA225" s="12" t="str">
        <f t="shared" ref="FA225:FD227" si="345">CONCATENATE("DI",REPLACE($AC225,1,3,""),"-",ES225)</f>
        <v>DI13-C2</v>
      </c>
      <c r="FB225" s="12" t="str">
        <f t="shared" si="345"/>
        <v>DI13-B2</v>
      </c>
      <c r="FC225" s="12" t="str">
        <f t="shared" si="345"/>
        <v>DI13-C3</v>
      </c>
      <c r="FD225" s="12" t="str">
        <f t="shared" si="345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>CONCATENATE("DO",REPLACE($AH225,1,3,""),"-",EW225)</f>
        <v>DO7-2B</v>
      </c>
      <c r="FH225" s="12" t="str">
        <f>CONCATENATE("DO",REPLACE($AH225,1,3,""),"-",EX225)</f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 t="shared" ref="FM225:FM229" si="346"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 t="shared" ref="FU225:FU229" si="347"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 t="shared" ref="AN226:AN229" si="348">CONCATENATE(AM226,"XT")</f>
        <v>2XT</v>
      </c>
      <c r="AO226" t="str">
        <f t="shared" si="344"/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 t="shared" ref="ET226:ET227" si="349">CONCATENATE("B",REPLACE(AG226,1,1,"")+1)</f>
        <v>B5</v>
      </c>
      <c r="EU226" t="str">
        <f t="shared" ref="EU226:EU227" si="350">CONCATENATE("C",REPLACE(ES226,1,1,"")+1)</f>
        <v>C6</v>
      </c>
      <c r="EV226" t="str">
        <f t="shared" ref="EV226:EV227" si="351">CONCATENATE("B",REPLACE(ET226,1,1,"")+1)</f>
        <v>B6</v>
      </c>
      <c r="EW226" t="str">
        <f t="shared" ref="EW226:EW227" si="352">CONCATENATE(REPLACE(AK226,LEN(AK226),1,"")+1,"B")</f>
        <v>4B</v>
      </c>
      <c r="EX226" t="str">
        <f t="shared" ref="EX226:EX227" si="353">CONCATENATE(REPLACE(AL226,LEN(AL226),1,"")+1,"A")</f>
        <v>4A</v>
      </c>
      <c r="EY226" t="str">
        <f>CONCATENATE("DI",REPLACE($AC226,1,3,""),"-",AF226)</f>
        <v>DI13-C4</v>
      </c>
      <c r="EZ226" t="str">
        <f t="shared" ref="EZ226:EZ229" si="354">CONCATENATE("DI",REPLACE($AC226,1,3,""),"-",AG226)</f>
        <v>DI13-B4</v>
      </c>
      <c r="FA226" t="str">
        <f t="shared" si="345"/>
        <v>DI13-C5</v>
      </c>
      <c r="FB226" t="str">
        <f t="shared" si="345"/>
        <v>DI13-B5</v>
      </c>
      <c r="FC226" t="str">
        <f t="shared" si="345"/>
        <v>DI13-C6</v>
      </c>
      <c r="FD226" t="str">
        <f t="shared" si="345"/>
        <v>DI13-B6</v>
      </c>
      <c r="FE226" t="str">
        <f t="shared" ref="FE226:FF229" si="355">CONCATENATE("DO",REPLACE($AH226,1,3,""),"-",AK226)</f>
        <v>DO7-3B</v>
      </c>
      <c r="FF226" t="str">
        <f t="shared" si="355"/>
        <v>DO7-3A</v>
      </c>
      <c r="FG226" t="str">
        <f t="shared" ref="FG226:FH227" si="356">CONCATENATE("DO",REPLACE($AH226,1,3,""),"-",EW226)</f>
        <v>DO7-4B</v>
      </c>
      <c r="FH226" t="str">
        <f t="shared" si="356"/>
        <v>DO7-4A</v>
      </c>
      <c r="FI226" t="str">
        <f t="shared" ref="FI226:FI229" si="357">CONCATENATE("K",$U226,"-03")</f>
        <v>K73-03</v>
      </c>
      <c r="FJ226" t="str">
        <f t="shared" ref="FJ226:FJ227" si="358">CONCATENATE("K",$U226,"-04")</f>
        <v>K73-04</v>
      </c>
      <c r="FK226" t="str">
        <f t="shared" ref="FK226:FK227" si="359">CONCATENATE("K",$U226,"-01")</f>
        <v>K73-01</v>
      </c>
      <c r="FL226" t="str">
        <f t="shared" ref="FL226:FL227" si="360">CONCATENATE("K",$U226,"-02")</f>
        <v>K73-02</v>
      </c>
      <c r="FM226" t="str">
        <f t="shared" si="346"/>
        <v>K73-05</v>
      </c>
      <c r="FN226" t="str">
        <f t="shared" ref="FN226:FN229" si="361">CONCATENATE($T226,"-M",$U226,"-H1")</f>
        <v>F0-M73-H1</v>
      </c>
      <c r="FO226" t="str">
        <f t="shared" ref="FO226:FO229" si="362">CONCATENATE($T226,"-M",$U226,"-A1")</f>
        <v>F0-M73-A1</v>
      </c>
      <c r="FP226" t="str">
        <f t="shared" ref="FP226:FP229" si="363">CONCATENATE($T226,"-M",$U226,"-3")</f>
        <v>F0-M73-3</v>
      </c>
      <c r="FQ226" t="str">
        <f t="shared" ref="FQ226:FQ227" si="364">CONCATENATE($T226,"-M",$U226,"-2")</f>
        <v>F0-M73-2</v>
      </c>
      <c r="FR226" t="str">
        <f t="shared" ref="FR226:FR227" si="365">CONCATENATE($T226,"-M",$U226,"-16")</f>
        <v>F0-M73-16</v>
      </c>
      <c r="FS226" t="str">
        <f t="shared" ref="FS226:FS227" si="366">CONCATENATE($T226,"-M",$U226,"-15")</f>
        <v>F0-M73-15</v>
      </c>
      <c r="FT226" t="str">
        <f t="shared" ref="FT226:FT229" si="367">CONCATENATE($T226,"-A220-M",$U226,)</f>
        <v>F0-A220-M73</v>
      </c>
      <c r="FU226" t="str">
        <f t="shared" si="347"/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 t="shared" si="348"/>
        <v>3XT</v>
      </c>
      <c r="AO227" t="str">
        <f t="shared" si="344"/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 t="shared" si="349"/>
        <v>B8</v>
      </c>
      <c r="EU227" t="str">
        <f t="shared" si="350"/>
        <v>C9</v>
      </c>
      <c r="EV227" t="str">
        <f t="shared" si="351"/>
        <v>B9</v>
      </c>
      <c r="EW227" t="str">
        <f t="shared" si="352"/>
        <v>6B</v>
      </c>
      <c r="EX227" t="str">
        <f t="shared" si="353"/>
        <v>6A</v>
      </c>
      <c r="EY227" t="str">
        <f>CONCATENATE("DI",REPLACE($AC227,1,3,""),"-",AF227)</f>
        <v>DI13-C7</v>
      </c>
      <c r="EZ227" t="str">
        <f t="shared" si="354"/>
        <v>DI13-B7</v>
      </c>
      <c r="FA227" t="str">
        <f t="shared" si="345"/>
        <v>DI13-C8</v>
      </c>
      <c r="FB227" t="str">
        <f t="shared" si="345"/>
        <v>DI13-B8</v>
      </c>
      <c r="FC227" t="str">
        <f t="shared" si="345"/>
        <v>DI13-C9</v>
      </c>
      <c r="FD227" t="str">
        <f t="shared" si="345"/>
        <v>DI13-B9</v>
      </c>
      <c r="FE227" t="str">
        <f t="shared" si="355"/>
        <v>DO7-5B</v>
      </c>
      <c r="FF227" t="str">
        <f t="shared" si="355"/>
        <v>DO7-5A</v>
      </c>
      <c r="FG227" t="str">
        <f t="shared" si="356"/>
        <v>DO7-6B</v>
      </c>
      <c r="FH227" t="str">
        <f t="shared" si="356"/>
        <v>DO7-6A</v>
      </c>
      <c r="FI227" t="str">
        <f t="shared" si="357"/>
        <v>K74-03</v>
      </c>
      <c r="FJ227" t="str">
        <f t="shared" si="358"/>
        <v>K74-04</v>
      </c>
      <c r="FK227" t="str">
        <f t="shared" si="359"/>
        <v>K74-01</v>
      </c>
      <c r="FL227" t="str">
        <f t="shared" si="360"/>
        <v>K74-02</v>
      </c>
      <c r="FM227" t="str">
        <f t="shared" si="346"/>
        <v>K74-05</v>
      </c>
      <c r="FN227" t="str">
        <f t="shared" si="361"/>
        <v>F0-M74-H1</v>
      </c>
      <c r="FO227" t="str">
        <f t="shared" si="362"/>
        <v>F0-M74-A1</v>
      </c>
      <c r="FP227" t="str">
        <f t="shared" si="363"/>
        <v>F0-M74-3</v>
      </c>
      <c r="FQ227" t="str">
        <f t="shared" si="364"/>
        <v>F0-M74-2</v>
      </c>
      <c r="FR227" t="str">
        <f t="shared" si="365"/>
        <v>F0-M74-16</v>
      </c>
      <c r="FS227" t="str">
        <f t="shared" si="366"/>
        <v>F0-M74-15</v>
      </c>
      <c r="FT227" t="str">
        <f t="shared" si="367"/>
        <v>F0-A220-M74</v>
      </c>
      <c r="FU227" t="str">
        <f t="shared" si="347"/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 t="shared" si="348"/>
        <v>4XT</v>
      </c>
      <c r="AO228" t="str">
        <f t="shared" si="344"/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>CONCATENATE("DI",REPLACE($AC228,1,3,""),"-",AF228)</f>
        <v>DI13-C10</v>
      </c>
      <c r="EZ228" t="str">
        <f t="shared" si="354"/>
        <v>DI13-B10</v>
      </c>
      <c r="FE228" t="str">
        <f t="shared" si="355"/>
        <v>DO7-7B</v>
      </c>
      <c r="FF228" t="str">
        <f t="shared" si="355"/>
        <v>DO7-7A</v>
      </c>
      <c r="FI228" t="str">
        <f t="shared" si="357"/>
        <v>K75-03</v>
      </c>
      <c r="FM228" t="str">
        <f t="shared" si="346"/>
        <v>K75-05</v>
      </c>
      <c r="FN228" t="str">
        <f t="shared" si="361"/>
        <v>F0-M75-H1</v>
      </c>
      <c r="FO228" t="str">
        <f t="shared" si="362"/>
        <v>F0-M75-A1</v>
      </c>
      <c r="FP228" t="str">
        <f t="shared" si="363"/>
        <v>F0-M75-3</v>
      </c>
      <c r="FT228" t="str">
        <f t="shared" si="367"/>
        <v>F0-A220-M75</v>
      </c>
      <c r="FU228" t="str">
        <f t="shared" si="347"/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 t="shared" si="348"/>
        <v>5XT</v>
      </c>
      <c r="AO229" t="str">
        <f t="shared" si="344"/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>CONCATENATE("DI",REPLACE($AC229,1,3,""),"-",AF229)</f>
        <v>DI13-C11</v>
      </c>
      <c r="EZ229" t="str">
        <f t="shared" si="354"/>
        <v>DI13-B11</v>
      </c>
      <c r="FE229" t="str">
        <f t="shared" si="355"/>
        <v>DO7-8B</v>
      </c>
      <c r="FF229" t="str">
        <f t="shared" si="355"/>
        <v>DO7-8A</v>
      </c>
      <c r="FI229" t="str">
        <f t="shared" si="357"/>
        <v>K76-03</v>
      </c>
      <c r="FM229" t="str">
        <f t="shared" si="346"/>
        <v>K76-05</v>
      </c>
      <c r="FN229" t="str">
        <f t="shared" si="361"/>
        <v>F0-M76-H1</v>
      </c>
      <c r="FO229" t="str">
        <f t="shared" si="362"/>
        <v>F0-M76-A1</v>
      </c>
      <c r="FP229" t="str">
        <f t="shared" si="363"/>
        <v>F0-M76-3</v>
      </c>
      <c r="FT229" t="str">
        <f t="shared" si="367"/>
        <v>F0-A220-M76</v>
      </c>
      <c r="FU229" t="str">
        <f t="shared" si="347"/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 t="shared" ref="MJ230" si="368"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 cm="1">
        <f t="array" ref="Y233">IF(COUNTIFS($X$2:$X233,$X233)=1,"1",VALUE(SUBSTITUTE(INDEX(Y:Y,_xlfn.XMATCH($X233,$X$1:$X232,0,-1)),"A",""))+INDEX(Z:Z,_xlfn.XMATCH($X233,$X$1:$X232,0,-1))+1)</f>
        <v>1</v>
      </c>
      <c r="Z233" s="43" cm="1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369">CONCATENATE($Y233*2-1,"B")</f>
        <v>1B</v>
      </c>
      <c r="AB233" t="str">
        <f t="shared" ref="AB233:AB266" si="370">CONCATENATE($Y233*2,"B")</f>
        <v>2B</v>
      </c>
      <c r="AP233" t="s">
        <v>137</v>
      </c>
      <c r="AS233" t="s">
        <v>396</v>
      </c>
      <c r="JZ233" s="27" t="str">
        <f t="shared" ref="JZ233:JZ266" si="371">CONCATENATE("XT",U233)</f>
        <v>XT78</v>
      </c>
      <c r="KC233" t="str">
        <f t="shared" ref="KC233:KC266" si="372">CONCATENATE(T233,"-AI",REPLACE($X233,1,3,""),"-",AA233)</f>
        <v>F0-AI28-1B</v>
      </c>
      <c r="KD233" t="str">
        <f t="shared" ref="KD233:KD266" si="373">CONCATENATE(T233,"-AI",REPLACE($X233,1,3,""),"-",AB233)</f>
        <v>F0-AI28-2B</v>
      </c>
      <c r="KI233" cm="1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 cm="1">
        <f t="array" ref="Y234">IF(COUNTIFS($X$2:$X234,$X234)=1,"1",VALUE(SUBSTITUTE(INDEX(Y:Y,_xlfn.XMATCH($X234,$X$1:$X233,0,-1)),"A",""))+INDEX(Z:Z,_xlfn.XMATCH($X234,$X$1:$X233,0,-1))+1)</f>
        <v>2</v>
      </c>
      <c r="Z234" s="43" cm="1">
        <f t="array" ref="Z234">SUM(IF(ISNUMBER(FIND("TmAi",$BE$1:$AAD$1)),IF(IFERROR(ISODD(SUBSTITUTE($BE234:$AAD234,"A","")),FALSE),IF(ISODD(SUBSTITUTE($BE234:$AAD234,"A","")),1,0),0)))</f>
        <v>0</v>
      </c>
      <c r="AA234" t="str">
        <f t="shared" si="369"/>
        <v>3B</v>
      </c>
      <c r="AB234" t="str">
        <f t="shared" si="370"/>
        <v>4B</v>
      </c>
      <c r="AP234" t="s">
        <v>137</v>
      </c>
      <c r="AS234" t="s">
        <v>396</v>
      </c>
      <c r="JZ234" s="27" t="str">
        <f t="shared" si="371"/>
        <v>XT78</v>
      </c>
      <c r="KC234" t="str">
        <f t="shared" si="372"/>
        <v>F0-AI28-3B</v>
      </c>
      <c r="KD234" t="str">
        <f t="shared" si="373"/>
        <v>F0-AI28-4B</v>
      </c>
      <c r="KI234" cm="1">
        <f t="array" ref="KI234">IF(COUNTIFS($U$2:$U234,$U234)=1,1,INDEX(KI:KI,_xlfn.XMATCH(U234,U$1:U233,0,-1))+COUNT(KI233:KM233))</f>
        <v>4</v>
      </c>
      <c r="KJ234">
        <f t="shared" ref="KJ234:KK249" si="374">KI234+1</f>
        <v>5</v>
      </c>
      <c r="KK234">
        <f t="shared" si="374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 cm="1">
        <f t="array" ref="Y235">IF(COUNTIFS($X$2:$X235,$X235)=1,"1",VALUE(SUBSTITUTE(INDEX(Y:Y,_xlfn.XMATCH($X235,$X$1:$X234,0,-1)),"A",""))+INDEX(Z:Z,_xlfn.XMATCH($X235,$X$1:$X234,0,-1))+1)</f>
        <v>1</v>
      </c>
      <c r="Z235" s="43" cm="1">
        <f t="array" ref="Z235">SUM(IF(ISNUMBER(FIND("TmAi",$BE$1:$AAD$1)),IF(IFERROR(ISODD(SUBSTITUTE($BE235:$AAD235,"A","")),FALSE),IF(ISODD(SUBSTITUTE($BE235:$AAD235,"A","")),1,0),0)))</f>
        <v>0</v>
      </c>
      <c r="AA235" t="str">
        <f t="shared" si="369"/>
        <v>1B</v>
      </c>
      <c r="AB235" t="str">
        <f t="shared" si="370"/>
        <v>2B</v>
      </c>
      <c r="AP235" t="s">
        <v>137</v>
      </c>
      <c r="AS235" t="s">
        <v>396</v>
      </c>
      <c r="JZ235" s="27" t="str">
        <f t="shared" si="371"/>
        <v>XT79</v>
      </c>
      <c r="KC235" t="str">
        <f t="shared" si="372"/>
        <v>F0-AI29-1B</v>
      </c>
      <c r="KD235" t="str">
        <f t="shared" si="373"/>
        <v>F0-AI29-2B</v>
      </c>
      <c r="KI235" cm="1">
        <f t="array" ref="KI235">IF(COUNTIFS($U$2:$U235,$U235)=1,1,INDEX(KI:KI,_xlfn.XMATCH(U235,U$1:U234,0,-1))+COUNT(KI234:KM234))</f>
        <v>1</v>
      </c>
      <c r="KJ235">
        <f t="shared" si="374"/>
        <v>2</v>
      </c>
      <c r="KK235">
        <f t="shared" si="374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 cm="1">
        <f t="array" ref="Y236">IF(COUNTIFS($X$2:$X236,$X236)=1,"1",VALUE(SUBSTITUTE(INDEX(Y:Y,_xlfn.XMATCH($X236,$X$1:$X235,0,-1)),"A",""))+INDEX(Z:Z,_xlfn.XMATCH($X236,$X$1:$X235,0,-1))+1)</f>
        <v>2</v>
      </c>
      <c r="Z236" s="43" cm="1">
        <f t="array" ref="Z236">SUM(IF(ISNUMBER(FIND("TmAi",$BE$1:$AAD$1)),IF(IFERROR(ISODD(SUBSTITUTE($BE236:$AAD236,"A","")),FALSE),IF(ISODD(SUBSTITUTE($BE236:$AAD236,"A","")),1,0),0)))</f>
        <v>0</v>
      </c>
      <c r="AA236" t="str">
        <f t="shared" si="369"/>
        <v>3B</v>
      </c>
      <c r="AB236" t="str">
        <f t="shared" si="370"/>
        <v>4B</v>
      </c>
      <c r="AP236" t="s">
        <v>137</v>
      </c>
      <c r="AS236" t="s">
        <v>396</v>
      </c>
      <c r="JZ236" s="27" t="str">
        <f t="shared" si="371"/>
        <v>XT79</v>
      </c>
      <c r="KC236" t="str">
        <f t="shared" si="372"/>
        <v>F0-AI29-3B</v>
      </c>
      <c r="KD236" t="str">
        <f t="shared" si="373"/>
        <v>F0-AI29-4B</v>
      </c>
      <c r="KI236" cm="1">
        <f t="array" ref="KI236">IF(COUNTIFS($U$2:$U236,$U236)=1,1,INDEX(KI:KI,_xlfn.XMATCH(U236,U$1:U235,0,-1))+COUNT(KI235:KM235))</f>
        <v>4</v>
      </c>
      <c r="KJ236">
        <f t="shared" si="374"/>
        <v>5</v>
      </c>
      <c r="KK236">
        <f t="shared" si="374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 cm="1">
        <f t="array" ref="Y237">IF(COUNTIFS($X$2:$X237,$X237)=1,"1",VALUE(SUBSTITUTE(INDEX(Y:Y,_xlfn.XMATCH($X237,$X$1:$X236,0,-1)),"A",""))+INDEX(Z:Z,_xlfn.XMATCH($X237,$X$1:$X236,0,-1))+1)</f>
        <v>3</v>
      </c>
      <c r="Z237" s="43" cm="1">
        <f t="array" ref="Z237">SUM(IF(ISNUMBER(FIND("TmAi",$BE$1:$AAD$1)),IF(IFERROR(ISODD(SUBSTITUTE($BE237:$AAD237,"A","")),FALSE),IF(ISODD(SUBSTITUTE($BE237:$AAD237,"A","")),1,0),0)))</f>
        <v>0</v>
      </c>
      <c r="AA237" t="str">
        <f t="shared" si="369"/>
        <v>5B</v>
      </c>
      <c r="AB237" t="str">
        <f t="shared" si="370"/>
        <v>6B</v>
      </c>
      <c r="AP237" t="s">
        <v>137</v>
      </c>
      <c r="AS237" t="s">
        <v>396</v>
      </c>
      <c r="JZ237" s="27" t="str">
        <f t="shared" si="371"/>
        <v>XT79</v>
      </c>
      <c r="KC237" t="str">
        <f t="shared" si="372"/>
        <v>F0-AI29-5B</v>
      </c>
      <c r="KD237" t="str">
        <f t="shared" si="373"/>
        <v>F0-AI29-6B</v>
      </c>
      <c r="KI237" cm="1">
        <f t="array" ref="KI237">IF(COUNTIFS($U$2:$U237,$U237)=1,1,INDEX(KI:KI,_xlfn.XMATCH(U237,U$1:U236,0,-1))+COUNT(KI236:KM236))</f>
        <v>7</v>
      </c>
      <c r="KJ237">
        <f t="shared" si="374"/>
        <v>8</v>
      </c>
      <c r="KK237">
        <f t="shared" si="374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 cm="1">
        <f t="array" ref="Y238">IF(COUNTIFS($X$2:$X238,$X238)=1,"1",VALUE(SUBSTITUTE(INDEX(Y:Y,_xlfn.XMATCH($X238,$X$1:$X237,0,-1)),"A",""))+INDEX(Z:Z,_xlfn.XMATCH($X238,$X$1:$X237,0,-1))+1)</f>
        <v>4</v>
      </c>
      <c r="Z238" s="43" cm="1">
        <f t="array" ref="Z238">SUM(IF(ISNUMBER(FIND("TmAi",$BE$1:$AAD$1)),IF(IFERROR(ISODD(SUBSTITUTE($BE238:$AAD238,"A","")),FALSE),IF(ISODD(SUBSTITUTE($BE238:$AAD238,"A","")),1,0),0)))</f>
        <v>0</v>
      </c>
      <c r="AA238" t="str">
        <f t="shared" si="369"/>
        <v>7B</v>
      </c>
      <c r="AB238" t="str">
        <f t="shared" si="370"/>
        <v>8B</v>
      </c>
      <c r="AP238" t="s">
        <v>137</v>
      </c>
      <c r="AS238" t="s">
        <v>396</v>
      </c>
      <c r="JZ238" s="27" t="str">
        <f t="shared" si="371"/>
        <v>XT79</v>
      </c>
      <c r="KC238" t="str">
        <f t="shared" si="372"/>
        <v>F0-AI29-7B</v>
      </c>
      <c r="KD238" t="str">
        <f t="shared" si="373"/>
        <v>F0-AI29-8B</v>
      </c>
      <c r="KI238" cm="1">
        <f t="array" ref="KI238">IF(COUNTIFS($U$2:$U238,$U238)=1,1,INDEX(KI:KI,_xlfn.XMATCH(U238,U$1:U237,0,-1))+COUNT(KI237:KM237))</f>
        <v>10</v>
      </c>
      <c r="KJ238">
        <f t="shared" si="374"/>
        <v>11</v>
      </c>
      <c r="KK238">
        <f t="shared" si="374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 cm="1">
        <f t="array" ref="Y239">IF(COUNTIFS($X$2:$X239,$X239)=1,"1",VALUE(SUBSTITUTE(INDEX(Y:Y,_xlfn.XMATCH($X239,$X$1:$X238,0,-1)),"A",""))+INDEX(Z:Z,_xlfn.XMATCH($X239,$X$1:$X238,0,-1))+1)</f>
        <v>5</v>
      </c>
      <c r="Z239" s="43" cm="1">
        <f t="array" ref="Z239">SUM(IF(ISNUMBER(FIND("TmAi",$BE$1:$AAD$1)),IF(IFERROR(ISODD(SUBSTITUTE($BE239:$AAD239,"A","")),FALSE),IF(ISODD(SUBSTITUTE($BE239:$AAD239,"A","")),1,0),0)))</f>
        <v>0</v>
      </c>
      <c r="AA239" t="str">
        <f t="shared" si="369"/>
        <v>9B</v>
      </c>
      <c r="AB239" t="str">
        <f t="shared" si="370"/>
        <v>10B</v>
      </c>
      <c r="AP239" t="s">
        <v>137</v>
      </c>
      <c r="AS239" t="s">
        <v>396</v>
      </c>
      <c r="JZ239" s="27" t="str">
        <f t="shared" si="371"/>
        <v>XT80</v>
      </c>
      <c r="KC239" t="str">
        <f t="shared" si="372"/>
        <v>F0-AI29-9B</v>
      </c>
      <c r="KD239" t="str">
        <f t="shared" si="373"/>
        <v>F0-AI29-10B</v>
      </c>
      <c r="KI239" cm="1">
        <f t="array" ref="KI239">IF(COUNTIFS($U$2:$U239,$U239)=1,1,INDEX(KI:KI,_xlfn.XMATCH(U239,U$1:U238,0,-1))+COUNT(KI238:KM238))</f>
        <v>1</v>
      </c>
      <c r="KJ239">
        <f t="shared" si="374"/>
        <v>2</v>
      </c>
      <c r="KK239">
        <f t="shared" si="374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 cm="1">
        <f t="array" ref="Y240">IF(COUNTIFS($X$2:$X240,$X240)=1,"1",VALUE(SUBSTITUTE(INDEX(Y:Y,_xlfn.XMATCH($X240,$X$1:$X239,0,-1)),"A",""))+INDEX(Z:Z,_xlfn.XMATCH($X240,$X$1:$X239,0,-1))+1)</f>
        <v>6</v>
      </c>
      <c r="Z240" s="43" cm="1">
        <f t="array" ref="Z240">SUM(IF(ISNUMBER(FIND("TmAi",$BE$1:$AAD$1)),IF(IFERROR(ISODD(SUBSTITUTE($BE240:$AAD240,"A","")),FALSE),IF(ISODD(SUBSTITUTE($BE240:$AAD240,"A","")),1,0),0)))</f>
        <v>0</v>
      </c>
      <c r="AA240" t="str">
        <f t="shared" si="369"/>
        <v>11B</v>
      </c>
      <c r="AB240" t="str">
        <f t="shared" si="370"/>
        <v>12B</v>
      </c>
      <c r="AP240" t="s">
        <v>137</v>
      </c>
      <c r="AS240" t="s">
        <v>396</v>
      </c>
      <c r="JZ240" s="27" t="str">
        <f t="shared" si="371"/>
        <v>XT80</v>
      </c>
      <c r="KC240" t="str">
        <f t="shared" si="372"/>
        <v>F0-AI29-11B</v>
      </c>
      <c r="KD240" t="str">
        <f t="shared" si="373"/>
        <v>F0-AI29-12B</v>
      </c>
      <c r="KI240" cm="1">
        <f t="array" ref="KI240">IF(COUNTIFS($U$2:$U240,$U240)=1,1,INDEX(KI:KI,_xlfn.XMATCH(U240,U$1:U239,0,-1))+COUNT(KI239:KM239))</f>
        <v>4</v>
      </c>
      <c r="KJ240">
        <f t="shared" si="374"/>
        <v>5</v>
      </c>
      <c r="KK240">
        <f t="shared" si="374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 cm="1">
        <f t="array" ref="Y241">IF(COUNTIFS($X$2:$X241,$X241)=1,"1",VALUE(SUBSTITUTE(INDEX(Y:Y,_xlfn.XMATCH($X241,$X$1:$X240,0,-1)),"A",""))+INDEX(Z:Z,_xlfn.XMATCH($X241,$X$1:$X240,0,-1))+1)</f>
        <v>7</v>
      </c>
      <c r="Z241" s="43" cm="1">
        <f t="array" ref="Z241">SUM(IF(ISNUMBER(FIND("TmAi",$BE$1:$AAD$1)),IF(IFERROR(ISODD(SUBSTITUTE($BE241:$AAD241,"A","")),FALSE),IF(ISODD(SUBSTITUTE($BE241:$AAD241,"A","")),1,0),0)))</f>
        <v>0</v>
      </c>
      <c r="AA241" t="str">
        <f t="shared" si="369"/>
        <v>13B</v>
      </c>
      <c r="AB241" t="str">
        <f t="shared" si="370"/>
        <v>14B</v>
      </c>
      <c r="AP241" t="s">
        <v>137</v>
      </c>
      <c r="AS241" t="s">
        <v>396</v>
      </c>
      <c r="JZ241" s="27" t="str">
        <f t="shared" si="371"/>
        <v>XT80</v>
      </c>
      <c r="KC241" t="str">
        <f t="shared" si="372"/>
        <v>F0-AI29-13B</v>
      </c>
      <c r="KD241" t="str">
        <f t="shared" si="373"/>
        <v>F0-AI29-14B</v>
      </c>
      <c r="KI241" cm="1">
        <f t="array" ref="KI241">IF(COUNTIFS($U$2:$U241,$U241)=1,1,INDEX(KI:KI,_xlfn.XMATCH(U241,U$1:U240,0,-1))+COUNT(KI240:KM240))</f>
        <v>7</v>
      </c>
      <c r="KJ241">
        <f t="shared" si="374"/>
        <v>8</v>
      </c>
      <c r="KK241">
        <f t="shared" si="374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 cm="1">
        <f t="array" ref="Y242">IF(COUNTIFS($X$2:$X242,$X242)=1,"1",VALUE(SUBSTITUTE(INDEX(Y:Y,_xlfn.XMATCH($X242,$X$1:$X241,0,-1)),"A",""))+INDEX(Z:Z,_xlfn.XMATCH($X242,$X$1:$X241,0,-1))+1)</f>
        <v>8</v>
      </c>
      <c r="Z242" s="43" cm="1">
        <f t="array" ref="Z242">SUM(IF(ISNUMBER(FIND("TmAi",$BE$1:$AAD$1)),IF(IFERROR(ISODD(SUBSTITUTE($BE242:$AAD242,"A","")),FALSE),IF(ISODD(SUBSTITUTE($BE242:$AAD242,"A","")),1,0),0)))</f>
        <v>0</v>
      </c>
      <c r="AA242" t="str">
        <f t="shared" si="369"/>
        <v>15B</v>
      </c>
      <c r="AB242" t="str">
        <f t="shared" si="370"/>
        <v>16B</v>
      </c>
      <c r="AP242" t="s">
        <v>137</v>
      </c>
      <c r="AS242" t="s">
        <v>396</v>
      </c>
      <c r="JZ242" s="27" t="str">
        <f t="shared" si="371"/>
        <v>XT80</v>
      </c>
      <c r="KC242" t="str">
        <f t="shared" si="372"/>
        <v>F0-AI29-15B</v>
      </c>
      <c r="KD242" t="str">
        <f t="shared" si="373"/>
        <v>F0-AI29-16B</v>
      </c>
      <c r="KI242" cm="1">
        <f t="array" ref="KI242">IF(COUNTIFS($U$2:$U242,$U242)=1,1,INDEX(KI:KI,_xlfn.XMATCH(U242,U$1:U241,0,-1))+COUNT(KI241:KM241))</f>
        <v>10</v>
      </c>
      <c r="KJ242">
        <f t="shared" si="374"/>
        <v>11</v>
      </c>
      <c r="KK242">
        <f t="shared" si="374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 cm="1">
        <f t="array" ref="Y243">IF(COUNTIFS($X$2:$X243,$X243)=1,"1",VALUE(SUBSTITUTE(INDEX(Y:Y,_xlfn.XMATCH($X243,$X$1:$X242,0,-1)),"A",""))+INDEX(Z:Z,_xlfn.XMATCH($X243,$X$1:$X242,0,-1))+1)</f>
        <v>1</v>
      </c>
      <c r="Z243" s="43" cm="1">
        <f t="array" ref="Z243">SUM(IF(ISNUMBER(FIND("TmAi",$BE$1:$AAD$1)),IF(IFERROR(ISODD(SUBSTITUTE($BE243:$AAD243,"A","")),FALSE),IF(ISODD(SUBSTITUTE($BE243:$AAD243,"A","")),1,0),0)))</f>
        <v>0</v>
      </c>
      <c r="AA243" t="str">
        <f t="shared" si="369"/>
        <v>1B</v>
      </c>
      <c r="AB243" t="str">
        <f t="shared" si="370"/>
        <v>2B</v>
      </c>
      <c r="AP243" t="s">
        <v>137</v>
      </c>
      <c r="AS243" t="s">
        <v>396</v>
      </c>
      <c r="JZ243" s="27" t="str">
        <f t="shared" si="371"/>
        <v>XT81</v>
      </c>
      <c r="KC243" t="str">
        <f t="shared" si="372"/>
        <v>F0-AI30-1B</v>
      </c>
      <c r="KD243" t="str">
        <f t="shared" si="373"/>
        <v>F0-AI30-2B</v>
      </c>
      <c r="KI243" cm="1">
        <f t="array" ref="KI243">IF(COUNTIFS($U$2:$U243,$U243)=1,1,INDEX(KI:KI,_xlfn.XMATCH(U243,U$1:U242,0,-1))+COUNT(KI242:KM242))</f>
        <v>1</v>
      </c>
      <c r="KJ243">
        <f t="shared" si="374"/>
        <v>2</v>
      </c>
      <c r="KK243">
        <f t="shared" si="374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 cm="1">
        <f t="array" ref="Y244">IF(COUNTIFS($X$2:$X244,$X244)=1,"1",VALUE(SUBSTITUTE(INDEX(Y:Y,_xlfn.XMATCH($X244,$X$1:$X243,0,-1)),"A",""))+INDEX(Z:Z,_xlfn.XMATCH($X244,$X$1:$X243,0,-1))+1)</f>
        <v>2</v>
      </c>
      <c r="Z244" s="43" cm="1">
        <f t="array" ref="Z244">SUM(IF(ISNUMBER(FIND("TmAi",$BE$1:$AAD$1)),IF(IFERROR(ISODD(SUBSTITUTE($BE244:$AAD244,"A","")),FALSE),IF(ISODD(SUBSTITUTE($BE244:$AAD244,"A","")),1,0),0)))</f>
        <v>0</v>
      </c>
      <c r="AA244" t="str">
        <f t="shared" si="369"/>
        <v>3B</v>
      </c>
      <c r="AB244" t="str">
        <f t="shared" si="370"/>
        <v>4B</v>
      </c>
      <c r="AP244" t="s">
        <v>137</v>
      </c>
      <c r="AS244" t="s">
        <v>396</v>
      </c>
      <c r="JZ244" s="27" t="str">
        <f t="shared" si="371"/>
        <v>XT81</v>
      </c>
      <c r="KC244" t="str">
        <f t="shared" si="372"/>
        <v>F0-AI30-3B</v>
      </c>
      <c r="KD244" t="str">
        <f t="shared" si="373"/>
        <v>F0-AI30-4B</v>
      </c>
      <c r="KI244" cm="1">
        <f t="array" ref="KI244">IF(COUNTIFS($U$2:$U244,$U244)=1,1,INDEX(KI:KI,_xlfn.XMATCH(U244,U$1:U243,0,-1))+COUNT(KI243:KM243))</f>
        <v>4</v>
      </c>
      <c r="KJ244">
        <f t="shared" si="374"/>
        <v>5</v>
      </c>
      <c r="KK244">
        <f t="shared" si="374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 cm="1">
        <f t="array" ref="Y245">IF(COUNTIFS($X$2:$X245,$X245)=1,"1",VALUE(SUBSTITUTE(INDEX(Y:Y,_xlfn.XMATCH($X245,$X$1:$X244,0,-1)),"A",""))+INDEX(Z:Z,_xlfn.XMATCH($X245,$X$1:$X244,0,-1))+1)</f>
        <v>3</v>
      </c>
      <c r="Z245" s="43" cm="1">
        <f t="array" ref="Z245">SUM(IF(ISNUMBER(FIND("TmAi",$BE$1:$AAD$1)),IF(IFERROR(ISODD(SUBSTITUTE($BE245:$AAD245,"A","")),FALSE),IF(ISODD(SUBSTITUTE($BE245:$AAD245,"A","")),1,0),0)))</f>
        <v>0</v>
      </c>
      <c r="AA245" t="str">
        <f t="shared" si="369"/>
        <v>5B</v>
      </c>
      <c r="AB245" t="str">
        <f t="shared" si="370"/>
        <v>6B</v>
      </c>
      <c r="AP245" t="s">
        <v>137</v>
      </c>
      <c r="AS245" t="s">
        <v>396</v>
      </c>
      <c r="JZ245" s="27" t="str">
        <f t="shared" si="371"/>
        <v>XT81</v>
      </c>
      <c r="KC245" t="str">
        <f t="shared" si="372"/>
        <v>F0-AI30-5B</v>
      </c>
      <c r="KD245" t="str">
        <f t="shared" si="373"/>
        <v>F0-AI30-6B</v>
      </c>
      <c r="KI245" cm="1">
        <f t="array" ref="KI245">IF(COUNTIFS($U$2:$U245,$U245)=1,1,INDEX(KI:KI,_xlfn.XMATCH(U245,U$1:U244,0,-1))+COUNT(KI244:KM244))</f>
        <v>7</v>
      </c>
      <c r="KJ245">
        <f t="shared" si="374"/>
        <v>8</v>
      </c>
      <c r="KK245">
        <f t="shared" si="374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 cm="1">
        <f t="array" ref="Y246">IF(COUNTIFS($X$2:$X246,$X246)=1,"1",VALUE(SUBSTITUTE(INDEX(Y:Y,_xlfn.XMATCH($X246,$X$1:$X245,0,-1)),"A",""))+INDEX(Z:Z,_xlfn.XMATCH($X246,$X$1:$X245,0,-1))+1)</f>
        <v>4</v>
      </c>
      <c r="Z246" s="43" cm="1">
        <f t="array" ref="Z246">SUM(IF(ISNUMBER(FIND("TmAi",$BE$1:$AAD$1)),IF(IFERROR(ISODD(SUBSTITUTE($BE246:$AAD246,"A","")),FALSE),IF(ISODD(SUBSTITUTE($BE246:$AAD246,"A","")),1,0),0)))</f>
        <v>0</v>
      </c>
      <c r="AA246" t="str">
        <f t="shared" si="369"/>
        <v>7B</v>
      </c>
      <c r="AB246" t="str">
        <f t="shared" si="370"/>
        <v>8B</v>
      </c>
      <c r="AP246" t="s">
        <v>137</v>
      </c>
      <c r="AS246" t="s">
        <v>396</v>
      </c>
      <c r="JZ246" s="27" t="str">
        <f t="shared" si="371"/>
        <v>XT81</v>
      </c>
      <c r="KC246" t="str">
        <f t="shared" si="372"/>
        <v>F0-AI30-7B</v>
      </c>
      <c r="KD246" t="str">
        <f t="shared" si="373"/>
        <v>F0-AI30-8B</v>
      </c>
      <c r="KI246" cm="1">
        <f t="array" ref="KI246">IF(COUNTIFS($U$2:$U246,$U246)=1,1,INDEX(KI:KI,_xlfn.XMATCH(U246,U$1:U245,0,-1))+COUNT(KI245:KM245))</f>
        <v>10</v>
      </c>
      <c r="KJ246">
        <f t="shared" si="374"/>
        <v>11</v>
      </c>
      <c r="KK246">
        <f t="shared" si="374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 cm="1">
        <f t="array" ref="Y247">IF(COUNTIFS($X$2:$X247,$X247)=1,"1",VALUE(SUBSTITUTE(INDEX(Y:Y,_xlfn.XMATCH($X247,$X$1:$X246,0,-1)),"A",""))+INDEX(Z:Z,_xlfn.XMATCH($X247,$X$1:$X246,0,-1))+1)</f>
        <v>5</v>
      </c>
      <c r="Z247" s="43" cm="1">
        <f t="array" ref="Z247">SUM(IF(ISNUMBER(FIND("TmAi",$BE$1:$AAD$1)),IF(IFERROR(ISODD(SUBSTITUTE($BE247:$AAD247,"A","")),FALSE),IF(ISODD(SUBSTITUTE($BE247:$AAD247,"A","")),1,0),0)))</f>
        <v>0</v>
      </c>
      <c r="AA247" t="str">
        <f t="shared" si="369"/>
        <v>9B</v>
      </c>
      <c r="AB247" t="str">
        <f t="shared" si="370"/>
        <v>10B</v>
      </c>
      <c r="AP247" t="s">
        <v>137</v>
      </c>
      <c r="AS247" t="s">
        <v>396</v>
      </c>
      <c r="JZ247" s="27" t="str">
        <f t="shared" si="371"/>
        <v>XT82</v>
      </c>
      <c r="KC247" t="str">
        <f t="shared" si="372"/>
        <v>F0-AI30-9B</v>
      </c>
      <c r="KD247" t="str">
        <f t="shared" si="373"/>
        <v>F0-AI30-10B</v>
      </c>
      <c r="KI247" cm="1">
        <f t="array" ref="KI247">IF(COUNTIFS($U$2:$U247,$U247)=1,1,INDEX(KI:KI,_xlfn.XMATCH(U247,U$1:U246,0,-1))+COUNT(KI246:KM246))</f>
        <v>1</v>
      </c>
      <c r="KJ247">
        <f t="shared" si="374"/>
        <v>2</v>
      </c>
      <c r="KK247">
        <f t="shared" si="374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 cm="1">
        <f t="array" ref="Y248">IF(COUNTIFS($X$2:$X248,$X248)=1,"1",VALUE(SUBSTITUTE(INDEX(Y:Y,_xlfn.XMATCH($X248,$X$1:$X247,0,-1)),"A",""))+INDEX(Z:Z,_xlfn.XMATCH($X248,$X$1:$X247,0,-1))+1)</f>
        <v>6</v>
      </c>
      <c r="Z248" s="43" cm="1">
        <f t="array" ref="Z248">SUM(IF(ISNUMBER(FIND("TmAi",$BE$1:$AAD$1)),IF(IFERROR(ISODD(SUBSTITUTE($BE248:$AAD248,"A","")),FALSE),IF(ISODD(SUBSTITUTE($BE248:$AAD248,"A","")),1,0),0)))</f>
        <v>0</v>
      </c>
      <c r="AA248" t="str">
        <f t="shared" si="369"/>
        <v>11B</v>
      </c>
      <c r="AB248" t="str">
        <f t="shared" si="370"/>
        <v>12B</v>
      </c>
      <c r="AP248" t="s">
        <v>137</v>
      </c>
      <c r="AS248" t="s">
        <v>396</v>
      </c>
      <c r="JZ248" s="27" t="str">
        <f t="shared" si="371"/>
        <v>XT82</v>
      </c>
      <c r="KC248" t="str">
        <f t="shared" si="372"/>
        <v>F0-AI30-11B</v>
      </c>
      <c r="KD248" t="str">
        <f t="shared" si="373"/>
        <v>F0-AI30-12B</v>
      </c>
      <c r="KI248" cm="1">
        <f t="array" ref="KI248">IF(COUNTIFS($U$2:$U248,$U248)=1,1,INDEX(KI:KI,_xlfn.XMATCH(U248,U$1:U247,0,-1))+COUNT(KI247:KM247))</f>
        <v>4</v>
      </c>
      <c r="KJ248">
        <f t="shared" si="374"/>
        <v>5</v>
      </c>
      <c r="KK248">
        <f t="shared" si="374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 cm="1">
        <f t="array" ref="Y249">IF(COUNTIFS($X$2:$X249,$X249)=1,"1",VALUE(SUBSTITUTE(INDEX(Y:Y,_xlfn.XMATCH($X249,$X$1:$X248,0,-1)),"A",""))+INDEX(Z:Z,_xlfn.XMATCH($X249,$X$1:$X248,0,-1))+1)</f>
        <v>7</v>
      </c>
      <c r="Z249" s="43" cm="1">
        <f t="array" ref="Z249">SUM(IF(ISNUMBER(FIND("TmAi",$BE$1:$AAD$1)),IF(IFERROR(ISODD(SUBSTITUTE($BE249:$AAD249,"A","")),FALSE),IF(ISODD(SUBSTITUTE($BE249:$AAD249,"A","")),1,0),0)))</f>
        <v>0</v>
      </c>
      <c r="AA249" t="str">
        <f t="shared" si="369"/>
        <v>13B</v>
      </c>
      <c r="AB249" t="str">
        <f t="shared" si="370"/>
        <v>14B</v>
      </c>
      <c r="AP249" t="s">
        <v>137</v>
      </c>
      <c r="AS249" t="s">
        <v>396</v>
      </c>
      <c r="JZ249" s="27" t="str">
        <f t="shared" si="371"/>
        <v>XT82</v>
      </c>
      <c r="KC249" t="str">
        <f t="shared" si="372"/>
        <v>F0-AI30-13B</v>
      </c>
      <c r="KD249" t="str">
        <f t="shared" si="373"/>
        <v>F0-AI30-14B</v>
      </c>
      <c r="KI249" cm="1">
        <f t="array" ref="KI249">IF(COUNTIFS($U$2:$U249,$U249)=1,1,INDEX(KI:KI,_xlfn.XMATCH(U249,U$1:U248,0,-1))+COUNT(KI248:KM248))</f>
        <v>7</v>
      </c>
      <c r="KJ249">
        <f t="shared" si="374"/>
        <v>8</v>
      </c>
      <c r="KK249">
        <f t="shared" si="374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 cm="1">
        <f t="array" ref="Y250">IF(COUNTIFS($X$2:$X250,$X250)=1,"1",VALUE(SUBSTITUTE(INDEX(Y:Y,_xlfn.XMATCH($X250,$X$1:$X249,0,-1)),"A",""))+INDEX(Z:Z,_xlfn.XMATCH($X250,$X$1:$X249,0,-1))+1)</f>
        <v>8</v>
      </c>
      <c r="Z250" s="43" cm="1">
        <f t="array" ref="Z250">SUM(IF(ISNUMBER(FIND("TmAi",$BE$1:$AAD$1)),IF(IFERROR(ISODD(SUBSTITUTE($BE250:$AAD250,"A","")),FALSE),IF(ISODD(SUBSTITUTE($BE250:$AAD250,"A","")),1,0),0)))</f>
        <v>0</v>
      </c>
      <c r="AA250" t="str">
        <f t="shared" si="369"/>
        <v>15B</v>
      </c>
      <c r="AB250" t="str">
        <f t="shared" si="370"/>
        <v>16B</v>
      </c>
      <c r="AP250" t="s">
        <v>137</v>
      </c>
      <c r="AS250" t="s">
        <v>396</v>
      </c>
      <c r="JZ250" s="27" t="str">
        <f t="shared" si="371"/>
        <v>XT82</v>
      </c>
      <c r="KC250" t="str">
        <f t="shared" si="372"/>
        <v>F0-AI30-15B</v>
      </c>
      <c r="KD250" t="str">
        <f t="shared" si="373"/>
        <v>F0-AI30-16B</v>
      </c>
      <c r="KI250" cm="1">
        <f t="array" ref="KI250">IF(COUNTIFS($U$2:$U250,$U250)=1,1,INDEX(KI:KI,_xlfn.XMATCH(U250,U$1:U249,0,-1))+COUNT(KI249:KM249))</f>
        <v>10</v>
      </c>
      <c r="KJ250">
        <f t="shared" ref="KJ250:KK266" si="375">KI250+1</f>
        <v>11</v>
      </c>
      <c r="KK250">
        <f t="shared" si="375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 cm="1">
        <f t="array" ref="Y251">IF(COUNTIFS($X$2:$X251,$X251)=1,"1",VALUE(SUBSTITUTE(INDEX(Y:Y,_xlfn.XMATCH($X251,$X$1:$X250,0,-1)),"A",""))+INDEX(Z:Z,_xlfn.XMATCH($X251,$X$1:$X250,0,-1))+1)</f>
        <v>1</v>
      </c>
      <c r="Z251" s="43" cm="1">
        <f t="array" ref="Z251">SUM(IF(ISNUMBER(FIND("TmAi",$BE$1:$AAD$1)),IF(IFERROR(ISODD(SUBSTITUTE($BE251:$AAD251,"A","")),FALSE),IF(ISODD(SUBSTITUTE($BE251:$AAD251,"A","")),1,0),0)))</f>
        <v>0</v>
      </c>
      <c r="AA251" t="str">
        <f t="shared" si="369"/>
        <v>1B</v>
      </c>
      <c r="AB251" t="str">
        <f t="shared" si="370"/>
        <v>2B</v>
      </c>
      <c r="AP251" t="s">
        <v>137</v>
      </c>
      <c r="AS251" t="s">
        <v>396</v>
      </c>
      <c r="JZ251" s="27" t="str">
        <f t="shared" si="371"/>
        <v>XT83</v>
      </c>
      <c r="KC251" t="str">
        <f t="shared" si="372"/>
        <v>F0-AI31-1B</v>
      </c>
      <c r="KD251" t="str">
        <f t="shared" si="373"/>
        <v>F0-AI31-2B</v>
      </c>
      <c r="KI251" cm="1">
        <f t="array" ref="KI251">IF(COUNTIFS($U$2:$U251,$U251)=1,1,INDEX(KI:KI,_xlfn.XMATCH(U251,U$1:U250,0,-1))+COUNT(KI250:KM250))</f>
        <v>1</v>
      </c>
      <c r="KJ251">
        <f t="shared" si="375"/>
        <v>2</v>
      </c>
      <c r="KK251">
        <f t="shared" si="375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 cm="1">
        <f t="array" ref="Y252">IF(COUNTIFS($X$2:$X252,$X252)=1,"1",VALUE(SUBSTITUTE(INDEX(Y:Y,_xlfn.XMATCH($X252,$X$1:$X251,0,-1)),"A",""))+INDEX(Z:Z,_xlfn.XMATCH($X252,$X$1:$X251,0,-1))+1)</f>
        <v>2</v>
      </c>
      <c r="Z252" s="43" cm="1">
        <f t="array" ref="Z252">SUM(IF(ISNUMBER(FIND("TmAi",$BE$1:$AAD$1)),IF(IFERROR(ISODD(SUBSTITUTE($BE252:$AAD252,"A","")),FALSE),IF(ISODD(SUBSTITUTE($BE252:$AAD252,"A","")),1,0),0)))</f>
        <v>0</v>
      </c>
      <c r="AA252" t="str">
        <f t="shared" si="369"/>
        <v>3B</v>
      </c>
      <c r="AB252" t="str">
        <f t="shared" si="370"/>
        <v>4B</v>
      </c>
      <c r="AP252" t="s">
        <v>137</v>
      </c>
      <c r="AS252" t="s">
        <v>396</v>
      </c>
      <c r="JZ252" s="27" t="str">
        <f t="shared" si="371"/>
        <v>XT83</v>
      </c>
      <c r="KC252" t="str">
        <f t="shared" si="372"/>
        <v>F0-AI31-3B</v>
      </c>
      <c r="KD252" t="str">
        <f t="shared" si="373"/>
        <v>F0-AI31-4B</v>
      </c>
      <c r="KI252" cm="1">
        <f t="array" ref="KI252">IF(COUNTIFS($U$2:$U252,$U252)=1,1,INDEX(KI:KI,_xlfn.XMATCH(U252,U$1:U251,0,-1))+COUNT(KI251:KM251))</f>
        <v>4</v>
      </c>
      <c r="KJ252">
        <f t="shared" si="375"/>
        <v>5</v>
      </c>
      <c r="KK252">
        <f t="shared" si="375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 cm="1">
        <f t="array" ref="Y253">IF(COUNTIFS($X$2:$X253,$X253)=1,"1",VALUE(SUBSTITUTE(INDEX(Y:Y,_xlfn.XMATCH($X253,$X$1:$X252,0,-1)),"A",""))+INDEX(Z:Z,_xlfn.XMATCH($X253,$X$1:$X252,0,-1))+1)</f>
        <v>3</v>
      </c>
      <c r="Z253" s="43" cm="1">
        <f t="array" ref="Z253">SUM(IF(ISNUMBER(FIND("TmAi",$BE$1:$AAD$1)),IF(IFERROR(ISODD(SUBSTITUTE($BE253:$AAD253,"A","")),FALSE),IF(ISODD(SUBSTITUTE($BE253:$AAD253,"A","")),1,0),0)))</f>
        <v>0</v>
      </c>
      <c r="AA253" t="str">
        <f t="shared" si="369"/>
        <v>5B</v>
      </c>
      <c r="AB253" t="str">
        <f t="shared" si="370"/>
        <v>6B</v>
      </c>
      <c r="AP253" t="s">
        <v>137</v>
      </c>
      <c r="AS253" t="s">
        <v>396</v>
      </c>
      <c r="JZ253" s="27" t="str">
        <f t="shared" si="371"/>
        <v>XT83</v>
      </c>
      <c r="KC253" t="str">
        <f t="shared" si="372"/>
        <v>F0-AI31-5B</v>
      </c>
      <c r="KD253" t="str">
        <f t="shared" si="373"/>
        <v>F0-AI31-6B</v>
      </c>
      <c r="KI253" cm="1">
        <f t="array" ref="KI253">IF(COUNTIFS($U$2:$U253,$U253)=1,1,INDEX(KI:KI,_xlfn.XMATCH(U253,U$1:U252,0,-1))+COUNT(KI252:KM252))</f>
        <v>7</v>
      </c>
      <c r="KJ253">
        <f t="shared" si="375"/>
        <v>8</v>
      </c>
      <c r="KK253">
        <f t="shared" si="375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 cm="1">
        <f t="array" ref="Y254">IF(COUNTIFS($X$2:$X254,$X254)=1,"1",VALUE(SUBSTITUTE(INDEX(Y:Y,_xlfn.XMATCH($X254,$X$1:$X253,0,-1)),"A",""))+INDEX(Z:Z,_xlfn.XMATCH($X254,$X$1:$X253,0,-1))+1)</f>
        <v>4</v>
      </c>
      <c r="Z254" s="43" cm="1">
        <f t="array" ref="Z254">SUM(IF(ISNUMBER(FIND("TmAi",$BE$1:$AAD$1)),IF(IFERROR(ISODD(SUBSTITUTE($BE254:$AAD254,"A","")),FALSE),IF(ISODD(SUBSTITUTE($BE254:$AAD254,"A","")),1,0),0)))</f>
        <v>0</v>
      </c>
      <c r="AA254" t="str">
        <f t="shared" si="369"/>
        <v>7B</v>
      </c>
      <c r="AB254" t="str">
        <f t="shared" si="370"/>
        <v>8B</v>
      </c>
      <c r="AP254" t="s">
        <v>137</v>
      </c>
      <c r="AS254" t="s">
        <v>396</v>
      </c>
      <c r="JZ254" s="27" t="str">
        <f t="shared" si="371"/>
        <v>XT83</v>
      </c>
      <c r="KC254" t="str">
        <f t="shared" si="372"/>
        <v>F0-AI31-7B</v>
      </c>
      <c r="KD254" t="str">
        <f t="shared" si="373"/>
        <v>F0-AI31-8B</v>
      </c>
      <c r="KI254" cm="1">
        <f t="array" ref="KI254">IF(COUNTIFS($U$2:$U254,$U254)=1,1,INDEX(KI:KI,_xlfn.XMATCH(U254,U$1:U253,0,-1))+COUNT(KI253:KM253))</f>
        <v>10</v>
      </c>
      <c r="KJ254">
        <f t="shared" si="375"/>
        <v>11</v>
      </c>
      <c r="KK254">
        <f t="shared" si="375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 cm="1">
        <f t="array" ref="Y255">IF(COUNTIFS($X$2:$X255,$X255)=1,"1",VALUE(SUBSTITUTE(INDEX(Y:Y,_xlfn.XMATCH($X255,$X$1:$X254,0,-1)),"A",""))+INDEX(Z:Z,_xlfn.XMATCH($X255,$X$1:$X254,0,-1))+1)</f>
        <v>5</v>
      </c>
      <c r="Z255" s="43" cm="1">
        <f t="array" ref="Z255">SUM(IF(ISNUMBER(FIND("TmAi",$BE$1:$AAD$1)),IF(IFERROR(ISODD(SUBSTITUTE($BE255:$AAD255,"A","")),FALSE),IF(ISODD(SUBSTITUTE($BE255:$AAD255,"A","")),1,0),0)))</f>
        <v>0</v>
      </c>
      <c r="AA255" t="str">
        <f t="shared" si="369"/>
        <v>9B</v>
      </c>
      <c r="AB255" t="str">
        <f t="shared" si="370"/>
        <v>10B</v>
      </c>
      <c r="AP255" t="s">
        <v>137</v>
      </c>
      <c r="AS255" t="s">
        <v>396</v>
      </c>
      <c r="JZ255" s="27" t="str">
        <f t="shared" si="371"/>
        <v>XT84</v>
      </c>
      <c r="KC255" t="str">
        <f t="shared" si="372"/>
        <v>F0-AI31-9B</v>
      </c>
      <c r="KD255" t="str">
        <f t="shared" si="373"/>
        <v>F0-AI31-10B</v>
      </c>
      <c r="KI255" cm="1">
        <f t="array" ref="KI255">IF(COUNTIFS($U$2:$U255,$U255)=1,1,INDEX(KI:KI,_xlfn.XMATCH(U255,U$1:U254,0,-1))+COUNT(KI254:KM254))</f>
        <v>1</v>
      </c>
      <c r="KJ255">
        <f t="shared" si="375"/>
        <v>2</v>
      </c>
      <c r="KK255">
        <f t="shared" si="375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 cm="1">
        <f t="array" ref="Y256">IF(COUNTIFS($X$2:$X256,$X256)=1,"1",VALUE(SUBSTITUTE(INDEX(Y:Y,_xlfn.XMATCH($X256,$X$1:$X255,0,-1)),"A",""))+INDEX(Z:Z,_xlfn.XMATCH($X256,$X$1:$X255,0,-1))+1)</f>
        <v>6</v>
      </c>
      <c r="Z256" s="43" cm="1">
        <f t="array" ref="Z256">SUM(IF(ISNUMBER(FIND("TmAi",$BE$1:$AAD$1)),IF(IFERROR(ISODD(SUBSTITUTE($BE256:$AAD256,"A","")),FALSE),IF(ISODD(SUBSTITUTE($BE256:$AAD256,"A","")),1,0),0)))</f>
        <v>0</v>
      </c>
      <c r="AA256" t="str">
        <f t="shared" si="369"/>
        <v>11B</v>
      </c>
      <c r="AB256" t="str">
        <f t="shared" si="370"/>
        <v>12B</v>
      </c>
      <c r="AP256" t="s">
        <v>137</v>
      </c>
      <c r="AS256" t="s">
        <v>396</v>
      </c>
      <c r="JZ256" s="27" t="str">
        <f t="shared" si="371"/>
        <v>XT84</v>
      </c>
      <c r="KC256" t="str">
        <f t="shared" si="372"/>
        <v>F0-AI31-11B</v>
      </c>
      <c r="KD256" t="str">
        <f t="shared" si="373"/>
        <v>F0-AI31-12B</v>
      </c>
      <c r="KI256" cm="1">
        <f t="array" ref="KI256">IF(COUNTIFS($U$2:$U256,$U256)=1,1,INDEX(KI:KI,_xlfn.XMATCH(U256,U$1:U255,0,-1))+COUNT(KI255:KM255))</f>
        <v>4</v>
      </c>
      <c r="KJ256">
        <f t="shared" si="375"/>
        <v>5</v>
      </c>
      <c r="KK256">
        <f t="shared" si="375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 cm="1">
        <f t="array" ref="Y257">IF(COUNTIFS($X$2:$X257,$X257)=1,"1",VALUE(SUBSTITUTE(INDEX(Y:Y,_xlfn.XMATCH($X257,$X$1:$X256,0,-1)),"A",""))+INDEX(Z:Z,_xlfn.XMATCH($X257,$X$1:$X256,0,-1))+1)</f>
        <v>7</v>
      </c>
      <c r="Z257" s="43" cm="1">
        <f t="array" ref="Z257">SUM(IF(ISNUMBER(FIND("TmAi",$BE$1:$AAD$1)),IF(IFERROR(ISODD(SUBSTITUTE($BE257:$AAD257,"A","")),FALSE),IF(ISODD(SUBSTITUTE($BE257:$AAD257,"A","")),1,0),0)))</f>
        <v>0</v>
      </c>
      <c r="AA257" t="str">
        <f t="shared" si="369"/>
        <v>13B</v>
      </c>
      <c r="AB257" t="str">
        <f t="shared" si="370"/>
        <v>14B</v>
      </c>
      <c r="AP257" t="s">
        <v>137</v>
      </c>
      <c r="AS257" t="s">
        <v>396</v>
      </c>
      <c r="JZ257" s="27" t="str">
        <f t="shared" si="371"/>
        <v>XT84</v>
      </c>
      <c r="KC257" t="str">
        <f t="shared" si="372"/>
        <v>F0-AI31-13B</v>
      </c>
      <c r="KD257" t="str">
        <f t="shared" si="373"/>
        <v>F0-AI31-14B</v>
      </c>
      <c r="KI257" cm="1">
        <f t="array" ref="KI257">IF(COUNTIFS($U$2:$U257,$U257)=1,1,INDEX(KI:KI,_xlfn.XMATCH(U257,U$1:U256,0,-1))+COUNT(KI256:KM256))</f>
        <v>7</v>
      </c>
      <c r="KJ257">
        <f t="shared" si="375"/>
        <v>8</v>
      </c>
      <c r="KK257">
        <f t="shared" si="375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 cm="1">
        <f t="array" ref="Y258">IF(COUNTIFS($X$2:$X258,$X258)=1,"1",VALUE(SUBSTITUTE(INDEX(Y:Y,_xlfn.XMATCH($X258,$X$1:$X257,0,-1)),"A",""))+INDEX(Z:Z,_xlfn.XMATCH($X258,$X$1:$X257,0,-1))+1)</f>
        <v>8</v>
      </c>
      <c r="Z258" s="43" cm="1">
        <f t="array" ref="Z258">SUM(IF(ISNUMBER(FIND("TmAi",$BE$1:$AAD$1)),IF(IFERROR(ISODD(SUBSTITUTE($BE258:$AAD258,"A","")),FALSE),IF(ISODD(SUBSTITUTE($BE258:$AAD258,"A","")),1,0),0)))</f>
        <v>0</v>
      </c>
      <c r="AA258" t="str">
        <f t="shared" si="369"/>
        <v>15B</v>
      </c>
      <c r="AB258" t="str">
        <f t="shared" si="370"/>
        <v>16B</v>
      </c>
      <c r="AP258" t="s">
        <v>137</v>
      </c>
      <c r="AS258" t="s">
        <v>396</v>
      </c>
      <c r="JZ258" s="27" t="str">
        <f t="shared" si="371"/>
        <v>XT84</v>
      </c>
      <c r="KC258" t="str">
        <f t="shared" si="372"/>
        <v>F0-AI31-15B</v>
      </c>
      <c r="KD258" t="str">
        <f t="shared" si="373"/>
        <v>F0-AI31-16B</v>
      </c>
      <c r="KI258" cm="1">
        <f t="array" ref="KI258">IF(COUNTIFS($U$2:$U258,$U258)=1,1,INDEX(KI:KI,_xlfn.XMATCH(U258,U$1:U257,0,-1))+COUNT(KI257:KM257))</f>
        <v>10</v>
      </c>
      <c r="KJ258">
        <f t="shared" si="375"/>
        <v>11</v>
      </c>
      <c r="KK258">
        <f t="shared" si="375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 cm="1">
        <f t="array" ref="Y259">IF(COUNTIFS($X$2:$X259,$X259)=1,"1",VALUE(SUBSTITUTE(INDEX(Y:Y,_xlfn.XMATCH($X259,$X$1:$X258,0,-1)),"A",""))+INDEX(Z:Z,_xlfn.XMATCH($X259,$X$1:$X258,0,-1))+1)</f>
        <v>1</v>
      </c>
      <c r="Z259" s="43" cm="1">
        <f t="array" ref="Z259">SUM(IF(ISNUMBER(FIND("TmAi",$BE$1:$AAD$1)),IF(IFERROR(ISODD(SUBSTITUTE($BE259:$AAD259,"A","")),FALSE),IF(ISODD(SUBSTITUTE($BE259:$AAD259,"A","")),1,0),0)))</f>
        <v>0</v>
      </c>
      <c r="AA259" t="str">
        <f t="shared" si="369"/>
        <v>1B</v>
      </c>
      <c r="AB259" t="str">
        <f t="shared" si="370"/>
        <v>2B</v>
      </c>
      <c r="AP259" t="s">
        <v>137</v>
      </c>
      <c r="AS259" t="s">
        <v>396</v>
      </c>
      <c r="JZ259" s="27" t="str">
        <f t="shared" si="371"/>
        <v>XT85</v>
      </c>
      <c r="KC259" t="str">
        <f t="shared" si="372"/>
        <v>F0-AI32-1B</v>
      </c>
      <c r="KD259" t="str">
        <f t="shared" si="373"/>
        <v>F0-AI32-2B</v>
      </c>
      <c r="KI259" cm="1">
        <f t="array" ref="KI259">IF(COUNTIFS($U$2:$U259,$U259)=1,1,INDEX(KI:KI,_xlfn.XMATCH(U259,U$1:U258,0,-1))+COUNT(KI258:KM258))</f>
        <v>1</v>
      </c>
      <c r="KJ259">
        <f t="shared" si="375"/>
        <v>2</v>
      </c>
      <c r="KK259">
        <f t="shared" si="375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 cm="1">
        <f t="array" ref="Y260">IF(COUNTIFS($X$2:$X260,$X260)=1,"1",VALUE(SUBSTITUTE(INDEX(Y:Y,_xlfn.XMATCH($X260,$X$1:$X259,0,-1)),"A",""))+INDEX(Z:Z,_xlfn.XMATCH($X260,$X$1:$X259,0,-1))+1)</f>
        <v>2</v>
      </c>
      <c r="Z260" s="43" cm="1">
        <f t="array" ref="Z260">SUM(IF(ISNUMBER(FIND("TmAi",$BE$1:$AAD$1)),IF(IFERROR(ISODD(SUBSTITUTE($BE260:$AAD260,"A","")),FALSE),IF(ISODD(SUBSTITUTE($BE260:$AAD260,"A","")),1,0),0)))</f>
        <v>0</v>
      </c>
      <c r="AA260" t="str">
        <f t="shared" si="369"/>
        <v>3B</v>
      </c>
      <c r="AB260" t="str">
        <f t="shared" si="370"/>
        <v>4B</v>
      </c>
      <c r="AP260" t="s">
        <v>137</v>
      </c>
      <c r="AS260" t="s">
        <v>396</v>
      </c>
      <c r="JZ260" s="27" t="str">
        <f t="shared" si="371"/>
        <v>XT85</v>
      </c>
      <c r="KC260" t="str">
        <f t="shared" si="372"/>
        <v>F0-AI32-3B</v>
      </c>
      <c r="KD260" t="str">
        <f t="shared" si="373"/>
        <v>F0-AI32-4B</v>
      </c>
      <c r="KI260" cm="1">
        <f t="array" ref="KI260">IF(COUNTIFS($U$2:$U260,$U260)=1,1,INDEX(KI:KI,_xlfn.XMATCH(U260,U$1:U259,0,-1))+COUNT(KI259:KM259))</f>
        <v>4</v>
      </c>
      <c r="KJ260">
        <f t="shared" si="375"/>
        <v>5</v>
      </c>
      <c r="KK260">
        <f t="shared" si="375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 cm="1">
        <f t="array" ref="Y261">IF(COUNTIFS($X$2:$X261,$X261)=1,"1",VALUE(SUBSTITUTE(INDEX(Y:Y,_xlfn.XMATCH($X261,$X$1:$X260,0,-1)),"A",""))+INDEX(Z:Z,_xlfn.XMATCH($X261,$X$1:$X260,0,-1))+1)</f>
        <v>3</v>
      </c>
      <c r="Z261" s="43" cm="1">
        <f t="array" ref="Z261">SUM(IF(ISNUMBER(FIND("TmAi",$BE$1:$AAD$1)),IF(IFERROR(ISODD(SUBSTITUTE($BE261:$AAD261,"A","")),FALSE),IF(ISODD(SUBSTITUTE($BE261:$AAD261,"A","")),1,0),0)))</f>
        <v>0</v>
      </c>
      <c r="AA261" t="str">
        <f t="shared" si="369"/>
        <v>5B</v>
      </c>
      <c r="AB261" t="str">
        <f t="shared" si="370"/>
        <v>6B</v>
      </c>
      <c r="AP261" t="s">
        <v>137</v>
      </c>
      <c r="AS261" t="s">
        <v>396</v>
      </c>
      <c r="JZ261" s="27" t="str">
        <f t="shared" si="371"/>
        <v>XT85</v>
      </c>
      <c r="KC261" t="str">
        <f t="shared" si="372"/>
        <v>F0-AI32-5B</v>
      </c>
      <c r="KD261" t="str">
        <f t="shared" si="373"/>
        <v>F0-AI32-6B</v>
      </c>
      <c r="KI261" cm="1">
        <f t="array" ref="KI261">IF(COUNTIFS($U$2:$U261,$U261)=1,1,INDEX(KI:KI,_xlfn.XMATCH(U261,U$1:U260,0,-1))+COUNT(KI260:KM260))</f>
        <v>7</v>
      </c>
      <c r="KJ261">
        <f t="shared" si="375"/>
        <v>8</v>
      </c>
      <c r="KK261">
        <f t="shared" si="375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 cm="1">
        <f t="array" ref="Y262">IF(COUNTIFS($X$2:$X262,$X262)=1,"1",VALUE(SUBSTITUTE(INDEX(Y:Y,_xlfn.XMATCH($X262,$X$1:$X261,0,-1)),"A",""))+INDEX(Z:Z,_xlfn.XMATCH($X262,$X$1:$X261,0,-1))+1)</f>
        <v>4</v>
      </c>
      <c r="Z262" s="43" cm="1">
        <f t="array" ref="Z262">SUM(IF(ISNUMBER(FIND("TmAi",$BE$1:$AAD$1)),IF(IFERROR(ISODD(SUBSTITUTE($BE262:$AAD262,"A","")),FALSE),IF(ISODD(SUBSTITUTE($BE262:$AAD262,"A","")),1,0),0)))</f>
        <v>0</v>
      </c>
      <c r="AA262" t="str">
        <f t="shared" si="369"/>
        <v>7B</v>
      </c>
      <c r="AB262" t="str">
        <f t="shared" si="370"/>
        <v>8B</v>
      </c>
      <c r="AP262" t="s">
        <v>137</v>
      </c>
      <c r="AS262" t="s">
        <v>396</v>
      </c>
      <c r="JZ262" s="27" t="str">
        <f t="shared" si="371"/>
        <v>XT85</v>
      </c>
      <c r="KC262" t="str">
        <f t="shared" si="372"/>
        <v>F0-AI32-7B</v>
      </c>
      <c r="KD262" t="str">
        <f t="shared" si="373"/>
        <v>F0-AI32-8B</v>
      </c>
      <c r="KI262" cm="1">
        <f t="array" ref="KI262">IF(COUNTIFS($U$2:$U262,$U262)=1,1,INDEX(KI:KI,_xlfn.XMATCH(U262,U$1:U261,0,-1))+COUNT(KI261:KM261))</f>
        <v>10</v>
      </c>
      <c r="KJ262">
        <f t="shared" si="375"/>
        <v>11</v>
      </c>
      <c r="KK262">
        <f t="shared" si="375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 cm="1">
        <f t="array" ref="Y263">IF(COUNTIFS($X$2:$X263,$X263)=1,"1",VALUE(SUBSTITUTE(INDEX(Y:Y,_xlfn.XMATCH($X263,$X$1:$X262,0,-1)),"A",""))+INDEX(Z:Z,_xlfn.XMATCH($X263,$X$1:$X262,0,-1))+1)</f>
        <v>5</v>
      </c>
      <c r="Z263" s="43" cm="1">
        <f t="array" ref="Z263">SUM(IF(ISNUMBER(FIND("TmAi",$BE$1:$AAD$1)),IF(IFERROR(ISODD(SUBSTITUTE($BE263:$AAD263,"A","")),FALSE),IF(ISODD(SUBSTITUTE($BE263:$AAD263,"A","")),1,0),0)))</f>
        <v>0</v>
      </c>
      <c r="AA263" t="str">
        <f t="shared" si="369"/>
        <v>9B</v>
      </c>
      <c r="AB263" t="str">
        <f t="shared" si="370"/>
        <v>10B</v>
      </c>
      <c r="AP263" t="s">
        <v>137</v>
      </c>
      <c r="AS263" t="s">
        <v>396</v>
      </c>
      <c r="JZ263" s="27" t="str">
        <f t="shared" si="371"/>
        <v>XT86</v>
      </c>
      <c r="KC263" t="str">
        <f t="shared" si="372"/>
        <v>F0-AI32-9B</v>
      </c>
      <c r="KD263" t="str">
        <f t="shared" si="373"/>
        <v>F0-AI32-10B</v>
      </c>
      <c r="KI263" cm="1">
        <f t="array" ref="KI263">IF(COUNTIFS($U$2:$U263,$U263)=1,1,INDEX(KI:KI,_xlfn.XMATCH(U263,U$1:U262,0,-1))+COUNT(KI262:KM262))</f>
        <v>1</v>
      </c>
      <c r="KJ263">
        <f t="shared" si="375"/>
        <v>2</v>
      </c>
      <c r="KK263">
        <f t="shared" si="375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 cm="1">
        <f t="array" ref="Y264">IF(COUNTIFS($X$2:$X264,$X264)=1,"1",VALUE(SUBSTITUTE(INDEX(Y:Y,_xlfn.XMATCH($X264,$X$1:$X263,0,-1)),"A",""))+INDEX(Z:Z,_xlfn.XMATCH($X264,$X$1:$X263,0,-1))+1)</f>
        <v>6</v>
      </c>
      <c r="Z264" s="43" cm="1">
        <f t="array" ref="Z264">SUM(IF(ISNUMBER(FIND("TmAi",$BE$1:$AAD$1)),IF(IFERROR(ISODD(SUBSTITUTE($BE264:$AAD264,"A","")),FALSE),IF(ISODD(SUBSTITUTE($BE264:$AAD264,"A","")),1,0),0)))</f>
        <v>0</v>
      </c>
      <c r="AA264" t="str">
        <f t="shared" si="369"/>
        <v>11B</v>
      </c>
      <c r="AB264" t="str">
        <f t="shared" si="370"/>
        <v>12B</v>
      </c>
      <c r="AP264" t="s">
        <v>137</v>
      </c>
      <c r="AS264" t="s">
        <v>396</v>
      </c>
      <c r="JZ264" s="27" t="str">
        <f t="shared" si="371"/>
        <v>XT86</v>
      </c>
      <c r="KC264" t="str">
        <f t="shared" si="372"/>
        <v>F0-AI32-11B</v>
      </c>
      <c r="KD264" t="str">
        <f t="shared" si="373"/>
        <v>F0-AI32-12B</v>
      </c>
      <c r="KI264" cm="1">
        <f t="array" ref="KI264">IF(COUNTIFS($U$2:$U264,$U264)=1,1,INDEX(KI:KI,_xlfn.XMATCH(U264,U$1:U263,0,-1))+COUNT(KI263:KM263))</f>
        <v>4</v>
      </c>
      <c r="KJ264">
        <f t="shared" si="375"/>
        <v>5</v>
      </c>
      <c r="KK264">
        <f t="shared" si="375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 cm="1">
        <f t="array" ref="Y265">IF(COUNTIFS($X$2:$X265,$X265)=1,"1",VALUE(SUBSTITUTE(INDEX(Y:Y,_xlfn.XMATCH($X265,$X$1:$X264,0,-1)),"A",""))+INDEX(Z:Z,_xlfn.XMATCH($X265,$X$1:$X264,0,-1))+1)</f>
        <v>7</v>
      </c>
      <c r="Z265" s="43" cm="1">
        <f t="array" ref="Z265">SUM(IF(ISNUMBER(FIND("TmAi",$BE$1:$AAD$1)),IF(IFERROR(ISODD(SUBSTITUTE($BE265:$AAD265,"A","")),FALSE),IF(ISODD(SUBSTITUTE($BE265:$AAD265,"A","")),1,0),0)))</f>
        <v>0</v>
      </c>
      <c r="AA265" t="str">
        <f t="shared" si="369"/>
        <v>13B</v>
      </c>
      <c r="AB265" t="str">
        <f t="shared" si="370"/>
        <v>14B</v>
      </c>
      <c r="AP265" t="s">
        <v>137</v>
      </c>
      <c r="AS265" t="s">
        <v>396</v>
      </c>
      <c r="JZ265" s="27" t="str">
        <f t="shared" si="371"/>
        <v>XT86</v>
      </c>
      <c r="KC265" t="str">
        <f t="shared" si="372"/>
        <v>F0-AI32-13B</v>
      </c>
      <c r="KD265" t="str">
        <f t="shared" si="373"/>
        <v>F0-AI32-14B</v>
      </c>
      <c r="KI265" cm="1">
        <f t="array" ref="KI265">IF(COUNTIFS($U$2:$U265,$U265)=1,1,INDEX(KI:KI,_xlfn.XMATCH(U265,U$1:U264,0,-1))+COUNT(KI264:KM264))</f>
        <v>7</v>
      </c>
      <c r="KJ265">
        <f t="shared" si="375"/>
        <v>8</v>
      </c>
      <c r="KK265">
        <f t="shared" si="375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 cm="1">
        <f t="array" ref="Y266">IF(COUNTIFS($X$2:$X266,$X266)=1,"1",VALUE(SUBSTITUTE(INDEX(Y:Y,_xlfn.XMATCH($X266,$X$1:$X265,0,-1)),"A",""))+INDEX(Z:Z,_xlfn.XMATCH($X266,$X$1:$X265,0,-1))+1)</f>
        <v>8</v>
      </c>
      <c r="Z266" s="43" cm="1">
        <f t="array" ref="Z266">SUM(IF(ISNUMBER(FIND("TmAi",$BE$1:$AAD$1)),IF(IFERROR(ISODD(SUBSTITUTE($BE266:$AAD266,"A","")),FALSE),IF(ISODD(SUBSTITUTE($BE266:$AAD266,"A","")),1,0),0)))</f>
        <v>0</v>
      </c>
      <c r="AA266" t="str">
        <f t="shared" si="369"/>
        <v>15B</v>
      </c>
      <c r="AB266" t="str">
        <f t="shared" si="370"/>
        <v>16B</v>
      </c>
      <c r="AP266" t="s">
        <v>137</v>
      </c>
      <c r="AS266" t="s">
        <v>396</v>
      </c>
      <c r="JZ266" s="27" t="str">
        <f t="shared" si="371"/>
        <v>XT86</v>
      </c>
      <c r="KC266" t="str">
        <f t="shared" si="372"/>
        <v>F0-AI32-15B</v>
      </c>
      <c r="KD266" t="str">
        <f t="shared" si="373"/>
        <v>F0-AI32-16B</v>
      </c>
      <c r="KI266" cm="1">
        <f t="array" ref="KI266">IF(COUNTIFS($U$2:$U266,$U266)=1,1,INDEX(KI:KI,_xlfn.XMATCH(U266,U$1:U265,0,-1))+COUNT(KI265:KM265))</f>
        <v>10</v>
      </c>
      <c r="KJ266">
        <f t="shared" si="375"/>
        <v>11</v>
      </c>
      <c r="KK266">
        <f t="shared" si="375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 cm="1">
        <f t="array" ref="Y267">IF(COUNTIFS(X$2:X267,X267)=1,"1",VALUE(SUBSTITUTE(INDEX(Y:Y,_xlfn.XMATCH(X267,X$1:X266,0,-1)),"A",""))+INDEX(Z:Z,_xlfn.XMATCH(X267,X$1:X266,0,-1))+1)</f>
        <v>1</v>
      </c>
      <c r="Z267" s="43" cm="1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 cm="1">
        <f t="array" ref="AD267">IF(COUNTIFS(AC$2:AC267,AC267)=1,"1",VALUE(SUBSTITUTE(INDEX(AD:AD,_xlfn.XMATCH(AC267,AC$1:AC266,0,-1)),"A",""))+INDEX(AE:AE,_xlfn.XMATCH(AC267,AC$1:AC266,0,-1))+1)</f>
        <v>1</v>
      </c>
      <c r="AE267" s="43" cm="1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 cm="1">
        <f t="array" ref="AI267">IF(COUNTIFS(AH$2:AH267,AH267)=1,"1",VALUE(SUBSTITUTE(INDEX(AI:AI,_xlfn.XMATCH(AH267,AH$1:AH266,0,-1)),"A",""))+INDEX(AJ:AJ,_xlfn.XMATCH(AH267,AH$1:AH266,0,-1))+1)</f>
        <v>1</v>
      </c>
      <c r="AJ267" s="43" cm="1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376">CONCATENATE("DI",REPLACE($AC267,1,3,""),"-",GU267)</f>
        <v>DI14-C2</v>
      </c>
      <c r="HL267" s="12" t="str">
        <f t="shared" si="376"/>
        <v>DI14-B2</v>
      </c>
      <c r="HM267" s="12" t="str">
        <f t="shared" si="376"/>
        <v>DI14-C3</v>
      </c>
      <c r="HN267" s="12" t="str">
        <f t="shared" si="376"/>
        <v>DI14-B3</v>
      </c>
      <c r="HO267" s="12" t="str">
        <f t="shared" si="376"/>
        <v>DI14-C4</v>
      </c>
      <c r="HP267" s="12" t="str">
        <f t="shared" si="376"/>
        <v>DI14-B4</v>
      </c>
      <c r="HQ267" s="12" t="str">
        <f t="shared" si="376"/>
        <v>DI14-C5</v>
      </c>
      <c r="HR267" s="12" t="str">
        <f t="shared" si="376"/>
        <v>DI14-B5</v>
      </c>
      <c r="HS267" s="12" t="str">
        <f t="shared" si="376"/>
        <v>DI14-</v>
      </c>
      <c r="HT267" s="12" t="str">
        <f t="shared" si="376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 cm="1">
        <f t="array" ref="AD268">IF(COUNTIFS(AC$2:AC268,AC268)=1,"1",VALUE(SUBSTITUTE(INDEX(AD:AD,_xlfn.XMATCH(AC268,AC$1:AC267,0,-1)),"A",""))+INDEX(AE:AE,_xlfn.XMATCH(AC268,AC$1:AC267,0,-1))+1)</f>
        <v>6</v>
      </c>
      <c r="AE268" s="43" cm="1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 cm="1">
        <f t="array" ref="AI268">IF(COUNTIFS(AH$2:AH268,AH268)=1,"1",VALUE(SUBSTITUTE(INDEX(AI:AI,_xlfn.XMATCH(AH268,AH$1:AH267,0,-1)),"A",""))+INDEX(AJ:AJ,_xlfn.XMATCH(AH268,AH$1:AH267,0,-1))+1)</f>
        <v>3</v>
      </c>
      <c r="AJ268" s="43" cm="1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 t="shared" ref="BG268" si="377">CONCATENATE("B",REPLACE(AG268,1,1,"")+1)</f>
        <v>B7</v>
      </c>
      <c r="BH268" s="23" t="str">
        <f t="shared" ref="BH268" si="378">CONCATENATE("C",REPLACE(BF268,1,1,"")+1)</f>
        <v>C8</v>
      </c>
      <c r="BI268" s="23" t="str">
        <f t="shared" ref="BI268" si="379">CONCATENATE("B",REPLACE(BG268,1,1,"")+1)</f>
        <v>B8</v>
      </c>
      <c r="BJ268" s="23" t="str">
        <f t="shared" ref="BJ268" si="380">CONCATENATE("C",REPLACE(BH268,1,1,"")+1)</f>
        <v>C9</v>
      </c>
      <c r="BK268" s="23" t="str">
        <f t="shared" ref="BK268" si="381">CONCATENATE("B",REPLACE(BI268,1,1,"")+1)</f>
        <v>B9</v>
      </c>
      <c r="BL268" s="23" t="str">
        <f t="shared" ref="BL268" si="382">CONCATENATE("C",REPLACE(BJ268,1,1,"")+1)</f>
        <v>C10</v>
      </c>
      <c r="BM268" s="23" t="str">
        <f t="shared" ref="BM268" si="383">CONCATENATE("B",REPLACE(BK268,1,1,"")+1)</f>
        <v>B10</v>
      </c>
      <c r="BN268" s="23"/>
      <c r="BO268" s="23"/>
      <c r="BP268" s="23" t="str">
        <f t="shared" ref="BP268" si="384">CONCATENATE(REPLACE(AK268,LEN(AK268),1,"")+1,"B")</f>
        <v>4B</v>
      </c>
      <c r="BQ268" s="23" t="str">
        <f t="shared" ref="BQ268" si="385">CONCATENATE(REPLACE(AL268,LEN(AL268),1,"")+1,"A")</f>
        <v>4A</v>
      </c>
      <c r="BR268" s="23" t="str">
        <f t="shared" ref="BR268" si="386">CONCATENATE(REPLACE(BP268,LEN(BP268),1,"")+1,"B")</f>
        <v>5B</v>
      </c>
      <c r="BS268" s="23" t="str">
        <f t="shared" ref="BS268" si="387">CONCATENATE(REPLACE(BQ268,LEN(BQ268),1,"")+1,"A")</f>
        <v>5A</v>
      </c>
      <c r="BT268" s="23" t="str">
        <f>CONCATENATE("DI",REPLACE($AC268,1,3,""),"-",AF268)</f>
        <v>DI14-C6</v>
      </c>
      <c r="BU268" s="23" t="str">
        <f t="shared" ref="BU268" si="388">CONCATENATE("DI",REPLACE($AC268,1,3,""),"-",AG268)</f>
        <v>DI14-B6</v>
      </c>
      <c r="BV268" s="23" t="str">
        <f t="shared" ref="BV268:CE268" si="389">CONCATENATE("DI",REPLACE($AC268,1,3,""),"-",BF268)</f>
        <v>DI14-C7</v>
      </c>
      <c r="BW268" s="23" t="str">
        <f t="shared" si="389"/>
        <v>DI14-B7</v>
      </c>
      <c r="BX268" s="23" t="str">
        <f t="shared" si="389"/>
        <v>DI14-C8</v>
      </c>
      <c r="BY268" s="23" t="str">
        <f t="shared" si="389"/>
        <v>DI14-B8</v>
      </c>
      <c r="BZ268" s="23" t="str">
        <f t="shared" si="389"/>
        <v>DI14-C9</v>
      </c>
      <c r="CA268" s="23" t="str">
        <f t="shared" si="389"/>
        <v>DI14-B9</v>
      </c>
      <c r="CB268" s="23" t="str">
        <f t="shared" si="389"/>
        <v>DI14-C10</v>
      </c>
      <c r="CC268" s="23" t="str">
        <f t="shared" si="389"/>
        <v>DI14-B10</v>
      </c>
      <c r="CD268" s="23" t="str">
        <f t="shared" si="389"/>
        <v>DI14-</v>
      </c>
      <c r="CE268" s="23" t="str">
        <f t="shared" si="389"/>
        <v>DI14-</v>
      </c>
      <c r="CF268" s="23" t="str">
        <f t="shared" ref="CF268:CG268" si="390">CONCATENATE("DO",REPLACE($AH268,1,3,""),"-",AK268)</f>
        <v>DO8-3B</v>
      </c>
      <c r="CG268" s="23" t="str">
        <f t="shared" si="390"/>
        <v>DO8-3A</v>
      </c>
      <c r="CH268" s="23" t="str">
        <f t="shared" ref="CH268:CK268" si="391">CONCATENATE("DO",REPLACE($AH268,1,3,""),"-",BP268)</f>
        <v>DO8-4B</v>
      </c>
      <c r="CI268" s="23" t="str">
        <f t="shared" si="391"/>
        <v>DO8-4A</v>
      </c>
      <c r="CJ268" s="23" t="str">
        <f t="shared" si="391"/>
        <v>DO8-5B</v>
      </c>
      <c r="CK268" s="23" t="str">
        <f t="shared" si="391"/>
        <v>DO8-5A</v>
      </c>
      <c r="CL268" s="23" t="str">
        <f t="shared" ref="CL268" si="392">CONCATENATE("K",$U268,"-10")</f>
        <v>K88-10</v>
      </c>
      <c r="CM268" s="23" t="str">
        <f t="shared" ref="CM268" si="393">CONCATENATE("K",$U268,"-03")</f>
        <v>K88-03</v>
      </c>
      <c r="CN268" s="23" t="str">
        <f t="shared" ref="CN268" si="394">CONCATENATE("K",$U268,"-04")</f>
        <v>K88-04</v>
      </c>
      <c r="CO268" s="23" t="str">
        <f t="shared" ref="CO268" si="395">CONCATENATE("K",$U268,"-01")</f>
        <v>K88-01</v>
      </c>
      <c r="CP268" s="23" t="str">
        <f t="shared" ref="CP268" si="396">CONCATENATE("K",$U268,"-08")</f>
        <v>K88-08</v>
      </c>
      <c r="CQ268" s="23" t="str">
        <f t="shared" ref="CQ268" si="397">CONCATENATE("K",$U268,"-02")</f>
        <v>K88-02</v>
      </c>
      <c r="CR268" s="23" t="str">
        <f t="shared" ref="CR268" si="398">CONCATENATE("K",$U268,"-09")</f>
        <v>K88-09</v>
      </c>
      <c r="CS268" s="23" t="str">
        <f t="shared" ref="CS268" si="399">CONCATENATE("K",$U268,"-05")</f>
        <v>K88-05</v>
      </c>
      <c r="CT268" s="23" t="str">
        <f t="shared" ref="CT268" si="400">CONCATENATE("K",$U268,"-11")</f>
        <v>K88-11</v>
      </c>
      <c r="CU268" s="23" t="str">
        <f t="shared" ref="CU268" si="401">CONCATENATE($T268,"-M",$U268,"-A9")</f>
        <v>F0-M88-A9</v>
      </c>
      <c r="CV268" s="23" t="str">
        <f t="shared" ref="CV268" si="402">CONCATENATE($T268,"-M",$U268,"-A7")</f>
        <v>F0-M88-A7</v>
      </c>
      <c r="CW268" s="23" t="str">
        <f t="shared" ref="CW268" si="403">CONCATENATE($T268,"-M",$U268,"-A8")</f>
        <v>F0-M88-A8</v>
      </c>
      <c r="CX268" s="23" t="str">
        <f t="shared" ref="CX268" si="404">CONCATENATE($T268,"-M",$U268,"-A6")</f>
        <v>F0-M88-A6</v>
      </c>
      <c r="CY268" s="23" t="str">
        <f t="shared" ref="CY268" si="405">CONCATENATE($T268,"-M",$U268,"-A30")</f>
        <v>F0-M88-A30</v>
      </c>
      <c r="CZ268" s="23" t="str">
        <f t="shared" ref="CZ268" si="406">CONCATENATE($T268,"-M",$U268,"-N")</f>
        <v>F0-M88-N</v>
      </c>
      <c r="DA268" s="23" t="str">
        <f>CONCATENATE($T268,"-A220-M",U268)</f>
        <v>F0-A220-M88</v>
      </c>
      <c r="DB268" s="23" t="str">
        <f t="shared" ref="DB268" si="407">CONCATENATE($T268,"-M",$U268,"-XM01")</f>
        <v>F0-M88-XM01</v>
      </c>
      <c r="DC268" s="23" t="str">
        <f t="shared" ref="DC268" si="408">CONCATENATE($T268,"-M",$U268,"-A1")</f>
        <v>F0-M88-A1</v>
      </c>
      <c r="DD268" s="23" t="str">
        <f t="shared" ref="DD268" si="409">CONCATENATE($T268,"-M",$U268,"-A5")</f>
        <v>F0-M88-A5</v>
      </c>
      <c r="DE268" s="23" t="str">
        <f t="shared" ref="DE268" si="410">CONCATENATE($T268,"-M",$U268,"-A11")</f>
        <v>F0-M88-A11</v>
      </c>
      <c r="DF268" s="23" t="str">
        <f t="shared" ref="DF268" si="411">CONCATENATE($T268,"-M",$U268,"-A12")</f>
        <v>F0-M88-A12</v>
      </c>
      <c r="DG268" s="23" t="str">
        <f t="shared" ref="DG268" si="412">CONCATENATE($T268,"-M",$U268,"-A19")</f>
        <v>F0-M88-A19</v>
      </c>
      <c r="DH268" s="23" t="str">
        <f t="shared" ref="DH268" si="413"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 cm="1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 cm="1">
        <f t="array" ref="Y269">IF(COUNTIFS(X$2:X269,X269)=1,"1",VALUE(SUBSTITUTE(INDEX(Y:Y,_xlfn.XMATCH(X269,X$1:X268,0,-1)),"A",""))+INDEX(Z:Z,_xlfn.XMATCH(X269,X$1:X268,0,-1))+1)</f>
        <v>2</v>
      </c>
      <c r="Z269" s="43" cm="1">
        <f t="array" ref="Z269">SUM(IF(ISNUMBER(FIND("TmAi",$BE$1:$AAD$1)),IF(IFERROR(ISODD(SUBSTITUTE($BE269:$AAD269,"A","")),FALSE),IF(ISODD(SUBSTITUTE($BE269:$AAD269,"A","")),1,0),0)))</f>
        <v>0</v>
      </c>
      <c r="AA269" t="str">
        <f t="shared" ref="AA269" si="414">CONCATENATE($Y269*2-1,"A")</f>
        <v>3A</v>
      </c>
      <c r="AB269" t="str">
        <f t="shared" ref="AB269" si="415">CONCATENATE($Y269*2-1,"B")</f>
        <v>3B</v>
      </c>
      <c r="AC269" t="str">
        <f>IF(COUNTIF(AC$1:AC268,AC268)&gt;31,REPLACE(AC268,LEN(AC268),1,VALUE(RIGHT(AC268,1))+1),AC268)</f>
        <v>A5.14</v>
      </c>
      <c r="AD269" s="43" cm="1">
        <f t="array" ref="AD269">IF(COUNTIFS(AC$2:AC269,AC269)=1,"1",VALUE(SUBSTITUTE(INDEX(AD:AD,_xlfn.XMATCH(AC269,AC$1:AC268,0,-1)),"A",""))+INDEX(AE:AE,_xlfn.XMATCH(AC269,AC$1:AC268,0,-1))+1)</f>
        <v>11</v>
      </c>
      <c r="AE269" s="43" cm="1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416">CONCATENATE("C",$AD269)</f>
        <v>C11</v>
      </c>
      <c r="AG269" t="str">
        <f t="shared" ref="AG269:AG294" si="417">CONCATENATE("B",$AD269)</f>
        <v>B11</v>
      </c>
      <c r="AH269" t="str">
        <f t="shared" ref="AH269:AH274" si="418">IF(AI268+AJ268&gt;31,REPLACE(AH268,LEN(AH268),1,VALUE(RIGHT(AH268,1))+1),AH268)</f>
        <v>A6.8</v>
      </c>
      <c r="AI269" s="43" cm="1">
        <f t="array" ref="AI269">IF(COUNTIFS(AH$2:AH269,AH269)=1,"1",VALUE(SUBSTITUTE(INDEX(AI:AI,_xlfn.XMATCH(AH269,AH$1:AH268,0,-1)),"A",""))+INDEX(AJ:AJ,_xlfn.XMATCH(AH269,AH$1:AH268,0,-1))+1)</f>
        <v>6</v>
      </c>
      <c r="AJ269" s="43" cm="1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419">CONCATENATE($AI269,"B")</f>
        <v>6B</v>
      </c>
      <c r="AL269" s="11" t="str">
        <f t="shared" ref="AL269:AL282" si="420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 t="shared" ref="GT269" si="421">CONCATENATE("XT",U269)</f>
        <v>XT89</v>
      </c>
      <c r="GU269" s="12" t="str">
        <f t="shared" ref="GU269" si="422">CONCATENATE("C",REPLACE(AF269,1,1,"")+1)</f>
        <v>C12</v>
      </c>
      <c r="GV269" s="12" t="str">
        <f t="shared" ref="GV269" si="423">CONCATENATE("B",REPLACE(AG269,1,1,"")+1)</f>
        <v>B12</v>
      </c>
      <c r="GW269" s="12" t="str">
        <f t="shared" ref="GW269" si="424">CONCATENATE("C",REPLACE(GU269,1,1,"")+1)</f>
        <v>C13</v>
      </c>
      <c r="GX269" s="12" t="str">
        <f t="shared" ref="GX269" si="425">CONCATENATE("B",REPLACE(GV269,1,1,"")+1)</f>
        <v>B13</v>
      </c>
      <c r="GY269" s="12" t="str">
        <f t="shared" ref="GY269" si="426">CONCATENATE("C",REPLACE(GW269,1,1,"")+1)</f>
        <v>C14</v>
      </c>
      <c r="GZ269" s="12" t="str">
        <f t="shared" ref="GZ269" si="427">CONCATENATE("B",REPLACE(GX269,1,1,"")+1)</f>
        <v>B14</v>
      </c>
      <c r="HA269" s="12" t="str">
        <f t="shared" ref="HA269" si="428">CONCATENATE("C",REPLACE(GY269,1,1,"")+1)</f>
        <v>C15</v>
      </c>
      <c r="HB269" s="12" t="str">
        <f t="shared" ref="HB269" si="429">CONCATENATE("B",REPLACE(GZ269,1,1,"")+1)</f>
        <v>B15</v>
      </c>
      <c r="HC269" s="12"/>
      <c r="HD269" s="12"/>
      <c r="HE269" s="12" t="str">
        <f t="shared" ref="HE269" si="430">CONCATENATE(REPLACE(AK269,LEN(AK269),1,"")+1,"B")</f>
        <v>7B</v>
      </c>
      <c r="HF269" s="12" t="str">
        <f t="shared" ref="HF269" si="431">CONCATENATE(REPLACE(AL269,LEN(AL269),1,"")+1,"A")</f>
        <v>7A</v>
      </c>
      <c r="HG269" s="12" t="str">
        <f t="shared" ref="HG269:HH269" si="432">CONCATENATE("AI",REPLACE($X269,1,3,""),"-",AA269)</f>
        <v>AI33-3A</v>
      </c>
      <c r="HH269" s="12" t="str">
        <f t="shared" si="432"/>
        <v>AI33-3B</v>
      </c>
      <c r="HI269" s="12" t="str">
        <f t="shared" ref="HI269:HJ269" si="433">CONCATENATE("DI",REPLACE($AC269,1,3,""),"-",AF269)</f>
        <v>DI14-C11</v>
      </c>
      <c r="HJ269" s="12" t="str">
        <f t="shared" si="433"/>
        <v>DI14-B11</v>
      </c>
      <c r="HK269" s="12" t="str">
        <f t="shared" ref="HK269:HT269" si="434">CONCATENATE("DI",REPLACE($AC269,1,3,""),"-",GU269)</f>
        <v>DI14-C12</v>
      </c>
      <c r="HL269" s="12" t="str">
        <f t="shared" si="434"/>
        <v>DI14-B12</v>
      </c>
      <c r="HM269" s="12" t="str">
        <f t="shared" si="434"/>
        <v>DI14-C13</v>
      </c>
      <c r="HN269" s="12" t="str">
        <f t="shared" si="434"/>
        <v>DI14-B13</v>
      </c>
      <c r="HO269" s="12" t="str">
        <f t="shared" si="434"/>
        <v>DI14-C14</v>
      </c>
      <c r="HP269" s="12" t="str">
        <f t="shared" si="434"/>
        <v>DI14-B14</v>
      </c>
      <c r="HQ269" s="12" t="str">
        <f t="shared" si="434"/>
        <v>DI14-C15</v>
      </c>
      <c r="HR269" s="12" t="str">
        <f t="shared" si="434"/>
        <v>DI14-B15</v>
      </c>
      <c r="HS269" s="12" t="str">
        <f t="shared" si="434"/>
        <v>DI14-</v>
      </c>
      <c r="HT269" s="12" t="str">
        <f t="shared" si="434"/>
        <v>DI14-</v>
      </c>
      <c r="HU269" s="12" t="str">
        <f t="shared" ref="HU269:HV269" si="435">CONCATENATE("DO",REPLACE($AH269,1,3,""),"-",AK269)</f>
        <v>DO8-6B</v>
      </c>
      <c r="HV269" s="12" t="str">
        <f t="shared" si="435"/>
        <v>DO8-6A</v>
      </c>
      <c r="HW269" s="12" t="str">
        <f t="shared" ref="HW269:HX269" si="436">CONCATENATE("DO",REPLACE($AH269,1,3,""),"-",HE269)</f>
        <v>DO8-7B</v>
      </c>
      <c r="HX269" s="12" t="str">
        <f t="shared" si="436"/>
        <v>DO8-7A</v>
      </c>
      <c r="HY269" s="12" t="str">
        <f t="shared" ref="HY269" si="437">CONCATENATE("K",$U269,"-01")</f>
        <v>K89-01</v>
      </c>
      <c r="HZ269" s="12" t="str">
        <f t="shared" ref="HZ269" si="438">CONCATENATE("K",$U269,"-02")</f>
        <v>K89-02</v>
      </c>
      <c r="IA269" s="12" t="str">
        <f t="shared" ref="IA269" si="439">CONCATENATE("K",$U269,"-03")</f>
        <v>K89-03</v>
      </c>
      <c r="IB269" s="12" t="str">
        <f t="shared" ref="IB269" si="440">CONCATENATE("K",$U269,"-04")</f>
        <v>K89-04</v>
      </c>
      <c r="IC269" s="12" t="str">
        <f t="shared" ref="IC269" si="441">CONCATENATE("K",$U269,"-05")</f>
        <v>K89-05</v>
      </c>
      <c r="ID269" s="12" t="str">
        <f t="shared" ref="ID269" si="442">CONCATENATE("K",$U269,"-06")</f>
        <v>K89-06</v>
      </c>
      <c r="IE269" s="12" t="str">
        <f t="shared" ref="IE269" si="443">CONCATENATE("K",$U269,"-07")</f>
        <v>K89-07</v>
      </c>
      <c r="IF269" s="12" t="str">
        <f t="shared" ref="IF269" si="444">CONCATENATE("K",$U269,"-08")</f>
        <v>K89-08</v>
      </c>
      <c r="IG269" s="12" t="str">
        <f t="shared" ref="IG269" si="445">CONCATENATE($T269,"-M",$U269,"-AMS-12")</f>
        <v>F0-M89-AMS-12</v>
      </c>
      <c r="IH269" s="12" t="str">
        <f t="shared" ref="IH269" si="446">CONCATENATE($T269,"-M",$U269,"-AMS-10")</f>
        <v>F0-M89-AMS-10</v>
      </c>
      <c r="II269" s="12" t="str">
        <f t="shared" ref="II269" si="447">CONCATENATE($T269,"-M",$U269,"-AMS-11")</f>
        <v>F0-M89-AMS-11</v>
      </c>
      <c r="IJ269" s="12" t="str">
        <f t="shared" ref="IJ269" si="448">CONCATENATE($T269,"-M",$U269,"-AMS-13")</f>
        <v>F0-M89-AMS-13</v>
      </c>
      <c r="IK269" s="12" t="str">
        <f t="shared" ref="IK269" si="449">CONCATENATE($T269,"-M",$U269,"-AMS-9")</f>
        <v>F0-M89-AMS-9</v>
      </c>
      <c r="IL269" s="12" t="str">
        <f t="shared" ref="IL269" si="450">CONCATENATE($T269,"-M",$U269,"-AMS-7")</f>
        <v>F0-M89-AMS-7</v>
      </c>
      <c r="IM269" s="12" t="str">
        <f t="shared" ref="IM269" si="451">CONCATENATE($T269,"-M",$U269,"-AMS-18")</f>
        <v>F0-M89-AMS-18</v>
      </c>
      <c r="IN269" s="12" t="str">
        <f t="shared" ref="IN269" si="452">CONCATENATE($T269,"-M",$U269,"-AMS-20")</f>
        <v>F0-M89-AMS-20</v>
      </c>
      <c r="IO269" s="12" t="str">
        <f t="shared" ref="IO269" si="453">CONCATENATE($T269,"-M",$U269,"-AMS-17")</f>
        <v>F0-M89-AMS-17</v>
      </c>
      <c r="IP269" s="12" t="str">
        <f t="shared" ref="IP269" si="454">CONCATENATE($T269,"-+24-M",$U269,)</f>
        <v>F0-+24-M89</v>
      </c>
      <c r="IQ269" s="12" t="str">
        <f t="shared" ref="IQ269" si="455"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 cm="1">
        <f t="array" ref="AD270">IF(COUNTIFS(AC$2:AC270,AC270)=1,"1",VALUE(SUBSTITUTE(INDEX(AD:AD,_xlfn.XMATCH(AC270,AC$1:AC269,0,-1)),"A",""))+INDEX(AE:AE,_xlfn.XMATCH(AC270,AC$1:AC269,0,-1))+1)</f>
        <v>16</v>
      </c>
      <c r="AE270" s="43" cm="1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416"/>
        <v>C16</v>
      </c>
      <c r="AG270" t="str">
        <f t="shared" si="417"/>
        <v>B16</v>
      </c>
      <c r="AH270" t="str">
        <f t="shared" si="418"/>
        <v>A6.8</v>
      </c>
      <c r="AI270" s="43" cm="1">
        <f t="array" ref="AI270">IF(COUNTIFS(AH$2:AH270,AH270)=1,"1",VALUE(SUBSTITUTE(INDEX(AI:AI,_xlfn.XMATCH(AH270,AH$1:AH269,0,-1)),"A",""))+INDEX(AJ:AJ,_xlfn.XMATCH(AH270,AH$1:AH269,0,-1))+1)</f>
        <v>8</v>
      </c>
      <c r="AJ270" s="43" cm="1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419"/>
        <v>8B</v>
      </c>
      <c r="AL270" s="11" t="str">
        <f t="shared" si="420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 t="shared" ref="BE270" si="456">CONCATENATE("XT",U270)</f>
        <v>XT90</v>
      </c>
      <c r="BF270" s="23" t="str">
        <f t="shared" ref="BF270" si="457">CONCATENATE("C",REPLACE(AF270,1,1,"")+1)</f>
        <v>C17</v>
      </c>
      <c r="BG270" s="23" t="str">
        <f t="shared" ref="BG270" si="458">CONCATENATE("B",REPLACE(AG270,1,1,"")+1)</f>
        <v>B17</v>
      </c>
      <c r="BH270" s="23" t="str">
        <f t="shared" ref="BH270" si="459">CONCATENATE("C",REPLACE(BF270,1,1,"")+1)</f>
        <v>C18</v>
      </c>
      <c r="BI270" s="23" t="str">
        <f t="shared" ref="BI270" si="460">CONCATENATE("B",REPLACE(BG270,1,1,"")+1)</f>
        <v>B18</v>
      </c>
      <c r="BJ270" s="23" t="str">
        <f t="shared" ref="BJ270" si="461">CONCATENATE("C",REPLACE(BH270,1,1,"")+1)</f>
        <v>C19</v>
      </c>
      <c r="BK270" s="23" t="str">
        <f t="shared" ref="BK270" si="462">CONCATENATE("B",REPLACE(BI270,1,1,"")+1)</f>
        <v>B19</v>
      </c>
      <c r="BL270" s="23" t="str">
        <f t="shared" ref="BL270" si="463">CONCATENATE("C",REPLACE(BJ270,1,1,"")+1)</f>
        <v>C20</v>
      </c>
      <c r="BM270" s="23" t="str">
        <f t="shared" ref="BM270" si="464">CONCATENATE("B",REPLACE(BK270,1,1,"")+1)</f>
        <v>B20</v>
      </c>
      <c r="BN270" s="23"/>
      <c r="BO270" s="23"/>
      <c r="BP270" s="23" t="str">
        <f t="shared" ref="BP270" si="465">CONCATENATE(REPLACE(AK270,LEN(AK270),1,"")+1,"B")</f>
        <v>9B</v>
      </c>
      <c r="BQ270" s="23" t="str">
        <f t="shared" ref="BQ270" si="466">CONCATENATE(REPLACE(AL270,LEN(AL270),1,"")+1,"A")</f>
        <v>9A</v>
      </c>
      <c r="BR270" s="23" t="str">
        <f t="shared" ref="BR270" si="467">CONCATENATE(REPLACE(BP270,LEN(BP270),1,"")+1,"B")</f>
        <v>10B</v>
      </c>
      <c r="BS270" s="23" t="str">
        <f t="shared" ref="BS270" si="468">CONCATENATE(REPLACE(BQ270,LEN(BQ270),1,"")+1,"A")</f>
        <v>10A</v>
      </c>
      <c r="BT270" s="23" t="str">
        <f t="shared" ref="BT270:BU270" si="469">CONCATENATE("DI",REPLACE($AC270,1,3,""),"-",AF270)</f>
        <v>DI14-C16</v>
      </c>
      <c r="BU270" s="23" t="str">
        <f t="shared" si="469"/>
        <v>DI14-B16</v>
      </c>
      <c r="BV270" s="23" t="str">
        <f t="shared" ref="BV270:CE270" si="470">CONCATENATE("DI",REPLACE($AC270,1,3,""),"-",BF270)</f>
        <v>DI14-C17</v>
      </c>
      <c r="BW270" s="23" t="str">
        <f t="shared" si="470"/>
        <v>DI14-B17</v>
      </c>
      <c r="BX270" s="23" t="str">
        <f t="shared" si="470"/>
        <v>DI14-C18</v>
      </c>
      <c r="BY270" s="23" t="str">
        <f t="shared" si="470"/>
        <v>DI14-B18</v>
      </c>
      <c r="BZ270" s="23" t="str">
        <f t="shared" si="470"/>
        <v>DI14-C19</v>
      </c>
      <c r="CA270" s="23" t="str">
        <f t="shared" si="470"/>
        <v>DI14-B19</v>
      </c>
      <c r="CB270" s="23" t="str">
        <f t="shared" si="470"/>
        <v>DI14-C20</v>
      </c>
      <c r="CC270" s="23" t="str">
        <f t="shared" si="470"/>
        <v>DI14-B20</v>
      </c>
      <c r="CD270" s="23" t="str">
        <f t="shared" si="470"/>
        <v>DI14-</v>
      </c>
      <c r="CE270" s="23" t="str">
        <f t="shared" si="470"/>
        <v>DI14-</v>
      </c>
      <c r="CF270" s="23" t="str">
        <f t="shared" ref="CF270:CG270" si="471">CONCATENATE("DO",REPLACE($AH270,1,3,""),"-",AK270)</f>
        <v>DO8-8B</v>
      </c>
      <c r="CG270" s="23" t="str">
        <f t="shared" si="471"/>
        <v>DO8-8A</v>
      </c>
      <c r="CH270" s="23" t="str">
        <f t="shared" ref="CH270:CK270" si="472">CONCATENATE("DO",REPLACE($AH270,1,3,""),"-",BP270)</f>
        <v>DO8-9B</v>
      </c>
      <c r="CI270" s="23" t="str">
        <f t="shared" si="472"/>
        <v>DO8-9A</v>
      </c>
      <c r="CJ270" s="23" t="str">
        <f t="shared" si="472"/>
        <v>DO8-10B</v>
      </c>
      <c r="CK270" s="23" t="str">
        <f t="shared" si="472"/>
        <v>DO8-10A</v>
      </c>
      <c r="CL270" s="23" t="str">
        <f t="shared" ref="CL270" si="473">CONCATENATE("K",$U270,"-10")</f>
        <v>K90-10</v>
      </c>
      <c r="CM270" s="23" t="str">
        <f t="shared" ref="CM270" si="474">CONCATENATE("K",$U270,"-03")</f>
        <v>K90-03</v>
      </c>
      <c r="CN270" s="23" t="str">
        <f t="shared" ref="CN270" si="475">CONCATENATE("K",$U270,"-04")</f>
        <v>K90-04</v>
      </c>
      <c r="CO270" s="23" t="str">
        <f t="shared" ref="CO270" si="476">CONCATENATE("K",$U270,"-01")</f>
        <v>K90-01</v>
      </c>
      <c r="CP270" s="23" t="str">
        <f t="shared" ref="CP270" si="477">CONCATENATE("K",$U270,"-08")</f>
        <v>K90-08</v>
      </c>
      <c r="CQ270" s="23" t="str">
        <f t="shared" ref="CQ270" si="478">CONCATENATE("K",$U270,"-02")</f>
        <v>K90-02</v>
      </c>
      <c r="CR270" s="23" t="str">
        <f t="shared" ref="CR270" si="479">CONCATENATE("K",$U270,"-09")</f>
        <v>K90-09</v>
      </c>
      <c r="CS270" s="23" t="str">
        <f t="shared" ref="CS270" si="480">CONCATENATE("K",$U270,"-05")</f>
        <v>K90-05</v>
      </c>
      <c r="CT270" s="23" t="str">
        <f t="shared" ref="CT270" si="481">CONCATENATE("K",$U270,"-11")</f>
        <v>K90-11</v>
      </c>
      <c r="CU270" s="23" t="str">
        <f t="shared" ref="CU270" si="482">CONCATENATE($T270,"-M",$U270,"-A9")</f>
        <v>F0-M90-A9</v>
      </c>
      <c r="CV270" s="23" t="str">
        <f t="shared" ref="CV270" si="483">CONCATENATE($T270,"-M",$U270,"-A7")</f>
        <v>F0-M90-A7</v>
      </c>
      <c r="CW270" s="23" t="str">
        <f t="shared" ref="CW270" si="484">CONCATENATE($T270,"-M",$U270,"-A8")</f>
        <v>F0-M90-A8</v>
      </c>
      <c r="CX270" s="23" t="str">
        <f t="shared" ref="CX270" si="485">CONCATENATE($T270,"-M",$U270,"-A6")</f>
        <v>F0-M90-A6</v>
      </c>
      <c r="CY270" s="23" t="str">
        <f t="shared" ref="CY270" si="486">CONCATENATE($T270,"-M",$U270,"-A30")</f>
        <v>F0-M90-A30</v>
      </c>
      <c r="CZ270" s="23" t="str">
        <f t="shared" ref="CZ270" si="487">CONCATENATE($T270,"-M",$U270,"-N")</f>
        <v>F0-M90-N</v>
      </c>
      <c r="DA270" s="23" t="str">
        <f t="shared" ref="DA270" si="488">CONCATENATE($T270,"-A220-M",U270)</f>
        <v>F0-A220-M90</v>
      </c>
      <c r="DB270" s="23" t="str">
        <f t="shared" ref="DB270" si="489">CONCATENATE($T270,"-M",$U270,"-XM01")</f>
        <v>F0-M90-XM01</v>
      </c>
      <c r="DC270" s="23" t="str">
        <f t="shared" ref="DC270" si="490">CONCATENATE($T270,"-M",$U270,"-A1")</f>
        <v>F0-M90-A1</v>
      </c>
      <c r="DD270" s="23" t="str">
        <f t="shared" ref="DD270" si="491">CONCATENATE($T270,"-M",$U270,"-A5")</f>
        <v>F0-M90-A5</v>
      </c>
      <c r="DE270" s="23" t="str">
        <f t="shared" ref="DE270" si="492">CONCATENATE($T270,"-M",$U270,"-A11")</f>
        <v>F0-M90-A11</v>
      </c>
      <c r="DF270" s="23" t="str">
        <f t="shared" ref="DF270" si="493">CONCATENATE($T270,"-M",$U270,"-A12")</f>
        <v>F0-M90-A12</v>
      </c>
      <c r="DG270" s="23" t="str">
        <f t="shared" ref="DG270" si="494">CONCATENATE($T270,"-M",$U270,"-A19")</f>
        <v>F0-M90-A19</v>
      </c>
      <c r="DH270" s="23" t="str">
        <f t="shared" ref="DH270" si="495"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 cm="1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 cm="1">
        <f t="array" ref="Y271">IF(COUNTIFS(X$2:X271,X271)=1,"1",VALUE(SUBSTITUTE(INDEX(Y:Y,_xlfn.XMATCH(X271,X$1:X270,0,-1)),"A",""))+INDEX(Z:Z,_xlfn.XMATCH(X271,X$1:X270,0,-1))+1)</f>
        <v>3</v>
      </c>
      <c r="Z271" s="43" cm="1">
        <f t="array" ref="Z271">SUM(IF(ISNUMBER(FIND("TmAi",$BE$1:$AAD$1)),IF(IFERROR(ISODD(SUBSTITUTE($BE271:$AAD271,"A","")),FALSE),IF(ISODD(SUBSTITUTE($BE271:$AAD271,"A","")),1,0),0)))</f>
        <v>0</v>
      </c>
      <c r="AA271" t="str">
        <f t="shared" ref="AA271" si="496">CONCATENATE($Y271*2-1,"A")</f>
        <v>5A</v>
      </c>
      <c r="AB271" t="str">
        <f t="shared" ref="AB271" si="497">CONCATENATE($Y271*2-1,"B")</f>
        <v>5B</v>
      </c>
      <c r="AC271" t="s">
        <v>1801</v>
      </c>
      <c r="AD271" s="43" t="str" cm="1">
        <f t="array" ref="AD271">IF(COUNTIFS(AC$2:AC271,AC271)=1,"1",VALUE(SUBSTITUTE(INDEX(AD$1:AD270,_xlfn.XMATCH(AC271,AC$1:AC270,0,-1)),"A",""))+INDEX(AE$1:AE$270,_xlfn.XMATCH(AC271,AC$1:AC270,0,-1))+1)</f>
        <v>1</v>
      </c>
      <c r="AE271" s="43" cm="1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416"/>
        <v>C1</v>
      </c>
      <c r="AG271" t="str">
        <f t="shared" si="417"/>
        <v>B1</v>
      </c>
      <c r="AH271" t="str">
        <f t="shared" si="418"/>
        <v>A6.8</v>
      </c>
      <c r="AI271" s="43" cm="1">
        <f t="array" ref="AI271">IF(COUNTIFS(AH$2:AH271,AH271)=1,"1",VALUE(SUBSTITUTE(INDEX(AI:AI,_xlfn.XMATCH(AH271,AH$1:AH270,0,-1)),"A",""))+INDEX(AJ:AJ,_xlfn.XMATCH(AH271,AH$1:AH270,0,-1))+1)</f>
        <v>11</v>
      </c>
      <c r="AJ271" s="43" cm="1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419"/>
        <v>11B</v>
      </c>
      <c r="AL271" s="11" t="str">
        <f t="shared" si="420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 t="shared" ref="GT271" si="498">CONCATENATE("XT",U271)</f>
        <v>XT91</v>
      </c>
      <c r="GU271" s="12" t="str">
        <f t="shared" ref="GU271" si="499">CONCATENATE("C",REPLACE(AF271,1,1,"")+1)</f>
        <v>C2</v>
      </c>
      <c r="GV271" s="12" t="str">
        <f t="shared" ref="GV271" si="500">CONCATENATE("B",REPLACE(AG271,1,1,"")+1)</f>
        <v>B2</v>
      </c>
      <c r="GW271" s="12" t="str">
        <f t="shared" ref="GW271" si="501">CONCATENATE("C",REPLACE(GU271,1,1,"")+1)</f>
        <v>C3</v>
      </c>
      <c r="GX271" s="12" t="str">
        <f t="shared" ref="GX271" si="502">CONCATENATE("B",REPLACE(GV271,1,1,"")+1)</f>
        <v>B3</v>
      </c>
      <c r="GY271" s="12" t="str">
        <f t="shared" ref="GY271" si="503">CONCATENATE("C",REPLACE(GW271,1,1,"")+1)</f>
        <v>C4</v>
      </c>
      <c r="GZ271" s="12" t="str">
        <f t="shared" ref="GZ271" si="504">CONCATENATE("B",REPLACE(GX271,1,1,"")+1)</f>
        <v>B4</v>
      </c>
      <c r="HA271" s="12" t="str">
        <f t="shared" ref="HA271" si="505">CONCATENATE("C",REPLACE(GY271,1,1,"")+1)</f>
        <v>C5</v>
      </c>
      <c r="HB271" s="12" t="str">
        <f t="shared" ref="HB271" si="506">CONCATENATE("B",REPLACE(GZ271,1,1,"")+1)</f>
        <v>B5</v>
      </c>
      <c r="HC271" s="12"/>
      <c r="HD271" s="12"/>
      <c r="HE271" s="12" t="str">
        <f t="shared" ref="HE271" si="507">CONCATENATE(REPLACE(AK271,LEN(AK271),1,"")+1,"B")</f>
        <v>12B</v>
      </c>
      <c r="HF271" s="12" t="str">
        <f t="shared" ref="HF271" si="508">CONCATENATE(REPLACE(AL271,LEN(AL271),1,"")+1,"A")</f>
        <v>12A</v>
      </c>
      <c r="HG271" s="12" t="str">
        <f t="shared" ref="HG271:HH271" si="509">CONCATENATE("AI",REPLACE($X271,1,3,""),"-",AA271)</f>
        <v>AI33-5A</v>
      </c>
      <c r="HH271" s="12" t="str">
        <f t="shared" si="509"/>
        <v>AI33-5B</v>
      </c>
      <c r="HI271" s="12" t="str">
        <f t="shared" ref="HI271:HJ271" si="510">CONCATENATE("DI",REPLACE($AC271,1,3,""),"-",AF271)</f>
        <v>DI15-C1</v>
      </c>
      <c r="HJ271" s="12" t="str">
        <f t="shared" si="510"/>
        <v>DI15-B1</v>
      </c>
      <c r="HK271" s="12" t="str">
        <f t="shared" ref="HK271:HT271" si="511">CONCATENATE("DI",REPLACE($AC271,1,3,""),"-",GU271)</f>
        <v>DI15-C2</v>
      </c>
      <c r="HL271" s="12" t="str">
        <f t="shared" si="511"/>
        <v>DI15-B2</v>
      </c>
      <c r="HM271" s="12" t="str">
        <f t="shared" si="511"/>
        <v>DI15-C3</v>
      </c>
      <c r="HN271" s="12" t="str">
        <f t="shared" si="511"/>
        <v>DI15-B3</v>
      </c>
      <c r="HO271" s="12" t="str">
        <f t="shared" si="511"/>
        <v>DI15-C4</v>
      </c>
      <c r="HP271" s="12" t="str">
        <f t="shared" si="511"/>
        <v>DI15-B4</v>
      </c>
      <c r="HQ271" s="12" t="str">
        <f t="shared" si="511"/>
        <v>DI15-C5</v>
      </c>
      <c r="HR271" s="12" t="str">
        <f t="shared" si="511"/>
        <v>DI15-B5</v>
      </c>
      <c r="HS271" s="12" t="str">
        <f t="shared" si="511"/>
        <v>DI15-</v>
      </c>
      <c r="HT271" s="12" t="str">
        <f t="shared" si="511"/>
        <v>DI15-</v>
      </c>
      <c r="HU271" s="12" t="str">
        <f t="shared" ref="HU271:HV271" si="512">CONCATENATE("DO",REPLACE($AH271,1,3,""),"-",AK271)</f>
        <v>DO8-11B</v>
      </c>
      <c r="HV271" s="12" t="str">
        <f t="shared" si="512"/>
        <v>DO8-11A</v>
      </c>
      <c r="HW271" s="12" t="str">
        <f t="shared" ref="HW271:HX271" si="513">CONCATENATE("DO",REPLACE($AH271,1,3,""),"-",HE271)</f>
        <v>DO8-12B</v>
      </c>
      <c r="HX271" s="12" t="str">
        <f t="shared" si="513"/>
        <v>DO8-12A</v>
      </c>
      <c r="HY271" s="12" t="str">
        <f t="shared" ref="HY271" si="514">CONCATENATE("K",$U271,"-01")</f>
        <v>K91-01</v>
      </c>
      <c r="HZ271" s="12" t="str">
        <f t="shared" ref="HZ271" si="515">CONCATENATE("K",$U271,"-02")</f>
        <v>K91-02</v>
      </c>
      <c r="IA271" s="12" t="str">
        <f t="shared" ref="IA271" si="516">CONCATENATE("K",$U271,"-03")</f>
        <v>K91-03</v>
      </c>
      <c r="IB271" s="12" t="str">
        <f t="shared" ref="IB271" si="517">CONCATENATE("K",$U271,"-04")</f>
        <v>K91-04</v>
      </c>
      <c r="IC271" s="12" t="str">
        <f t="shared" ref="IC271" si="518">CONCATENATE("K",$U271,"-05")</f>
        <v>K91-05</v>
      </c>
      <c r="ID271" s="12" t="str">
        <f t="shared" ref="ID271" si="519">CONCATENATE("K",$U271,"-06")</f>
        <v>K91-06</v>
      </c>
      <c r="IE271" s="12" t="str">
        <f t="shared" ref="IE271" si="520">CONCATENATE("K",$U271,"-07")</f>
        <v>K91-07</v>
      </c>
      <c r="IF271" s="12" t="str">
        <f t="shared" ref="IF271" si="521">CONCATENATE("K",$U271,"-08")</f>
        <v>K91-08</v>
      </c>
      <c r="IG271" s="12" t="str">
        <f t="shared" ref="IG271" si="522">CONCATENATE($T271,"-M",$U271,"-AMS-12")</f>
        <v>F0-M91-AMS-12</v>
      </c>
      <c r="IH271" s="12" t="str">
        <f t="shared" ref="IH271" si="523">CONCATENATE($T271,"-M",$U271,"-AMS-10")</f>
        <v>F0-M91-AMS-10</v>
      </c>
      <c r="II271" s="12" t="str">
        <f t="shared" ref="II271" si="524">CONCATENATE($T271,"-M",$U271,"-AMS-11")</f>
        <v>F0-M91-AMS-11</v>
      </c>
      <c r="IJ271" s="12" t="str">
        <f t="shared" ref="IJ271" si="525">CONCATENATE($T271,"-M",$U271,"-AMS-13")</f>
        <v>F0-M91-AMS-13</v>
      </c>
      <c r="IK271" s="12" t="str">
        <f t="shared" ref="IK271" si="526">CONCATENATE($T271,"-M",$U271,"-AMS-9")</f>
        <v>F0-M91-AMS-9</v>
      </c>
      <c r="IL271" s="12" t="str">
        <f t="shared" ref="IL271" si="527">CONCATENATE($T271,"-M",$U271,"-AMS-7")</f>
        <v>F0-M91-AMS-7</v>
      </c>
      <c r="IM271" s="12" t="str">
        <f t="shared" ref="IM271" si="528">CONCATENATE($T271,"-M",$U271,"-AMS-18")</f>
        <v>F0-M91-AMS-18</v>
      </c>
      <c r="IN271" s="12" t="str">
        <f t="shared" ref="IN271" si="529">CONCATENATE($T271,"-M",$U271,"-AMS-20")</f>
        <v>F0-M91-AMS-20</v>
      </c>
      <c r="IO271" s="12" t="str">
        <f t="shared" ref="IO271" si="530">CONCATENATE($T271,"-M",$U271,"-AMS-17")</f>
        <v>F0-M91-AMS-17</v>
      </c>
      <c r="IP271" s="12" t="str">
        <f t="shared" ref="IP271" si="531">CONCATENATE($T271,"-+24-M",$U271,)</f>
        <v>F0-+24-M91</v>
      </c>
      <c r="IQ271" s="12" t="str">
        <f t="shared" ref="IQ271" si="532"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 t="shared" ref="AC272:AC274" si="533">IF(AD271+AE271&gt;31,REPLACE(AC271,LEN(AC271),1,VALUE(RIGHT(AC271,1))+1),AC271)</f>
        <v>A5.15</v>
      </c>
      <c r="AD272" s="43" cm="1">
        <f t="array" ref="AD272">IF(COUNTIFS(AC$2:AC272,AC272)=1,"1",VALUE(SUBSTITUTE(INDEX(AD:AD,_xlfn.XMATCH(AC272,AC$1:AC271,0,-1)),"A",""))+INDEX(AE:AE,_xlfn.XMATCH(AC272,AC$1:AC271,0,-1))+1)</f>
        <v>6</v>
      </c>
      <c r="AE272" s="43" cm="1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416"/>
        <v>C6</v>
      </c>
      <c r="AG272" t="str">
        <f t="shared" si="417"/>
        <v>B6</v>
      </c>
      <c r="AH272" t="str">
        <f t="shared" si="418"/>
        <v>A6.8</v>
      </c>
      <c r="AI272" s="43" cm="1">
        <f t="array" ref="AI272">IF(COUNTIFS(AH$2:AH272,AH272)=1,"1",VALUE(SUBSTITUTE(INDEX(AI:AI,_xlfn.XMATCH(AH272,AH$1:AH271,0,-1)),"A",""))+INDEX(AJ:AJ,_xlfn.XMATCH(AH272,AH$1:AH271,0,-1))+1)</f>
        <v>13</v>
      </c>
      <c r="AJ272" s="43" cm="1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419"/>
        <v>13B</v>
      </c>
      <c r="AL272" s="11" t="str">
        <f t="shared" si="420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 t="shared" ref="BE272" si="534">CONCATENATE("XT",U272)</f>
        <v>XT92</v>
      </c>
      <c r="BF272" s="23" t="str">
        <f t="shared" ref="BF272" si="535">CONCATENATE("C",REPLACE(AF272,1,1,"")+1)</f>
        <v>C7</v>
      </c>
      <c r="BG272" s="23" t="str">
        <f t="shared" ref="BG272" si="536">CONCATENATE("B",REPLACE(AG272,1,1,"")+1)</f>
        <v>B7</v>
      </c>
      <c r="BH272" s="23" t="str">
        <f t="shared" ref="BH272" si="537">CONCATENATE("C",REPLACE(BF272,1,1,"")+1)</f>
        <v>C8</v>
      </c>
      <c r="BI272" s="23" t="str">
        <f t="shared" ref="BI272" si="538">CONCATENATE("B",REPLACE(BG272,1,1,"")+1)</f>
        <v>B8</v>
      </c>
      <c r="BJ272" s="23" t="str">
        <f t="shared" ref="BJ272" si="539">CONCATENATE("C",REPLACE(BH272,1,1,"")+1)</f>
        <v>C9</v>
      </c>
      <c r="BK272" s="23" t="str">
        <f t="shared" ref="BK272" si="540">CONCATENATE("B",REPLACE(BI272,1,1,"")+1)</f>
        <v>B9</v>
      </c>
      <c r="BL272" s="23" t="str">
        <f t="shared" ref="BL272" si="541">CONCATENATE("C",REPLACE(BJ272,1,1,"")+1)</f>
        <v>C10</v>
      </c>
      <c r="BM272" s="23" t="str">
        <f t="shared" ref="BM272" si="542">CONCATENATE("B",REPLACE(BK272,1,1,"")+1)</f>
        <v>B10</v>
      </c>
      <c r="BN272" s="23"/>
      <c r="BO272" s="23"/>
      <c r="BP272" s="23" t="str">
        <f t="shared" ref="BP272" si="543">CONCATENATE(REPLACE(AK272,LEN(AK272),1,"")+1,"B")</f>
        <v>14B</v>
      </c>
      <c r="BQ272" s="23" t="str">
        <f t="shared" ref="BQ272" si="544">CONCATENATE(REPLACE(AL272,LEN(AL272),1,"")+1,"A")</f>
        <v>14A</v>
      </c>
      <c r="BR272" s="23" t="str">
        <f t="shared" ref="BR272" si="545">CONCATENATE(REPLACE(BP272,LEN(BP272),1,"")+1,"B")</f>
        <v>15B</v>
      </c>
      <c r="BS272" s="23" t="str">
        <f t="shared" ref="BS272" si="546">CONCATENATE(REPLACE(BQ272,LEN(BQ272),1,"")+1,"A")</f>
        <v>15A</v>
      </c>
      <c r="BT272" s="23" t="str">
        <f t="shared" ref="BT272:BU272" si="547">CONCATENATE("DI",REPLACE($AC272,1,3,""),"-",AF272)</f>
        <v>DI15-C6</v>
      </c>
      <c r="BU272" s="23" t="str">
        <f t="shared" si="547"/>
        <v>DI15-B6</v>
      </c>
      <c r="BV272" s="23" t="str">
        <f t="shared" ref="BV272:CE272" si="548">CONCATENATE("DI",REPLACE($AC272,1,3,""),"-",BF272)</f>
        <v>DI15-C7</v>
      </c>
      <c r="BW272" s="23" t="str">
        <f t="shared" si="548"/>
        <v>DI15-B7</v>
      </c>
      <c r="BX272" s="23" t="str">
        <f t="shared" si="548"/>
        <v>DI15-C8</v>
      </c>
      <c r="BY272" s="23" t="str">
        <f t="shared" si="548"/>
        <v>DI15-B8</v>
      </c>
      <c r="BZ272" s="23" t="str">
        <f t="shared" si="548"/>
        <v>DI15-C9</v>
      </c>
      <c r="CA272" s="23" t="str">
        <f t="shared" si="548"/>
        <v>DI15-B9</v>
      </c>
      <c r="CB272" s="23" t="str">
        <f t="shared" si="548"/>
        <v>DI15-C10</v>
      </c>
      <c r="CC272" s="23" t="str">
        <f t="shared" si="548"/>
        <v>DI15-B10</v>
      </c>
      <c r="CD272" s="23" t="str">
        <f t="shared" si="548"/>
        <v>DI15-</v>
      </c>
      <c r="CE272" s="23" t="str">
        <f t="shared" si="548"/>
        <v>DI15-</v>
      </c>
      <c r="CF272" s="23" t="str">
        <f t="shared" ref="CF272:CG272" si="549">CONCATENATE("DO",REPLACE($AH272,1,3,""),"-",AK272)</f>
        <v>DO8-13B</v>
      </c>
      <c r="CG272" s="23" t="str">
        <f t="shared" si="549"/>
        <v>DO8-13A</v>
      </c>
      <c r="CH272" s="23" t="str">
        <f t="shared" ref="CH272:CK272" si="550">CONCATENATE("DO",REPLACE($AH272,1,3,""),"-",BP272)</f>
        <v>DO8-14B</v>
      </c>
      <c r="CI272" s="23" t="str">
        <f t="shared" si="550"/>
        <v>DO8-14A</v>
      </c>
      <c r="CJ272" s="23" t="str">
        <f t="shared" si="550"/>
        <v>DO8-15B</v>
      </c>
      <c r="CK272" s="23" t="str">
        <f t="shared" si="550"/>
        <v>DO8-15A</v>
      </c>
      <c r="CL272" s="23" t="str">
        <f t="shared" ref="CL272" si="551">CONCATENATE("K",$U272,"-10")</f>
        <v>K92-10</v>
      </c>
      <c r="CM272" s="23" t="str">
        <f t="shared" ref="CM272" si="552">CONCATENATE("K",$U272,"-03")</f>
        <v>K92-03</v>
      </c>
      <c r="CN272" s="23" t="str">
        <f t="shared" ref="CN272" si="553">CONCATENATE("K",$U272,"-04")</f>
        <v>K92-04</v>
      </c>
      <c r="CO272" s="23" t="str">
        <f t="shared" ref="CO272" si="554">CONCATENATE("K",$U272,"-01")</f>
        <v>K92-01</v>
      </c>
      <c r="CP272" s="23" t="str">
        <f t="shared" ref="CP272" si="555">CONCATENATE("K",$U272,"-08")</f>
        <v>K92-08</v>
      </c>
      <c r="CQ272" s="23" t="str">
        <f t="shared" ref="CQ272" si="556">CONCATENATE("K",$U272,"-02")</f>
        <v>K92-02</v>
      </c>
      <c r="CR272" s="23" t="str">
        <f t="shared" ref="CR272" si="557">CONCATENATE("K",$U272,"-09")</f>
        <v>K92-09</v>
      </c>
      <c r="CS272" s="23" t="str">
        <f t="shared" ref="CS272" si="558">CONCATENATE("K",$U272,"-05")</f>
        <v>K92-05</v>
      </c>
      <c r="CT272" s="23" t="str">
        <f t="shared" ref="CT272" si="559">CONCATENATE("K",$U272,"-11")</f>
        <v>K92-11</v>
      </c>
      <c r="CU272" s="23" t="str">
        <f t="shared" ref="CU272" si="560">CONCATENATE($T272,"-M",$U272,"-A9")</f>
        <v>F0-M92-A9</v>
      </c>
      <c r="CV272" s="23" t="str">
        <f t="shared" ref="CV272" si="561">CONCATENATE($T272,"-M",$U272,"-A7")</f>
        <v>F0-M92-A7</v>
      </c>
      <c r="CW272" s="23" t="str">
        <f t="shared" ref="CW272" si="562">CONCATENATE($T272,"-M",$U272,"-A8")</f>
        <v>F0-M92-A8</v>
      </c>
      <c r="CX272" s="23" t="str">
        <f t="shared" ref="CX272" si="563">CONCATENATE($T272,"-M",$U272,"-A6")</f>
        <v>F0-M92-A6</v>
      </c>
      <c r="CY272" s="23" t="str">
        <f t="shared" ref="CY272" si="564">CONCATENATE($T272,"-M",$U272,"-A30")</f>
        <v>F0-M92-A30</v>
      </c>
      <c r="CZ272" s="23" t="str">
        <f t="shared" ref="CZ272" si="565">CONCATENATE($T272,"-M",$U272,"-N")</f>
        <v>F0-M92-N</v>
      </c>
      <c r="DA272" s="23" t="str">
        <f t="shared" ref="DA272" si="566">CONCATENATE($T272,"-A220-M",U272)</f>
        <v>F0-A220-M92</v>
      </c>
      <c r="DB272" s="23" t="str">
        <f t="shared" ref="DB272" si="567">CONCATENATE($T272,"-M",$U272,"-XM01")</f>
        <v>F0-M92-XM01</v>
      </c>
      <c r="DC272" s="23" t="str">
        <f t="shared" ref="DC272" si="568">CONCATENATE($T272,"-M",$U272,"-A1")</f>
        <v>F0-M92-A1</v>
      </c>
      <c r="DD272" s="23" t="str">
        <f t="shared" ref="DD272" si="569">CONCATENATE($T272,"-M",$U272,"-A5")</f>
        <v>F0-M92-A5</v>
      </c>
      <c r="DE272" s="23" t="str">
        <f t="shared" ref="DE272" si="570">CONCATENATE($T272,"-M",$U272,"-A11")</f>
        <v>F0-M92-A11</v>
      </c>
      <c r="DF272" s="23" t="str">
        <f t="shared" ref="DF272" si="571">CONCATENATE($T272,"-M",$U272,"-A12")</f>
        <v>F0-M92-A12</v>
      </c>
      <c r="DG272" s="23" t="str">
        <f t="shared" ref="DG272" si="572">CONCATENATE($T272,"-M",$U272,"-A19")</f>
        <v>F0-M92-A19</v>
      </c>
      <c r="DH272" s="23" t="str">
        <f t="shared" ref="DH272" si="573"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 cm="1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 cm="1">
        <f t="array" ref="Y273">IF(COUNTIFS(X$2:X273,X273)=1,"1",VALUE(SUBSTITUTE(INDEX(Y:Y,_xlfn.XMATCH(X273,X$1:X272,0,-1)),"A",""))+INDEX(Z:Z,_xlfn.XMATCH(X273,X$1:X272,0,-1))+1)</f>
        <v>4</v>
      </c>
      <c r="Z273" s="43" cm="1">
        <f t="array" ref="Z273">SUM(IF(ISNUMBER(FIND("TmAi",$BE$1:$AAD$1)),IF(IFERROR(ISODD(SUBSTITUTE($BE273:$AAD273,"A","")),FALSE),IF(ISODD(SUBSTITUTE($BE273:$AAD273,"A","")),1,0),0)))</f>
        <v>0</v>
      </c>
      <c r="AA273" t="str">
        <f t="shared" ref="AA273" si="574">CONCATENATE($Y273*2-1,"A")</f>
        <v>7A</v>
      </c>
      <c r="AB273" t="str">
        <f t="shared" ref="AB273" si="575">CONCATENATE($Y273*2-1,"B")</f>
        <v>7B</v>
      </c>
      <c r="AC273" t="str">
        <f t="shared" si="533"/>
        <v>A5.15</v>
      </c>
      <c r="AD273" s="43" cm="1">
        <f t="array" ref="AD273">IF(COUNTIFS(AC$2:AC273,AC273)=1,"1",VALUE(SUBSTITUTE(INDEX(AD:AD,_xlfn.XMATCH(AC273,AC$1:AC272,0,-1)),"A",""))+INDEX(AE:AE,_xlfn.XMATCH(AC273,AC$1:AC272,0,-1))+1)</f>
        <v>11</v>
      </c>
      <c r="AE273" s="43" cm="1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416"/>
        <v>C11</v>
      </c>
      <c r="AG273" t="str">
        <f t="shared" si="417"/>
        <v>B11</v>
      </c>
      <c r="AH273" t="str">
        <f t="shared" si="418"/>
        <v>A6.8</v>
      </c>
      <c r="AI273" s="43" cm="1">
        <f t="array" ref="AI273">IF(COUNTIFS(AH$2:AH273,AH273)=1,"1",VALUE(SUBSTITUTE(INDEX(AI:AI,_xlfn.XMATCH(AH273,AH$1:AH272,0,-1)),"A",""))+INDEX(AJ:AJ,_xlfn.XMATCH(AH273,AH$1:AH272,0,-1))+1)</f>
        <v>16</v>
      </c>
      <c r="AJ273" s="43" cm="1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419"/>
        <v>16B</v>
      </c>
      <c r="AL273" s="11" t="str">
        <f t="shared" si="420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 t="shared" ref="GT273" si="576">CONCATENATE("XT",U273)</f>
        <v>XT93</v>
      </c>
      <c r="GU273" s="12" t="str">
        <f t="shared" ref="GU273" si="577">CONCATENATE("C",REPLACE(AF273,1,1,"")+1)</f>
        <v>C12</v>
      </c>
      <c r="GV273" s="12" t="str">
        <f t="shared" ref="GV273" si="578">CONCATENATE("B",REPLACE(AG273,1,1,"")+1)</f>
        <v>B12</v>
      </c>
      <c r="GW273" s="12" t="str">
        <f t="shared" ref="GW273" si="579">CONCATENATE("C",REPLACE(GU273,1,1,"")+1)</f>
        <v>C13</v>
      </c>
      <c r="GX273" s="12" t="str">
        <f t="shared" ref="GX273" si="580">CONCATENATE("B",REPLACE(GV273,1,1,"")+1)</f>
        <v>B13</v>
      </c>
      <c r="GY273" s="12" t="str">
        <f t="shared" ref="GY273" si="581">CONCATENATE("C",REPLACE(GW273,1,1,"")+1)</f>
        <v>C14</v>
      </c>
      <c r="GZ273" s="12" t="str">
        <f t="shared" ref="GZ273" si="582">CONCATENATE("B",REPLACE(GX273,1,1,"")+1)</f>
        <v>B14</v>
      </c>
      <c r="HA273" s="12" t="str">
        <f t="shared" ref="HA273" si="583">CONCATENATE("C",REPLACE(GY273,1,1,"")+1)</f>
        <v>C15</v>
      </c>
      <c r="HB273" s="12" t="str">
        <f t="shared" ref="HB273" si="584">CONCATENATE("B",REPLACE(GZ273,1,1,"")+1)</f>
        <v>B15</v>
      </c>
      <c r="HC273" s="12"/>
      <c r="HD273" s="12"/>
      <c r="HE273" s="12" t="str">
        <f t="shared" ref="HE273" si="585">CONCATENATE(REPLACE(AK273,LEN(AK273),1,"")+1,"B")</f>
        <v>17B</v>
      </c>
      <c r="HF273" s="12" t="str">
        <f t="shared" ref="HF273" si="586">CONCATENATE(REPLACE(AL273,LEN(AL273),1,"")+1,"A")</f>
        <v>17A</v>
      </c>
      <c r="HG273" s="12" t="str">
        <f t="shared" ref="HG273:HH273" si="587">CONCATENATE("AI",REPLACE($X273,1,3,""),"-",AA273)</f>
        <v>AI33-7A</v>
      </c>
      <c r="HH273" s="12" t="str">
        <f t="shared" si="587"/>
        <v>AI33-7B</v>
      </c>
      <c r="HI273" s="12" t="str">
        <f t="shared" ref="HI273:HJ273" si="588">CONCATENATE("DI",REPLACE($AC273,1,3,""),"-",AF273)</f>
        <v>DI15-C11</v>
      </c>
      <c r="HJ273" s="12" t="str">
        <f t="shared" si="588"/>
        <v>DI15-B11</v>
      </c>
      <c r="HK273" s="12" t="str">
        <f t="shared" ref="HK273:HT273" si="589">CONCATENATE("DI",REPLACE($AC273,1,3,""),"-",GU273)</f>
        <v>DI15-C12</v>
      </c>
      <c r="HL273" s="12" t="str">
        <f t="shared" si="589"/>
        <v>DI15-B12</v>
      </c>
      <c r="HM273" s="12" t="str">
        <f t="shared" si="589"/>
        <v>DI15-C13</v>
      </c>
      <c r="HN273" s="12" t="str">
        <f t="shared" si="589"/>
        <v>DI15-B13</v>
      </c>
      <c r="HO273" s="12" t="str">
        <f t="shared" si="589"/>
        <v>DI15-C14</v>
      </c>
      <c r="HP273" s="12" t="str">
        <f t="shared" si="589"/>
        <v>DI15-B14</v>
      </c>
      <c r="HQ273" s="12" t="str">
        <f t="shared" si="589"/>
        <v>DI15-C15</v>
      </c>
      <c r="HR273" s="12" t="str">
        <f t="shared" si="589"/>
        <v>DI15-B15</v>
      </c>
      <c r="HS273" s="12" t="str">
        <f t="shared" si="589"/>
        <v>DI15-</v>
      </c>
      <c r="HT273" s="12" t="str">
        <f t="shared" si="589"/>
        <v>DI15-</v>
      </c>
      <c r="HU273" s="12" t="str">
        <f t="shared" ref="HU273:HV273" si="590">CONCATENATE("DO",REPLACE($AH273,1,3,""),"-",AK273)</f>
        <v>DO8-16B</v>
      </c>
      <c r="HV273" s="12" t="str">
        <f t="shared" si="590"/>
        <v>DO8-16A</v>
      </c>
      <c r="HW273" s="12" t="str">
        <f t="shared" ref="HW273:HX273" si="591">CONCATENATE("DO",REPLACE($AH273,1,3,""),"-",HE273)</f>
        <v>DO8-17B</v>
      </c>
      <c r="HX273" s="12" t="str">
        <f t="shared" si="591"/>
        <v>DO8-17A</v>
      </c>
      <c r="HY273" s="12" t="str">
        <f t="shared" ref="HY273" si="592">CONCATENATE("K",$U273,"-01")</f>
        <v>K93-01</v>
      </c>
      <c r="HZ273" s="12" t="str">
        <f t="shared" ref="HZ273" si="593">CONCATENATE("K",$U273,"-02")</f>
        <v>K93-02</v>
      </c>
      <c r="IA273" s="12" t="str">
        <f t="shared" ref="IA273" si="594">CONCATENATE("K",$U273,"-03")</f>
        <v>K93-03</v>
      </c>
      <c r="IB273" s="12" t="str">
        <f t="shared" ref="IB273" si="595">CONCATENATE("K",$U273,"-04")</f>
        <v>K93-04</v>
      </c>
      <c r="IC273" s="12" t="str">
        <f t="shared" ref="IC273" si="596">CONCATENATE("K",$U273,"-05")</f>
        <v>K93-05</v>
      </c>
      <c r="ID273" s="12" t="str">
        <f t="shared" ref="ID273" si="597">CONCATENATE("K",$U273,"-06")</f>
        <v>K93-06</v>
      </c>
      <c r="IE273" s="12" t="str">
        <f t="shared" ref="IE273" si="598">CONCATENATE("K",$U273,"-07")</f>
        <v>K93-07</v>
      </c>
      <c r="IF273" s="12" t="str">
        <f t="shared" ref="IF273" si="599">CONCATENATE("K",$U273,"-08")</f>
        <v>K93-08</v>
      </c>
      <c r="IG273" s="12" t="str">
        <f t="shared" ref="IG273" si="600">CONCATENATE($T273,"-M",$U273,"-AMS-12")</f>
        <v>F0-M93-AMS-12</v>
      </c>
      <c r="IH273" s="12" t="str">
        <f t="shared" ref="IH273" si="601">CONCATENATE($T273,"-M",$U273,"-AMS-10")</f>
        <v>F0-M93-AMS-10</v>
      </c>
      <c r="II273" s="12" t="str">
        <f t="shared" ref="II273" si="602">CONCATENATE($T273,"-M",$U273,"-AMS-11")</f>
        <v>F0-M93-AMS-11</v>
      </c>
      <c r="IJ273" s="12" t="str">
        <f t="shared" ref="IJ273" si="603">CONCATENATE($T273,"-M",$U273,"-AMS-13")</f>
        <v>F0-M93-AMS-13</v>
      </c>
      <c r="IK273" s="12" t="str">
        <f t="shared" ref="IK273" si="604">CONCATENATE($T273,"-M",$U273,"-AMS-9")</f>
        <v>F0-M93-AMS-9</v>
      </c>
      <c r="IL273" s="12" t="str">
        <f t="shared" ref="IL273" si="605">CONCATENATE($T273,"-M",$U273,"-AMS-7")</f>
        <v>F0-M93-AMS-7</v>
      </c>
      <c r="IM273" s="12" t="str">
        <f t="shared" ref="IM273" si="606">CONCATENATE($T273,"-M",$U273,"-AMS-18")</f>
        <v>F0-M93-AMS-18</v>
      </c>
      <c r="IN273" s="12" t="str">
        <f t="shared" ref="IN273" si="607">CONCATENATE($T273,"-M",$U273,"-AMS-20")</f>
        <v>F0-M93-AMS-20</v>
      </c>
      <c r="IO273" s="12" t="str">
        <f t="shared" ref="IO273" si="608">CONCATENATE($T273,"-M",$U273,"-AMS-17")</f>
        <v>F0-M93-AMS-17</v>
      </c>
      <c r="IP273" s="12" t="str">
        <f t="shared" ref="IP273" si="609">CONCATENATE($T273,"-+24-M",$U273,)</f>
        <v>F0-+24-M93</v>
      </c>
      <c r="IQ273" s="12" t="str">
        <f t="shared" ref="IQ273" si="610"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 t="shared" si="533"/>
        <v>A5.15</v>
      </c>
      <c r="AD274" s="43" cm="1">
        <f t="array" ref="AD274">IF(COUNTIFS(AC$2:AC274,AC274)=1,"1",VALUE(SUBSTITUTE(INDEX(AD:AD,_xlfn.XMATCH(AC274,AC$1:AC273,0,-1)),"A",""))+INDEX(AE:AE,_xlfn.XMATCH(AC274,AC$1:AC273,0,-1))+1)</f>
        <v>16</v>
      </c>
      <c r="AE274" s="43" cm="1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416"/>
        <v>C16</v>
      </c>
      <c r="AG274" t="str">
        <f t="shared" si="417"/>
        <v>B16</v>
      </c>
      <c r="AH274" t="str">
        <f t="shared" si="418"/>
        <v>A6.8</v>
      </c>
      <c r="AI274" s="43" cm="1">
        <f t="array" ref="AI274">IF(COUNTIFS(AH$2:AH274,AH274)=1,"1",VALUE(SUBSTITUTE(INDEX(AI:AI,_xlfn.XMATCH(AH274,AH$1:AH273,0,-1)),"A",""))+INDEX(AJ:AJ,_xlfn.XMATCH(AH274,AH$1:AH273,0,-1))+1)</f>
        <v>18</v>
      </c>
      <c r="AJ274" s="43" cm="1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419"/>
        <v>18B</v>
      </c>
      <c r="AL274" s="11" t="str">
        <f t="shared" si="420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 t="shared" ref="BE274" si="611">CONCATENATE("XT",U274)</f>
        <v>XT94</v>
      </c>
      <c r="BF274" s="23" t="str">
        <f t="shared" ref="BF274" si="612">CONCATENATE("C",REPLACE(AF274,1,1,"")+1)</f>
        <v>C17</v>
      </c>
      <c r="BG274" s="23" t="str">
        <f t="shared" ref="BG274" si="613">CONCATENATE("B",REPLACE(AG274,1,1,"")+1)</f>
        <v>B17</v>
      </c>
      <c r="BH274" s="23" t="str">
        <f t="shared" ref="BH274" si="614">CONCATENATE("C",REPLACE(BF274,1,1,"")+1)</f>
        <v>C18</v>
      </c>
      <c r="BI274" s="23" t="str">
        <f t="shared" ref="BI274" si="615">CONCATENATE("B",REPLACE(BG274,1,1,"")+1)</f>
        <v>B18</v>
      </c>
      <c r="BJ274" s="23" t="str">
        <f t="shared" ref="BJ274" si="616">CONCATENATE("C",REPLACE(BH274,1,1,"")+1)</f>
        <v>C19</v>
      </c>
      <c r="BK274" s="23" t="str">
        <f t="shared" ref="BK274" si="617">CONCATENATE("B",REPLACE(BI274,1,1,"")+1)</f>
        <v>B19</v>
      </c>
      <c r="BL274" s="23" t="str">
        <f t="shared" ref="BL274" si="618">CONCATENATE("C",REPLACE(BJ274,1,1,"")+1)</f>
        <v>C20</v>
      </c>
      <c r="BM274" s="23" t="str">
        <f t="shared" ref="BM274" si="619">CONCATENATE("B",REPLACE(BK274,1,1,"")+1)</f>
        <v>B20</v>
      </c>
      <c r="BN274" s="23"/>
      <c r="BO274" s="23"/>
      <c r="BP274" s="23" t="str">
        <f t="shared" ref="BP274" si="620">CONCATENATE(REPLACE(AK274,LEN(AK274),1,"")+1,"B")</f>
        <v>19B</v>
      </c>
      <c r="BQ274" s="23" t="str">
        <f t="shared" ref="BQ274" si="621">CONCATENATE(REPLACE(AL274,LEN(AL274),1,"")+1,"A")</f>
        <v>19A</v>
      </c>
      <c r="BR274" s="23" t="str">
        <f t="shared" ref="BR274" si="622">CONCATENATE(REPLACE(BP274,LEN(BP274),1,"")+1,"B")</f>
        <v>20B</v>
      </c>
      <c r="BS274" s="23" t="str">
        <f t="shared" ref="BS274" si="623">CONCATENATE(REPLACE(BQ274,LEN(BQ274),1,"")+1,"A")</f>
        <v>20A</v>
      </c>
      <c r="BT274" s="23" t="str">
        <f t="shared" ref="BT274:BU274" si="624">CONCATENATE("DI",REPLACE($AC274,1,3,""),"-",AF274)</f>
        <v>DI15-C16</v>
      </c>
      <c r="BU274" s="23" t="str">
        <f t="shared" si="624"/>
        <v>DI15-B16</v>
      </c>
      <c r="BV274" s="23" t="str">
        <f t="shared" ref="BV274:CE274" si="625">CONCATENATE("DI",REPLACE($AC274,1,3,""),"-",BF274)</f>
        <v>DI15-C17</v>
      </c>
      <c r="BW274" s="23" t="str">
        <f t="shared" si="625"/>
        <v>DI15-B17</v>
      </c>
      <c r="BX274" s="23" t="str">
        <f t="shared" si="625"/>
        <v>DI15-C18</v>
      </c>
      <c r="BY274" s="23" t="str">
        <f t="shared" si="625"/>
        <v>DI15-B18</v>
      </c>
      <c r="BZ274" s="23" t="str">
        <f t="shared" si="625"/>
        <v>DI15-C19</v>
      </c>
      <c r="CA274" s="23" t="str">
        <f t="shared" si="625"/>
        <v>DI15-B19</v>
      </c>
      <c r="CB274" s="23" t="str">
        <f t="shared" si="625"/>
        <v>DI15-C20</v>
      </c>
      <c r="CC274" s="23" t="str">
        <f t="shared" si="625"/>
        <v>DI15-B20</v>
      </c>
      <c r="CD274" s="23" t="str">
        <f t="shared" si="625"/>
        <v>DI15-</v>
      </c>
      <c r="CE274" s="23" t="str">
        <f t="shared" si="625"/>
        <v>DI15-</v>
      </c>
      <c r="CF274" s="23" t="str">
        <f t="shared" ref="CF274:CG274" si="626">CONCATENATE("DO",REPLACE($AH274,1,3,""),"-",AK274)</f>
        <v>DO8-18B</v>
      </c>
      <c r="CG274" s="23" t="str">
        <f t="shared" si="626"/>
        <v>DO8-18A</v>
      </c>
      <c r="CH274" s="23" t="str">
        <f t="shared" ref="CH274:CK274" si="627">CONCATENATE("DO",REPLACE($AH274,1,3,""),"-",BP274)</f>
        <v>DO8-19B</v>
      </c>
      <c r="CI274" s="23" t="str">
        <f t="shared" si="627"/>
        <v>DO8-19A</v>
      </c>
      <c r="CJ274" s="23" t="str">
        <f t="shared" si="627"/>
        <v>DO8-20B</v>
      </c>
      <c r="CK274" s="23" t="str">
        <f t="shared" si="627"/>
        <v>DO8-20A</v>
      </c>
      <c r="CL274" s="23" t="str">
        <f t="shared" ref="CL274" si="628">CONCATENATE("K",$U274,"-10")</f>
        <v>K94-10</v>
      </c>
      <c r="CM274" s="23" t="str">
        <f t="shared" ref="CM274" si="629">CONCATENATE("K",$U274,"-03")</f>
        <v>K94-03</v>
      </c>
      <c r="CN274" s="23" t="str">
        <f t="shared" ref="CN274" si="630">CONCATENATE("K",$U274,"-04")</f>
        <v>K94-04</v>
      </c>
      <c r="CO274" s="23" t="str">
        <f t="shared" ref="CO274" si="631">CONCATENATE("K",$U274,"-01")</f>
        <v>K94-01</v>
      </c>
      <c r="CP274" s="23" t="str">
        <f t="shared" ref="CP274" si="632">CONCATENATE("K",$U274,"-08")</f>
        <v>K94-08</v>
      </c>
      <c r="CQ274" s="23" t="str">
        <f t="shared" ref="CQ274" si="633">CONCATENATE("K",$U274,"-02")</f>
        <v>K94-02</v>
      </c>
      <c r="CR274" s="23" t="str">
        <f t="shared" ref="CR274" si="634">CONCATENATE("K",$U274,"-09")</f>
        <v>K94-09</v>
      </c>
      <c r="CS274" s="23" t="str">
        <f t="shared" ref="CS274" si="635">CONCATENATE("K",$U274,"-05")</f>
        <v>K94-05</v>
      </c>
      <c r="CT274" s="23" t="str">
        <f t="shared" ref="CT274" si="636">CONCATENATE("K",$U274,"-11")</f>
        <v>K94-11</v>
      </c>
      <c r="CU274" s="23" t="str">
        <f t="shared" ref="CU274" si="637">CONCATENATE($T274,"-M",$U274,"-A9")</f>
        <v>F0-M94-A9</v>
      </c>
      <c r="CV274" s="23" t="str">
        <f t="shared" ref="CV274" si="638">CONCATENATE($T274,"-M",$U274,"-A7")</f>
        <v>F0-M94-A7</v>
      </c>
      <c r="CW274" s="23" t="str">
        <f t="shared" ref="CW274" si="639">CONCATENATE($T274,"-M",$U274,"-A8")</f>
        <v>F0-M94-A8</v>
      </c>
      <c r="CX274" s="23" t="str">
        <f t="shared" ref="CX274" si="640">CONCATENATE($T274,"-M",$U274,"-A6")</f>
        <v>F0-M94-A6</v>
      </c>
      <c r="CY274" s="23" t="str">
        <f t="shared" ref="CY274" si="641">CONCATENATE($T274,"-M",$U274,"-A30")</f>
        <v>F0-M94-A30</v>
      </c>
      <c r="CZ274" s="23" t="str">
        <f t="shared" ref="CZ274" si="642">CONCATENATE($T274,"-M",$U274,"-N")</f>
        <v>F0-M94-N</v>
      </c>
      <c r="DA274" s="23" t="str">
        <f t="shared" ref="DA274" si="643">CONCATENATE($T274,"-A220-M",U274)</f>
        <v>F0-A220-M94</v>
      </c>
      <c r="DB274" s="23" t="str">
        <f t="shared" ref="DB274" si="644">CONCATENATE($T274,"-M",$U274,"-XM01")</f>
        <v>F0-M94-XM01</v>
      </c>
      <c r="DC274" s="23" t="str">
        <f t="shared" ref="DC274" si="645">CONCATENATE($T274,"-M",$U274,"-A1")</f>
        <v>F0-M94-A1</v>
      </c>
      <c r="DD274" s="23" t="str">
        <f t="shared" ref="DD274" si="646">CONCATENATE($T274,"-M",$U274,"-A5")</f>
        <v>F0-M94-A5</v>
      </c>
      <c r="DE274" s="23" t="str">
        <f t="shared" ref="DE274" si="647">CONCATENATE($T274,"-M",$U274,"-A11")</f>
        <v>F0-M94-A11</v>
      </c>
      <c r="DF274" s="23" t="str">
        <f t="shared" ref="DF274" si="648">CONCATENATE($T274,"-M",$U274,"-A12")</f>
        <v>F0-M94-A12</v>
      </c>
      <c r="DG274" s="23" t="str">
        <f t="shared" ref="DG274" si="649">CONCATENATE($T274,"-M",$U274,"-A19")</f>
        <v>F0-M94-A19</v>
      </c>
      <c r="DH274" s="23" t="str">
        <f t="shared" ref="DH274" si="650"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 cm="1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 cm="1">
        <f t="array" ref="Y275">IF(COUNTIFS(X$2:X275,X275)=1,"1",VALUE(SUBSTITUTE(INDEX(Y:Y,_xlfn.XMATCH(X275,X$1:X274,0,-1)),"A",""))+INDEX(Z:Z,_xlfn.XMATCH(X275,X$1:X274,0,-1))+1)</f>
        <v>5</v>
      </c>
      <c r="Z275" s="43" cm="1">
        <f t="array" ref="Z275">SUM(IF(ISNUMBER(FIND("TmAi",$BE$1:$AAD$1)),IF(IFERROR(ISODD(SUBSTITUTE($BE275:$AAD275,"A","")),FALSE),IF(ISODD(SUBSTITUTE($BE275:$AAD275,"A","")),1,0),0)))</f>
        <v>0</v>
      </c>
      <c r="AA275" t="str">
        <f t="shared" ref="AA275" si="651">CONCATENATE($Y275*2-1,"A")</f>
        <v>9A</v>
      </c>
      <c r="AB275" t="str">
        <f t="shared" ref="AB275" si="652">CONCATENATE($Y275*2-1,"B")</f>
        <v>9B</v>
      </c>
      <c r="AC275" t="s">
        <v>1809</v>
      </c>
      <c r="AD275" s="43" t="str" cm="1">
        <f t="array" ref="AD275">IF(COUNTIFS(AC$2:AC275,AC275)=1,"1",VALUE(SUBSTITUTE(INDEX(AD:AD,_xlfn.XMATCH(AC275,AC$1:AC274,0,-1)),"A",""))+INDEX(AE:AE,_xlfn.XMATCH(AC275,AC$1:AC274,0,-1))+1)</f>
        <v>1</v>
      </c>
      <c r="AE275" s="43" cm="1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416"/>
        <v>C1</v>
      </c>
      <c r="AG275" t="str">
        <f t="shared" si="417"/>
        <v>B1</v>
      </c>
      <c r="AH275" t="s">
        <v>1802</v>
      </c>
      <c r="AI275" s="43" t="str" cm="1">
        <f t="array" ref="AI275">IF(COUNTIFS(AH$2:AH275,AH275)=1,"1",VALUE(SUBSTITUTE(INDEX(AI:AI,_xlfn.XMATCH(AH275,AH$1:AH274,0,-1)),"A",""))+INDEX(AJ:AJ,_xlfn.XMATCH(AH275,AH$1:AH274,0,-1))+1)</f>
        <v>1</v>
      </c>
      <c r="AJ275" s="43" cm="1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419"/>
        <v>1B</v>
      </c>
      <c r="AL275" s="11" t="str">
        <f t="shared" si="420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 t="shared" ref="GT275" si="653">CONCATENATE("XT",U275)</f>
        <v>XT95</v>
      </c>
      <c r="GU275" s="12" t="str">
        <f t="shared" ref="GU275" si="654">CONCATENATE("C",REPLACE(AF275,1,1,"")+1)</f>
        <v>C2</v>
      </c>
      <c r="GV275" s="12" t="str">
        <f t="shared" ref="GV275" si="655">CONCATENATE("B",REPLACE(AG275,1,1,"")+1)</f>
        <v>B2</v>
      </c>
      <c r="GW275" s="12" t="str">
        <f t="shared" ref="GW275" si="656">CONCATENATE("C",REPLACE(GU275,1,1,"")+1)</f>
        <v>C3</v>
      </c>
      <c r="GX275" s="12" t="str">
        <f t="shared" ref="GX275" si="657">CONCATENATE("B",REPLACE(GV275,1,1,"")+1)</f>
        <v>B3</v>
      </c>
      <c r="GY275" s="12" t="str">
        <f t="shared" ref="GY275" si="658">CONCATENATE("C",REPLACE(GW275,1,1,"")+1)</f>
        <v>C4</v>
      </c>
      <c r="GZ275" s="12" t="str">
        <f t="shared" ref="GZ275" si="659">CONCATENATE("B",REPLACE(GX275,1,1,"")+1)</f>
        <v>B4</v>
      </c>
      <c r="HA275" s="12" t="str">
        <f t="shared" ref="HA275" si="660">CONCATENATE("C",REPLACE(GY275,1,1,"")+1)</f>
        <v>C5</v>
      </c>
      <c r="HB275" s="12" t="str">
        <f t="shared" ref="HB275" si="661">CONCATENATE("B",REPLACE(GZ275,1,1,"")+1)</f>
        <v>B5</v>
      </c>
      <c r="HC275" s="12"/>
      <c r="HD275" s="12"/>
      <c r="HE275" s="12" t="str">
        <f t="shared" ref="HE275" si="662">CONCATENATE(REPLACE(AK275,LEN(AK275),1,"")+1,"B")</f>
        <v>2B</v>
      </c>
      <c r="HF275" s="12" t="str">
        <f t="shared" ref="HF275" si="663">CONCATENATE(REPLACE(AL275,LEN(AL275),1,"")+1,"A")</f>
        <v>2A</v>
      </c>
      <c r="HG275" s="12" t="str">
        <f t="shared" ref="HG275:HH275" si="664">CONCATENATE("AI",REPLACE($X275,1,3,""),"-",AA275)</f>
        <v>AI33-9A</v>
      </c>
      <c r="HH275" s="12" t="str">
        <f t="shared" si="664"/>
        <v>AI33-9B</v>
      </c>
      <c r="HI275" s="12" t="str">
        <f t="shared" ref="HI275:HJ275" si="665">CONCATENATE("DI",REPLACE($AC275,1,3,""),"-",AF275)</f>
        <v>DI16-C1</v>
      </c>
      <c r="HJ275" s="12" t="str">
        <f t="shared" si="665"/>
        <v>DI16-B1</v>
      </c>
      <c r="HK275" s="12" t="str">
        <f t="shared" ref="HK275:HT275" si="666">CONCATENATE("DI",REPLACE($AC275,1,3,""),"-",GU275)</f>
        <v>DI16-C2</v>
      </c>
      <c r="HL275" s="12" t="str">
        <f t="shared" si="666"/>
        <v>DI16-B2</v>
      </c>
      <c r="HM275" s="12" t="str">
        <f t="shared" si="666"/>
        <v>DI16-C3</v>
      </c>
      <c r="HN275" s="12" t="str">
        <f t="shared" si="666"/>
        <v>DI16-B3</v>
      </c>
      <c r="HO275" s="12" t="str">
        <f t="shared" si="666"/>
        <v>DI16-C4</v>
      </c>
      <c r="HP275" s="12" t="str">
        <f t="shared" si="666"/>
        <v>DI16-B4</v>
      </c>
      <c r="HQ275" s="12" t="str">
        <f t="shared" si="666"/>
        <v>DI16-C5</v>
      </c>
      <c r="HR275" s="12" t="str">
        <f t="shared" si="666"/>
        <v>DI16-B5</v>
      </c>
      <c r="HS275" s="12" t="str">
        <f t="shared" si="666"/>
        <v>DI16-</v>
      </c>
      <c r="HT275" s="12" t="str">
        <f t="shared" si="666"/>
        <v>DI16-</v>
      </c>
      <c r="HU275" s="12" t="str">
        <f t="shared" ref="HU275:HV275" si="667">CONCATENATE("DO",REPLACE($AH275,1,3,""),"-",AK275)</f>
        <v>DO9-1B</v>
      </c>
      <c r="HV275" s="12" t="str">
        <f t="shared" si="667"/>
        <v>DO9-1A</v>
      </c>
      <c r="HW275" s="12" t="str">
        <f t="shared" ref="HW275:HX275" si="668">CONCATENATE("DO",REPLACE($AH275,1,3,""),"-",HE275)</f>
        <v>DO9-2B</v>
      </c>
      <c r="HX275" s="12" t="str">
        <f t="shared" si="668"/>
        <v>DO9-2A</v>
      </c>
      <c r="HY275" s="12" t="str">
        <f t="shared" ref="HY275" si="669">CONCATENATE("K",$U275,"-01")</f>
        <v>K95-01</v>
      </c>
      <c r="HZ275" s="12" t="str">
        <f t="shared" ref="HZ275" si="670">CONCATENATE("K",$U275,"-02")</f>
        <v>K95-02</v>
      </c>
      <c r="IA275" s="12" t="str">
        <f t="shared" ref="IA275" si="671">CONCATENATE("K",$U275,"-03")</f>
        <v>K95-03</v>
      </c>
      <c r="IB275" s="12" t="str">
        <f t="shared" ref="IB275" si="672">CONCATENATE("K",$U275,"-04")</f>
        <v>K95-04</v>
      </c>
      <c r="IC275" s="12" t="str">
        <f t="shared" ref="IC275" si="673">CONCATENATE("K",$U275,"-05")</f>
        <v>K95-05</v>
      </c>
      <c r="ID275" s="12" t="str">
        <f t="shared" ref="ID275" si="674">CONCATENATE("K",$U275,"-06")</f>
        <v>K95-06</v>
      </c>
      <c r="IE275" s="12" t="str">
        <f t="shared" ref="IE275" si="675">CONCATENATE("K",$U275,"-07")</f>
        <v>K95-07</v>
      </c>
      <c r="IF275" s="12" t="str">
        <f t="shared" ref="IF275" si="676">CONCATENATE("K",$U275,"-08")</f>
        <v>K95-08</v>
      </c>
      <c r="IG275" s="12" t="str">
        <f t="shared" ref="IG275" si="677">CONCATENATE($T275,"-M",$U275,"-AMS-12")</f>
        <v>F0-M95-AMS-12</v>
      </c>
      <c r="IH275" s="12" t="str">
        <f t="shared" ref="IH275" si="678">CONCATENATE($T275,"-M",$U275,"-AMS-10")</f>
        <v>F0-M95-AMS-10</v>
      </c>
      <c r="II275" s="12" t="str">
        <f t="shared" ref="II275" si="679">CONCATENATE($T275,"-M",$U275,"-AMS-11")</f>
        <v>F0-M95-AMS-11</v>
      </c>
      <c r="IJ275" s="12" t="str">
        <f t="shared" ref="IJ275" si="680">CONCATENATE($T275,"-M",$U275,"-AMS-13")</f>
        <v>F0-M95-AMS-13</v>
      </c>
      <c r="IK275" s="12" t="str">
        <f t="shared" ref="IK275" si="681">CONCATENATE($T275,"-M",$U275,"-AMS-9")</f>
        <v>F0-M95-AMS-9</v>
      </c>
      <c r="IL275" s="12" t="str">
        <f t="shared" ref="IL275" si="682">CONCATENATE($T275,"-M",$U275,"-AMS-7")</f>
        <v>F0-M95-AMS-7</v>
      </c>
      <c r="IM275" s="12" t="str">
        <f t="shared" ref="IM275" si="683">CONCATENATE($T275,"-M",$U275,"-AMS-18")</f>
        <v>F0-M95-AMS-18</v>
      </c>
      <c r="IN275" s="12" t="str">
        <f t="shared" ref="IN275" si="684">CONCATENATE($T275,"-M",$U275,"-AMS-20")</f>
        <v>F0-M95-AMS-20</v>
      </c>
      <c r="IO275" s="12" t="str">
        <f t="shared" ref="IO275" si="685">CONCATENATE($T275,"-M",$U275,"-AMS-17")</f>
        <v>F0-M95-AMS-17</v>
      </c>
      <c r="IP275" s="12" t="str">
        <f t="shared" ref="IP275" si="686">CONCATENATE($T275,"-+24-M",$U275,)</f>
        <v>F0-+24-M95</v>
      </c>
      <c r="IQ275" s="12" t="str">
        <f t="shared" ref="IQ275" si="687"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 t="shared" ref="AC276:AC278" si="688">IF(AD275+AE275&gt;31,REPLACE(AC275,LEN(AC275),1,VALUE(RIGHT(AC275,1))+1),AC275)</f>
        <v>A5.16</v>
      </c>
      <c r="AD276" s="43" cm="1">
        <f t="array" ref="AD276">IF(COUNTIFS(AC$2:AC276,AC276)=1,"1",VALUE(SUBSTITUTE(INDEX(AD:AD,_xlfn.XMATCH(AC276,AC$1:AC275,0,-1)),"A",""))+INDEX(AE:AE,_xlfn.XMATCH(AC276,AC$1:AC275,0,-1))+1)</f>
        <v>6</v>
      </c>
      <c r="AE276" s="43" cm="1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416"/>
        <v>C6</v>
      </c>
      <c r="AG276" t="str">
        <f t="shared" si="417"/>
        <v>B6</v>
      </c>
      <c r="AH276" t="str">
        <f t="shared" ref="AH276:AH282" si="689">IF(AI275+AJ275&gt;31,REPLACE(AH275,LEN(AH275),1,VALUE(RIGHT(AH275,1))+1),AH275)</f>
        <v>A6.9</v>
      </c>
      <c r="AI276" s="43" cm="1">
        <f t="array" ref="AI276">IF(COUNTIFS(AH$2:AH276,AH276)=1,"1",VALUE(SUBSTITUTE(INDEX(AI:AI,_xlfn.XMATCH(AH276,AH$1:AH275,0,-1)),"A",""))+INDEX(AJ:AJ,_xlfn.XMATCH(AH276,AH$1:AH275,0,-1))+1)</f>
        <v>3</v>
      </c>
      <c r="AJ276" s="43" cm="1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419"/>
        <v>3B</v>
      </c>
      <c r="AL276" s="11" t="str">
        <f t="shared" si="420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 t="shared" ref="BE276" si="690">CONCATENATE("XT",U276)</f>
        <v>XT96</v>
      </c>
      <c r="BF276" s="23" t="str">
        <f t="shared" ref="BF276" si="691">CONCATENATE("C",REPLACE(AF276,1,1,"")+1)</f>
        <v>C7</v>
      </c>
      <c r="BG276" s="23" t="str">
        <f t="shared" ref="BG276" si="692">CONCATENATE("B",REPLACE(AG276,1,1,"")+1)</f>
        <v>B7</v>
      </c>
      <c r="BH276" s="23" t="str">
        <f t="shared" ref="BH276" si="693">CONCATENATE("C",REPLACE(BF276,1,1,"")+1)</f>
        <v>C8</v>
      </c>
      <c r="BI276" s="23" t="str">
        <f t="shared" ref="BI276" si="694">CONCATENATE("B",REPLACE(BG276,1,1,"")+1)</f>
        <v>B8</v>
      </c>
      <c r="BJ276" s="23" t="str">
        <f t="shared" ref="BJ276" si="695">CONCATENATE("C",REPLACE(BH276,1,1,"")+1)</f>
        <v>C9</v>
      </c>
      <c r="BK276" s="23" t="str">
        <f t="shared" ref="BK276" si="696">CONCATENATE("B",REPLACE(BI276,1,1,"")+1)</f>
        <v>B9</v>
      </c>
      <c r="BL276" s="23" t="str">
        <f t="shared" ref="BL276" si="697">CONCATENATE("C",REPLACE(BJ276,1,1,"")+1)</f>
        <v>C10</v>
      </c>
      <c r="BM276" s="23" t="str">
        <f t="shared" ref="BM276" si="698">CONCATENATE("B",REPLACE(BK276,1,1,"")+1)</f>
        <v>B10</v>
      </c>
      <c r="BN276" s="23"/>
      <c r="BO276" s="23"/>
      <c r="BP276" s="23" t="str">
        <f t="shared" ref="BP276" si="699">CONCATENATE(REPLACE(AK276,LEN(AK276),1,"")+1,"B")</f>
        <v>4B</v>
      </c>
      <c r="BQ276" s="23" t="str">
        <f t="shared" ref="BQ276" si="700">CONCATENATE(REPLACE(AL276,LEN(AL276),1,"")+1,"A")</f>
        <v>4A</v>
      </c>
      <c r="BR276" s="23" t="str">
        <f t="shared" ref="BR276" si="701">CONCATENATE(REPLACE(BP276,LEN(BP276),1,"")+1,"B")</f>
        <v>5B</v>
      </c>
      <c r="BS276" s="23" t="str">
        <f t="shared" ref="BS276" si="702">CONCATENATE(REPLACE(BQ276,LEN(BQ276),1,"")+1,"A")</f>
        <v>5A</v>
      </c>
      <c r="BT276" s="23" t="str">
        <f t="shared" ref="BT276:BU276" si="703">CONCATENATE("DI",REPLACE($AC276,1,3,""),"-",AF276)</f>
        <v>DI16-C6</v>
      </c>
      <c r="BU276" s="23" t="str">
        <f t="shared" si="703"/>
        <v>DI16-B6</v>
      </c>
      <c r="BV276" s="23" t="str">
        <f t="shared" ref="BV276:CE276" si="704">CONCATENATE("DI",REPLACE($AC276,1,3,""),"-",BF276)</f>
        <v>DI16-C7</v>
      </c>
      <c r="BW276" s="23" t="str">
        <f t="shared" si="704"/>
        <v>DI16-B7</v>
      </c>
      <c r="BX276" s="23" t="str">
        <f t="shared" si="704"/>
        <v>DI16-C8</v>
      </c>
      <c r="BY276" s="23" t="str">
        <f t="shared" si="704"/>
        <v>DI16-B8</v>
      </c>
      <c r="BZ276" s="23" t="str">
        <f t="shared" si="704"/>
        <v>DI16-C9</v>
      </c>
      <c r="CA276" s="23" t="str">
        <f t="shared" si="704"/>
        <v>DI16-B9</v>
      </c>
      <c r="CB276" s="23" t="str">
        <f t="shared" si="704"/>
        <v>DI16-C10</v>
      </c>
      <c r="CC276" s="23" t="str">
        <f t="shared" si="704"/>
        <v>DI16-B10</v>
      </c>
      <c r="CD276" s="23" t="str">
        <f t="shared" si="704"/>
        <v>DI16-</v>
      </c>
      <c r="CE276" s="23" t="str">
        <f t="shared" si="704"/>
        <v>DI16-</v>
      </c>
      <c r="CF276" s="23" t="str">
        <f t="shared" ref="CF276:CG276" si="705">CONCATENATE("DO",REPLACE($AH276,1,3,""),"-",AK276)</f>
        <v>DO9-3B</v>
      </c>
      <c r="CG276" s="23" t="str">
        <f t="shared" si="705"/>
        <v>DO9-3A</v>
      </c>
      <c r="CH276" s="23" t="str">
        <f t="shared" ref="CH276:CK276" si="706">CONCATENATE("DO",REPLACE($AH276,1,3,""),"-",BP276)</f>
        <v>DO9-4B</v>
      </c>
      <c r="CI276" s="23" t="str">
        <f t="shared" si="706"/>
        <v>DO9-4A</v>
      </c>
      <c r="CJ276" s="23" t="str">
        <f t="shared" si="706"/>
        <v>DO9-5B</v>
      </c>
      <c r="CK276" s="23" t="str">
        <f t="shared" si="706"/>
        <v>DO9-5A</v>
      </c>
      <c r="CL276" s="23" t="str">
        <f t="shared" ref="CL276" si="707">CONCATENATE("K",$U276,"-10")</f>
        <v>K96-10</v>
      </c>
      <c r="CM276" s="23" t="str">
        <f t="shared" ref="CM276" si="708">CONCATENATE("K",$U276,"-03")</f>
        <v>K96-03</v>
      </c>
      <c r="CN276" s="23" t="str">
        <f t="shared" ref="CN276" si="709">CONCATENATE("K",$U276,"-04")</f>
        <v>K96-04</v>
      </c>
      <c r="CO276" s="23" t="str">
        <f t="shared" ref="CO276" si="710">CONCATENATE("K",$U276,"-01")</f>
        <v>K96-01</v>
      </c>
      <c r="CP276" s="23" t="str">
        <f t="shared" ref="CP276" si="711">CONCATENATE("K",$U276,"-08")</f>
        <v>K96-08</v>
      </c>
      <c r="CQ276" s="23" t="str">
        <f t="shared" ref="CQ276" si="712">CONCATENATE("K",$U276,"-02")</f>
        <v>K96-02</v>
      </c>
      <c r="CR276" s="23" t="str">
        <f t="shared" ref="CR276" si="713">CONCATENATE("K",$U276,"-09")</f>
        <v>K96-09</v>
      </c>
      <c r="CS276" s="23" t="str">
        <f t="shared" ref="CS276" si="714">CONCATENATE("K",$U276,"-05")</f>
        <v>K96-05</v>
      </c>
      <c r="CT276" s="23" t="str">
        <f t="shared" ref="CT276" si="715">CONCATENATE("K",$U276,"-11")</f>
        <v>K96-11</v>
      </c>
      <c r="CU276" s="23" t="str">
        <f t="shared" ref="CU276" si="716">CONCATENATE($T276,"-M",$U276,"-A9")</f>
        <v>F0-M96-A9</v>
      </c>
      <c r="CV276" s="23" t="str">
        <f t="shared" ref="CV276" si="717">CONCATENATE($T276,"-M",$U276,"-A7")</f>
        <v>F0-M96-A7</v>
      </c>
      <c r="CW276" s="23" t="str">
        <f t="shared" ref="CW276" si="718">CONCATENATE($T276,"-M",$U276,"-A8")</f>
        <v>F0-M96-A8</v>
      </c>
      <c r="CX276" s="23" t="str">
        <f t="shared" ref="CX276" si="719">CONCATENATE($T276,"-M",$U276,"-A6")</f>
        <v>F0-M96-A6</v>
      </c>
      <c r="CY276" s="23" t="str">
        <f t="shared" ref="CY276" si="720">CONCATENATE($T276,"-M",$U276,"-A30")</f>
        <v>F0-M96-A30</v>
      </c>
      <c r="CZ276" s="23" t="str">
        <f t="shared" ref="CZ276" si="721">CONCATENATE($T276,"-M",$U276,"-N")</f>
        <v>F0-M96-N</v>
      </c>
      <c r="DA276" s="23" t="str">
        <f t="shared" ref="DA276" si="722">CONCATENATE($T276,"-A220-M",U276)</f>
        <v>F0-A220-M96</v>
      </c>
      <c r="DB276" s="23" t="str">
        <f t="shared" ref="DB276" si="723">CONCATENATE($T276,"-M",$U276,"-XM01")</f>
        <v>F0-M96-XM01</v>
      </c>
      <c r="DC276" s="23" t="str">
        <f t="shared" ref="DC276" si="724">CONCATENATE($T276,"-M",$U276,"-A1")</f>
        <v>F0-M96-A1</v>
      </c>
      <c r="DD276" s="23" t="str">
        <f t="shared" ref="DD276" si="725">CONCATENATE($T276,"-M",$U276,"-A5")</f>
        <v>F0-M96-A5</v>
      </c>
      <c r="DE276" s="23" t="str">
        <f t="shared" ref="DE276" si="726">CONCATENATE($T276,"-M",$U276,"-A11")</f>
        <v>F0-M96-A11</v>
      </c>
      <c r="DF276" s="23" t="str">
        <f t="shared" ref="DF276" si="727">CONCATENATE($T276,"-M",$U276,"-A12")</f>
        <v>F0-M96-A12</v>
      </c>
      <c r="DG276" s="23" t="str">
        <f t="shared" ref="DG276" si="728">CONCATENATE($T276,"-M",$U276,"-A19")</f>
        <v>F0-M96-A19</v>
      </c>
      <c r="DH276" s="23" t="str">
        <f t="shared" ref="DH276" si="729"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 cm="1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 cm="1">
        <f t="array" ref="Y277">IF(COUNTIFS(X$2:X277,X277)=1,"1",VALUE(SUBSTITUTE(INDEX(Y:Y,_xlfn.XMATCH(X277,X$1:X276,0,-1)),"A",""))+INDEX(Z:Z,_xlfn.XMATCH(X277,X$1:X276,0,-1))+1)</f>
        <v>6</v>
      </c>
      <c r="Z277" s="43" cm="1">
        <f t="array" ref="Z277">SUM(IF(ISNUMBER(FIND("TmAi",$BE$1:$AAD$1)),IF(IFERROR(ISODD(SUBSTITUTE($BE277:$AAD277,"A","")),FALSE),IF(ISODD(SUBSTITUTE($BE277:$AAD277,"A","")),1,0),0)))</f>
        <v>0</v>
      </c>
      <c r="AA277" t="str">
        <f t="shared" ref="AA277" si="730">CONCATENATE($Y277*2-1,"A")</f>
        <v>11A</v>
      </c>
      <c r="AB277" t="str">
        <f t="shared" ref="AB277" si="731">CONCATENATE($Y277*2-1,"B")</f>
        <v>11B</v>
      </c>
      <c r="AC277" t="str">
        <f t="shared" si="688"/>
        <v>A5.16</v>
      </c>
      <c r="AD277" s="43" cm="1">
        <f t="array" ref="AD277">IF(COUNTIFS(AC$2:AC277,AC277)=1,"1",VALUE(SUBSTITUTE(INDEX(AD:AD,_xlfn.XMATCH(AC277,AC$1:AC276,0,-1)),"A",""))+INDEX(AE:AE,_xlfn.XMATCH(AC277,AC$1:AC276,0,-1))+1)</f>
        <v>11</v>
      </c>
      <c r="AE277" s="43" cm="1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416"/>
        <v>C11</v>
      </c>
      <c r="AG277" t="str">
        <f t="shared" si="417"/>
        <v>B11</v>
      </c>
      <c r="AH277" t="str">
        <f t="shared" si="689"/>
        <v>A6.9</v>
      </c>
      <c r="AI277" s="43" cm="1">
        <f t="array" ref="AI277">IF(COUNTIFS(AH$2:AH277,AH277)=1,"1",VALUE(SUBSTITUTE(INDEX(AI:AI,_xlfn.XMATCH(AH277,AH$1:AH276,0,-1)),"A",""))+INDEX(AJ:AJ,_xlfn.XMATCH(AH277,AH$1:AH276,0,-1))+1)</f>
        <v>6</v>
      </c>
      <c r="AJ277" s="43" cm="1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419"/>
        <v>6B</v>
      </c>
      <c r="AL277" s="11" t="str">
        <f t="shared" si="420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 t="shared" ref="GT277" si="732">CONCATENATE("XT",U277)</f>
        <v>XT97</v>
      </c>
      <c r="GU277" s="12" t="str">
        <f t="shared" ref="GU277" si="733">CONCATENATE("C",REPLACE(AF277,1,1,"")+1)</f>
        <v>C12</v>
      </c>
      <c r="GV277" s="12" t="str">
        <f t="shared" ref="GV277" si="734">CONCATENATE("B",REPLACE(AG277,1,1,"")+1)</f>
        <v>B12</v>
      </c>
      <c r="GW277" s="12" t="str">
        <f t="shared" ref="GW277" si="735">CONCATENATE("C",REPLACE(GU277,1,1,"")+1)</f>
        <v>C13</v>
      </c>
      <c r="GX277" s="12" t="str">
        <f t="shared" ref="GX277" si="736">CONCATENATE("B",REPLACE(GV277,1,1,"")+1)</f>
        <v>B13</v>
      </c>
      <c r="GY277" s="12" t="str">
        <f t="shared" ref="GY277" si="737">CONCATENATE("C",REPLACE(GW277,1,1,"")+1)</f>
        <v>C14</v>
      </c>
      <c r="GZ277" s="12" t="str">
        <f t="shared" ref="GZ277" si="738">CONCATENATE("B",REPLACE(GX277,1,1,"")+1)</f>
        <v>B14</v>
      </c>
      <c r="HA277" s="12" t="str">
        <f t="shared" ref="HA277" si="739">CONCATENATE("C",REPLACE(GY277,1,1,"")+1)</f>
        <v>C15</v>
      </c>
      <c r="HB277" s="12" t="str">
        <f t="shared" ref="HB277" si="740">CONCATENATE("B",REPLACE(GZ277,1,1,"")+1)</f>
        <v>B15</v>
      </c>
      <c r="HC277" s="12"/>
      <c r="HD277" s="12"/>
      <c r="HE277" s="12" t="str">
        <f t="shared" ref="HE277" si="741">CONCATENATE(REPLACE(AK277,LEN(AK277),1,"")+1,"B")</f>
        <v>7B</v>
      </c>
      <c r="HF277" s="12" t="str">
        <f t="shared" ref="HF277" si="742">CONCATENATE(REPLACE(AL277,LEN(AL277),1,"")+1,"A")</f>
        <v>7A</v>
      </c>
      <c r="HG277" s="12" t="str">
        <f t="shared" ref="HG277:HH277" si="743">CONCATENATE("AI",REPLACE($X277,1,3,""),"-",AA277)</f>
        <v>AI33-11A</v>
      </c>
      <c r="HH277" s="12" t="str">
        <f t="shared" si="743"/>
        <v>AI33-11B</v>
      </c>
      <c r="HI277" s="12" t="str">
        <f t="shared" ref="HI277:HJ277" si="744">CONCATENATE("DI",REPLACE($AC277,1,3,""),"-",AF277)</f>
        <v>DI16-C11</v>
      </c>
      <c r="HJ277" s="12" t="str">
        <f t="shared" si="744"/>
        <v>DI16-B11</v>
      </c>
      <c r="HK277" s="12" t="str">
        <f t="shared" ref="HK277:HT277" si="745">CONCATENATE("DI",REPLACE($AC277,1,3,""),"-",GU277)</f>
        <v>DI16-C12</v>
      </c>
      <c r="HL277" s="12" t="str">
        <f t="shared" si="745"/>
        <v>DI16-B12</v>
      </c>
      <c r="HM277" s="12" t="str">
        <f t="shared" si="745"/>
        <v>DI16-C13</v>
      </c>
      <c r="HN277" s="12" t="str">
        <f t="shared" si="745"/>
        <v>DI16-B13</v>
      </c>
      <c r="HO277" s="12" t="str">
        <f t="shared" si="745"/>
        <v>DI16-C14</v>
      </c>
      <c r="HP277" s="12" t="str">
        <f t="shared" si="745"/>
        <v>DI16-B14</v>
      </c>
      <c r="HQ277" s="12" t="str">
        <f t="shared" si="745"/>
        <v>DI16-C15</v>
      </c>
      <c r="HR277" s="12" t="str">
        <f t="shared" si="745"/>
        <v>DI16-B15</v>
      </c>
      <c r="HS277" s="12" t="str">
        <f t="shared" si="745"/>
        <v>DI16-</v>
      </c>
      <c r="HT277" s="12" t="str">
        <f t="shared" si="745"/>
        <v>DI16-</v>
      </c>
      <c r="HU277" s="12" t="str">
        <f t="shared" ref="HU277:HV277" si="746">CONCATENATE("DO",REPLACE($AH277,1,3,""),"-",AK277)</f>
        <v>DO9-6B</v>
      </c>
      <c r="HV277" s="12" t="str">
        <f t="shared" si="746"/>
        <v>DO9-6A</v>
      </c>
      <c r="HW277" s="12" t="str">
        <f t="shared" ref="HW277:HX277" si="747">CONCATENATE("DO",REPLACE($AH277,1,3,""),"-",HE277)</f>
        <v>DO9-7B</v>
      </c>
      <c r="HX277" s="12" t="str">
        <f t="shared" si="747"/>
        <v>DO9-7A</v>
      </c>
      <c r="HY277" s="12" t="str">
        <f t="shared" ref="HY277" si="748">CONCATENATE("K",$U277,"-01")</f>
        <v>K97-01</v>
      </c>
      <c r="HZ277" s="12" t="str">
        <f t="shared" ref="HZ277" si="749">CONCATENATE("K",$U277,"-02")</f>
        <v>K97-02</v>
      </c>
      <c r="IA277" s="12" t="str">
        <f t="shared" ref="IA277" si="750">CONCATENATE("K",$U277,"-03")</f>
        <v>K97-03</v>
      </c>
      <c r="IB277" s="12" t="str">
        <f t="shared" ref="IB277" si="751">CONCATENATE("K",$U277,"-04")</f>
        <v>K97-04</v>
      </c>
      <c r="IC277" s="12" t="str">
        <f t="shared" ref="IC277" si="752">CONCATENATE("K",$U277,"-05")</f>
        <v>K97-05</v>
      </c>
      <c r="ID277" s="12" t="str">
        <f t="shared" ref="ID277" si="753">CONCATENATE("K",$U277,"-06")</f>
        <v>K97-06</v>
      </c>
      <c r="IE277" s="12" t="str">
        <f t="shared" ref="IE277" si="754">CONCATENATE("K",$U277,"-07")</f>
        <v>K97-07</v>
      </c>
      <c r="IF277" s="12" t="str">
        <f t="shared" ref="IF277" si="755">CONCATENATE("K",$U277,"-08")</f>
        <v>K97-08</v>
      </c>
      <c r="IG277" s="12" t="str">
        <f t="shared" ref="IG277" si="756">CONCATENATE($T277,"-M",$U277,"-AMS-12")</f>
        <v>F0-M97-AMS-12</v>
      </c>
      <c r="IH277" s="12" t="str">
        <f t="shared" ref="IH277" si="757">CONCATENATE($T277,"-M",$U277,"-AMS-10")</f>
        <v>F0-M97-AMS-10</v>
      </c>
      <c r="II277" s="12" t="str">
        <f t="shared" ref="II277" si="758">CONCATENATE($T277,"-M",$U277,"-AMS-11")</f>
        <v>F0-M97-AMS-11</v>
      </c>
      <c r="IJ277" s="12" t="str">
        <f t="shared" ref="IJ277" si="759">CONCATENATE($T277,"-M",$U277,"-AMS-13")</f>
        <v>F0-M97-AMS-13</v>
      </c>
      <c r="IK277" s="12" t="str">
        <f t="shared" ref="IK277" si="760">CONCATENATE($T277,"-M",$U277,"-AMS-9")</f>
        <v>F0-M97-AMS-9</v>
      </c>
      <c r="IL277" s="12" t="str">
        <f t="shared" ref="IL277" si="761">CONCATENATE($T277,"-M",$U277,"-AMS-7")</f>
        <v>F0-M97-AMS-7</v>
      </c>
      <c r="IM277" s="12" t="str">
        <f t="shared" ref="IM277" si="762">CONCATENATE($T277,"-M",$U277,"-AMS-18")</f>
        <v>F0-M97-AMS-18</v>
      </c>
      <c r="IN277" s="12" t="str">
        <f t="shared" ref="IN277" si="763">CONCATENATE($T277,"-M",$U277,"-AMS-20")</f>
        <v>F0-M97-AMS-20</v>
      </c>
      <c r="IO277" s="12" t="str">
        <f t="shared" ref="IO277" si="764">CONCATENATE($T277,"-M",$U277,"-AMS-17")</f>
        <v>F0-M97-AMS-17</v>
      </c>
      <c r="IP277" s="12" t="str">
        <f t="shared" ref="IP277" si="765">CONCATENATE($T277,"-+24-M",$U277,)</f>
        <v>F0-+24-M97</v>
      </c>
      <c r="IQ277" s="12" t="str">
        <f t="shared" ref="IQ277" si="766"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 t="shared" si="688"/>
        <v>A5.16</v>
      </c>
      <c r="AD278" s="43" cm="1">
        <f t="array" ref="AD278">IF(COUNTIFS(AC$2:AC278,AC278)=1,"1",VALUE(SUBSTITUTE(INDEX(AD:AD,_xlfn.XMATCH(AC278,AC$1:AC277,0,-1)),"A",""))+INDEX(AE:AE,_xlfn.XMATCH(AC278,AC$1:AC277,0,-1))+1)</f>
        <v>16</v>
      </c>
      <c r="AE278" s="43" cm="1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416"/>
        <v>C16</v>
      </c>
      <c r="AG278" t="str">
        <f t="shared" si="417"/>
        <v>B16</v>
      </c>
      <c r="AH278" t="str">
        <f t="shared" si="689"/>
        <v>A6.9</v>
      </c>
      <c r="AI278" s="43" cm="1">
        <f t="array" ref="AI278">IF(COUNTIFS(AH$2:AH278,AH278)=1,"1",VALUE(SUBSTITUTE(INDEX(AI:AI,_xlfn.XMATCH(AH278,AH$1:AH277,0,-1)),"A",""))+INDEX(AJ:AJ,_xlfn.XMATCH(AH278,AH$1:AH277,0,-1))+1)</f>
        <v>8</v>
      </c>
      <c r="AJ278" s="43" cm="1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419"/>
        <v>8B</v>
      </c>
      <c r="AL278" s="11" t="str">
        <f t="shared" si="420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 t="shared" ref="BE278" si="767">CONCATENATE("XT",U278)</f>
        <v>XT98</v>
      </c>
      <c r="BF278" s="23" t="str">
        <f t="shared" ref="BF278" si="768">CONCATENATE("C",REPLACE(AF278,1,1,"")+1)</f>
        <v>C17</v>
      </c>
      <c r="BG278" s="23" t="str">
        <f t="shared" ref="BG278" si="769">CONCATENATE("B",REPLACE(AG278,1,1,"")+1)</f>
        <v>B17</v>
      </c>
      <c r="BH278" s="23" t="str">
        <f t="shared" ref="BH278" si="770">CONCATENATE("C",REPLACE(BF278,1,1,"")+1)</f>
        <v>C18</v>
      </c>
      <c r="BI278" s="23" t="str">
        <f t="shared" ref="BI278" si="771">CONCATENATE("B",REPLACE(BG278,1,1,"")+1)</f>
        <v>B18</v>
      </c>
      <c r="BJ278" s="23" t="str">
        <f t="shared" ref="BJ278" si="772">CONCATENATE("C",REPLACE(BH278,1,1,"")+1)</f>
        <v>C19</v>
      </c>
      <c r="BK278" s="23" t="str">
        <f t="shared" ref="BK278" si="773">CONCATENATE("B",REPLACE(BI278,1,1,"")+1)</f>
        <v>B19</v>
      </c>
      <c r="BL278" s="23" t="str">
        <f t="shared" ref="BL278" si="774">CONCATENATE("C",REPLACE(BJ278,1,1,"")+1)</f>
        <v>C20</v>
      </c>
      <c r="BM278" s="23" t="str">
        <f t="shared" ref="BM278" si="775">CONCATENATE("B",REPLACE(BK278,1,1,"")+1)</f>
        <v>B20</v>
      </c>
      <c r="BN278" s="23"/>
      <c r="BO278" s="23"/>
      <c r="BP278" s="23" t="str">
        <f t="shared" ref="BP278" si="776">CONCATENATE(REPLACE(AK278,LEN(AK278),1,"")+1,"B")</f>
        <v>9B</v>
      </c>
      <c r="BQ278" s="23" t="str">
        <f t="shared" ref="BQ278" si="777">CONCATENATE(REPLACE(AL278,LEN(AL278),1,"")+1,"A")</f>
        <v>9A</v>
      </c>
      <c r="BR278" s="23" t="str">
        <f t="shared" ref="BR278" si="778">CONCATENATE(REPLACE(BP278,LEN(BP278),1,"")+1,"B")</f>
        <v>10B</v>
      </c>
      <c r="BS278" s="23" t="str">
        <f t="shared" ref="BS278" si="779">CONCATENATE(REPLACE(BQ278,LEN(BQ278),1,"")+1,"A")</f>
        <v>10A</v>
      </c>
      <c r="BT278" s="23" t="str">
        <f t="shared" ref="BT278:BU278" si="780">CONCATENATE("DI",REPLACE($AC278,1,3,""),"-",AF278)</f>
        <v>DI16-C16</v>
      </c>
      <c r="BU278" s="23" t="str">
        <f t="shared" si="780"/>
        <v>DI16-B16</v>
      </c>
      <c r="BV278" s="23" t="str">
        <f t="shared" ref="BV278:CE278" si="781">CONCATENATE("DI",REPLACE($AC278,1,3,""),"-",BF278)</f>
        <v>DI16-C17</v>
      </c>
      <c r="BW278" s="23" t="str">
        <f t="shared" si="781"/>
        <v>DI16-B17</v>
      </c>
      <c r="BX278" s="23" t="str">
        <f t="shared" si="781"/>
        <v>DI16-C18</v>
      </c>
      <c r="BY278" s="23" t="str">
        <f t="shared" si="781"/>
        <v>DI16-B18</v>
      </c>
      <c r="BZ278" s="23" t="str">
        <f t="shared" si="781"/>
        <v>DI16-C19</v>
      </c>
      <c r="CA278" s="23" t="str">
        <f t="shared" si="781"/>
        <v>DI16-B19</v>
      </c>
      <c r="CB278" s="23" t="str">
        <f t="shared" si="781"/>
        <v>DI16-C20</v>
      </c>
      <c r="CC278" s="23" t="str">
        <f t="shared" si="781"/>
        <v>DI16-B20</v>
      </c>
      <c r="CD278" s="23" t="str">
        <f t="shared" si="781"/>
        <v>DI16-</v>
      </c>
      <c r="CE278" s="23" t="str">
        <f t="shared" si="781"/>
        <v>DI16-</v>
      </c>
      <c r="CF278" s="23" t="str">
        <f t="shared" ref="CF278:CG278" si="782">CONCATENATE("DO",REPLACE($AH278,1,3,""),"-",AK278)</f>
        <v>DO9-8B</v>
      </c>
      <c r="CG278" s="23" t="str">
        <f t="shared" si="782"/>
        <v>DO9-8A</v>
      </c>
      <c r="CH278" s="23" t="str">
        <f t="shared" ref="CH278:CK278" si="783">CONCATENATE("DO",REPLACE($AH278,1,3,""),"-",BP278)</f>
        <v>DO9-9B</v>
      </c>
      <c r="CI278" s="23" t="str">
        <f t="shared" si="783"/>
        <v>DO9-9A</v>
      </c>
      <c r="CJ278" s="23" t="str">
        <f t="shared" si="783"/>
        <v>DO9-10B</v>
      </c>
      <c r="CK278" s="23" t="str">
        <f t="shared" si="783"/>
        <v>DO9-10A</v>
      </c>
      <c r="CL278" s="23" t="str">
        <f t="shared" ref="CL278" si="784">CONCATENATE("K",$U278,"-10")</f>
        <v>K98-10</v>
      </c>
      <c r="CM278" s="23" t="str">
        <f t="shared" ref="CM278" si="785">CONCATENATE("K",$U278,"-03")</f>
        <v>K98-03</v>
      </c>
      <c r="CN278" s="23" t="str">
        <f t="shared" ref="CN278" si="786">CONCATENATE("K",$U278,"-04")</f>
        <v>K98-04</v>
      </c>
      <c r="CO278" s="23" t="str">
        <f t="shared" ref="CO278" si="787">CONCATENATE("K",$U278,"-01")</f>
        <v>K98-01</v>
      </c>
      <c r="CP278" s="23" t="str">
        <f t="shared" ref="CP278" si="788">CONCATENATE("K",$U278,"-08")</f>
        <v>K98-08</v>
      </c>
      <c r="CQ278" s="23" t="str">
        <f t="shared" ref="CQ278" si="789">CONCATENATE("K",$U278,"-02")</f>
        <v>K98-02</v>
      </c>
      <c r="CR278" s="23" t="str">
        <f t="shared" ref="CR278" si="790">CONCATENATE("K",$U278,"-09")</f>
        <v>K98-09</v>
      </c>
      <c r="CS278" s="23" t="str">
        <f t="shared" ref="CS278" si="791">CONCATENATE("K",$U278,"-05")</f>
        <v>K98-05</v>
      </c>
      <c r="CT278" s="23" t="str">
        <f t="shared" ref="CT278" si="792">CONCATENATE("K",$U278,"-11")</f>
        <v>K98-11</v>
      </c>
      <c r="CU278" s="23" t="str">
        <f t="shared" ref="CU278" si="793">CONCATENATE($T278,"-M",$U278,"-A9")</f>
        <v>F0-M98-A9</v>
      </c>
      <c r="CV278" s="23" t="str">
        <f t="shared" ref="CV278" si="794">CONCATENATE($T278,"-M",$U278,"-A7")</f>
        <v>F0-M98-A7</v>
      </c>
      <c r="CW278" s="23" t="str">
        <f t="shared" ref="CW278" si="795">CONCATENATE($T278,"-M",$U278,"-A8")</f>
        <v>F0-M98-A8</v>
      </c>
      <c r="CX278" s="23" t="str">
        <f t="shared" ref="CX278" si="796">CONCATENATE($T278,"-M",$U278,"-A6")</f>
        <v>F0-M98-A6</v>
      </c>
      <c r="CY278" s="23" t="str">
        <f t="shared" ref="CY278" si="797">CONCATENATE($T278,"-M",$U278,"-A30")</f>
        <v>F0-M98-A30</v>
      </c>
      <c r="CZ278" s="23" t="str">
        <f t="shared" ref="CZ278" si="798">CONCATENATE($T278,"-M",$U278,"-N")</f>
        <v>F0-M98-N</v>
      </c>
      <c r="DA278" s="23" t="str">
        <f t="shared" ref="DA278" si="799">CONCATENATE($T278,"-A220-M",U278)</f>
        <v>F0-A220-M98</v>
      </c>
      <c r="DB278" s="23" t="str">
        <f t="shared" ref="DB278" si="800">CONCATENATE($T278,"-M",$U278,"-XM01")</f>
        <v>F0-M98-XM01</v>
      </c>
      <c r="DC278" s="23" t="str">
        <f t="shared" ref="DC278" si="801">CONCATENATE($T278,"-M",$U278,"-A1")</f>
        <v>F0-M98-A1</v>
      </c>
      <c r="DD278" s="23" t="str">
        <f t="shared" ref="DD278" si="802">CONCATENATE($T278,"-M",$U278,"-A5")</f>
        <v>F0-M98-A5</v>
      </c>
      <c r="DE278" s="23" t="str">
        <f t="shared" ref="DE278" si="803">CONCATENATE($T278,"-M",$U278,"-A11")</f>
        <v>F0-M98-A11</v>
      </c>
      <c r="DF278" s="23" t="str">
        <f t="shared" ref="DF278" si="804">CONCATENATE($T278,"-M",$U278,"-A12")</f>
        <v>F0-M98-A12</v>
      </c>
      <c r="DG278" s="23" t="str">
        <f t="shared" ref="DG278" si="805">CONCATENATE($T278,"-M",$U278,"-A19")</f>
        <v>F0-M98-A19</v>
      </c>
      <c r="DH278" s="23" t="str">
        <f t="shared" ref="DH278" si="806"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 cm="1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 cm="1">
        <f t="array" ref="Y279">IF(COUNTIFS(X$2:X279,X279)=1,"1",VALUE(SUBSTITUTE(INDEX(Y:Y,_xlfn.XMATCH(X279,X$1:X278,0,-1)),"A",""))+INDEX(Z:Z,_xlfn.XMATCH(X279,X$1:X278,0,-1))+1)</f>
        <v>7</v>
      </c>
      <c r="Z279" s="43" cm="1">
        <f t="array" ref="Z279">SUM(IF(ISNUMBER(FIND("TmAi",$BE$1:$AAD$1)),IF(IFERROR(ISODD(SUBSTITUTE($BE279:$AAD279,"A","")),FALSE),IF(ISODD(SUBSTITUTE($BE279:$AAD279,"A","")),1,0),0)))</f>
        <v>0</v>
      </c>
      <c r="AA279" t="str">
        <f t="shared" ref="AA279" si="807">CONCATENATE($Y279*2-1,"A")</f>
        <v>13A</v>
      </c>
      <c r="AB279" t="str">
        <f t="shared" ref="AB279" si="808">CONCATENATE($Y279*2-1,"B")</f>
        <v>13B</v>
      </c>
      <c r="AC279" t="s">
        <v>1816</v>
      </c>
      <c r="AD279" s="43" t="str" cm="1">
        <f t="array" ref="AD279">IF(COUNTIFS(AC$2:AC279,AC279)=1,"1",VALUE(SUBSTITUTE(INDEX(AD:AD,_xlfn.XMATCH(AC279,AC$1:AC278,0,-1)),"A",""))+INDEX(AE:AE,_xlfn.XMATCH(AC279,AC$1:AC278,0,-1))+1)</f>
        <v>1</v>
      </c>
      <c r="AE279" s="43" cm="1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416"/>
        <v>C1</v>
      </c>
      <c r="AG279" t="str">
        <f t="shared" si="417"/>
        <v>B1</v>
      </c>
      <c r="AH279" t="str">
        <f t="shared" si="689"/>
        <v>A6.9</v>
      </c>
      <c r="AI279" s="43" cm="1">
        <f t="array" ref="AI279">IF(COUNTIFS(AH$2:AH279,AH279)=1,"1",VALUE(SUBSTITUTE(INDEX(AI:AI,_xlfn.XMATCH(AH279,AH$1:AH278,0,-1)),"A",""))+INDEX(AJ:AJ,_xlfn.XMATCH(AH279,AH$1:AH278,0,-1))+1)</f>
        <v>11</v>
      </c>
      <c r="AJ279" s="43" cm="1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419"/>
        <v>11B</v>
      </c>
      <c r="AL279" s="11" t="str">
        <f t="shared" si="420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 t="shared" ref="GT279" si="809">CONCATENATE("XT",U279)</f>
        <v>XT99</v>
      </c>
      <c r="GU279" s="12" t="str">
        <f t="shared" ref="GU279" si="810">CONCATENATE("C",REPLACE(AF279,1,1,"")+1)</f>
        <v>C2</v>
      </c>
      <c r="GV279" s="12" t="str">
        <f t="shared" ref="GV279" si="811">CONCATENATE("B",REPLACE(AG279,1,1,"")+1)</f>
        <v>B2</v>
      </c>
      <c r="GW279" s="12" t="str">
        <f t="shared" ref="GW279" si="812">CONCATENATE("C",REPLACE(GU279,1,1,"")+1)</f>
        <v>C3</v>
      </c>
      <c r="GX279" s="12" t="str">
        <f t="shared" ref="GX279" si="813">CONCATENATE("B",REPLACE(GV279,1,1,"")+1)</f>
        <v>B3</v>
      </c>
      <c r="GY279" s="12" t="str">
        <f t="shared" ref="GY279" si="814">CONCATENATE("C",REPLACE(GW279,1,1,"")+1)</f>
        <v>C4</v>
      </c>
      <c r="GZ279" s="12" t="str">
        <f t="shared" ref="GZ279" si="815">CONCATENATE("B",REPLACE(GX279,1,1,"")+1)</f>
        <v>B4</v>
      </c>
      <c r="HA279" s="12" t="str">
        <f t="shared" ref="HA279" si="816">CONCATENATE("C",REPLACE(GY279,1,1,"")+1)</f>
        <v>C5</v>
      </c>
      <c r="HB279" s="12" t="str">
        <f t="shared" ref="HB279" si="817">CONCATENATE("B",REPLACE(GZ279,1,1,"")+1)</f>
        <v>B5</v>
      </c>
      <c r="HC279" s="12"/>
      <c r="HD279" s="12"/>
      <c r="HE279" s="12" t="str">
        <f t="shared" ref="HE279" si="818">CONCATENATE(REPLACE(AK279,LEN(AK279),1,"")+1,"B")</f>
        <v>12B</v>
      </c>
      <c r="HF279" s="12" t="str">
        <f t="shared" ref="HF279" si="819">CONCATENATE(REPLACE(AL279,LEN(AL279),1,"")+1,"A")</f>
        <v>12A</v>
      </c>
      <c r="HG279" s="12" t="str">
        <f t="shared" ref="HG279:HH279" si="820">CONCATENATE("AI",REPLACE($X279,1,3,""),"-",AA279)</f>
        <v>AI33-13A</v>
      </c>
      <c r="HH279" s="12" t="str">
        <f t="shared" si="820"/>
        <v>AI33-13B</v>
      </c>
      <c r="HI279" s="12" t="str">
        <f t="shared" ref="HI279:HJ279" si="821">CONCATENATE("DI",REPLACE($AC279,1,3,""),"-",AF279)</f>
        <v>DI17-C1</v>
      </c>
      <c r="HJ279" s="12" t="str">
        <f t="shared" si="821"/>
        <v>DI17-B1</v>
      </c>
      <c r="HK279" s="12" t="str">
        <f t="shared" ref="HK279:HT279" si="822">CONCATENATE("DI",REPLACE($AC279,1,3,""),"-",GU279)</f>
        <v>DI17-C2</v>
      </c>
      <c r="HL279" s="12" t="str">
        <f t="shared" si="822"/>
        <v>DI17-B2</v>
      </c>
      <c r="HM279" s="12" t="str">
        <f t="shared" si="822"/>
        <v>DI17-C3</v>
      </c>
      <c r="HN279" s="12" t="str">
        <f t="shared" si="822"/>
        <v>DI17-B3</v>
      </c>
      <c r="HO279" s="12" t="str">
        <f t="shared" si="822"/>
        <v>DI17-C4</v>
      </c>
      <c r="HP279" s="12" t="str">
        <f t="shared" si="822"/>
        <v>DI17-B4</v>
      </c>
      <c r="HQ279" s="12" t="str">
        <f t="shared" si="822"/>
        <v>DI17-C5</v>
      </c>
      <c r="HR279" s="12" t="str">
        <f t="shared" si="822"/>
        <v>DI17-B5</v>
      </c>
      <c r="HS279" s="12" t="str">
        <f t="shared" si="822"/>
        <v>DI17-</v>
      </c>
      <c r="HT279" s="12" t="str">
        <f t="shared" si="822"/>
        <v>DI17-</v>
      </c>
      <c r="HU279" s="12" t="str">
        <f t="shared" ref="HU279:HV279" si="823">CONCATENATE("DO",REPLACE($AH279,1,3,""),"-",AK279)</f>
        <v>DO9-11B</v>
      </c>
      <c r="HV279" s="12" t="str">
        <f t="shared" si="823"/>
        <v>DO9-11A</v>
      </c>
      <c r="HW279" s="12" t="str">
        <f t="shared" ref="HW279:HX279" si="824">CONCATENATE("DO",REPLACE($AH279,1,3,""),"-",HE279)</f>
        <v>DO9-12B</v>
      </c>
      <c r="HX279" s="12" t="str">
        <f t="shared" si="824"/>
        <v>DO9-12A</v>
      </c>
      <c r="HY279" s="12" t="str">
        <f t="shared" ref="HY279" si="825">CONCATENATE("K",$U279,"-01")</f>
        <v>K99-01</v>
      </c>
      <c r="HZ279" s="12" t="str">
        <f t="shared" ref="HZ279" si="826">CONCATENATE("K",$U279,"-02")</f>
        <v>K99-02</v>
      </c>
      <c r="IA279" s="12" t="str">
        <f t="shared" ref="IA279" si="827">CONCATENATE("K",$U279,"-03")</f>
        <v>K99-03</v>
      </c>
      <c r="IB279" s="12" t="str">
        <f t="shared" ref="IB279" si="828">CONCATENATE("K",$U279,"-04")</f>
        <v>K99-04</v>
      </c>
      <c r="IC279" s="12" t="str">
        <f t="shared" ref="IC279" si="829">CONCATENATE("K",$U279,"-05")</f>
        <v>K99-05</v>
      </c>
      <c r="ID279" s="12" t="str">
        <f t="shared" ref="ID279" si="830">CONCATENATE("K",$U279,"-06")</f>
        <v>K99-06</v>
      </c>
      <c r="IE279" s="12" t="str">
        <f t="shared" ref="IE279" si="831">CONCATENATE("K",$U279,"-07")</f>
        <v>K99-07</v>
      </c>
      <c r="IF279" s="12" t="str">
        <f t="shared" ref="IF279" si="832">CONCATENATE("K",$U279,"-08")</f>
        <v>K99-08</v>
      </c>
      <c r="IG279" s="12" t="str">
        <f t="shared" ref="IG279" si="833">CONCATENATE($T279,"-M",$U279,"-AMS-12")</f>
        <v>F0-M99-AMS-12</v>
      </c>
      <c r="IH279" s="12" t="str">
        <f t="shared" ref="IH279" si="834">CONCATENATE($T279,"-M",$U279,"-AMS-10")</f>
        <v>F0-M99-AMS-10</v>
      </c>
      <c r="II279" s="12" t="str">
        <f t="shared" ref="II279" si="835">CONCATENATE($T279,"-M",$U279,"-AMS-11")</f>
        <v>F0-M99-AMS-11</v>
      </c>
      <c r="IJ279" s="12" t="str">
        <f t="shared" ref="IJ279" si="836">CONCATENATE($T279,"-M",$U279,"-AMS-13")</f>
        <v>F0-M99-AMS-13</v>
      </c>
      <c r="IK279" s="12" t="str">
        <f t="shared" ref="IK279" si="837">CONCATENATE($T279,"-M",$U279,"-AMS-9")</f>
        <v>F0-M99-AMS-9</v>
      </c>
      <c r="IL279" s="12" t="str">
        <f t="shared" ref="IL279" si="838">CONCATENATE($T279,"-M",$U279,"-AMS-7")</f>
        <v>F0-M99-AMS-7</v>
      </c>
      <c r="IM279" s="12" t="str">
        <f t="shared" ref="IM279" si="839">CONCATENATE($T279,"-M",$U279,"-AMS-18")</f>
        <v>F0-M99-AMS-18</v>
      </c>
      <c r="IN279" s="12" t="str">
        <f t="shared" ref="IN279" si="840">CONCATENATE($T279,"-M",$U279,"-AMS-20")</f>
        <v>F0-M99-AMS-20</v>
      </c>
      <c r="IO279" s="12" t="str">
        <f t="shared" ref="IO279" si="841">CONCATENATE($T279,"-M",$U279,"-AMS-17")</f>
        <v>F0-M99-AMS-17</v>
      </c>
      <c r="IP279" s="12" t="str">
        <f t="shared" ref="IP279" si="842">CONCATENATE($T279,"-+24-M",$U279,)</f>
        <v>F0-+24-M99</v>
      </c>
      <c r="IQ279" s="12" t="str">
        <f t="shared" ref="IQ279" si="843"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 t="shared" ref="AC280:AC282" si="844">IF(AD279+AE279&gt;31,REPLACE(AC279,LEN(AC279),1,VALUE(RIGHT(AC279,1))+1),AC279)</f>
        <v>A5.17</v>
      </c>
      <c r="AD280" s="43" cm="1">
        <f t="array" ref="AD280">IF(COUNTIFS(AC$2:AC280,AC280)=1,"1",VALUE(SUBSTITUTE(INDEX(AD:AD,_xlfn.XMATCH(AC280,AC$1:AC279,0,-1)),"A",""))+INDEX(AE:AE,_xlfn.XMATCH(AC280,AC$1:AC279,0,-1))+1)</f>
        <v>6</v>
      </c>
      <c r="AE280" s="43" cm="1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416"/>
        <v>C6</v>
      </c>
      <c r="AG280" t="str">
        <f t="shared" si="417"/>
        <v>B6</v>
      </c>
      <c r="AH280" t="str">
        <f t="shared" si="689"/>
        <v>A6.9</v>
      </c>
      <c r="AI280" s="43" cm="1">
        <f t="array" ref="AI280">IF(COUNTIFS(AH$2:AH280,AH280)=1,"1",VALUE(SUBSTITUTE(INDEX(AI:AI,_xlfn.XMATCH(AH280,AH$1:AH279,0,-1)),"A",""))+INDEX(AJ:AJ,_xlfn.XMATCH(AH280,AH$1:AH279,0,-1))+1)</f>
        <v>13</v>
      </c>
      <c r="AJ280" s="43" cm="1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419"/>
        <v>13B</v>
      </c>
      <c r="AL280" s="11" t="str">
        <f t="shared" si="420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 t="shared" ref="BE280" si="845">CONCATENATE("XT",U280)</f>
        <v>XT100</v>
      </c>
      <c r="BF280" s="23" t="str">
        <f t="shared" ref="BF280" si="846">CONCATENATE("C",REPLACE(AF280,1,1,"")+1)</f>
        <v>C7</v>
      </c>
      <c r="BG280" s="23" t="str">
        <f t="shared" ref="BG280" si="847">CONCATENATE("B",REPLACE(AG280,1,1,"")+1)</f>
        <v>B7</v>
      </c>
      <c r="BH280" s="23" t="str">
        <f t="shared" ref="BH280" si="848">CONCATENATE("C",REPLACE(BF280,1,1,"")+1)</f>
        <v>C8</v>
      </c>
      <c r="BI280" s="23" t="str">
        <f t="shared" ref="BI280" si="849">CONCATENATE("B",REPLACE(BG280,1,1,"")+1)</f>
        <v>B8</v>
      </c>
      <c r="BJ280" s="23" t="str">
        <f t="shared" ref="BJ280" si="850">CONCATENATE("C",REPLACE(BH280,1,1,"")+1)</f>
        <v>C9</v>
      </c>
      <c r="BK280" s="23" t="str">
        <f t="shared" ref="BK280" si="851">CONCATENATE("B",REPLACE(BI280,1,1,"")+1)</f>
        <v>B9</v>
      </c>
      <c r="BL280" s="23" t="str">
        <f t="shared" ref="BL280" si="852">CONCATENATE("C",REPLACE(BJ280,1,1,"")+1)</f>
        <v>C10</v>
      </c>
      <c r="BM280" s="23" t="str">
        <f t="shared" ref="BM280" si="853">CONCATENATE("B",REPLACE(BK280,1,1,"")+1)</f>
        <v>B10</v>
      </c>
      <c r="BN280" s="23"/>
      <c r="BO280" s="23"/>
      <c r="BP280" s="23" t="str">
        <f t="shared" ref="BP280" si="854">CONCATENATE(REPLACE(AK280,LEN(AK280),1,"")+1,"B")</f>
        <v>14B</v>
      </c>
      <c r="BQ280" s="23" t="str">
        <f t="shared" ref="BQ280" si="855">CONCATENATE(REPLACE(AL280,LEN(AL280),1,"")+1,"A")</f>
        <v>14A</v>
      </c>
      <c r="BR280" s="23" t="str">
        <f t="shared" ref="BR280" si="856">CONCATENATE(REPLACE(BP280,LEN(BP280),1,"")+1,"B")</f>
        <v>15B</v>
      </c>
      <c r="BS280" s="23" t="str">
        <f t="shared" ref="BS280" si="857">CONCATENATE(REPLACE(BQ280,LEN(BQ280),1,"")+1,"A")</f>
        <v>15A</v>
      </c>
      <c r="BT280" s="23" t="str">
        <f t="shared" ref="BT280:BU280" si="858">CONCATENATE("DI",REPLACE($AC280,1,3,""),"-",AF280)</f>
        <v>DI17-C6</v>
      </c>
      <c r="BU280" s="23" t="str">
        <f t="shared" si="858"/>
        <v>DI17-B6</v>
      </c>
      <c r="BV280" s="23" t="str">
        <f t="shared" ref="BV280:CE280" si="859">CONCATENATE("DI",REPLACE($AC280,1,3,""),"-",BF280)</f>
        <v>DI17-C7</v>
      </c>
      <c r="BW280" s="23" t="str">
        <f t="shared" si="859"/>
        <v>DI17-B7</v>
      </c>
      <c r="BX280" s="23" t="str">
        <f t="shared" si="859"/>
        <v>DI17-C8</v>
      </c>
      <c r="BY280" s="23" t="str">
        <f t="shared" si="859"/>
        <v>DI17-B8</v>
      </c>
      <c r="BZ280" s="23" t="str">
        <f t="shared" si="859"/>
        <v>DI17-C9</v>
      </c>
      <c r="CA280" s="23" t="str">
        <f t="shared" si="859"/>
        <v>DI17-B9</v>
      </c>
      <c r="CB280" s="23" t="str">
        <f t="shared" si="859"/>
        <v>DI17-C10</v>
      </c>
      <c r="CC280" s="23" t="str">
        <f t="shared" si="859"/>
        <v>DI17-B10</v>
      </c>
      <c r="CD280" s="23" t="str">
        <f t="shared" si="859"/>
        <v>DI17-</v>
      </c>
      <c r="CE280" s="23" t="str">
        <f t="shared" si="859"/>
        <v>DI17-</v>
      </c>
      <c r="CF280" s="23" t="str">
        <f t="shared" ref="CF280:CG280" si="860">CONCATENATE("DO",REPLACE($AH280,1,3,""),"-",AK280)</f>
        <v>DO9-13B</v>
      </c>
      <c r="CG280" s="23" t="str">
        <f t="shared" si="860"/>
        <v>DO9-13A</v>
      </c>
      <c r="CH280" s="23" t="str">
        <f t="shared" ref="CH280:CK280" si="861">CONCATENATE("DO",REPLACE($AH280,1,3,""),"-",BP280)</f>
        <v>DO9-14B</v>
      </c>
      <c r="CI280" s="23" t="str">
        <f t="shared" si="861"/>
        <v>DO9-14A</v>
      </c>
      <c r="CJ280" s="23" t="str">
        <f t="shared" si="861"/>
        <v>DO9-15B</v>
      </c>
      <c r="CK280" s="23" t="str">
        <f t="shared" si="861"/>
        <v>DO9-15A</v>
      </c>
      <c r="CL280" s="23" t="str">
        <f t="shared" ref="CL280" si="862">CONCATENATE("K",$U280,"-10")</f>
        <v>K100-10</v>
      </c>
      <c r="CM280" s="23" t="str">
        <f t="shared" ref="CM280" si="863">CONCATENATE("K",$U280,"-03")</f>
        <v>K100-03</v>
      </c>
      <c r="CN280" s="23" t="str">
        <f t="shared" ref="CN280" si="864">CONCATENATE("K",$U280,"-04")</f>
        <v>K100-04</v>
      </c>
      <c r="CO280" s="23" t="str">
        <f t="shared" ref="CO280" si="865">CONCATENATE("K",$U280,"-01")</f>
        <v>K100-01</v>
      </c>
      <c r="CP280" s="23" t="str">
        <f t="shared" ref="CP280" si="866">CONCATENATE("K",$U280,"-08")</f>
        <v>K100-08</v>
      </c>
      <c r="CQ280" s="23" t="str">
        <f t="shared" ref="CQ280" si="867">CONCATENATE("K",$U280,"-02")</f>
        <v>K100-02</v>
      </c>
      <c r="CR280" s="23" t="str">
        <f t="shared" ref="CR280" si="868">CONCATENATE("K",$U280,"-09")</f>
        <v>K100-09</v>
      </c>
      <c r="CS280" s="23" t="str">
        <f t="shared" ref="CS280" si="869">CONCATENATE("K",$U280,"-05")</f>
        <v>K100-05</v>
      </c>
      <c r="CT280" s="23" t="str">
        <f t="shared" ref="CT280" si="870">CONCATENATE("K",$U280,"-11")</f>
        <v>K100-11</v>
      </c>
      <c r="CU280" s="23" t="str">
        <f t="shared" ref="CU280" si="871">CONCATENATE($T280,"-M",$U280,"-A9")</f>
        <v>F0-M100-A9</v>
      </c>
      <c r="CV280" s="23" t="str">
        <f t="shared" ref="CV280" si="872">CONCATENATE($T280,"-M",$U280,"-A7")</f>
        <v>F0-M100-A7</v>
      </c>
      <c r="CW280" s="23" t="str">
        <f t="shared" ref="CW280" si="873">CONCATENATE($T280,"-M",$U280,"-A8")</f>
        <v>F0-M100-A8</v>
      </c>
      <c r="CX280" s="23" t="str">
        <f t="shared" ref="CX280" si="874">CONCATENATE($T280,"-M",$U280,"-A6")</f>
        <v>F0-M100-A6</v>
      </c>
      <c r="CY280" s="23" t="str">
        <f t="shared" ref="CY280" si="875">CONCATENATE($T280,"-M",$U280,"-A30")</f>
        <v>F0-M100-A30</v>
      </c>
      <c r="CZ280" s="23" t="str">
        <f t="shared" ref="CZ280" si="876">CONCATENATE($T280,"-M",$U280,"-N")</f>
        <v>F0-M100-N</v>
      </c>
      <c r="DA280" s="23" t="str">
        <f t="shared" ref="DA280" si="877">CONCATENATE($T280,"-A220-M",U280)</f>
        <v>F0-A220-M100</v>
      </c>
      <c r="DB280" s="23" t="str">
        <f t="shared" ref="DB280" si="878">CONCATENATE($T280,"-M",$U280,"-XM01")</f>
        <v>F0-M100-XM01</v>
      </c>
      <c r="DC280" s="23" t="str">
        <f t="shared" ref="DC280" si="879">CONCATENATE($T280,"-M",$U280,"-A1")</f>
        <v>F0-M100-A1</v>
      </c>
      <c r="DD280" s="23" t="str">
        <f t="shared" ref="DD280" si="880">CONCATENATE($T280,"-M",$U280,"-A5")</f>
        <v>F0-M100-A5</v>
      </c>
      <c r="DE280" s="23" t="str">
        <f t="shared" ref="DE280" si="881">CONCATENATE($T280,"-M",$U280,"-A11")</f>
        <v>F0-M100-A11</v>
      </c>
      <c r="DF280" s="23" t="str">
        <f t="shared" ref="DF280" si="882">CONCATENATE($T280,"-M",$U280,"-A12")</f>
        <v>F0-M100-A12</v>
      </c>
      <c r="DG280" s="23" t="str">
        <f t="shared" ref="DG280" si="883">CONCATENATE($T280,"-M",$U280,"-A19")</f>
        <v>F0-M100-A19</v>
      </c>
      <c r="DH280" s="23" t="str">
        <f t="shared" ref="DH280" si="884"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 cm="1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 cm="1">
        <f t="array" ref="Y281">IF(COUNTIFS(X$2:X281,X281)=1,"1",VALUE(SUBSTITUTE(INDEX(Y:Y,_xlfn.XMATCH(X281,X$1:X280,0,-1)),"A",""))+INDEX(Z:Z,_xlfn.XMATCH(X281,X$1:X280,0,-1))+1)</f>
        <v>8</v>
      </c>
      <c r="Z281" s="43" cm="1">
        <f t="array" ref="Z281">SUM(IF(ISNUMBER(FIND("TmAi",$BE$1:$AAD$1)),IF(IFERROR(ISODD(SUBSTITUTE($BE281:$AAD281,"A","")),FALSE),IF(ISODD(SUBSTITUTE($BE281:$AAD281,"A","")),1,0),0)))</f>
        <v>0</v>
      </c>
      <c r="AA281" t="str">
        <f t="shared" ref="AA281" si="885">CONCATENATE($Y281*2-1,"A")</f>
        <v>15A</v>
      </c>
      <c r="AB281" t="str">
        <f t="shared" ref="AB281" si="886">CONCATENATE($Y281*2-1,"B")</f>
        <v>15B</v>
      </c>
      <c r="AC281" t="str">
        <f t="shared" si="844"/>
        <v>A5.17</v>
      </c>
      <c r="AD281" s="43" cm="1">
        <f t="array" ref="AD281">IF(COUNTIFS(AC$2:AC281,AC281)=1,"1",VALUE(SUBSTITUTE(INDEX(AD:AD,_xlfn.XMATCH(AC281,AC$1:AC280,0,-1)),"A",""))+INDEX(AE:AE,_xlfn.XMATCH(AC281,AC$1:AC280,0,-1))+1)</f>
        <v>11</v>
      </c>
      <c r="AE281" s="43" cm="1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416"/>
        <v>C11</v>
      </c>
      <c r="AG281" t="str">
        <f t="shared" si="417"/>
        <v>B11</v>
      </c>
      <c r="AH281" t="str">
        <f t="shared" si="689"/>
        <v>A6.9</v>
      </c>
      <c r="AI281" s="43" cm="1">
        <f t="array" ref="AI281">IF(COUNTIFS(AH$2:AH281,AH281)=1,"1",VALUE(SUBSTITUTE(INDEX(AI:AI,_xlfn.XMATCH(AH281,AH$1:AH280,0,-1)),"A",""))+INDEX(AJ:AJ,_xlfn.XMATCH(AH281,AH$1:AH280,0,-1))+1)</f>
        <v>16</v>
      </c>
      <c r="AJ281" s="43" cm="1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419"/>
        <v>16B</v>
      </c>
      <c r="AL281" s="11" t="str">
        <f t="shared" si="420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 t="shared" ref="GU281" si="887">CONCATENATE("C",REPLACE(AF281,1,1,"")+1)</f>
        <v>C12</v>
      </c>
      <c r="GV281" s="12" t="str">
        <f t="shared" ref="GV281" si="888">CONCATENATE("B",REPLACE(AG281,1,1,"")+1)</f>
        <v>B12</v>
      </c>
      <c r="GW281" s="12" t="str">
        <f t="shared" ref="GW281" si="889">CONCATENATE("C",REPLACE(GU281,1,1,"")+1)</f>
        <v>C13</v>
      </c>
      <c r="GX281" s="12" t="str">
        <f t="shared" ref="GX281" si="890">CONCATENATE("B",REPLACE(GV281,1,1,"")+1)</f>
        <v>B13</v>
      </c>
      <c r="GY281" s="12" t="str">
        <f t="shared" ref="GY281" si="891">CONCATENATE("C",REPLACE(GW281,1,1,"")+1)</f>
        <v>C14</v>
      </c>
      <c r="GZ281" s="12" t="str">
        <f t="shared" ref="GZ281" si="892">CONCATENATE("B",REPLACE(GX281,1,1,"")+1)</f>
        <v>B14</v>
      </c>
      <c r="HA281" s="12" t="str">
        <f t="shared" ref="HA281" si="893">CONCATENATE("C",REPLACE(GY281,1,1,"")+1)</f>
        <v>C15</v>
      </c>
      <c r="HB281" s="12" t="str">
        <f t="shared" ref="HB281" si="894">CONCATENATE("B",REPLACE(GZ281,1,1,"")+1)</f>
        <v>B15</v>
      </c>
      <c r="HC281" s="12"/>
      <c r="HD281" s="12"/>
      <c r="HE281" s="12" t="str">
        <f t="shared" ref="HE281" si="895">CONCATENATE(REPLACE(AK281,LEN(AK281),1,"")+1,"B")</f>
        <v>17B</v>
      </c>
      <c r="HF281" s="12" t="str">
        <f t="shared" ref="HF281" si="896">CONCATENATE(REPLACE(AL281,LEN(AL281),1,"")+1,"A")</f>
        <v>17A</v>
      </c>
      <c r="HG281" s="12" t="str">
        <f t="shared" ref="HG281:HH281" si="897">CONCATENATE("AI",REPLACE($X281,1,3,""),"-",AA281)</f>
        <v>AI33-15A</v>
      </c>
      <c r="HH281" s="12" t="str">
        <f t="shared" si="897"/>
        <v>AI33-15B</v>
      </c>
      <c r="HI281" s="12" t="str">
        <f t="shared" ref="HI281:HJ281" si="898">CONCATENATE("DI",REPLACE($AC281,1,3,""),"-",AF281)</f>
        <v>DI17-C11</v>
      </c>
      <c r="HJ281" s="12" t="str">
        <f t="shared" si="898"/>
        <v>DI17-B11</v>
      </c>
      <c r="HK281" s="12" t="str">
        <f t="shared" ref="HK281:HT281" si="899">CONCATENATE("DI",REPLACE($AC281,1,3,""),"-",GU281)</f>
        <v>DI17-C12</v>
      </c>
      <c r="HL281" s="12" t="str">
        <f t="shared" si="899"/>
        <v>DI17-B12</v>
      </c>
      <c r="HM281" s="12" t="str">
        <f t="shared" si="899"/>
        <v>DI17-C13</v>
      </c>
      <c r="HN281" s="12" t="str">
        <f t="shared" si="899"/>
        <v>DI17-B13</v>
      </c>
      <c r="HO281" s="12" t="str">
        <f t="shared" si="899"/>
        <v>DI17-C14</v>
      </c>
      <c r="HP281" s="12" t="str">
        <f t="shared" si="899"/>
        <v>DI17-B14</v>
      </c>
      <c r="HQ281" s="12" t="str">
        <f t="shared" si="899"/>
        <v>DI17-C15</v>
      </c>
      <c r="HR281" s="12" t="str">
        <f t="shared" si="899"/>
        <v>DI17-B15</v>
      </c>
      <c r="HS281" s="12" t="str">
        <f t="shared" si="899"/>
        <v>DI17-</v>
      </c>
      <c r="HT281" s="12" t="str">
        <f t="shared" si="899"/>
        <v>DI17-</v>
      </c>
      <c r="HU281" s="12" t="str">
        <f t="shared" ref="HU281:HV281" si="900">CONCATENATE("DO",REPLACE($AH281,1,3,""),"-",AK281)</f>
        <v>DO9-16B</v>
      </c>
      <c r="HV281" s="12" t="str">
        <f t="shared" si="900"/>
        <v>DO9-16A</v>
      </c>
      <c r="HW281" s="12" t="str">
        <f t="shared" ref="HW281:HX281" si="901">CONCATENATE("DO",REPLACE($AH281,1,3,""),"-",HE281)</f>
        <v>DO9-17B</v>
      </c>
      <c r="HX281" s="12" t="str">
        <f t="shared" si="901"/>
        <v>DO9-17A</v>
      </c>
      <c r="HY281" s="12" t="str">
        <f t="shared" ref="HY281" si="902">CONCATENATE("K",$U281,"-01")</f>
        <v>K101-01</v>
      </c>
      <c r="HZ281" s="12" t="str">
        <f t="shared" ref="HZ281" si="903">CONCATENATE("K",$U281,"-02")</f>
        <v>K101-02</v>
      </c>
      <c r="IA281" s="12" t="str">
        <f t="shared" ref="IA281" si="904">CONCATENATE("K",$U281,"-03")</f>
        <v>K101-03</v>
      </c>
      <c r="IB281" s="12" t="str">
        <f t="shared" ref="IB281" si="905">CONCATENATE("K",$U281,"-04")</f>
        <v>K101-04</v>
      </c>
      <c r="IC281" s="12" t="str">
        <f t="shared" ref="IC281" si="906">CONCATENATE("K",$U281,"-05")</f>
        <v>K101-05</v>
      </c>
      <c r="ID281" s="12" t="str">
        <f t="shared" ref="ID281" si="907">CONCATENATE("K",$U281,"-06")</f>
        <v>K101-06</v>
      </c>
      <c r="IE281" s="12" t="str">
        <f t="shared" ref="IE281" si="908">CONCATENATE("K",$U281,"-07")</f>
        <v>K101-07</v>
      </c>
      <c r="IF281" s="12" t="str">
        <f t="shared" ref="IF281" si="909">CONCATENATE("K",$U281,"-08")</f>
        <v>K101-08</v>
      </c>
      <c r="IG281" s="12" t="str">
        <f t="shared" ref="IG281" si="910">CONCATENATE($T281,"-M",$U281,"-AMS-12")</f>
        <v>F0-M101-AMS-12</v>
      </c>
      <c r="IH281" s="12" t="str">
        <f t="shared" ref="IH281" si="911">CONCATENATE($T281,"-M",$U281,"-AMS-10")</f>
        <v>F0-M101-AMS-10</v>
      </c>
      <c r="II281" s="12" t="str">
        <f t="shared" ref="II281" si="912">CONCATENATE($T281,"-M",$U281,"-AMS-11")</f>
        <v>F0-M101-AMS-11</v>
      </c>
      <c r="IJ281" s="12" t="str">
        <f t="shared" ref="IJ281" si="913">CONCATENATE($T281,"-M",$U281,"-AMS-13")</f>
        <v>F0-M101-AMS-13</v>
      </c>
      <c r="IK281" s="12" t="str">
        <f t="shared" ref="IK281" si="914">CONCATENATE($T281,"-M",$U281,"-AMS-9")</f>
        <v>F0-M101-AMS-9</v>
      </c>
      <c r="IL281" s="12" t="str">
        <f t="shared" ref="IL281" si="915">CONCATENATE($T281,"-M",$U281,"-AMS-7")</f>
        <v>F0-M101-AMS-7</v>
      </c>
      <c r="IM281" s="12" t="str">
        <f t="shared" ref="IM281" si="916">CONCATENATE($T281,"-M",$U281,"-AMS-18")</f>
        <v>F0-M101-AMS-18</v>
      </c>
      <c r="IN281" s="12" t="str">
        <f t="shared" ref="IN281" si="917">CONCATENATE($T281,"-M",$U281,"-AMS-20")</f>
        <v>F0-M101-AMS-20</v>
      </c>
      <c r="IO281" s="12" t="str">
        <f t="shared" ref="IO281" si="918">CONCATENATE($T281,"-M",$U281,"-AMS-17")</f>
        <v>F0-M101-AMS-17</v>
      </c>
      <c r="IP281" s="12" t="str">
        <f t="shared" ref="IP281" si="919">CONCATENATE($T281,"-+24-M",$U281,)</f>
        <v>F0-+24-M101</v>
      </c>
      <c r="IQ281" s="12" t="str">
        <f t="shared" ref="IQ281" si="920"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 t="shared" si="844"/>
        <v>A5.17</v>
      </c>
      <c r="AD282" s="43" cm="1">
        <f t="array" ref="AD282">IF(COUNTIFS(AC$2:AC282,AC282)=1,"1",VALUE(SUBSTITUTE(INDEX(AD:AD,_xlfn.XMATCH(AC282,AC$1:AC281,0,-1)),"A",""))+INDEX(AE:AE,_xlfn.XMATCH(AC282,AC$1:AC281,0,-1))+1)</f>
        <v>16</v>
      </c>
      <c r="AE282" s="43" cm="1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416"/>
        <v>C16</v>
      </c>
      <c r="AG282" t="str">
        <f t="shared" si="417"/>
        <v>B16</v>
      </c>
      <c r="AH282" t="str">
        <f t="shared" si="689"/>
        <v>A6.9</v>
      </c>
      <c r="AI282" s="43" cm="1">
        <f t="array" ref="AI282">IF(COUNTIFS(AH$2:AH282,AH282)=1,"1",VALUE(SUBSTITUTE(INDEX(AI:AI,_xlfn.XMATCH(AH282,AH$1:AH281,0,-1)),"A",""))+INDEX(AJ:AJ,_xlfn.XMATCH(AH282,AH$1:AH281,0,-1))+1)</f>
        <v>18</v>
      </c>
      <c r="AJ282" s="43" cm="1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419"/>
        <v>18B</v>
      </c>
      <c r="AL282" s="11" t="str">
        <f t="shared" si="420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 t="shared" ref="BE282:BE285" si="921">CONCATENATE("XT",U282)</f>
        <v>XT102</v>
      </c>
      <c r="BF282" s="23" t="str">
        <f t="shared" ref="BF282:BF285" si="922">CONCATENATE("C",REPLACE(AF282,1,1,"")+1)</f>
        <v>C17</v>
      </c>
      <c r="BG282" s="23" t="str">
        <f t="shared" ref="BG282:BG285" si="923">CONCATENATE("B",REPLACE(AG282,1,1,"")+1)</f>
        <v>B17</v>
      </c>
      <c r="BH282" s="23" t="str">
        <f t="shared" ref="BH282:BH285" si="924">CONCATENATE("C",REPLACE(BF282,1,1,"")+1)</f>
        <v>C18</v>
      </c>
      <c r="BI282" s="23" t="str">
        <f t="shared" ref="BI282:BI285" si="925">CONCATENATE("B",REPLACE(BG282,1,1,"")+1)</f>
        <v>B18</v>
      </c>
      <c r="BJ282" s="23" t="str">
        <f t="shared" ref="BJ282:BJ285" si="926">CONCATENATE("C",REPLACE(BH282,1,1,"")+1)</f>
        <v>C19</v>
      </c>
      <c r="BK282" s="23" t="str">
        <f t="shared" ref="BK282:BK285" si="927">CONCATENATE("B",REPLACE(BI282,1,1,"")+1)</f>
        <v>B19</v>
      </c>
      <c r="BL282" s="23" t="str">
        <f t="shared" ref="BL282:BL285" si="928">CONCATENATE("C",REPLACE(BJ282,1,1,"")+1)</f>
        <v>C20</v>
      </c>
      <c r="BM282" s="23" t="str">
        <f t="shared" ref="BM282:BM285" si="929">CONCATENATE("B",REPLACE(BK282,1,1,"")+1)</f>
        <v>B20</v>
      </c>
      <c r="BN282" s="23"/>
      <c r="BO282" s="23"/>
      <c r="BP282" s="23" t="str">
        <f t="shared" ref="BP282:BP285" si="930">CONCATENATE(REPLACE(AK282,LEN(AK282),1,"")+1,"B")</f>
        <v>19B</v>
      </c>
      <c r="BQ282" s="23" t="str">
        <f t="shared" ref="BQ282:BQ285" si="931">CONCATENATE(REPLACE(AL282,LEN(AL282),1,"")+1,"A")</f>
        <v>19A</v>
      </c>
      <c r="BR282" s="23" t="str">
        <f t="shared" ref="BR282:BR285" si="932">CONCATENATE(REPLACE(BP282,LEN(BP282),1,"")+1,"B")</f>
        <v>20B</v>
      </c>
      <c r="BS282" s="23" t="str">
        <f t="shared" ref="BS282:BS285" si="933">CONCATENATE(REPLACE(BQ282,LEN(BQ282),1,"")+1,"A")</f>
        <v>20A</v>
      </c>
      <c r="BT282" s="23" t="str">
        <f t="shared" ref="BT282:BU285" si="934">CONCATENATE("DI",REPLACE($AC282,1,3,""),"-",AF282)</f>
        <v>DI17-C16</v>
      </c>
      <c r="BU282" s="23" t="str">
        <f t="shared" si="934"/>
        <v>DI17-B16</v>
      </c>
      <c r="BV282" s="23" t="str">
        <f t="shared" ref="BV282:CE285" si="935">CONCATENATE("DI",REPLACE($AC282,1,3,""),"-",BF282)</f>
        <v>DI17-C17</v>
      </c>
      <c r="BW282" s="23" t="str">
        <f t="shared" si="935"/>
        <v>DI17-B17</v>
      </c>
      <c r="BX282" s="23" t="str">
        <f t="shared" si="935"/>
        <v>DI17-C18</v>
      </c>
      <c r="BY282" s="23" t="str">
        <f t="shared" si="935"/>
        <v>DI17-B18</v>
      </c>
      <c r="BZ282" s="23" t="str">
        <f t="shared" si="935"/>
        <v>DI17-C19</v>
      </c>
      <c r="CA282" s="23" t="str">
        <f t="shared" si="935"/>
        <v>DI17-B19</v>
      </c>
      <c r="CB282" s="23" t="str">
        <f t="shared" si="935"/>
        <v>DI17-C20</v>
      </c>
      <c r="CC282" s="23" t="str">
        <f t="shared" si="935"/>
        <v>DI17-B20</v>
      </c>
      <c r="CD282" s="23" t="str">
        <f t="shared" si="935"/>
        <v>DI17-</v>
      </c>
      <c r="CE282" s="23" t="str">
        <f t="shared" si="935"/>
        <v>DI17-</v>
      </c>
      <c r="CF282" s="23" t="str">
        <f t="shared" ref="CF282:CG285" si="936">CONCATENATE("DO",REPLACE($AH282,1,3,""),"-",AK282)</f>
        <v>DO9-18B</v>
      </c>
      <c r="CG282" s="23" t="str">
        <f t="shared" si="936"/>
        <v>DO9-18A</v>
      </c>
      <c r="CH282" s="23" t="str">
        <f t="shared" ref="CH282:CK285" si="937">CONCATENATE("DO",REPLACE($AH282,1,3,""),"-",BP282)</f>
        <v>DO9-19B</v>
      </c>
      <c r="CI282" s="23" t="str">
        <f t="shared" si="937"/>
        <v>DO9-19A</v>
      </c>
      <c r="CJ282" s="23" t="str">
        <f t="shared" si="937"/>
        <v>DO9-20B</v>
      </c>
      <c r="CK282" s="23" t="str">
        <f t="shared" si="937"/>
        <v>DO9-20A</v>
      </c>
      <c r="CL282" s="23" t="str">
        <f t="shared" ref="CL282:CL285" si="938">CONCATENATE("K",$U282,"-10")</f>
        <v>K102-10</v>
      </c>
      <c r="CM282" s="23" t="str">
        <f t="shared" ref="CM282:CM285" si="939">CONCATENATE("K",$U282,"-03")</f>
        <v>K102-03</v>
      </c>
      <c r="CN282" s="23" t="str">
        <f t="shared" ref="CN282:CN285" si="940">CONCATENATE("K",$U282,"-04")</f>
        <v>K102-04</v>
      </c>
      <c r="CO282" s="23" t="str">
        <f t="shared" ref="CO282:CO285" si="941">CONCATENATE("K",$U282,"-01")</f>
        <v>K102-01</v>
      </c>
      <c r="CP282" s="23" t="str">
        <f t="shared" ref="CP282:CP285" si="942">CONCATENATE("K",$U282,"-08")</f>
        <v>K102-08</v>
      </c>
      <c r="CQ282" s="23" t="str">
        <f t="shared" ref="CQ282:CQ285" si="943">CONCATENATE("K",$U282,"-02")</f>
        <v>K102-02</v>
      </c>
      <c r="CR282" s="23" t="str">
        <f t="shared" ref="CR282:CR285" si="944">CONCATENATE("K",$U282,"-09")</f>
        <v>K102-09</v>
      </c>
      <c r="CS282" s="23" t="str">
        <f t="shared" ref="CS282:CS285" si="945">CONCATENATE("K",$U282,"-05")</f>
        <v>K102-05</v>
      </c>
      <c r="CT282" s="23" t="str">
        <f t="shared" ref="CT282:CT285" si="946">CONCATENATE("K",$U282,"-11")</f>
        <v>K102-11</v>
      </c>
      <c r="CU282" s="23" t="str">
        <f t="shared" ref="CU282:CU285" si="947">CONCATENATE($T282,"-M",$U282,"-A9")</f>
        <v>F0-M102-A9</v>
      </c>
      <c r="CV282" s="23" t="str">
        <f t="shared" ref="CV282:CV285" si="948">CONCATENATE($T282,"-M",$U282,"-A7")</f>
        <v>F0-M102-A7</v>
      </c>
      <c r="CW282" s="23" t="str">
        <f t="shared" ref="CW282:CW285" si="949">CONCATENATE($T282,"-M",$U282,"-A8")</f>
        <v>F0-M102-A8</v>
      </c>
      <c r="CX282" s="23" t="str">
        <f t="shared" ref="CX282:CX285" si="950">CONCATENATE($T282,"-M",$U282,"-A6")</f>
        <v>F0-M102-A6</v>
      </c>
      <c r="CY282" s="23" t="str">
        <f t="shared" ref="CY282:CY285" si="951">CONCATENATE($T282,"-M",$U282,"-A30")</f>
        <v>F0-M102-A30</v>
      </c>
      <c r="CZ282" s="23" t="str">
        <f t="shared" ref="CZ282:CZ285" si="952">CONCATENATE($T282,"-M",$U282,"-N")</f>
        <v>F0-M102-N</v>
      </c>
      <c r="DA282" s="23" t="str">
        <f t="shared" ref="DA282:DA285" si="953">CONCATENATE($T282,"-A220-M",U282)</f>
        <v>F0-A220-M102</v>
      </c>
      <c r="DB282" s="23" t="str">
        <f t="shared" ref="DB282:DB285" si="954">CONCATENATE($T282,"-M",$U282,"-XM01")</f>
        <v>F0-M102-XM01</v>
      </c>
      <c r="DC282" s="23" t="str">
        <f t="shared" ref="DC282:DC285" si="955">CONCATENATE($T282,"-M",$U282,"-A1")</f>
        <v>F0-M102-A1</v>
      </c>
      <c r="DD282" s="23" t="str">
        <f t="shared" ref="DD282:DD285" si="956">CONCATENATE($T282,"-M",$U282,"-A5")</f>
        <v>F0-M102-A5</v>
      </c>
      <c r="DE282" s="23" t="str">
        <f t="shared" ref="DE282:DE285" si="957">CONCATENATE($T282,"-M",$U282,"-A11")</f>
        <v>F0-M102-A11</v>
      </c>
      <c r="DF282" s="23" t="str">
        <f t="shared" ref="DF282:DF285" si="958">CONCATENATE($T282,"-M",$U282,"-A12")</f>
        <v>F0-M102-A12</v>
      </c>
      <c r="DG282" s="23" t="str">
        <f t="shared" ref="DG282:DG285" si="959">CONCATENATE($T282,"-M",$U282,"-A19")</f>
        <v>F0-M102-A19</v>
      </c>
      <c r="DH282" s="23" t="str">
        <f t="shared" ref="DH282:DH285" si="960"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 cm="1">
        <f t="array" ref="AD283">IF(COUNTIFS(AC$2:AC283,AC283)=1,"1",VALUE(SUBSTITUTE(INDEX(AD:AD,_xlfn.XMATCH(AC283,AC$1:AC282,0,-1)),"A",""))+INDEX(AE:AE,_xlfn.XMATCH(AC283,AC$1:AC282,0,-1))+1)</f>
        <v>1</v>
      </c>
      <c r="AE283" s="43" cm="1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416"/>
        <v>C1</v>
      </c>
      <c r="AG283" t="str">
        <f t="shared" si="417"/>
        <v>B1</v>
      </c>
      <c r="AH283" s="19" t="s">
        <v>1862</v>
      </c>
      <c r="AI283" s="43" t="str" cm="1">
        <f t="array" ref="AI283">IF(COUNTIFS(AH$2:AH283,AH283)=1,"1",VALUE(SUBSTITUTE(INDEX(AI:AI,_xlfn.XMATCH(AH283,AH$1:AH282,0,-1)),"A",""))+INDEX(AJ:AJ,_xlfn.XMATCH(AH283,AH$1:AH282,0,-1))+1)</f>
        <v>1</v>
      </c>
      <c r="AJ283" s="43" cm="1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 t="shared" si="921"/>
        <v>XT103</v>
      </c>
      <c r="BF283" s="19" t="str">
        <f t="shared" si="922"/>
        <v>C2</v>
      </c>
      <c r="BG283" s="19" t="str">
        <f t="shared" si="923"/>
        <v>B2</v>
      </c>
      <c r="BH283" s="19" t="str">
        <f t="shared" si="924"/>
        <v>C3</v>
      </c>
      <c r="BI283" s="19" t="str">
        <f t="shared" si="925"/>
        <v>B3</v>
      </c>
      <c r="BJ283" s="19" t="str">
        <f t="shared" si="926"/>
        <v>C4</v>
      </c>
      <c r="BK283" s="19" t="str">
        <f t="shared" si="927"/>
        <v>B4</v>
      </c>
      <c r="BL283" s="19" t="str">
        <f t="shared" si="928"/>
        <v>C5</v>
      </c>
      <c r="BM283" s="19" t="str">
        <f t="shared" si="929"/>
        <v>B5</v>
      </c>
      <c r="BN283" s="19" t="str">
        <f t="shared" ref="BN283:BN285" si="961">CONCATENATE("C",REPLACE(BL283,1,1,"")+1)</f>
        <v>C6</v>
      </c>
      <c r="BO283" s="19" t="str">
        <f t="shared" ref="BO283:BO285" si="962">CONCATENATE("B",REPLACE(BM283,1,1,"")+1)</f>
        <v>B6</v>
      </c>
      <c r="BP283" s="19" t="str">
        <f t="shared" si="930"/>
        <v>2B</v>
      </c>
      <c r="BQ283" s="19" t="str">
        <f t="shared" si="931"/>
        <v>2A</v>
      </c>
      <c r="BR283" s="19" t="str">
        <f t="shared" si="932"/>
        <v>3B</v>
      </c>
      <c r="BS283" s="19" t="str">
        <f t="shared" si="933"/>
        <v>3A</v>
      </c>
      <c r="BT283" s="19" t="str">
        <f t="shared" si="934"/>
        <v>DI18-C1</v>
      </c>
      <c r="BU283" s="19" t="str">
        <f t="shared" si="934"/>
        <v>DI18-B1</v>
      </c>
      <c r="BV283" s="19" t="str">
        <f t="shared" si="935"/>
        <v>DI18-C2</v>
      </c>
      <c r="BW283" s="19" t="str">
        <f t="shared" si="935"/>
        <v>DI18-B2</v>
      </c>
      <c r="BX283" s="19" t="str">
        <f t="shared" si="935"/>
        <v>DI18-C3</v>
      </c>
      <c r="BY283" s="19" t="str">
        <f t="shared" si="935"/>
        <v>DI18-B3</v>
      </c>
      <c r="BZ283" s="19" t="str">
        <f t="shared" si="935"/>
        <v>DI18-C4</v>
      </c>
      <c r="CA283" s="19" t="str">
        <f t="shared" si="935"/>
        <v>DI18-B4</v>
      </c>
      <c r="CB283" s="19" t="str">
        <f t="shared" si="935"/>
        <v>DI18-C5</v>
      </c>
      <c r="CC283" s="19" t="str">
        <f t="shared" si="935"/>
        <v>DI18-B5</v>
      </c>
      <c r="CD283" s="19" t="str">
        <f t="shared" si="935"/>
        <v>DI18-C6</v>
      </c>
      <c r="CE283" s="19" t="str">
        <f t="shared" si="935"/>
        <v>DI18-B6</v>
      </c>
      <c r="CF283" s="19" t="str">
        <f t="shared" si="936"/>
        <v>DO10-1B</v>
      </c>
      <c r="CG283" s="19" t="str">
        <f t="shared" si="936"/>
        <v>DO10-1A</v>
      </c>
      <c r="CH283" s="19" t="str">
        <f t="shared" si="937"/>
        <v>DO10-2B</v>
      </c>
      <c r="CI283" s="19" t="str">
        <f t="shared" si="937"/>
        <v>DO10-2A</v>
      </c>
      <c r="CJ283" s="19" t="str">
        <f t="shared" si="937"/>
        <v>DO10-3B</v>
      </c>
      <c r="CK283" s="19" t="str">
        <f t="shared" si="937"/>
        <v>DO10-3A</v>
      </c>
      <c r="CL283" s="19" t="str">
        <f t="shared" si="938"/>
        <v>K103-10</v>
      </c>
      <c r="CM283" s="19" t="str">
        <f t="shared" si="939"/>
        <v>K103-03</v>
      </c>
      <c r="CN283" s="19" t="str">
        <f t="shared" si="940"/>
        <v>K103-04</v>
      </c>
      <c r="CO283" s="19" t="str">
        <f t="shared" si="941"/>
        <v>K103-01</v>
      </c>
      <c r="CP283" s="19" t="str">
        <f t="shared" si="942"/>
        <v>K103-08</v>
      </c>
      <c r="CQ283" s="19" t="str">
        <f t="shared" si="943"/>
        <v>K103-02</v>
      </c>
      <c r="CR283" s="19" t="str">
        <f t="shared" si="944"/>
        <v>K103-09</v>
      </c>
      <c r="CS283" s="19" t="str">
        <f t="shared" si="945"/>
        <v>K103-05</v>
      </c>
      <c r="CT283" s="19" t="str">
        <f t="shared" si="946"/>
        <v>K103-11</v>
      </c>
      <c r="CU283" s="19" t="str">
        <f t="shared" si="947"/>
        <v>F0-M103-A9</v>
      </c>
      <c r="CV283" s="19" t="str">
        <f t="shared" si="948"/>
        <v>F0-M103-A7</v>
      </c>
      <c r="CW283" s="19" t="str">
        <f t="shared" si="949"/>
        <v>F0-M103-A8</v>
      </c>
      <c r="CX283" s="19" t="str">
        <f t="shared" si="950"/>
        <v>F0-M103-A6</v>
      </c>
      <c r="CY283" s="19" t="str">
        <f t="shared" si="951"/>
        <v>F0-M103-A30</v>
      </c>
      <c r="CZ283" s="19" t="str">
        <f t="shared" si="952"/>
        <v>F0-M103-N</v>
      </c>
      <c r="DA283" s="19" t="str">
        <f t="shared" si="953"/>
        <v>F0-A220-M103</v>
      </c>
      <c r="DB283" s="19" t="str">
        <f t="shared" si="954"/>
        <v>F0-M103-XM01</v>
      </c>
      <c r="DC283" s="19" t="str">
        <f t="shared" si="955"/>
        <v>F0-M103-A1</v>
      </c>
      <c r="DD283" s="19" t="str">
        <f t="shared" si="956"/>
        <v>F0-M103-A5</v>
      </c>
      <c r="DE283" s="19" t="str">
        <f t="shared" si="957"/>
        <v>F0-M103-A11</v>
      </c>
      <c r="DF283" s="19" t="str">
        <f t="shared" si="958"/>
        <v>F0-M103-A12</v>
      </c>
      <c r="DG283" s="19" t="str">
        <f t="shared" si="959"/>
        <v>F0-M103-A19</v>
      </c>
      <c r="DH283" s="19" t="str">
        <f t="shared" si="960"/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 t="shared" ref="AC284:AC285" si="963">IF(AD283+AE283&gt;31,REPLACE(AC283,LEN(AC283),1,VALUE(RIGHT(AC283,1))+1),AC283)</f>
        <v>A5.18</v>
      </c>
      <c r="AD284" s="43" cm="1">
        <f t="array" ref="AD284">IF(COUNTIFS(AC$2:AC284,AC284)=1,"1",VALUE(SUBSTITUTE(INDEX(AD:AD,_xlfn.XMATCH(AC284,AC$1:AC283,0,-1)),"A",""))+INDEX(AE:AE,_xlfn.XMATCH(AC284,AC$1:AC283,0,-1))+1)</f>
        <v>7</v>
      </c>
      <c r="AE284" s="43" cm="1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416"/>
        <v>C7</v>
      </c>
      <c r="AG284" t="str">
        <f t="shared" si="417"/>
        <v>B7</v>
      </c>
      <c r="AH284" t="str">
        <f t="shared" ref="AH284:AH285" si="964">IF(AI283+AJ283&gt;31,REPLACE(AH283,LEN(AH283),1,VALUE(RIGHT(AH283,1))+1),AH283)</f>
        <v>A6.10</v>
      </c>
      <c r="AI284" s="43" cm="1">
        <f t="array" ref="AI284">IF(COUNTIFS(AH$2:AH284,AH284)=1,"1",VALUE(SUBSTITUTE(INDEX(AI:AI,_xlfn.XMATCH(AH284,AH$1:AH283,0,-1)),"A",""))+INDEX(AJ:AJ,_xlfn.XMATCH(AH284,AH$1:AH283,0,-1))+1)</f>
        <v>4</v>
      </c>
      <c r="AJ284" s="43" cm="1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 t="shared" si="921"/>
        <v>XT104</v>
      </c>
      <c r="BF284" s="19" t="str">
        <f t="shared" si="922"/>
        <v>C8</v>
      </c>
      <c r="BG284" s="19" t="str">
        <f t="shared" si="923"/>
        <v>B8</v>
      </c>
      <c r="BH284" s="19" t="str">
        <f t="shared" si="924"/>
        <v>C9</v>
      </c>
      <c r="BI284" s="19" t="str">
        <f t="shared" si="925"/>
        <v>B9</v>
      </c>
      <c r="BJ284" s="19" t="str">
        <f t="shared" si="926"/>
        <v>C10</v>
      </c>
      <c r="BK284" s="19" t="str">
        <f t="shared" si="927"/>
        <v>B10</v>
      </c>
      <c r="BL284" s="19" t="str">
        <f t="shared" si="928"/>
        <v>C11</v>
      </c>
      <c r="BM284" s="19" t="str">
        <f t="shared" si="929"/>
        <v>B11</v>
      </c>
      <c r="BN284" s="19" t="str">
        <f t="shared" si="961"/>
        <v>C12</v>
      </c>
      <c r="BO284" s="19" t="str">
        <f t="shared" si="962"/>
        <v>B12</v>
      </c>
      <c r="BP284" s="19" t="str">
        <f t="shared" si="930"/>
        <v>2B</v>
      </c>
      <c r="BQ284" s="19" t="str">
        <f t="shared" si="931"/>
        <v>2A</v>
      </c>
      <c r="BR284" s="19" t="str">
        <f t="shared" si="932"/>
        <v>3B</v>
      </c>
      <c r="BS284" s="19" t="str">
        <f t="shared" si="933"/>
        <v>3A</v>
      </c>
      <c r="BT284" s="19" t="str">
        <f t="shared" si="934"/>
        <v>DI18-C7</v>
      </c>
      <c r="BU284" s="19" t="str">
        <f t="shared" si="934"/>
        <v>DI18-B7</v>
      </c>
      <c r="BV284" s="19" t="str">
        <f t="shared" si="935"/>
        <v>DI18-C8</v>
      </c>
      <c r="BW284" s="19" t="str">
        <f t="shared" si="935"/>
        <v>DI18-B8</v>
      </c>
      <c r="BX284" s="19" t="str">
        <f t="shared" si="935"/>
        <v>DI18-C9</v>
      </c>
      <c r="BY284" s="19" t="str">
        <f t="shared" si="935"/>
        <v>DI18-B9</v>
      </c>
      <c r="BZ284" s="19" t="str">
        <f t="shared" si="935"/>
        <v>DI18-C10</v>
      </c>
      <c r="CA284" s="19" t="str">
        <f t="shared" si="935"/>
        <v>DI18-B10</v>
      </c>
      <c r="CB284" s="19" t="str">
        <f t="shared" si="935"/>
        <v>DI18-C11</v>
      </c>
      <c r="CC284" s="19" t="str">
        <f t="shared" si="935"/>
        <v>DI18-B11</v>
      </c>
      <c r="CD284" s="19" t="str">
        <f t="shared" si="935"/>
        <v>DI18-C12</v>
      </c>
      <c r="CE284" s="19" t="str">
        <f t="shared" si="935"/>
        <v>DI18-B12</v>
      </c>
      <c r="CF284" s="19" t="str">
        <f t="shared" si="936"/>
        <v>DO10-1B</v>
      </c>
      <c r="CG284" s="19" t="str">
        <f t="shared" si="936"/>
        <v>DO10-1A</v>
      </c>
      <c r="CH284" s="19" t="str">
        <f t="shared" si="937"/>
        <v>DO10-2B</v>
      </c>
      <c r="CI284" s="19" t="str">
        <f t="shared" si="937"/>
        <v>DO10-2A</v>
      </c>
      <c r="CJ284" s="19" t="str">
        <f t="shared" si="937"/>
        <v>DO10-3B</v>
      </c>
      <c r="CK284" s="19" t="str">
        <f t="shared" si="937"/>
        <v>DO10-3A</v>
      </c>
      <c r="CL284" s="19" t="str">
        <f t="shared" si="938"/>
        <v>K104-10</v>
      </c>
      <c r="CM284" s="19" t="str">
        <f t="shared" si="939"/>
        <v>K104-03</v>
      </c>
      <c r="CN284" s="19" t="str">
        <f t="shared" si="940"/>
        <v>K104-04</v>
      </c>
      <c r="CO284" s="19" t="str">
        <f t="shared" si="941"/>
        <v>K104-01</v>
      </c>
      <c r="CP284" s="19" t="str">
        <f t="shared" si="942"/>
        <v>K104-08</v>
      </c>
      <c r="CQ284" s="19" t="str">
        <f t="shared" si="943"/>
        <v>K104-02</v>
      </c>
      <c r="CR284" s="19" t="str">
        <f t="shared" si="944"/>
        <v>K104-09</v>
      </c>
      <c r="CS284" s="19" t="str">
        <f t="shared" si="945"/>
        <v>K104-05</v>
      </c>
      <c r="CT284" s="19" t="str">
        <f t="shared" si="946"/>
        <v>K104-11</v>
      </c>
      <c r="CU284" s="19" t="str">
        <f t="shared" si="947"/>
        <v>F0-M104-A9</v>
      </c>
      <c r="CV284" s="19" t="str">
        <f t="shared" si="948"/>
        <v>F0-M104-A7</v>
      </c>
      <c r="CW284" s="19" t="str">
        <f t="shared" si="949"/>
        <v>F0-M104-A8</v>
      </c>
      <c r="CX284" s="19" t="str">
        <f t="shared" si="950"/>
        <v>F0-M104-A6</v>
      </c>
      <c r="CY284" s="19" t="str">
        <f t="shared" si="951"/>
        <v>F0-M104-A30</v>
      </c>
      <c r="CZ284" s="19" t="str">
        <f t="shared" si="952"/>
        <v>F0-M104-N</v>
      </c>
      <c r="DA284" s="19" t="str">
        <f t="shared" si="953"/>
        <v>F0-A220-M104</v>
      </c>
      <c r="DB284" s="19" t="str">
        <f t="shared" si="954"/>
        <v>F0-M104-XM01</v>
      </c>
      <c r="DC284" s="19" t="str">
        <f t="shared" si="955"/>
        <v>F0-M104-A1</v>
      </c>
      <c r="DD284" s="19" t="str">
        <f t="shared" si="956"/>
        <v>F0-M104-A5</v>
      </c>
      <c r="DE284" s="19" t="str">
        <f t="shared" si="957"/>
        <v>F0-M104-A11</v>
      </c>
      <c r="DF284" s="19" t="str">
        <f t="shared" si="958"/>
        <v>F0-M104-A12</v>
      </c>
      <c r="DG284" s="19" t="str">
        <f t="shared" si="959"/>
        <v>F0-M104-A19</v>
      </c>
      <c r="DH284" s="19" t="str">
        <f t="shared" si="960"/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 t="shared" si="963"/>
        <v>A5.18</v>
      </c>
      <c r="AD285" s="43" cm="1">
        <f t="array" ref="AD285">IF(COUNTIFS(AC$2:AC285,AC285)=1,"1",VALUE(SUBSTITUTE(INDEX(AD:AD,_xlfn.XMATCH(AC285,AC$1:AC284,0,-1)),"A",""))+INDEX(AE:AE,_xlfn.XMATCH(AC285,AC$1:AC284,0,-1))+1)</f>
        <v>13</v>
      </c>
      <c r="AE285" s="43" cm="1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416"/>
        <v>C13</v>
      </c>
      <c r="AG285" t="str">
        <f t="shared" si="417"/>
        <v>B13</v>
      </c>
      <c r="AH285" t="str">
        <f t="shared" si="964"/>
        <v>A6.10</v>
      </c>
      <c r="AI285" s="43" cm="1">
        <f t="array" ref="AI285">IF(COUNTIFS(AH$2:AH285,AH285)=1,"1",VALUE(SUBSTITUTE(INDEX(AI:AI,_xlfn.XMATCH(AH285,AH$1:AH284,0,-1)),"A",""))+INDEX(AJ:AJ,_xlfn.XMATCH(AH285,AH$1:AH284,0,-1))+1)</f>
        <v>7</v>
      </c>
      <c r="AJ285" s="43" cm="1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 t="shared" si="921"/>
        <v>XT105</v>
      </c>
      <c r="BF285" s="19" t="str">
        <f t="shared" si="922"/>
        <v>C14</v>
      </c>
      <c r="BG285" s="19" t="str">
        <f t="shared" si="923"/>
        <v>B14</v>
      </c>
      <c r="BH285" s="19" t="str">
        <f t="shared" si="924"/>
        <v>C15</v>
      </c>
      <c r="BI285" s="19" t="str">
        <f t="shared" si="925"/>
        <v>B15</v>
      </c>
      <c r="BJ285" s="19" t="str">
        <f t="shared" si="926"/>
        <v>C16</v>
      </c>
      <c r="BK285" s="19" t="str">
        <f t="shared" si="927"/>
        <v>B16</v>
      </c>
      <c r="BL285" s="19" t="str">
        <f t="shared" si="928"/>
        <v>C17</v>
      </c>
      <c r="BM285" s="19" t="str">
        <f t="shared" si="929"/>
        <v>B17</v>
      </c>
      <c r="BN285" s="19" t="str">
        <f t="shared" si="961"/>
        <v>C18</v>
      </c>
      <c r="BO285" s="19" t="str">
        <f t="shared" si="962"/>
        <v>B18</v>
      </c>
      <c r="BP285" s="19" t="str">
        <f t="shared" si="930"/>
        <v>2B</v>
      </c>
      <c r="BQ285" s="19" t="str">
        <f t="shared" si="931"/>
        <v>2A</v>
      </c>
      <c r="BR285" s="19" t="str">
        <f t="shared" si="932"/>
        <v>3B</v>
      </c>
      <c r="BS285" s="19" t="str">
        <f t="shared" si="933"/>
        <v>3A</v>
      </c>
      <c r="BT285" s="19" t="str">
        <f t="shared" si="934"/>
        <v>DI18-C13</v>
      </c>
      <c r="BU285" s="19" t="str">
        <f t="shared" si="934"/>
        <v>DI18-B13</v>
      </c>
      <c r="BV285" s="19" t="str">
        <f t="shared" si="935"/>
        <v>DI18-C14</v>
      </c>
      <c r="BW285" s="19" t="str">
        <f t="shared" si="935"/>
        <v>DI18-B14</v>
      </c>
      <c r="BX285" s="19" t="str">
        <f t="shared" si="935"/>
        <v>DI18-C15</v>
      </c>
      <c r="BY285" s="19" t="str">
        <f t="shared" si="935"/>
        <v>DI18-B15</v>
      </c>
      <c r="BZ285" s="19" t="str">
        <f t="shared" si="935"/>
        <v>DI18-C16</v>
      </c>
      <c r="CA285" s="19" t="str">
        <f t="shared" si="935"/>
        <v>DI18-B16</v>
      </c>
      <c r="CB285" s="19" t="str">
        <f t="shared" si="935"/>
        <v>DI18-C17</v>
      </c>
      <c r="CC285" s="19" t="str">
        <f t="shared" si="935"/>
        <v>DI18-B17</v>
      </c>
      <c r="CD285" s="19" t="str">
        <f t="shared" si="935"/>
        <v>DI18-C18</v>
      </c>
      <c r="CE285" s="19" t="str">
        <f t="shared" si="935"/>
        <v>DI18-B18</v>
      </c>
      <c r="CF285" s="19" t="str">
        <f t="shared" si="936"/>
        <v>DO10-1B</v>
      </c>
      <c r="CG285" s="19" t="str">
        <f t="shared" si="936"/>
        <v>DO10-1A</v>
      </c>
      <c r="CH285" s="19" t="str">
        <f t="shared" si="937"/>
        <v>DO10-2B</v>
      </c>
      <c r="CI285" s="19" t="str">
        <f t="shared" si="937"/>
        <v>DO10-2A</v>
      </c>
      <c r="CJ285" s="19" t="str">
        <f t="shared" si="937"/>
        <v>DO10-3B</v>
      </c>
      <c r="CK285" s="19" t="str">
        <f t="shared" si="937"/>
        <v>DO10-3A</v>
      </c>
      <c r="CL285" s="19" t="str">
        <f t="shared" si="938"/>
        <v>K105-10</v>
      </c>
      <c r="CM285" s="19" t="str">
        <f t="shared" si="939"/>
        <v>K105-03</v>
      </c>
      <c r="CN285" s="19" t="str">
        <f t="shared" si="940"/>
        <v>K105-04</v>
      </c>
      <c r="CO285" s="19" t="str">
        <f t="shared" si="941"/>
        <v>K105-01</v>
      </c>
      <c r="CP285" s="19" t="str">
        <f t="shared" si="942"/>
        <v>K105-08</v>
      </c>
      <c r="CQ285" s="19" t="str">
        <f t="shared" si="943"/>
        <v>K105-02</v>
      </c>
      <c r="CR285" s="19" t="str">
        <f t="shared" si="944"/>
        <v>K105-09</v>
      </c>
      <c r="CS285" s="19" t="str">
        <f t="shared" si="945"/>
        <v>K105-05</v>
      </c>
      <c r="CT285" s="19" t="str">
        <f t="shared" si="946"/>
        <v>K105-11</v>
      </c>
      <c r="CU285" s="19" t="str">
        <f t="shared" si="947"/>
        <v>F0-M105-A9</v>
      </c>
      <c r="CV285" s="19" t="str">
        <f t="shared" si="948"/>
        <v>F0-M105-A7</v>
      </c>
      <c r="CW285" s="19" t="str">
        <f t="shared" si="949"/>
        <v>F0-M105-A8</v>
      </c>
      <c r="CX285" s="19" t="str">
        <f t="shared" si="950"/>
        <v>F0-M105-A6</v>
      </c>
      <c r="CY285" s="19" t="str">
        <f t="shared" si="951"/>
        <v>F0-M105-A30</v>
      </c>
      <c r="CZ285" s="19" t="str">
        <f t="shared" si="952"/>
        <v>F0-M105-N</v>
      </c>
      <c r="DA285" s="19" t="str">
        <f t="shared" si="953"/>
        <v>F0-A220-M105</v>
      </c>
      <c r="DB285" s="19" t="str">
        <f t="shared" si="954"/>
        <v>F0-M105-XM01</v>
      </c>
      <c r="DC285" s="19" t="str">
        <f t="shared" si="955"/>
        <v>F0-M105-A1</v>
      </c>
      <c r="DD285" s="19" t="str">
        <f t="shared" si="956"/>
        <v>F0-M105-A5</v>
      </c>
      <c r="DE285" s="19" t="str">
        <f t="shared" si="957"/>
        <v>F0-M105-A11</v>
      </c>
      <c r="DF285" s="19" t="str">
        <f t="shared" si="958"/>
        <v>F0-M105-A12</v>
      </c>
      <c r="DG285" s="19" t="str">
        <f t="shared" si="959"/>
        <v>F0-M105-A19</v>
      </c>
      <c r="DH285" s="19" t="str">
        <f t="shared" si="960"/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 cm="1">
        <f t="array" ref="AD286">IF(COUNTIFS(AC$2:AC286,AC286)=1,"1",VALUE(SUBSTITUTE(INDEX(AD:AD,_xlfn.XMATCH(AC286,AC$1:AC285,0,-1)),"A",""))+INDEX(AE:AE,_xlfn.XMATCH(AC286,AC$1:AC285,0,-1))+1)</f>
        <v>1</v>
      </c>
      <c r="AE286" s="43" cm="1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416"/>
        <v>C1</v>
      </c>
      <c r="AG286" t="str">
        <f t="shared" si="417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965">IF(AD286+AE286&gt;31,REPLACE(AC286,LEN(AC286),1,VALUE(RIGHT(AC286,1))+1),AC286)</f>
        <v>A5.19</v>
      </c>
      <c r="AD287" s="43" cm="1">
        <f t="array" ref="AD287">IF(COUNTIFS(AC$2:AC287,AC287)=1,"1",VALUE(SUBSTITUTE(INDEX(AD:AD,_xlfn.XMATCH(AC287,AC$1:AC286,0,-1)),"A",""))+INDEX(AE:AE,_xlfn.XMATCH(AC287,AC$1:AC286,0,-1))+1)</f>
        <v>2</v>
      </c>
      <c r="AE287" s="43" cm="1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416"/>
        <v>C2</v>
      </c>
      <c r="AG287" t="str">
        <f t="shared" si="417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966">MA286</f>
        <v>11</v>
      </c>
      <c r="MB287">
        <f t="shared" si="966"/>
        <v>14</v>
      </c>
      <c r="MC287" t="str">
        <f t="shared" si="966"/>
        <v>A1</v>
      </c>
      <c r="MD287" t="str">
        <f t="shared" si="966"/>
        <v>A2</v>
      </c>
      <c r="ME287" t="str">
        <f t="shared" si="966"/>
        <v>0v3</v>
      </c>
      <c r="MF287" t="str">
        <f t="shared" si="966"/>
        <v>24v3</v>
      </c>
      <c r="MG287" t="str">
        <f t="shared" si="966"/>
        <v>0v6</v>
      </c>
      <c r="MH287" t="str">
        <f t="shared" si="96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965"/>
        <v>A5.19</v>
      </c>
      <c r="AD288" s="43" cm="1">
        <f t="array" ref="AD288">IF(COUNTIFS(AC$2:AC288,AC288)=1,"1",VALUE(SUBSTITUTE(INDEX(AD:AD,_xlfn.XMATCH(AC288,AC$1:AC287,0,-1)),"A",""))+INDEX(AE:AE,_xlfn.XMATCH(AC288,AC$1:AC287,0,-1))+1)</f>
        <v>3</v>
      </c>
      <c r="AE288" s="43" cm="1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416"/>
        <v>C3</v>
      </c>
      <c r="AG288" t="str">
        <f t="shared" si="417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967">CONCATENATE("DI",REPLACE($AC288,1,3,""),"-",$AF288)</f>
        <v>DI19-C3</v>
      </c>
      <c r="LY288" t="s">
        <v>1887</v>
      </c>
      <c r="LZ288" t="s">
        <v>1888</v>
      </c>
      <c r="MA288">
        <f t="shared" si="966"/>
        <v>11</v>
      </c>
      <c r="MB288">
        <f t="shared" si="966"/>
        <v>14</v>
      </c>
      <c r="MC288" t="str">
        <f t="shared" si="966"/>
        <v>A1</v>
      </c>
      <c r="MD288" t="str">
        <f t="shared" si="966"/>
        <v>A2</v>
      </c>
      <c r="ME288" t="str">
        <f t="shared" si="966"/>
        <v>0v3</v>
      </c>
      <c r="MF288" t="str">
        <f t="shared" si="966"/>
        <v>24v3</v>
      </c>
      <c r="MG288" t="str">
        <f t="shared" si="966"/>
        <v>0v6</v>
      </c>
      <c r="MH288" t="str">
        <f t="shared" si="966"/>
        <v>24v6</v>
      </c>
      <c r="MO288">
        <f t="shared" ref="MO288:MP294" si="968">MO287</f>
        <v>1</v>
      </c>
      <c r="MP288" s="16">
        <f t="shared" si="96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965"/>
        <v>A5.19</v>
      </c>
      <c r="AD289" s="43" cm="1">
        <f t="array" ref="AD289">IF(COUNTIFS(AC$2:AC289,AC289)=1,"1",VALUE(SUBSTITUTE(INDEX(AD:AD,_xlfn.XMATCH(AC289,AC$1:AC288,0,-1)),"A",""))+INDEX(AE:AE,_xlfn.XMATCH(AC289,AC$1:AC288,0,-1))+1)</f>
        <v>4</v>
      </c>
      <c r="AE289" s="43" cm="1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416"/>
        <v>C4</v>
      </c>
      <c r="AG289" t="str">
        <f t="shared" si="417"/>
        <v>B4</v>
      </c>
      <c r="AP289" t="s">
        <v>137</v>
      </c>
      <c r="AT289" t="s">
        <v>854</v>
      </c>
      <c r="AU289" t="s">
        <v>1399</v>
      </c>
      <c r="LX289" s="27" t="str">
        <f t="shared" si="967"/>
        <v>DI19-C4</v>
      </c>
      <c r="LY289" t="s">
        <v>1889</v>
      </c>
      <c r="LZ289" t="s">
        <v>1890</v>
      </c>
      <c r="MA289">
        <f t="shared" si="966"/>
        <v>11</v>
      </c>
      <c r="MB289">
        <f t="shared" si="966"/>
        <v>14</v>
      </c>
      <c r="MC289" t="str">
        <f t="shared" si="966"/>
        <v>A1</v>
      </c>
      <c r="MD289" t="str">
        <f t="shared" si="966"/>
        <v>A2</v>
      </c>
      <c r="ME289" t="str">
        <f t="shared" si="966"/>
        <v>0v3</v>
      </c>
      <c r="MF289" t="str">
        <f t="shared" si="966"/>
        <v>24v3</v>
      </c>
      <c r="MG289" t="str">
        <f t="shared" si="966"/>
        <v>0v6</v>
      </c>
      <c r="MH289" t="str">
        <f t="shared" si="966"/>
        <v>24v6</v>
      </c>
      <c r="MO289">
        <f t="shared" si="968"/>
        <v>1</v>
      </c>
      <c r="MP289" s="16">
        <f t="shared" si="96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965"/>
        <v>A5.19</v>
      </c>
      <c r="AD290" s="43" cm="1">
        <f t="array" ref="AD290">IF(COUNTIFS(AC$2:AC290,AC290)=1,"1",VALUE(SUBSTITUTE(INDEX(AD:AD,_xlfn.XMATCH(AC290,AC$1:AC289,0,-1)),"A",""))+INDEX(AE:AE,_xlfn.XMATCH(AC290,AC$1:AC289,0,-1))+1)</f>
        <v>5</v>
      </c>
      <c r="AE290" s="43" cm="1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416"/>
        <v>C5</v>
      </c>
      <c r="AG290" t="str">
        <f t="shared" si="417"/>
        <v>B5</v>
      </c>
      <c r="AP290" t="s">
        <v>137</v>
      </c>
      <c r="AT290" t="s">
        <v>854</v>
      </c>
      <c r="AU290" t="s">
        <v>1399</v>
      </c>
      <c r="LX290" s="27" t="str">
        <f t="shared" si="967"/>
        <v>DI19-C5</v>
      </c>
      <c r="LY290" t="s">
        <v>1891</v>
      </c>
      <c r="LZ290" t="s">
        <v>1892</v>
      </c>
      <c r="MA290">
        <f t="shared" si="966"/>
        <v>11</v>
      </c>
      <c r="MB290">
        <f t="shared" si="966"/>
        <v>14</v>
      </c>
      <c r="MC290" t="str">
        <f t="shared" si="966"/>
        <v>A1</v>
      </c>
      <c r="MD290" t="str">
        <f t="shared" si="966"/>
        <v>A2</v>
      </c>
      <c r="ME290" t="str">
        <f t="shared" si="966"/>
        <v>0v3</v>
      </c>
      <c r="MF290" t="str">
        <f t="shared" si="966"/>
        <v>24v3</v>
      </c>
      <c r="MG290" t="str">
        <f t="shared" si="966"/>
        <v>0v6</v>
      </c>
      <c r="MH290" t="str">
        <f t="shared" si="966"/>
        <v>24v6</v>
      </c>
      <c r="MO290">
        <f t="shared" si="968"/>
        <v>1</v>
      </c>
      <c r="MP290" s="16">
        <f t="shared" si="96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965"/>
        <v>A5.19</v>
      </c>
      <c r="AD291" s="43" cm="1">
        <f t="array" ref="AD291">IF(COUNTIFS(AC$2:AC291,AC291)=1,"1",VALUE(SUBSTITUTE(INDEX(AD:AD,_xlfn.XMATCH(AC291,AC$1:AC290,0,-1)),"A",""))+INDEX(AE:AE,_xlfn.XMATCH(AC291,AC$1:AC290,0,-1))+1)</f>
        <v>6</v>
      </c>
      <c r="AE291" s="43" cm="1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416"/>
        <v>C6</v>
      </c>
      <c r="AG291" t="str">
        <f t="shared" si="417"/>
        <v>B6</v>
      </c>
      <c r="AP291" t="s">
        <v>137</v>
      </c>
      <c r="AT291" t="s">
        <v>854</v>
      </c>
      <c r="AU291" t="s">
        <v>1399</v>
      </c>
      <c r="LX291" s="27" t="str">
        <f t="shared" si="967"/>
        <v>DI19-C6</v>
      </c>
      <c r="LY291" t="s">
        <v>1893</v>
      </c>
      <c r="LZ291" t="s">
        <v>1894</v>
      </c>
      <c r="MA291">
        <f t="shared" si="966"/>
        <v>11</v>
      </c>
      <c r="MB291">
        <f t="shared" si="966"/>
        <v>14</v>
      </c>
      <c r="MC291" t="str">
        <f t="shared" si="966"/>
        <v>A1</v>
      </c>
      <c r="MD291" t="str">
        <f t="shared" si="966"/>
        <v>A2</v>
      </c>
      <c r="ME291" t="str">
        <f t="shared" si="966"/>
        <v>0v3</v>
      </c>
      <c r="MF291" t="str">
        <f t="shared" si="966"/>
        <v>24v3</v>
      </c>
      <c r="MG291" t="str">
        <f t="shared" si="966"/>
        <v>0v6</v>
      </c>
      <c r="MH291" t="str">
        <f t="shared" si="966"/>
        <v>24v6</v>
      </c>
      <c r="MO291">
        <f t="shared" si="968"/>
        <v>1</v>
      </c>
      <c r="MP291" s="16">
        <f t="shared" si="96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965"/>
        <v>A5.19</v>
      </c>
      <c r="AD292" s="43" cm="1">
        <f t="array" ref="AD292">IF(COUNTIFS(AC$2:AC292,AC292)=1,"1",VALUE(SUBSTITUTE(INDEX(AD:AD,_xlfn.XMATCH(AC292,AC$1:AC291,0,-1)),"A",""))+INDEX(AE:AE,_xlfn.XMATCH(AC292,AC$1:AC291,0,-1))+1)</f>
        <v>7</v>
      </c>
      <c r="AE292" s="43" cm="1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416"/>
        <v>C7</v>
      </c>
      <c r="AG292" t="str">
        <f t="shared" si="417"/>
        <v>B7</v>
      </c>
      <c r="AP292" t="s">
        <v>137</v>
      </c>
      <c r="AT292" t="s">
        <v>854</v>
      </c>
      <c r="AU292" t="s">
        <v>1399</v>
      </c>
      <c r="LX292" s="27" t="str">
        <f t="shared" si="967"/>
        <v>DI19-C7</v>
      </c>
      <c r="LY292" t="s">
        <v>1895</v>
      </c>
      <c r="LZ292" t="s">
        <v>1896</v>
      </c>
      <c r="MA292">
        <f t="shared" si="966"/>
        <v>11</v>
      </c>
      <c r="MB292">
        <f t="shared" si="966"/>
        <v>14</v>
      </c>
      <c r="MC292" t="str">
        <f t="shared" si="966"/>
        <v>A1</v>
      </c>
      <c r="MD292" t="str">
        <f t="shared" si="966"/>
        <v>A2</v>
      </c>
      <c r="ME292" t="str">
        <f t="shared" si="966"/>
        <v>0v3</v>
      </c>
      <c r="MF292" t="str">
        <f t="shared" si="966"/>
        <v>24v3</v>
      </c>
      <c r="MG292" t="str">
        <f t="shared" si="966"/>
        <v>0v6</v>
      </c>
      <c r="MH292" t="str">
        <f t="shared" si="966"/>
        <v>24v6</v>
      </c>
      <c r="MO292">
        <f t="shared" si="968"/>
        <v>1</v>
      </c>
      <c r="MP292" s="16">
        <f t="shared" si="96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965"/>
        <v>A5.19</v>
      </c>
      <c r="AD293" s="43" cm="1">
        <f t="array" ref="AD293">IF(COUNTIFS(AC$2:AC293,AC293)=1,"1",VALUE(SUBSTITUTE(INDEX(AD:AD,_xlfn.XMATCH(AC293,AC$1:AC292,0,-1)),"A",""))+INDEX(AE:AE,_xlfn.XMATCH(AC293,AC$1:AC292,0,-1))+1)</f>
        <v>8</v>
      </c>
      <c r="AE293" s="43" cm="1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416"/>
        <v>C8</v>
      </c>
      <c r="AG293" t="str">
        <f t="shared" si="417"/>
        <v>B8</v>
      </c>
      <c r="AP293" t="s">
        <v>137</v>
      </c>
      <c r="AT293" t="s">
        <v>854</v>
      </c>
      <c r="AU293" t="s">
        <v>1399</v>
      </c>
      <c r="LX293" s="27" t="str">
        <f t="shared" si="967"/>
        <v>DI19-C8</v>
      </c>
      <c r="LY293" t="s">
        <v>1897</v>
      </c>
      <c r="LZ293" t="s">
        <v>1898</v>
      </c>
      <c r="MA293">
        <f t="shared" si="966"/>
        <v>11</v>
      </c>
      <c r="MB293">
        <f t="shared" si="966"/>
        <v>14</v>
      </c>
      <c r="MC293" t="str">
        <f t="shared" si="966"/>
        <v>A1</v>
      </c>
      <c r="MD293" t="str">
        <f t="shared" si="966"/>
        <v>A2</v>
      </c>
      <c r="ME293" t="str">
        <f t="shared" si="966"/>
        <v>0v3</v>
      </c>
      <c r="MF293" t="str">
        <f t="shared" si="966"/>
        <v>24v3</v>
      </c>
      <c r="MG293" t="str">
        <f t="shared" si="966"/>
        <v>0v6</v>
      </c>
      <c r="MH293" t="str">
        <f t="shared" si="966"/>
        <v>24v6</v>
      </c>
      <c r="MO293">
        <f t="shared" si="968"/>
        <v>1</v>
      </c>
      <c r="MP293" s="16">
        <f t="shared" si="96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965"/>
        <v>A5.19</v>
      </c>
      <c r="AD294" s="43" cm="1">
        <f t="array" ref="AD294">IF(COUNTIFS(AC$2:AC294,AC294)=1,"1",VALUE(SUBSTITUTE(INDEX(AD:AD,_xlfn.XMATCH(AC294,AC$1:AC293,0,-1)),"A",""))+INDEX(AE:AE,_xlfn.XMATCH(AC294,AC$1:AC293,0,-1))+1)</f>
        <v>9</v>
      </c>
      <c r="AE294" s="43" cm="1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416"/>
        <v>C9</v>
      </c>
      <c r="AG294" t="str">
        <f t="shared" si="417"/>
        <v>B9</v>
      </c>
      <c r="AP294" t="s">
        <v>137</v>
      </c>
      <c r="AT294" t="s">
        <v>854</v>
      </c>
      <c r="AU294" t="s">
        <v>1399</v>
      </c>
      <c r="LX294" s="27" t="str">
        <f t="shared" si="967"/>
        <v>DI19-C9</v>
      </c>
      <c r="LY294" t="s">
        <v>1899</v>
      </c>
      <c r="LZ294" t="s">
        <v>1900</v>
      </c>
      <c r="MA294">
        <f t="shared" si="966"/>
        <v>11</v>
      </c>
      <c r="MB294">
        <f t="shared" si="966"/>
        <v>14</v>
      </c>
      <c r="MC294" t="str">
        <f t="shared" si="966"/>
        <v>A1</v>
      </c>
      <c r="MD294" t="str">
        <f t="shared" si="966"/>
        <v>A2</v>
      </c>
      <c r="ME294" t="str">
        <f t="shared" si="966"/>
        <v>0v3</v>
      </c>
      <c r="MF294" t="str">
        <f t="shared" si="966"/>
        <v>24v3</v>
      </c>
      <c r="MG294" t="str">
        <f t="shared" si="966"/>
        <v>0v6</v>
      </c>
      <c r="MH294" t="str">
        <f t="shared" si="966"/>
        <v>24v6</v>
      </c>
      <c r="MO294">
        <f t="shared" si="968"/>
        <v>1</v>
      </c>
      <c r="MP294" s="16">
        <f t="shared" si="968"/>
        <v>2</v>
      </c>
    </row>
    <row r="295" spans="1:548" ht="30" x14ac:dyDescent="0.25">
      <c r="A295" t="s">
        <v>1925</v>
      </c>
      <c r="B295" t="s">
        <v>1933</v>
      </c>
      <c r="P295" t="s">
        <v>1942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1950</v>
      </c>
      <c r="TR295" t="s">
        <v>1951</v>
      </c>
      <c r="TS295" t="s">
        <v>1952</v>
      </c>
      <c r="TT295" t="s">
        <v>1953</v>
      </c>
      <c r="TU295" t="s">
        <v>1954</v>
      </c>
      <c r="TV295" t="s">
        <v>1955</v>
      </c>
      <c r="TW295" t="s">
        <v>1956</v>
      </c>
      <c r="TX295" t="s">
        <v>1957</v>
      </c>
      <c r="TY295" t="str">
        <f>CONCATENATE("XT",$U295)</f>
        <v>XT107</v>
      </c>
      <c r="TZ295">
        <v>1</v>
      </c>
      <c r="UA295">
        <f>TZ295+1</f>
        <v>2</v>
      </c>
      <c r="UB295">
        <f>UA295+1</f>
        <v>3</v>
      </c>
    </row>
    <row r="296" spans="1:548" ht="30" x14ac:dyDescent="0.25">
      <c r="A296" t="s">
        <v>1927</v>
      </c>
      <c r="B296" t="s">
        <v>1934</v>
      </c>
      <c r="P296" t="s">
        <v>1942</v>
      </c>
      <c r="T296" t="s">
        <v>554</v>
      </c>
      <c r="U296">
        <v>107</v>
      </c>
      <c r="V296" t="str">
        <f t="shared" ref="V296:V303" si="969">A296</f>
        <v>К-F0-K4.1</v>
      </c>
      <c r="AQ296" t="s">
        <v>1248</v>
      </c>
      <c r="TQ296" s="29" t="s">
        <v>1961</v>
      </c>
      <c r="TR296" t="s">
        <v>1951</v>
      </c>
      <c r="TS296" t="s">
        <v>1952</v>
      </c>
      <c r="TT296" t="s">
        <v>1953</v>
      </c>
      <c r="TU296" t="s">
        <v>1954</v>
      </c>
      <c r="TV296" t="s">
        <v>1958</v>
      </c>
      <c r="TW296" t="s">
        <v>1959</v>
      </c>
      <c r="TX296" t="s">
        <v>1960</v>
      </c>
      <c r="TY296" t="str">
        <f t="shared" ref="TY296:TY303" si="970">CONCATENATE("XT",$U296)</f>
        <v>XT107</v>
      </c>
      <c r="TZ296">
        <f>TZ295+3</f>
        <v>4</v>
      </c>
      <c r="UA296">
        <f>TZ296+1</f>
        <v>5</v>
      </c>
      <c r="UB296">
        <f>UA296+1</f>
        <v>6</v>
      </c>
    </row>
    <row r="297" spans="1:548" ht="30" x14ac:dyDescent="0.25">
      <c r="A297" t="s">
        <v>1928</v>
      </c>
      <c r="B297" t="s">
        <v>1935</v>
      </c>
      <c r="P297" t="s">
        <v>1942</v>
      </c>
      <c r="T297" t="s">
        <v>554</v>
      </c>
      <c r="U297">
        <v>107</v>
      </c>
      <c r="V297" t="str">
        <f t="shared" si="969"/>
        <v>К-F0-K5.1</v>
      </c>
      <c r="AQ297" t="s">
        <v>1258</v>
      </c>
      <c r="TQ297" s="29" t="s">
        <v>1962</v>
      </c>
      <c r="TR297" t="s">
        <v>1951</v>
      </c>
      <c r="TS297" t="s">
        <v>1952</v>
      </c>
      <c r="TT297" t="s">
        <v>1953</v>
      </c>
      <c r="TU297" t="s">
        <v>1954</v>
      </c>
      <c r="TV297" t="s">
        <v>1964</v>
      </c>
      <c r="TW297" t="s">
        <v>1966</v>
      </c>
      <c r="TX297" t="s">
        <v>1968</v>
      </c>
      <c r="TY297" t="str">
        <f t="shared" si="970"/>
        <v>XT107</v>
      </c>
      <c r="TZ297">
        <f t="shared" ref="TZ297:TZ299" si="971">TZ296+3</f>
        <v>7</v>
      </c>
      <c r="UA297">
        <f t="shared" ref="UA297:UB298" si="972">TZ297+1</f>
        <v>8</v>
      </c>
      <c r="UB297">
        <f t="shared" si="972"/>
        <v>9</v>
      </c>
    </row>
    <row r="298" spans="1:548" ht="30" x14ac:dyDescent="0.25">
      <c r="A298" t="s">
        <v>1929</v>
      </c>
      <c r="B298" t="s">
        <v>1936</v>
      </c>
      <c r="P298" t="s">
        <v>1942</v>
      </c>
      <c r="T298" t="s">
        <v>554</v>
      </c>
      <c r="U298">
        <v>107</v>
      </c>
      <c r="V298" t="str">
        <f t="shared" si="969"/>
        <v>К-F0-K6.1</v>
      </c>
      <c r="AQ298" t="s">
        <v>1269</v>
      </c>
      <c r="TQ298" s="29" t="s">
        <v>1963</v>
      </c>
      <c r="TR298" t="s">
        <v>1951</v>
      </c>
      <c r="TS298" t="s">
        <v>1952</v>
      </c>
      <c r="TT298" t="s">
        <v>1953</v>
      </c>
      <c r="TU298" t="s">
        <v>1954</v>
      </c>
      <c r="TV298" t="s">
        <v>1965</v>
      </c>
      <c r="TW298" t="s">
        <v>1967</v>
      </c>
      <c r="TX298" t="s">
        <v>1969</v>
      </c>
      <c r="TY298" t="str">
        <f t="shared" si="970"/>
        <v>XT107</v>
      </c>
      <c r="TZ298">
        <f t="shared" si="971"/>
        <v>10</v>
      </c>
      <c r="UA298">
        <f t="shared" si="972"/>
        <v>11</v>
      </c>
      <c r="UB298">
        <f t="shared" si="972"/>
        <v>12</v>
      </c>
    </row>
    <row r="299" spans="1:548" ht="30" x14ac:dyDescent="0.25">
      <c r="A299" t="s">
        <v>1930</v>
      </c>
      <c r="B299" t="s">
        <v>1937</v>
      </c>
      <c r="P299" t="s">
        <v>1942</v>
      </c>
      <c r="T299" t="s">
        <v>554</v>
      </c>
      <c r="U299">
        <v>107</v>
      </c>
      <c r="V299" t="str">
        <f t="shared" si="969"/>
        <v>К-F0-K10.5.1</v>
      </c>
      <c r="AQ299" t="s">
        <v>1289</v>
      </c>
      <c r="TQ299" s="29" t="s">
        <v>1970</v>
      </c>
      <c r="TR299" t="s">
        <v>1951</v>
      </c>
      <c r="TS299" t="s">
        <v>1952</v>
      </c>
      <c r="TT299" t="s">
        <v>1953</v>
      </c>
      <c r="TU299" t="s">
        <v>1954</v>
      </c>
      <c r="TV299" t="s">
        <v>1955</v>
      </c>
      <c r="TW299" t="s">
        <v>1956</v>
      </c>
      <c r="TX299" t="s">
        <v>1957</v>
      </c>
      <c r="TY299" t="str">
        <f>CONCATENATE("XT",$U299)</f>
        <v>XT107</v>
      </c>
      <c r="TZ299">
        <f t="shared" si="971"/>
        <v>13</v>
      </c>
      <c r="UA299">
        <f>TZ299+1</f>
        <v>14</v>
      </c>
      <c r="UB299">
        <f>UA299+1</f>
        <v>15</v>
      </c>
    </row>
    <row r="300" spans="1:548" ht="30" x14ac:dyDescent="0.25">
      <c r="A300" t="s">
        <v>1931</v>
      </c>
      <c r="B300" t="s">
        <v>1938</v>
      </c>
      <c r="P300" t="s">
        <v>1942</v>
      </c>
      <c r="T300" t="s">
        <v>554</v>
      </c>
      <c r="U300">
        <v>107</v>
      </c>
      <c r="V300" t="str">
        <f t="shared" si="969"/>
        <v>К-F0-К23.1</v>
      </c>
      <c r="AQ300" t="s">
        <v>1300</v>
      </c>
      <c r="TQ300" s="29" t="s">
        <v>1971</v>
      </c>
      <c r="TR300" t="s">
        <v>1951</v>
      </c>
      <c r="TS300" t="s">
        <v>1952</v>
      </c>
      <c r="TT300" t="s">
        <v>1953</v>
      </c>
      <c r="TU300" t="s">
        <v>1954</v>
      </c>
      <c r="TV300" t="s">
        <v>1958</v>
      </c>
      <c r="TW300" t="s">
        <v>1959</v>
      </c>
      <c r="TX300" t="s">
        <v>1960</v>
      </c>
      <c r="TY300" t="str">
        <f t="shared" si="970"/>
        <v>XT107</v>
      </c>
      <c r="TZ300">
        <f>TZ299+3</f>
        <v>16</v>
      </c>
      <c r="UA300">
        <f>TZ300+1</f>
        <v>17</v>
      </c>
      <c r="UB300">
        <f>UA300+1</f>
        <v>18</v>
      </c>
    </row>
    <row r="301" spans="1:548" ht="30" x14ac:dyDescent="0.25">
      <c r="A301" t="s">
        <v>1932</v>
      </c>
      <c r="B301" t="s">
        <v>1939</v>
      </c>
      <c r="P301" t="s">
        <v>1942</v>
      </c>
      <c r="T301" t="s">
        <v>554</v>
      </c>
      <c r="U301">
        <v>107</v>
      </c>
      <c r="V301" t="str">
        <f t="shared" si="969"/>
        <v>К-F0-НКП1</v>
      </c>
      <c r="AQ301" t="s">
        <v>1302</v>
      </c>
      <c r="TQ301" s="29" t="s">
        <v>1972</v>
      </c>
      <c r="TR301" t="s">
        <v>1951</v>
      </c>
      <c r="TS301" t="s">
        <v>1952</v>
      </c>
      <c r="TT301" t="s">
        <v>1953</v>
      </c>
      <c r="TU301" t="s">
        <v>1954</v>
      </c>
      <c r="TV301" t="s">
        <v>1964</v>
      </c>
      <c r="TW301" t="s">
        <v>1966</v>
      </c>
      <c r="TX301" t="s">
        <v>1968</v>
      </c>
      <c r="TY301" t="str">
        <f t="shared" si="970"/>
        <v>XT107</v>
      </c>
      <c r="TZ301">
        <f t="shared" ref="TZ301:TZ303" si="973">TZ300+3</f>
        <v>19</v>
      </c>
      <c r="UA301">
        <f t="shared" ref="UA301:UB303" si="974">TZ301+1</f>
        <v>20</v>
      </c>
      <c r="UB301">
        <f t="shared" si="974"/>
        <v>21</v>
      </c>
    </row>
    <row r="302" spans="1:548" ht="30" x14ac:dyDescent="0.25">
      <c r="A302" t="s">
        <v>1926</v>
      </c>
      <c r="B302" t="s">
        <v>1940</v>
      </c>
      <c r="P302" t="s">
        <v>1942</v>
      </c>
      <c r="T302" t="s">
        <v>554</v>
      </c>
      <c r="U302">
        <v>107</v>
      </c>
      <c r="V302" t="str">
        <f t="shared" si="969"/>
        <v>К-F0-К12</v>
      </c>
      <c r="AQ302" t="s">
        <v>1400</v>
      </c>
      <c r="TQ302" s="29" t="s">
        <v>1973</v>
      </c>
      <c r="TR302" t="s">
        <v>1951</v>
      </c>
      <c r="TS302" t="s">
        <v>1952</v>
      </c>
      <c r="TT302" t="s">
        <v>1953</v>
      </c>
      <c r="TU302" t="s">
        <v>1954</v>
      </c>
      <c r="TV302" t="s">
        <v>1965</v>
      </c>
      <c r="TW302" t="s">
        <v>1967</v>
      </c>
      <c r="TX302" t="s">
        <v>1969</v>
      </c>
      <c r="TY302" t="str">
        <f t="shared" si="970"/>
        <v>XT107</v>
      </c>
      <c r="TZ302">
        <f t="shared" si="973"/>
        <v>22</v>
      </c>
      <c r="UA302">
        <f t="shared" si="974"/>
        <v>23</v>
      </c>
      <c r="UB302">
        <f t="shared" si="974"/>
        <v>24</v>
      </c>
    </row>
    <row r="303" spans="1:548" s="19" customFormat="1" ht="30.75" thickBot="1" x14ac:dyDescent="0.3">
      <c r="A303" s="19" t="s">
        <v>1924</v>
      </c>
      <c r="B303" s="19" t="s">
        <v>1941</v>
      </c>
      <c r="P303" s="19" t="s">
        <v>1942</v>
      </c>
      <c r="T303" s="19" t="s">
        <v>554</v>
      </c>
      <c r="U303" s="19">
        <v>107</v>
      </c>
      <c r="V303" s="19" t="str">
        <f t="shared" si="969"/>
        <v>К-F0-УУГ1</v>
      </c>
      <c r="AQ303" s="19" t="s">
        <v>1778</v>
      </c>
      <c r="TQ303" s="56" t="s">
        <v>1974</v>
      </c>
      <c r="TR303" s="19" t="s">
        <v>1951</v>
      </c>
      <c r="TS303" s="19" t="s">
        <v>1952</v>
      </c>
      <c r="TT303" s="19" t="s">
        <v>1953</v>
      </c>
      <c r="TU303" s="19" t="s">
        <v>1954</v>
      </c>
      <c r="TV303" s="19" t="s">
        <v>1975</v>
      </c>
      <c r="TW303" s="19" t="s">
        <v>1976</v>
      </c>
      <c r="TX303" s="19" t="s">
        <v>1977</v>
      </c>
      <c r="TY303" s="19" t="str">
        <f t="shared" si="970"/>
        <v>XT107</v>
      </c>
      <c r="TZ303" s="19">
        <f t="shared" si="973"/>
        <v>25</v>
      </c>
      <c r="UA303" s="19">
        <f t="shared" si="974"/>
        <v>26</v>
      </c>
      <c r="UB303" s="19">
        <f t="shared" si="974"/>
        <v>27</v>
      </c>
    </row>
    <row r="304" spans="1:548" x14ac:dyDescent="0.25">
      <c r="A304" t="s">
        <v>1985</v>
      </c>
      <c r="B304" t="s">
        <v>1983</v>
      </c>
      <c r="C304" t="s">
        <v>498</v>
      </c>
      <c r="P304" t="s">
        <v>482</v>
      </c>
      <c r="T304" s="14" t="s">
        <v>1987</v>
      </c>
      <c r="U304">
        <v>1</v>
      </c>
      <c r="V304" t="s">
        <v>1988</v>
      </c>
      <c r="X304" t="s">
        <v>400</v>
      </c>
      <c r="Y304" s="43" t="str" cm="1">
        <f t="array" ref="Y304">IF(COUNTIFS($X$303:$X304,$X304)=1,"1",VALUE(SUBSTITUTE(INDEX(Y:Y,_xlfn.XMATCH($X304,$X$1:$X303,0,-1)),"A",""))+INDEX(Z:Z,_xlfn.XMATCH($X304,$X$1:$X303,0,-1))+1)</f>
        <v>1</v>
      </c>
      <c r="Z304" s="43" cm="1">
        <f t="array" ref="Z304">SUM(IF(ISNUMBER(FIND("TmAi",$BE$1:$AAD$1)),IF(IFERROR(ISODD(SUBSTITUTE($BE304:$AAD304,"A","")),FALSE),IF(ISODD(SUBSTITUTE($BE304:$AAD304,"A","")),1,0),0)))</f>
        <v>0</v>
      </c>
      <c r="AA304" t="str">
        <f t="shared" ref="AA304:AA305" si="975">CONCATENATE($Y304*2-1,"B")</f>
        <v>1B</v>
      </c>
      <c r="AB304" t="str">
        <f t="shared" ref="AB304:AB305" si="976">CONCATENATE($Y304*2,"B")</f>
        <v>2B</v>
      </c>
      <c r="AP304" t="s">
        <v>1990</v>
      </c>
      <c r="AS304" t="s">
        <v>396</v>
      </c>
      <c r="JZ304" s="27" t="str">
        <f t="shared" ref="JZ304:JZ305" si="977">CONCATENATE("XT",U304)</f>
        <v>XT1</v>
      </c>
      <c r="KC304" t="str">
        <f t="shared" ref="KC304:KC305" si="978">CONCATENATE(T304,"-AI",REPLACE($X304,1,3,""),"-",AA304)</f>
        <v>E1-AI1-1B</v>
      </c>
      <c r="KD304" t="str">
        <f t="shared" ref="KD304:KD305" si="979">CONCATENATE(T304,"-AI",REPLACE($X304,1,3,""),"-",AB304)</f>
        <v>E1-AI1-2B</v>
      </c>
      <c r="KI304">
        <v>1</v>
      </c>
      <c r="KJ304">
        <f t="shared" ref="KJ304:KK305" si="980">KI304+1</f>
        <v>2</v>
      </c>
      <c r="KK304">
        <f t="shared" si="980"/>
        <v>3</v>
      </c>
      <c r="KN304">
        <v>1</v>
      </c>
      <c r="KO304" s="16">
        <v>2</v>
      </c>
      <c r="KS304" s="16"/>
    </row>
    <row r="305" spans="1:305" x14ac:dyDescent="0.25">
      <c r="A305" t="s">
        <v>1986</v>
      </c>
      <c r="B305" t="s">
        <v>1984</v>
      </c>
      <c r="C305" t="s">
        <v>498</v>
      </c>
      <c r="P305" t="s">
        <v>482</v>
      </c>
      <c r="T305" s="14" t="s">
        <v>1987</v>
      </c>
      <c r="U305">
        <v>1</v>
      </c>
      <c r="V305" t="s">
        <v>1989</v>
      </c>
      <c r="X305" t="str">
        <f>IF(COUNTIF(X$304:X304,X304)&gt;7,REPLACE(X304,LEN(X304),1,VALUE(RIGHT(X304,1))+1),X304)</f>
        <v>A3.1</v>
      </c>
      <c r="Y305" s="43" cm="1">
        <f t="array" ref="Y305">IF(COUNTIFS($X$303:$X305,$X305)=1,"1",VALUE(SUBSTITUTE(INDEX(Y:Y,_xlfn.XMATCH($X305,$X$1:$X304,0,-1)),"A",""))+INDEX(Z:Z,_xlfn.XMATCH($X305,$X$1:$X304,0,-1))+1)</f>
        <v>2</v>
      </c>
      <c r="Z305" s="43" cm="1">
        <f t="array" ref="Z305">SUM(IF(ISNUMBER(FIND("TmAi",$BE$1:$AAD$1)),IF(IFERROR(ISODD(SUBSTITUTE($BE305:$AAD305,"A","")),FALSE),IF(ISODD(SUBSTITUTE($BE305:$AAD305,"A","")),1,0),0)))</f>
        <v>0</v>
      </c>
      <c r="AA305" t="str">
        <f t="shared" si="975"/>
        <v>3B</v>
      </c>
      <c r="AB305" t="str">
        <f t="shared" si="976"/>
        <v>4B</v>
      </c>
      <c r="AP305" t="s">
        <v>1990</v>
      </c>
      <c r="AS305" t="s">
        <v>396</v>
      </c>
      <c r="JZ305" s="27" t="str">
        <f t="shared" si="977"/>
        <v>XT1</v>
      </c>
      <c r="KC305" t="str">
        <f t="shared" si="978"/>
        <v>E1-AI1-3B</v>
      </c>
      <c r="KD305" t="str">
        <f t="shared" si="979"/>
        <v>E1-AI1-4B</v>
      </c>
      <c r="KI305" cm="1">
        <f t="array" ref="KI305">IF(COUNTIFS($U$2:$U305,$U305)=1,1,INDEX(KI:KI,_xlfn.XMATCH(U305,U$1:U304,0,-1))+COUNT(KI304:KM304))</f>
        <v>4</v>
      </c>
      <c r="KJ305">
        <f t="shared" si="980"/>
        <v>5</v>
      </c>
      <c r="KK305">
        <f t="shared" si="980"/>
        <v>6</v>
      </c>
      <c r="KN305">
        <v>1</v>
      </c>
      <c r="KO305" s="16">
        <v>2</v>
      </c>
      <c r="KS305" s="16"/>
    </row>
    <row r="306" spans="1:305" x14ac:dyDescent="0.25">
      <c r="A306" s="55" t="s">
        <v>1992</v>
      </c>
      <c r="B306" t="s">
        <v>1991</v>
      </c>
      <c r="C306" t="s">
        <v>1993</v>
      </c>
      <c r="P306" t="s">
        <v>1994</v>
      </c>
      <c r="T306" t="s">
        <v>1987</v>
      </c>
    </row>
  </sheetData>
  <autoFilter ref="P1:P294" xr:uid="{00000000-0001-0000-0000-000000000000}"/>
  <conditionalFormatting sqref="A1:A32">
    <cfRule type="duplicateValues" dxfId="15" priority="11"/>
  </conditionalFormatting>
  <conditionalFormatting sqref="A221:A224 A1:A32 A226:A227 A283:A305 A307:A1048576">
    <cfRule type="duplicateValues" dxfId="14" priority="10"/>
  </conditionalFormatting>
  <conditionalFormatting sqref="A283:A285">
    <cfRule type="duplicateValues" dxfId="13" priority="1"/>
  </conditionalFormatting>
  <conditionalFormatting sqref="B1:B56 B221:B229 B267:B303 B307:B1048576">
    <cfRule type="duplicateValues" dxfId="12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1" priority="8"/>
  </conditionalFormatting>
  <conditionalFormatting sqref="V1:W230 V231 V232:W1048576">
    <cfRule type="duplicateValues" dxfId="10" priority="6"/>
  </conditionalFormatting>
  <conditionalFormatting sqref="Y1:Y1048576">
    <cfRule type="cellIs" dxfId="9" priority="7" operator="equal">
      <formula>"Y:Y+Z:Z&gt;8"</formula>
    </cfRule>
  </conditionalFormatting>
  <conditionalFormatting sqref="AD1">
    <cfRule type="cellIs" dxfId="8" priority="5" operator="equal">
      <formula>"Y:Y+Z:Z&gt;8"</formula>
    </cfRule>
  </conditionalFormatting>
  <conditionalFormatting sqref="AD267:AD294">
    <cfRule type="cellIs" dxfId="7" priority="4" operator="equal">
      <formula>"Y:Y+Z:Z&gt;8"</formula>
    </cfRule>
  </conditionalFormatting>
  <conditionalFormatting sqref="AI1">
    <cfRule type="cellIs" dxfId="6" priority="2" operator="equal">
      <formula>"Y:Y+Z:Z&gt;8"</formula>
    </cfRule>
  </conditionalFormatting>
  <conditionalFormatting sqref="AI267:AI285">
    <cfRule type="cellIs" dxfId="5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6D90-9282-4903-9EEE-89CA04971697}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 cm="1">
        <f t="array" ref="Y43">IF(COUNTIFS($X$2:$X43,$X43)=1,"1",VALUE(SUBSTITUTE(INDEX(Y:Y,_xlfn.XMATCH($X43,$X$1:$X42,0,-1)),"A",""))+INDEX(Z:Z,_xlfn.XMATCH($X43,$X$1:$X42,0,-1))+1)</f>
        <v>1</v>
      </c>
      <c r="Z43" s="43" cm="1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 cm="1">
        <f t="array" ref="Y44">IF(COUNTIFS($X$2:$X44,$X44)=1,"1",VALUE(SUBSTITUTE(INDEX(Y:Y,_xlfn.XMATCH($X44,$X$1:$X43,0,-1)),"A",""))+INDEX(Z:Z,_xlfn.XMATCH($X44,$X$1:$X43,0,-1))+1)</f>
        <v>2</v>
      </c>
      <c r="Z44" s="43" cm="1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 cm="1">
        <f t="array" ref="Y45">IF(COUNTIFS($X$2:$X45,$X45)=1,"1",VALUE(SUBSTITUTE(INDEX(Y:Y,_xlfn.XMATCH($X45,$X$1:$X44,0,-1)),"A",""))+INDEX(Z:Z,_xlfn.XMATCH($X45,$X$1:$X44,0,-1))+1)</f>
        <v>3</v>
      </c>
      <c r="Z45" s="43" cm="1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 cm="1">
        <f t="array" ref="Y46">IF(COUNTIFS($X$2:$X46,$X46)=1,"1",VALUE(SUBSTITUTE(INDEX(Y:Y,_xlfn.XMATCH($X46,$X$1:$X45,0,-1)),"A",""))+INDEX(Z:Z,_xlfn.XMATCH($X46,$X$1:$X45,0,-1))+1)</f>
        <v>4</v>
      </c>
      <c r="Z46" s="43" cm="1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 cm="1">
        <f t="array" ref="Y47">IF(COUNTIFS($X$2:$X47,$X47)=1,"1",VALUE(SUBSTITUTE(INDEX(Y:Y,_xlfn.XMATCH($X47,$X$1:$X46,0,-1)),"A",""))+INDEX(Z:Z,_xlfn.XMATCH($X47,$X$1:$X46,0,-1))+1)</f>
        <v>5</v>
      </c>
      <c r="Z47" s="43" cm="1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 cm="1">
        <f t="array" ref="Y48">IF(COUNTIFS($X$2:$X48,$X48)=1,"1",VALUE(SUBSTITUTE(INDEX(Y:Y,_xlfn.XMATCH($X48,$X$1:$X47,0,-1)),"A",""))+INDEX(Z:Z,_xlfn.XMATCH($X48,$X$1:$X47,0,-1))+1)</f>
        <v>6</v>
      </c>
      <c r="Z48" s="43" cm="1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 cm="1">
        <f t="array" ref="Y49">IF(COUNTIFS($X$2:$X49,$X49)=1,"1",VALUE(SUBSTITUTE(INDEX(Y:Y,_xlfn.XMATCH($X49,$X$1:$X48,0,-1)),"A",""))+INDEX(Z:Z,_xlfn.XMATCH($X49,$X$1:$X48,0,-1))+1)</f>
        <v>7</v>
      </c>
      <c r="Z49" s="43" cm="1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 cm="1">
        <f t="array" ref="Y50">IF(COUNTIFS($X$2:$X50,$X50)=1,"1",VALUE(SUBSTITUTE(INDEX(Y:Y,_xlfn.XMATCH($X50,$X$1:$X49,0,-1)),"A",""))+INDEX(Z:Z,_xlfn.XMATCH($X50,$X$1:$X49,0,-1))+1)</f>
        <v>8</v>
      </c>
      <c r="Z50" s="43" cm="1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 cm="1">
        <f t="array" ref="Y51">IF(COUNTIFS($X$2:$X51,$X51)=1,"1",VALUE(SUBSTITUTE(INDEX(Y:Y,_xlfn.XMATCH($X51,$X$1:$X50,0,-1)),"A",""))+INDEX(Z:Z,_xlfn.XMATCH($X51,$X$1:$X50,0,-1))+1)</f>
        <v>1</v>
      </c>
      <c r="Z51" s="43" cm="1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 cm="1">
        <f t="array" ref="Y52">IF(COUNTIFS($X$2:$X52,$X52)=1,"1",VALUE(SUBSTITUTE(INDEX(Y:Y,_xlfn.XMATCH($X52,$X$1:$X51,0,-1)),"A",""))+INDEX(Z:Z,_xlfn.XMATCH($X52,$X$1:$X51,0,-1))+1)</f>
        <v>2</v>
      </c>
      <c r="Z52" s="43" cm="1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 cm="1">
        <f t="array" ref="Y53">IF(COUNTIFS($X$2:$X53,$X53)=1,"1",VALUE(SUBSTITUTE(INDEX(Y:Y,_xlfn.XMATCH($X53,$X$1:$X52,0,-1)),"A",""))+INDEX(Z:Z,_xlfn.XMATCH($X53,$X$1:$X52,0,-1))+1)</f>
        <v>3</v>
      </c>
      <c r="Z53" s="43" cm="1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 cm="1">
        <f t="array" ref="Y54">IF(COUNTIFS($X$2:$X54,$X54)=1,"1",VALUE(SUBSTITUTE(INDEX(Y:Y,_xlfn.XMATCH($X54,$X$1:$X53,0,-1)),"A",""))+INDEX(Z:Z,_xlfn.XMATCH($X54,$X$1:$X53,0,-1))+1)</f>
        <v>4</v>
      </c>
      <c r="Z54" s="43" cm="1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 cm="1">
        <f t="array" ref="Y55">IF(COUNTIFS($X$2:$X55,$X55)=1,"1",VALUE(SUBSTITUTE(INDEX(Y:Y,_xlfn.XMATCH($X55,$X$1:$X54,0,-1)),"A",""))+INDEX(Z:Z,_xlfn.XMATCH($X55,$X$1:$X54,0,-1))+1)</f>
        <v>5</v>
      </c>
      <c r="Z55" s="44" cm="1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 cm="1">
        <f t="array" ref="Y56">IF(COUNTIFS($X$2:$X56,$X56)=1,"1",VALUE(SUBSTITUTE(INDEX(Y:Y,_xlfn.XMATCH($X56,$X$1:$X55,0,-1)),"A",""))+INDEX(Z:Z,_xlfn.XMATCH($X56,$X$1:$X55,0,-1))+1)</f>
        <v>1</v>
      </c>
      <c r="Z56" s="43" cm="1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 cm="1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 cm="1">
        <f t="array" ref="Y57">IF(COUNTIFS($X$2:$X57,$X57)=1,"1",VALUE(SUBSTITUTE(INDEX(Y:Y,_xlfn.XMATCH($X57,$X$1:$X56,0,-1)),"A",""))+INDEX(Z:Z,_xlfn.XMATCH($X57,$X$1:$X56,0,-1))+1)</f>
        <v>2</v>
      </c>
      <c r="Z57" s="43" cm="1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 cm="1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 cm="1">
        <f t="array" ref="Y58">IF(COUNTIFS($X$2:$X58,$X58)=1,"1",VALUE(SUBSTITUTE(INDEX(Y:Y,_xlfn.XMATCH($X58,$X$1:$X57,0,-1)),"A",""))+INDEX(Z:Z,_xlfn.XMATCH($X58,$X$1:$X57,0,-1))+1)</f>
        <v>3</v>
      </c>
      <c r="Z58" s="43" cm="1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 cm="1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 cm="1">
        <f t="array" ref="Y59">IF(COUNTIFS($X$2:$X59,$X59)=1,"1",VALUE(SUBSTITUTE(INDEX(Y:Y,_xlfn.XMATCH($X59,$X$1:$X58,0,-1)),"A",""))+INDEX(Z:Z,_xlfn.XMATCH($X59,$X$1:$X58,0,-1))+1)</f>
        <v>4</v>
      </c>
      <c r="Z59" s="43" cm="1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 cm="1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 cm="1">
        <f t="array" ref="Y60">IF(COUNTIFS($X$2:$X60,$X60)=1,"1",VALUE(SUBSTITUTE(INDEX(Y:Y,_xlfn.XMATCH($X60,$X$1:$X59,0,-1)),"A",""))+INDEX(Z:Z,_xlfn.XMATCH($X60,$X$1:$X59,0,-1))+1)</f>
        <v>5</v>
      </c>
      <c r="Z60" s="43" cm="1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 cm="1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 cm="1">
        <f t="array" ref="Y61">IF(COUNTIFS($X$2:$X61,$X61)=1,"1",VALUE(SUBSTITUTE(INDEX(Y:Y,_xlfn.XMATCH($X61,$X$1:$X60,0,-1)),"A",""))+INDEX(Z:Z,_xlfn.XMATCH($X61,$X$1:$X60,0,-1))+1)</f>
        <v>6</v>
      </c>
      <c r="Z61" s="43" cm="1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 cm="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 cm="1">
        <f t="array" ref="Y62">IF(COUNTIFS($X$2:$X62,$X62)=1,"1",VALUE(SUBSTITUTE(INDEX(Y:Y,_xlfn.XMATCH($X62,$X$1:$X61,0,-1)),"A",""))+INDEX(Z:Z,_xlfn.XMATCH($X62,$X$1:$X61,0,-1))+1)</f>
        <v>7</v>
      </c>
      <c r="Z62" s="43" cm="1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 cm="1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 cm="1">
        <f t="array" ref="Y63">IF(COUNTIFS($X$2:$X63,$X63)=1,"1",VALUE(SUBSTITUTE(INDEX(Y:Y,_xlfn.XMATCH($X63,$X$1:$X62,0,-1)),"A",""))+INDEX(Z:Z,_xlfn.XMATCH($X63,$X$1:$X62,0,-1))+1)</f>
        <v>8</v>
      </c>
      <c r="Z63" s="43" cm="1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 cm="1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 cm="1">
        <f t="array" ref="Y64">IF(COUNTIFS($X$2:$X64,$X64)=1,"1",VALUE(SUBSTITUTE(INDEX(Y:Y,_xlfn.XMATCH($X64,$X$1:$X63,0,-1)),"A",""))+INDEX(Z:Z,_xlfn.XMATCH($X64,$X$1:$X63,0,-1))+1)</f>
        <v>1</v>
      </c>
      <c r="Z64" s="43" cm="1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 cm="1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 cm="1">
        <f t="array" ref="Y65">IF(COUNTIFS($X$2:$X65,$X65)=1,"1",VALUE(SUBSTITUTE(INDEX(Y:Y,_xlfn.XMATCH($X65,$X$1:$X64,0,-1)),"A",""))+INDEX(Z:Z,_xlfn.XMATCH($X65,$X$1:$X64,0,-1))+1)</f>
        <v>2</v>
      </c>
      <c r="Z65" s="43" cm="1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 cm="1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 cm="1">
        <f t="array" ref="Y66">IF(COUNTIFS($X$2:$X66,$X66)=1,"1",VALUE(SUBSTITUTE(INDEX(Y:Y,_xlfn.XMATCH($X66,$X$1:$X65,0,-1)),"A",""))+INDEX(Z:Z,_xlfn.XMATCH($X66,$X$1:$X65,0,-1))+1)</f>
        <v>3</v>
      </c>
      <c r="Z66" s="43" cm="1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 cm="1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 cm="1">
        <f t="array" ref="Y67">IF(COUNTIFS($X$2:$X67,$X67)=1,"1",VALUE(SUBSTITUTE(INDEX(Y:Y,_xlfn.XMATCH($X67,$X$1:$X66,0,-1)),"A",""))+INDEX(Z:Z,_xlfn.XMATCH($X67,$X$1:$X66,0,-1))+1)</f>
        <v>4</v>
      </c>
      <c r="Z67" s="43" cm="1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 cm="1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 cm="1">
        <f t="array" ref="Y68">IF(COUNTIFS($X$2:$X68,$X68)=1,"1",VALUE(SUBSTITUTE(INDEX(Y:Y,_xlfn.XMATCH($X68,$X$1:$X67,0,-1)),"A",""))+INDEX(Z:Z,_xlfn.XMATCH($X68,$X$1:$X67,0,-1))+1)</f>
        <v>5</v>
      </c>
      <c r="Z68" s="43" cm="1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 cm="1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 cm="1">
        <f t="array" ref="Y69">IF(COUNTIFS($X$2:$X69,$X69)=1,"1",VALUE(SUBSTITUTE(INDEX(Y:Y,_xlfn.XMATCH($X69,$X$1:$X68,0,-1)),"A",""))+INDEX(Z:Z,_xlfn.XMATCH($X69,$X$1:$X68,0,-1))+1)</f>
        <v>1</v>
      </c>
      <c r="Z69" s="43" cm="1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 cm="1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 cm="1">
        <f t="array" ref="Y70">IF(COUNTIFS($X$2:$X70,$X70)=1,"1",VALUE(SUBSTITUTE(INDEX(Y:Y,_xlfn.XMATCH($X70,$X$1:$X69,0,-1)),"A",""))+INDEX(Z:Z,_xlfn.XMATCH($X70,$X$1:$X69,0,-1))+1)</f>
        <v>2</v>
      </c>
      <c r="Z70" s="43" cm="1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 cm="1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 cm="1">
        <f t="array" ref="Y71">IF(COUNTIFS($X$2:$X71,$X71)=1,"1",VALUE(SUBSTITUTE(INDEX(Y:Y,_xlfn.XMATCH($X71,$X$1:$X70,0,-1)),"A",""))+INDEX(Z:Z,_xlfn.XMATCH($X71,$X$1:$X70,0,-1))+1)</f>
        <v>6</v>
      </c>
      <c r="Z71" s="43" cm="1">
        <f t="array" ref="Z71">SUM(IF(ISNUMBER(FIND("TmAi",$BA$1:$ZZ$1)),IF(IFERROR(ISODD(SUBSTITUTE($BA71:$ZZ71,"A","")),FALSE),IF(ISODD(SUBSTITUTE($BA71:$ZZ71,"A","")),1,0),0)))</f>
        <v>0</v>
      </c>
      <c r="AA71" t="str">
        <f t="shared" ref="AA71:AA75" si="120">CONCATENATE($Y71*2-1,"B")</f>
        <v>11B</v>
      </c>
      <c r="AB71" t="str">
        <f t="shared" ref="AB71:AB75" si="121"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 cm="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 cm="1">
        <f t="array" ref="Y72">IF(COUNTIFS($X$2:$X72,$X72)=1,"1",VALUE(SUBSTITUTE(INDEX(Y:Y,_xlfn.XMATCH($X72,$X$1:$X71,0,-1)),"A",""))+INDEX(Z:Z,_xlfn.XMATCH($X72,$X$1:$X71,0,-1))+1)</f>
        <v>7</v>
      </c>
      <c r="Z72" s="43" cm="1">
        <f t="array" ref="Z72">SUM(IF(ISNUMBER(FIND("TmAi",$BA$1:$ZZ$1)),IF(IFERROR(ISODD(SUBSTITUTE($BA72:$ZZ72,"A","")),FALSE),IF(ISODD(SUBSTITUTE($BA72:$ZZ72,"A","")),1,0),0)))</f>
        <v>0</v>
      </c>
      <c r="AA72" t="str">
        <f t="shared" si="120"/>
        <v>13B</v>
      </c>
      <c r="AB72" t="str">
        <f t="shared" si="121"/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 cm="1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 cm="1">
        <f t="array" ref="Y73">IF(COUNTIFS($X$2:$X73,$X73)=1,"1",VALUE(SUBSTITUTE(INDEX(Y:Y,_xlfn.XMATCH($X73,$X$1:$X72,0,-1)),"A",""))+INDEX(Z:Z,_xlfn.XMATCH($X73,$X$1:$X72,0,-1))+1)</f>
        <v>8</v>
      </c>
      <c r="Z73" s="43" cm="1">
        <f t="array" ref="Z73">SUM(IF(ISNUMBER(FIND("TmAi",$BA$1:$ZZ$1)),IF(IFERROR(ISODD(SUBSTITUTE($BA73:$ZZ73,"A","")),FALSE),IF(ISODD(SUBSTITUTE($BA73:$ZZ73,"A","")),1,0),0)))</f>
        <v>0</v>
      </c>
      <c r="AA73" t="str">
        <f t="shared" si="120"/>
        <v>15B</v>
      </c>
      <c r="AB73" t="str">
        <f t="shared" si="121"/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 cm="1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 cm="1">
        <f t="array" ref="Y74">IF(COUNTIFS($X$2:$X74,$X74)=1,"1",VALUE(SUBSTITUTE(INDEX(Y:Y,_xlfn.XMATCH($X74,$X$1:$X73,0,-1)),"A",""))+INDEX(Z:Z,_xlfn.XMATCH($X74,$X$1:$X73,0,-1))+1)</f>
        <v>1</v>
      </c>
      <c r="Z74" s="43" cm="1">
        <f t="array" ref="Z74">SUM(IF(ISNUMBER(FIND("TmAi",$BA$1:$ZZ$1)),IF(IFERROR(ISODD(SUBSTITUTE($BA74:$ZZ74,"A","")),FALSE),IF(ISODD(SUBSTITUTE($BA74:$ZZ74,"A","")),1,0),0)))</f>
        <v>0</v>
      </c>
      <c r="AA74" t="str">
        <f t="shared" si="120"/>
        <v>1B</v>
      </c>
      <c r="AB74" t="str">
        <f t="shared" si="121"/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 cm="1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 cm="1">
        <f t="array" ref="Y75">IF(COUNTIFS($X$2:$X75,$X75)=1,"1",VALUE(SUBSTITUTE(INDEX(Y:Y,_xlfn.XMATCH($X75,$X$1:$X74,0,-1)),"A",""))+INDEX(Z:Z,_xlfn.XMATCH($X75,$X$1:$X74,0,-1))+1)</f>
        <v>2</v>
      </c>
      <c r="Z75" s="43" cm="1">
        <f t="array" ref="Z75">SUM(IF(ISNUMBER(FIND("TmAi",$BA$1:$ZZ$1)),IF(IFERROR(ISODD(SUBSTITUTE($BA75:$ZZ75,"A","")),FALSE),IF(ISODD(SUBSTITUTE($BA75:$ZZ75,"A","")),1,0),0)))</f>
        <v>0</v>
      </c>
      <c r="AA75" t="str">
        <f t="shared" si="120"/>
        <v>3B</v>
      </c>
      <c r="AB75" t="str">
        <f t="shared" si="121"/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 cm="1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 cm="1">
        <f t="array" ref="Y76">IF(COUNTIFS($X$2:$X76,$X76)=1,"1",VALUE(SUBSTITUTE(INDEX(Y:Y,_xlfn.XMATCH($X76,$X$1:$X75,0,-1)),"A",""))+INDEX(Z:Z,_xlfn.XMATCH($X76,$X$1:$X75,0,-1))+1)</f>
        <v>3</v>
      </c>
      <c r="Z76" s="43" cm="1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 cm="1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 cm="1">
        <f t="array" ref="Y77">IF(COUNTIFS($X$2:$X77,$X77)=1,"1",VALUE(SUBSTITUTE(INDEX(Y:Y,_xlfn.XMATCH($X77,$X$1:$X76,0,-1)),"A",""))+INDEX(Z:Z,_xlfn.XMATCH($X77,$X$1:$X76,0,-1))+1)</f>
        <v>4</v>
      </c>
      <c r="Z77" s="43" cm="1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2">CONCATENATE($Y77*2-1,"B")</f>
        <v>7B</v>
      </c>
      <c r="AB77" t="str">
        <f t="shared" ref="AB77:AB88" si="123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 cm="1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 cm="1">
        <f t="array" ref="Y78">IF(COUNTIFS($X$2:$X78,$X78)=1,"1",VALUE(SUBSTITUTE(INDEX(Y:Y,_xlfn.XMATCH($X78,$X$1:$X77,0,-1)),"A",""))+INDEX(Z:Z,_xlfn.XMATCH($X78,$X$1:$X77,0,-1))+1)</f>
        <v>5</v>
      </c>
      <c r="Z78" s="43" cm="1">
        <f t="array" ref="Z78">SUM(IF(ISNUMBER(FIND("TmAi",$BA$1:$ZZ$1)),IF(IFERROR(ISODD(SUBSTITUTE($BA78:$ZZ78,"A","")),FALSE),IF(ISODD(SUBSTITUTE($BA78:$ZZ78,"A","")),1,0),0)))</f>
        <v>0</v>
      </c>
      <c r="AA78" t="str">
        <f t="shared" si="122"/>
        <v>9B</v>
      </c>
      <c r="AB78" t="str">
        <f t="shared" si="123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 cm="1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 cm="1">
        <f t="array" ref="Y79">IF(COUNTIFS($X$2:$X79,$X79)=1,"1",VALUE(SUBSTITUTE(INDEX(Y:Y,_xlfn.XMATCH($X79,$X$1:$X78,0,-1)),"A",""))+INDEX(Z:Z,_xlfn.XMATCH($X79,$X$1:$X78,0,-1))+1)</f>
        <v>6</v>
      </c>
      <c r="Z79" s="43" cm="1">
        <f t="array" ref="Z79">SUM(IF(ISNUMBER(FIND("TmAi",$BA$1:$ZZ$1)),IF(IFERROR(ISODD(SUBSTITUTE($BA79:$ZZ79,"A","")),FALSE),IF(ISODD(SUBSTITUTE($BA79:$ZZ79,"A","")),1,0),0)))</f>
        <v>0</v>
      </c>
      <c r="AA79" t="str">
        <f t="shared" si="122"/>
        <v>11B</v>
      </c>
      <c r="AB79" t="str">
        <f t="shared" si="123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 cm="1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 cm="1">
        <f t="array" ref="Y80">IF(COUNTIFS($X$2:$X80,$X80)=1,"1",VALUE(SUBSTITUTE(INDEX(Y:Y,_xlfn.XMATCH($X80,$X$1:$X79,0,-1)),"A",""))+INDEX(Z:Z,_xlfn.XMATCH($X80,$X$1:$X79,0,-1))+1)</f>
        <v>7</v>
      </c>
      <c r="Z80" s="43" cm="1">
        <f t="array" ref="Z80">SUM(IF(ISNUMBER(FIND("TmAi",$BA$1:$ZZ$1)),IF(IFERROR(ISODD(SUBSTITUTE($BA80:$ZZ80,"A","")),FALSE),IF(ISODD(SUBSTITUTE($BA80:$ZZ80,"A","")),1,0),0)))</f>
        <v>0</v>
      </c>
      <c r="AA80" t="str">
        <f t="shared" si="122"/>
        <v>13B</v>
      </c>
      <c r="AB80" t="str">
        <f t="shared" si="123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 cm="1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 cm="1">
        <f t="array" ref="Y81">IF(COUNTIFS($X$2:$X81,$X81)=1,"1",VALUE(SUBSTITUTE(INDEX(Y:Y,_xlfn.XMATCH($X81,$X$1:$X80,0,-1)),"A",""))+INDEX(Z:Z,_xlfn.XMATCH($X81,$X$1:$X80,0,-1))+1)</f>
        <v>8</v>
      </c>
      <c r="Z81" s="43" cm="1">
        <f t="array" ref="Z81">SUM(IF(ISNUMBER(FIND("TmAi",$BA$1:$ZZ$1)),IF(IFERROR(ISODD(SUBSTITUTE($BA81:$ZZ81,"A","")),FALSE),IF(ISODD(SUBSTITUTE($BA81:$ZZ81,"A","")),1,0),0)))</f>
        <v>0</v>
      </c>
      <c r="AA81" t="str">
        <f t="shared" si="122"/>
        <v>15B</v>
      </c>
      <c r="AB81" t="str">
        <f t="shared" si="123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 cm="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 cm="1">
        <f t="array" ref="Y82">IF(COUNTIFS($X$2:$X82,$X82)=1,"1",VALUE(SUBSTITUTE(INDEX(Y:Y,_xlfn.XMATCH($X82,$X$1:$X81,0,-1)),"A",""))+INDEX(Z:Z,_xlfn.XMATCH($X82,$X$1:$X81,0,-1))+1)</f>
        <v>1</v>
      </c>
      <c r="Z82" s="43" cm="1">
        <f t="array" ref="Z82">SUM(IF(ISNUMBER(FIND("TmAi",$BA$1:$ZZ$1)),IF(IFERROR(ISODD(SUBSTITUTE($BA82:$ZZ82,"A","")),FALSE),IF(ISODD(SUBSTITUTE($BA82:$ZZ82,"A","")),1,0),0)))</f>
        <v>0</v>
      </c>
      <c r="AA82" t="str">
        <f t="shared" si="122"/>
        <v>1B</v>
      </c>
      <c r="AB82" t="str">
        <f t="shared" si="123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 cm="1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 cm="1">
        <f t="array" ref="Y83">IF(COUNTIFS($X$2:$X83,$X83)=1,"1",VALUE(SUBSTITUTE(INDEX(Y:Y,_xlfn.XMATCH($X83,$X$1:$X82,0,-1)),"A",""))+INDEX(Z:Z,_xlfn.XMATCH($X83,$X$1:$X82,0,-1))+1)</f>
        <v>2</v>
      </c>
      <c r="Z83" s="43" cm="1">
        <f t="array" ref="Z83">SUM(IF(ISNUMBER(FIND("TmAi",$BA$1:$ZZ$1)),IF(IFERROR(ISODD(SUBSTITUTE($BA83:$ZZ83,"A","")),FALSE),IF(ISODD(SUBSTITUTE($BA83:$ZZ83,"A","")),1,0),0)))</f>
        <v>0</v>
      </c>
      <c r="AA83" t="str">
        <f t="shared" si="122"/>
        <v>3B</v>
      </c>
      <c r="AB83" t="str">
        <f t="shared" si="123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 cm="1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 cm="1">
        <f t="array" ref="Y84">IF(COUNTIFS($X$2:$X84,$X84)=1,"1",VALUE(SUBSTITUTE(INDEX(Y:Y,_xlfn.XMATCH($X84,$X$1:$X83,0,-1)),"A",""))+INDEX(Z:Z,_xlfn.XMATCH($X84,$X$1:$X83,0,-1))+1)</f>
        <v>3</v>
      </c>
      <c r="Z84" s="43" cm="1">
        <f t="array" ref="Z84">SUM(IF(ISNUMBER(FIND("TmAi",$BA$1:$ZZ$1)),IF(IFERROR(ISODD(SUBSTITUTE($BA84:$ZZ84,"A","")),FALSE),IF(ISODD(SUBSTITUTE($BA84:$ZZ84,"A","")),1,0),0)))</f>
        <v>0</v>
      </c>
      <c r="AA84" t="str">
        <f t="shared" si="122"/>
        <v>5B</v>
      </c>
      <c r="AB84" t="str">
        <f t="shared" si="123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 cm="1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 cm="1">
        <f t="array" ref="Y85">IF(COUNTIFS($X$2:$X85,$X85)=1,"1",VALUE(SUBSTITUTE(INDEX(Y:Y,_xlfn.XMATCH($X85,$X$1:$X84,0,-1)),"A",""))+INDEX(Z:Z,_xlfn.XMATCH($X85,$X$1:$X84,0,-1))+1)</f>
        <v>4</v>
      </c>
      <c r="Z85" s="43" cm="1">
        <f t="array" ref="Z85">SUM(IF(ISNUMBER(FIND("TmAi",$BA$1:$ZZ$1)),IF(IFERROR(ISODD(SUBSTITUTE($BA85:$ZZ85,"A","")),FALSE),IF(ISODD(SUBSTITUTE($BA85:$ZZ85,"A","")),1,0),0)))</f>
        <v>0</v>
      </c>
      <c r="AA85" t="str">
        <f t="shared" si="122"/>
        <v>7B</v>
      </c>
      <c r="AB85" t="str">
        <f t="shared" si="123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 cm="1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 cm="1">
        <f t="array" ref="Y86">IF(COUNTIFS($X$2:$X86,$X86)=1,"1",VALUE(SUBSTITUTE(INDEX(Y:Y,_xlfn.XMATCH($X86,$X$1:$X85,0,-1)),"A",""))+INDEX(Z:Z,_xlfn.XMATCH($X86,$X$1:$X85,0,-1))+1)</f>
        <v>5</v>
      </c>
      <c r="Z86" s="43" cm="1">
        <f t="array" ref="Z86">SUM(IF(ISNUMBER(FIND("TmAi",$BA$1:$ZZ$1)),IF(IFERROR(ISODD(SUBSTITUTE($BA86:$ZZ86,"A","")),FALSE),IF(ISODD(SUBSTITUTE($BA86:$ZZ86,"A","")),1,0),0)))</f>
        <v>0</v>
      </c>
      <c r="AA86" t="str">
        <f t="shared" si="122"/>
        <v>9B</v>
      </c>
      <c r="AB86" t="str">
        <f t="shared" si="123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 cm="1">
        <f t="array" ref="KE86">IF(COUNTIFS($U$2:$U86,$U86)=1,1,INDEX(KE:KE,_xlfn.XMATCH(U86,U$1:U85,0,-1))+COUNT(KE85:KI85))</f>
        <v>97</v>
      </c>
      <c r="KF86">
        <f t="shared" ref="KF86:KI101" si="124">KE86+1</f>
        <v>98</v>
      </c>
      <c r="KG86">
        <f t="shared" si="124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 cm="1">
        <f t="array" ref="Y87">IF(COUNTIFS($X$2:$X87,$X87)=1,"1",VALUE(SUBSTITUTE(INDEX(Y:Y,_xlfn.XMATCH($X87,$X$1:$X86,0,-1)),"A",""))+INDEX(Z:Z,_xlfn.XMATCH($X87,$X$1:$X86,0,-1))+1)</f>
        <v>6</v>
      </c>
      <c r="Z87" s="43" cm="1">
        <f t="array" ref="Z87">SUM(IF(ISNUMBER(FIND("TmAi",$BA$1:$ZZ$1)),IF(IFERROR(ISODD(SUBSTITUTE($BA87:$ZZ87,"A","")),FALSE),IF(ISODD(SUBSTITUTE($BA87:$ZZ87,"A","")),1,0),0)))</f>
        <v>0</v>
      </c>
      <c r="AA87" t="str">
        <f t="shared" si="122"/>
        <v>11B</v>
      </c>
      <c r="AB87" t="str">
        <f t="shared" si="123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 cm="1">
        <f t="array" ref="KE87">IF(COUNTIFS($U$2:$U87,$U87)=1,1,INDEX(KE:KE,_xlfn.XMATCH(U87,U$1:U86,0,-1))+COUNT(KE86:KI86))</f>
        <v>100</v>
      </c>
      <c r="KF87">
        <f t="shared" si="124"/>
        <v>101</v>
      </c>
      <c r="KG87">
        <f t="shared" si="124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 cm="1">
        <f t="array" ref="Y88">IF(COUNTIFS($X$2:$X88,$X88)=1,"1",VALUE(SUBSTITUTE(INDEX(Y:Y,_xlfn.XMATCH($X88,$X$1:$X87,0,-1)),"A",""))+INDEX(Z:Z,_xlfn.XMATCH($X88,$X$1:$X87,0,-1))+1)</f>
        <v>7</v>
      </c>
      <c r="Z88" s="43" cm="1">
        <f t="array" ref="Z88">SUM(IF(ISNUMBER(FIND("TmAi",$BA$1:$ZZ$1)),IF(IFERROR(ISODD(SUBSTITUTE($BA88:$ZZ88,"A","")),FALSE),IF(ISODD(SUBSTITUTE($BA88:$ZZ88,"A","")),1,0),0)))</f>
        <v>0</v>
      </c>
      <c r="AA88" t="str">
        <f t="shared" si="122"/>
        <v>13B</v>
      </c>
      <c r="AB88" t="str">
        <f t="shared" si="123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 cm="1">
        <f t="array" ref="KE88">IF(COUNTIFS($U$2:$U88,$U88)=1,1,INDEX(KE:KE,_xlfn.XMATCH(U88,U$1:U87,0,-1))+COUNT(KE87:KI87))</f>
        <v>103</v>
      </c>
      <c r="KF88">
        <f t="shared" si="124"/>
        <v>104</v>
      </c>
      <c r="KG88">
        <f t="shared" si="124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 cm="1">
        <f t="array" ref="Y89">IF(COUNTIFS($X$2:$X89,$X89)=1,"1",VALUE(SUBSTITUTE(INDEX(Y:Y,_xlfn.XMATCH($X89,$X$1:$X88,0,-1)),"A",""))+INDEX(Z:Z,_xlfn.XMATCH($X89,$X$1:$X88,0,-1))+1)</f>
        <v>8</v>
      </c>
      <c r="Z89" s="43" cm="1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 cm="1">
        <f t="array" ref="KE89">IF(COUNTIFS($U$2:$U89,$U89)=1,1,INDEX(KE:KE,_xlfn.XMATCH(U89,U$1:U88,0,-1))+COUNT(KE88:KI88))</f>
        <v>106</v>
      </c>
      <c r="KF89">
        <f t="shared" si="124"/>
        <v>107</v>
      </c>
      <c r="KG89">
        <f t="shared" si="124"/>
        <v>108</v>
      </c>
      <c r="KH89">
        <f t="shared" si="124"/>
        <v>109</v>
      </c>
      <c r="KI89">
        <f t="shared" si="124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 cm="1">
        <f t="array" ref="Y90">IF(COUNTIFS($X$2:$X90,$X90)=1,"1",VALUE(SUBSTITUTE(INDEX(Y:Y,_xlfn.XMATCH($X90,$X$1:$X89,0,-1)),"A",""))+INDEX(Z:Z,_xlfn.XMATCH($X90,$X$1:$X89,0,-1))+1)</f>
        <v>1</v>
      </c>
      <c r="Z90" s="43" cm="1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5">CONCATENATE($Y90*2-1,"B")</f>
        <v>1B</v>
      </c>
      <c r="AB90" t="str">
        <f t="shared" ref="AB90:AB153" si="126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 cm="1">
        <f t="array" ref="KE90">IF(COUNTIFS($U$2:$U90,$U90)=1,1,INDEX(KE:KE,_xlfn.XMATCH(U90,U$1:U89,0,-1))+COUNT(KE89:KI89))</f>
        <v>111</v>
      </c>
      <c r="KF90">
        <f t="shared" si="124"/>
        <v>112</v>
      </c>
      <c r="KG90">
        <f t="shared" si="124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 cm="1">
        <f t="array" ref="Y91">IF(COUNTIFS($X$2:$X91,$X91)=1,"1",VALUE(SUBSTITUTE(INDEX(Y:Y,_xlfn.XMATCH($X91,$X$1:$X90,0,-1)),"A",""))+INDEX(Z:Z,_xlfn.XMATCH($X91,$X$1:$X90,0,-1))+1)</f>
        <v>2</v>
      </c>
      <c r="Z91" s="43" cm="1">
        <f t="array" ref="Z91">SUM(IF(ISNUMBER(FIND("TmAi",$BA$1:$ZZ$1)),IF(IFERROR(ISODD(SUBSTITUTE($BA91:$ZZ91,"A","")),FALSE),IF(ISODD(SUBSTITUTE($BA91:$ZZ91,"A","")),1,0),0)))</f>
        <v>0</v>
      </c>
      <c r="AA91" t="str">
        <f t="shared" si="125"/>
        <v>3B</v>
      </c>
      <c r="AB91" t="str">
        <f t="shared" si="126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 cm="1">
        <f t="array" ref="KE91">IF(COUNTIFS($U$2:$U91,$U91)=1,1,INDEX(KE:KE,_xlfn.XMATCH(U91,U$1:U90,0,-1))+COUNT(KE90:KI90))</f>
        <v>114</v>
      </c>
      <c r="KF91">
        <f t="shared" si="124"/>
        <v>115</v>
      </c>
      <c r="KG91">
        <f t="shared" si="124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 cm="1">
        <f t="array" ref="Y92">IF(COUNTIFS($X$2:$X92,$X92)=1,"1",VALUE(SUBSTITUTE(INDEX(Y:Y,_xlfn.XMATCH($X92,$X$1:$X91,0,-1)),"A",""))+INDEX(Z:Z,_xlfn.XMATCH($X92,$X$1:$X91,0,-1))+1)</f>
        <v>3</v>
      </c>
      <c r="Z92" s="43" cm="1">
        <f t="array" ref="Z92">SUM(IF(ISNUMBER(FIND("TmAi",$BA$1:$ZZ$1)),IF(IFERROR(ISODD(SUBSTITUTE($BA92:$ZZ92,"A","")),FALSE),IF(ISODD(SUBSTITUTE($BA92:$ZZ92,"A","")),1,0),0)))</f>
        <v>0</v>
      </c>
      <c r="AA92" t="str">
        <f t="shared" si="125"/>
        <v>5B</v>
      </c>
      <c r="AB92" t="str">
        <f t="shared" si="126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 cm="1">
        <f t="array" ref="KE92">IF(COUNTIFS($U$2:$U92,$U92)=1,1,INDEX(KE:KE,_xlfn.XMATCH(U92,U$1:U91,0,-1))+COUNT(KE91:KI91))</f>
        <v>117</v>
      </c>
      <c r="KF92">
        <f t="shared" si="124"/>
        <v>118</v>
      </c>
      <c r="KG92">
        <f t="shared" si="124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 cm="1">
        <f t="array" ref="Y93">IF(COUNTIFS($X$2:$X93,$X93)=1,"1",VALUE(SUBSTITUTE(INDEX(Y:Y,_xlfn.XMATCH($X93,$X$1:$X92,0,-1)),"A",""))+INDEX(Z:Z,_xlfn.XMATCH($X93,$X$1:$X92,0,-1))+1)</f>
        <v>4</v>
      </c>
      <c r="Z93" s="43" cm="1">
        <f t="array" ref="Z93">SUM(IF(ISNUMBER(FIND("TmAi",$BA$1:$ZZ$1)),IF(IFERROR(ISODD(SUBSTITUTE($BA93:$ZZ93,"A","")),FALSE),IF(ISODD(SUBSTITUTE($BA93:$ZZ93,"A","")),1,0),0)))</f>
        <v>0</v>
      </c>
      <c r="AA93" t="str">
        <f t="shared" si="125"/>
        <v>7B</v>
      </c>
      <c r="AB93" t="str">
        <f t="shared" si="126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 cm="1">
        <f t="array" ref="KE93">IF(COUNTIFS($U$2:$U93,$U93)=1,1,INDEX(KE:KE,_xlfn.XMATCH(U93,U$1:U92,0,-1))+COUNT(KE92:KI92))</f>
        <v>120</v>
      </c>
      <c r="KF93">
        <f t="shared" si="124"/>
        <v>121</v>
      </c>
      <c r="KG93">
        <f t="shared" si="124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 cm="1">
        <f t="array" ref="Y94">IF(COUNTIFS($X$2:$X94,$X94)=1,"1",VALUE(SUBSTITUTE(INDEX(Y:Y,_xlfn.XMATCH($X94,$X$1:$X93,0,-1)),"A",""))+INDEX(Z:Z,_xlfn.XMATCH($X94,$X$1:$X93,0,-1))+1)</f>
        <v>5</v>
      </c>
      <c r="Z94" s="43" cm="1">
        <f t="array" ref="Z94">SUM(IF(ISNUMBER(FIND("TmAi",$BA$1:$ZZ$1)),IF(IFERROR(ISODD(SUBSTITUTE($BA94:$ZZ94,"A","")),FALSE),IF(ISODD(SUBSTITUTE($BA94:$ZZ94,"A","")),1,0),0)))</f>
        <v>0</v>
      </c>
      <c r="AA94" t="str">
        <f t="shared" si="125"/>
        <v>9B</v>
      </c>
      <c r="AB94" t="str">
        <f t="shared" si="126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 cm="1">
        <f t="array" ref="KE94">IF(COUNTIFS($U$2:$U94,$U94)=1,1,INDEX(KE:KE,_xlfn.XMATCH(U94,U$1:U93,0,-1))+COUNT(KE93:KI93))</f>
        <v>123</v>
      </c>
      <c r="KF94">
        <f t="shared" si="124"/>
        <v>124</v>
      </c>
      <c r="KG94">
        <f t="shared" si="124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 cm="1">
        <f t="array" ref="Y95">IF(COUNTIFS($X$2:$X95,$X95)=1,"1",VALUE(SUBSTITUTE(INDEX(Y:Y,_xlfn.XMATCH($X95,$X$1:$X94,0,-1)),"A",""))+INDEX(Z:Z,_xlfn.XMATCH($X95,$X$1:$X94,0,-1))+1)</f>
        <v>6</v>
      </c>
      <c r="Z95" s="43" cm="1">
        <f t="array" ref="Z95">SUM(IF(ISNUMBER(FIND("TmAi",$BA$1:$ZZ$1)),IF(IFERROR(ISODD(SUBSTITUTE($BA95:$ZZ95,"A","")),FALSE),IF(ISODD(SUBSTITUTE($BA95:$ZZ95,"A","")),1,0),0)))</f>
        <v>0</v>
      </c>
      <c r="AA95" t="str">
        <f t="shared" si="125"/>
        <v>11B</v>
      </c>
      <c r="AB95" t="str">
        <f t="shared" si="126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 cm="1">
        <f t="array" ref="KE95">IF(COUNTIFS($U$2:$U95,$U95)=1,1,INDEX(KE:KE,_xlfn.XMATCH(U95,U$1:U94,0,-1))+COUNT(KE94:KI94))</f>
        <v>126</v>
      </c>
      <c r="KF95">
        <f t="shared" si="124"/>
        <v>127</v>
      </c>
      <c r="KG95">
        <f t="shared" si="124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 cm="1">
        <f t="array" ref="Y96">IF(COUNTIFS($X$2:$X96,$X96)=1,"1",VALUE(SUBSTITUTE(INDEX(Y:Y,_xlfn.XMATCH($X96,$X$1:$X95,0,-1)),"A",""))+INDEX(Z:Z,_xlfn.XMATCH($X96,$X$1:$X95,0,-1))+1)</f>
        <v>7</v>
      </c>
      <c r="Z96" s="43" cm="1">
        <f t="array" ref="Z96">SUM(IF(ISNUMBER(FIND("TmAi",$BA$1:$ZZ$1)),IF(IFERROR(ISODD(SUBSTITUTE($BA96:$ZZ96,"A","")),FALSE),IF(ISODD(SUBSTITUTE($BA96:$ZZ96,"A","")),1,0),0)))</f>
        <v>0</v>
      </c>
      <c r="AA96" t="str">
        <f t="shared" si="125"/>
        <v>13B</v>
      </c>
      <c r="AB96" t="str">
        <f t="shared" si="126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 cm="1">
        <f t="array" ref="KE96">IF(COUNTIFS($U$2:$U96,$U96)=1,1,INDEX(KE:KE,_xlfn.XMATCH(U96,U$1:U95,0,-1))+COUNT(KE95:KI95))</f>
        <v>129</v>
      </c>
      <c r="KF96">
        <f t="shared" si="124"/>
        <v>130</v>
      </c>
      <c r="KG96">
        <f t="shared" si="124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 cm="1">
        <f t="array" ref="Y97">IF(COUNTIFS($X$2:$X97,$X97)=1,"1",VALUE(SUBSTITUTE(INDEX(Y:Y,_xlfn.XMATCH($X97,$X$1:$X96,0,-1)),"A",""))+INDEX(Z:Z,_xlfn.XMATCH($X97,$X$1:$X96,0,-1))+1)</f>
        <v>8</v>
      </c>
      <c r="Z97" s="43" cm="1">
        <f t="array" ref="Z97">SUM(IF(ISNUMBER(FIND("TmAi",$BA$1:$ZZ$1)),IF(IFERROR(ISODD(SUBSTITUTE($BA97:$ZZ97,"A","")),FALSE),IF(ISODD(SUBSTITUTE($BA97:$ZZ97,"A","")),1,0),0)))</f>
        <v>0</v>
      </c>
      <c r="AA97" t="str">
        <f t="shared" si="125"/>
        <v>15B</v>
      </c>
      <c r="AB97" t="str">
        <f t="shared" si="126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 cm="1">
        <f t="array" ref="KE97">IF(COUNTIFS($U$2:$U97,$U97)=1,1,INDEX(KE:KE,_xlfn.XMATCH(U97,U$1:U96,0,-1))+COUNT(KE96:KI96))</f>
        <v>132</v>
      </c>
      <c r="KF97">
        <f t="shared" si="124"/>
        <v>133</v>
      </c>
      <c r="KG97">
        <f t="shared" si="124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 cm="1">
        <f t="array" ref="Y98">IF(COUNTIFS($X$2:$X98,$X98)=1,"1",VALUE(SUBSTITUTE(INDEX(Y:Y,_xlfn.XMATCH($X98,$X$1:$X97,0,-1)),"A",""))+INDEX(Z:Z,_xlfn.XMATCH($X98,$X$1:$X97,0,-1))+1)</f>
        <v>1</v>
      </c>
      <c r="Z98" s="43" cm="1">
        <f t="array" ref="Z98">SUM(IF(ISNUMBER(FIND("TmAi",$BA$1:$ZZ$1)),IF(IFERROR(ISODD(SUBSTITUTE($BA98:$ZZ98,"A","")),FALSE),IF(ISODD(SUBSTITUTE($BA98:$ZZ98,"A","")),1,0),0)))</f>
        <v>0</v>
      </c>
      <c r="AA98" t="str">
        <f t="shared" si="125"/>
        <v>1B</v>
      </c>
      <c r="AB98" t="str">
        <f t="shared" si="126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 cm="1">
        <f t="array" ref="KE98">IF(COUNTIFS($U$2:$U98,$U98)=1,1,INDEX(KE:KE,_xlfn.XMATCH(U98,U$1:U97,0,-1))+COUNT(KE97:KI97))</f>
        <v>135</v>
      </c>
      <c r="KF98">
        <f t="shared" si="124"/>
        <v>136</v>
      </c>
      <c r="KG98">
        <f t="shared" si="124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 cm="1">
        <f t="array" ref="Y99">IF(COUNTIFS($X$2:$X99,$X99)=1,"1",VALUE(SUBSTITUTE(INDEX(Y:Y,_xlfn.XMATCH($X99,$X$1:$X98,0,-1)),"A",""))+INDEX(Z:Z,_xlfn.XMATCH($X99,$X$1:$X98,0,-1))+1)</f>
        <v>2</v>
      </c>
      <c r="Z99" s="43" cm="1">
        <f t="array" ref="Z99">SUM(IF(ISNUMBER(FIND("TmAi",$BA$1:$ZZ$1)),IF(IFERROR(ISODD(SUBSTITUTE($BA99:$ZZ99,"A","")),FALSE),IF(ISODD(SUBSTITUTE($BA99:$ZZ99,"A","")),1,0),0)))</f>
        <v>0</v>
      </c>
      <c r="AA99" t="str">
        <f t="shared" si="125"/>
        <v>3B</v>
      </c>
      <c r="AB99" t="str">
        <f t="shared" si="126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 cm="1">
        <f t="array" ref="KE99">IF(COUNTIFS($U$2:$U99,$U99)=1,1,INDEX(KE:KE,_xlfn.XMATCH(U99,U$1:U98,0,-1))+COUNT(KE98:KI98))</f>
        <v>138</v>
      </c>
      <c r="KF99">
        <f t="shared" si="124"/>
        <v>139</v>
      </c>
      <c r="KG99">
        <f t="shared" si="124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 cm="1">
        <f t="array" ref="Y100">IF(COUNTIFS($X$2:$X100,$X100)=1,"1",VALUE(SUBSTITUTE(INDEX(Y:Y,_xlfn.XMATCH($X100,$X$1:$X99,0,-1)),"A",""))+INDEX(Z:Z,_xlfn.XMATCH($X100,$X$1:$X99,0,-1))+1)</f>
        <v>3</v>
      </c>
      <c r="Z100" s="43" cm="1">
        <f t="array" ref="Z100">SUM(IF(ISNUMBER(FIND("TmAi",$BA$1:$ZZ$1)),IF(IFERROR(ISODD(SUBSTITUTE($BA100:$ZZ100,"A","")),FALSE),IF(ISODD(SUBSTITUTE($BA100:$ZZ100,"A","")),1,0),0)))</f>
        <v>0</v>
      </c>
      <c r="AA100" t="str">
        <f t="shared" si="125"/>
        <v>5B</v>
      </c>
      <c r="AB100" t="str">
        <f t="shared" si="126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 cm="1">
        <f t="array" ref="KE100">IF(COUNTIFS($U$2:$U100,$U100)=1,1,INDEX(KE:KE,_xlfn.XMATCH(U100,U$1:U99,0,-1))+COUNT(KE99:KI99))</f>
        <v>141</v>
      </c>
      <c r="KF100">
        <f t="shared" si="124"/>
        <v>142</v>
      </c>
      <c r="KG100">
        <f t="shared" si="124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 cm="1">
        <f t="array" ref="Y101">IF(COUNTIFS($X$2:$X101,$X101)=1,"1",VALUE(SUBSTITUTE(INDEX(Y:Y,_xlfn.XMATCH($X101,$X$1:$X100,0,-1)),"A",""))+INDEX(Z:Z,_xlfn.XMATCH($X101,$X$1:$X100,0,-1))+1)</f>
        <v>4</v>
      </c>
      <c r="Z101" s="43" cm="1">
        <f t="array" ref="Z101">SUM(IF(ISNUMBER(FIND("TmAi",$BA$1:$ZZ$1)),IF(IFERROR(ISODD(SUBSTITUTE($BA101:$ZZ101,"A","")),FALSE),IF(ISODD(SUBSTITUTE($BA101:$ZZ101,"A","")),1,0),0)))</f>
        <v>0</v>
      </c>
      <c r="AA101" t="str">
        <f t="shared" si="125"/>
        <v>7B</v>
      </c>
      <c r="AB101" t="str">
        <f t="shared" si="126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 cm="1">
        <f t="array" ref="KE101">IF(COUNTIFS($U$2:$U101,$U101)=1,1,INDEX(KE:KE,_xlfn.XMATCH(U101,U$1:U100,0,-1))+COUNT(KE100:KI100))</f>
        <v>144</v>
      </c>
      <c r="KF101">
        <f t="shared" si="124"/>
        <v>145</v>
      </c>
      <c r="KG101">
        <f t="shared" si="124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 cm="1">
        <f t="array" ref="Y102">IF(COUNTIFS($X$2:$X102,$X102)=1,"1",VALUE(SUBSTITUTE(INDEX(Y:Y,_xlfn.XMATCH($X102,$X$1:$X101,0,-1)),"A",""))+INDEX(Z:Z,_xlfn.XMATCH($X102,$X$1:$X101,0,-1))+1)</f>
        <v>5</v>
      </c>
      <c r="Z102" s="43" cm="1">
        <f t="array" ref="Z102">SUM(IF(ISNUMBER(FIND("TmAi",$BA$1:$ZZ$1)),IF(IFERROR(ISODD(SUBSTITUTE($BA102:$ZZ102,"A","")),FALSE),IF(ISODD(SUBSTITUTE($BA102:$ZZ102,"A","")),1,0),0)))</f>
        <v>0</v>
      </c>
      <c r="AA102" t="str">
        <f t="shared" si="125"/>
        <v>9B</v>
      </c>
      <c r="AB102" t="str">
        <f t="shared" si="126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 cm="1">
        <f t="array" ref="KE102">IF(COUNTIFS($U$2:$U102,$U102)=1,1,INDEX(KE:KE,_xlfn.XMATCH(U102,U$1:U101,0,-1))+COUNT(KE101:KI101))</f>
        <v>147</v>
      </c>
      <c r="KF102">
        <f t="shared" ref="KF102:KG122" si="127">KE102+1</f>
        <v>148</v>
      </c>
      <c r="KG102">
        <f t="shared" si="127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 cm="1">
        <f t="array" ref="Y103">IF(COUNTIFS($X$2:$X103,$X103)=1,"1",VALUE(SUBSTITUTE(INDEX(Y:Y,_xlfn.XMATCH($X103,$X$1:$X102,0,-1)),"A",""))+INDEX(Z:Z,_xlfn.XMATCH($X103,$X$1:$X102,0,-1))+1)</f>
        <v>6</v>
      </c>
      <c r="Z103" s="43" cm="1">
        <f t="array" ref="Z103">SUM(IF(ISNUMBER(FIND("TmAi",$BA$1:$ZZ$1)),IF(IFERROR(ISODD(SUBSTITUTE($BA103:$ZZ103,"A","")),FALSE),IF(ISODD(SUBSTITUTE($BA103:$ZZ103,"A","")),1,0),0)))</f>
        <v>0</v>
      </c>
      <c r="AA103" t="str">
        <f t="shared" si="125"/>
        <v>11B</v>
      </c>
      <c r="AB103" t="str">
        <f t="shared" si="126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 cm="1">
        <f t="array" ref="KE103">IF(COUNTIFS($U$2:$U103,$U103)=1,1,INDEX(KE:KE,_xlfn.XMATCH(U103,U$1:U102,0,-1))+COUNT(KE102:KI102))</f>
        <v>150</v>
      </c>
      <c r="KF103">
        <f t="shared" si="127"/>
        <v>151</v>
      </c>
      <c r="KG103">
        <f t="shared" si="127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 cm="1">
        <f t="array" ref="Y104">IF(COUNTIFS($X$2:$X104,$X104)=1,"1",VALUE(SUBSTITUTE(INDEX(Y:Y,_xlfn.XMATCH($X104,$X$1:$X103,0,-1)),"A",""))+INDEX(Z:Z,_xlfn.XMATCH($X104,$X$1:$X103,0,-1))+1)</f>
        <v>7</v>
      </c>
      <c r="Z104" s="43" cm="1">
        <f t="array" ref="Z104">SUM(IF(ISNUMBER(FIND("TmAi",$BA$1:$ZZ$1)),IF(IFERROR(ISODD(SUBSTITUTE($BA104:$ZZ104,"A","")),FALSE),IF(ISODD(SUBSTITUTE($BA104:$ZZ104,"A","")),1,0),0)))</f>
        <v>0</v>
      </c>
      <c r="AA104" t="str">
        <f t="shared" si="125"/>
        <v>13B</v>
      </c>
      <c r="AB104" t="str">
        <f t="shared" si="126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 cm="1">
        <f t="array" ref="KE104">IF(COUNTIFS($U$2:$U104,$U104)=1,1,INDEX(KE:KE,_xlfn.XMATCH(U104,U$1:U103,0,-1))+COUNT(KE103:KI103))</f>
        <v>153</v>
      </c>
      <c r="KF104">
        <f t="shared" si="127"/>
        <v>154</v>
      </c>
      <c r="KG104">
        <f t="shared" si="127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 cm="1">
        <f t="array" ref="Y105">IF(COUNTIFS($X$2:$X105,$X105)=1,"1",VALUE(SUBSTITUTE(INDEX(Y:Y,_xlfn.XMATCH($X105,$X$1:$X104,0,-1)),"A",""))+INDEX(Z:Z,_xlfn.XMATCH($X105,$X$1:$X104,0,-1))+1)</f>
        <v>8</v>
      </c>
      <c r="Z105" s="43" cm="1">
        <f t="array" ref="Z105">SUM(IF(ISNUMBER(FIND("TmAi",$BA$1:$ZZ$1)),IF(IFERROR(ISODD(SUBSTITUTE($BA105:$ZZ105,"A","")),FALSE),IF(ISODD(SUBSTITUTE($BA105:$ZZ105,"A","")),1,0),0)))</f>
        <v>0</v>
      </c>
      <c r="AA105" t="str">
        <f t="shared" si="125"/>
        <v>15B</v>
      </c>
      <c r="AB105" t="str">
        <f t="shared" si="126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 cm="1">
        <f t="array" ref="KE105">IF(COUNTIFS($U$2:$U105,$U105)=1,1,INDEX(KE:KE,_xlfn.XMATCH(U105,U$1:U104,0,-1))+COUNT(KE104:KI104))</f>
        <v>156</v>
      </c>
      <c r="KF105">
        <f t="shared" si="127"/>
        <v>157</v>
      </c>
      <c r="KG105">
        <f t="shared" si="127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 cm="1">
        <f t="array" ref="Y106">IF(COUNTIFS($X$2:$X106,$X106)=1,"1",VALUE(SUBSTITUTE(INDEX(Y:Y,_xlfn.XMATCH($X106,$X$1:$X105,0,-1)),"A",""))+INDEX(Z:Z,_xlfn.XMATCH($X106,$X$1:$X105,0,-1))+1)</f>
        <v>1</v>
      </c>
      <c r="Z106" s="43" cm="1">
        <f t="array" ref="Z106">SUM(IF(ISNUMBER(FIND("TmAi",$BA$1:$ZZ$1)),IF(IFERROR(ISODD(SUBSTITUTE($BA106:$ZZ106,"A","")),FALSE),IF(ISODD(SUBSTITUTE($BA106:$ZZ106,"A","")),1,0),0)))</f>
        <v>0</v>
      </c>
      <c r="AA106" t="str">
        <f t="shared" si="125"/>
        <v>1B</v>
      </c>
      <c r="AB106" t="str">
        <f t="shared" si="126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 cm="1">
        <f t="array" ref="KE106">IF(COUNTIFS($U$2:$U106,$U106)=1,1,INDEX(KE:KE,_xlfn.XMATCH(U106,U$1:U105,0,-1))+COUNT(KE105:KI105))</f>
        <v>159</v>
      </c>
      <c r="KF106">
        <f t="shared" si="127"/>
        <v>160</v>
      </c>
      <c r="KG106">
        <f t="shared" si="127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 cm="1">
        <f t="array" ref="Y107">IF(COUNTIFS($X$2:$X107,$X107)=1,"1",VALUE(SUBSTITUTE(INDEX(Y:Y,_xlfn.XMATCH($X107,$X$1:$X106,0,-1)),"A",""))+INDEX(Z:Z,_xlfn.XMATCH($X107,$X$1:$X106,0,-1))+1)</f>
        <v>2</v>
      </c>
      <c r="Z107" s="43" cm="1">
        <f t="array" ref="Z107">SUM(IF(ISNUMBER(FIND("TmAi",$BA$1:$ZZ$1)),IF(IFERROR(ISODD(SUBSTITUTE($BA107:$ZZ107,"A","")),FALSE),IF(ISODD(SUBSTITUTE($BA107:$ZZ107,"A","")),1,0),0)))</f>
        <v>0</v>
      </c>
      <c r="AA107" t="str">
        <f t="shared" si="125"/>
        <v>3B</v>
      </c>
      <c r="AB107" t="str">
        <f t="shared" si="126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 cm="1">
        <f t="array" ref="KE107">IF(COUNTIFS($U$2:$U107,$U107)=1,1,INDEX(KE:KE,_xlfn.XMATCH(U107,U$1:U106,0,-1))+COUNT(KE106:KI106))</f>
        <v>162</v>
      </c>
      <c r="KF107">
        <f t="shared" si="127"/>
        <v>163</v>
      </c>
      <c r="KG107">
        <f t="shared" si="127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 cm="1">
        <f t="array" ref="Y108">IF(COUNTIFS($X$2:$X108,$X108)=1,"1",VALUE(SUBSTITUTE(INDEX(Y:Y,_xlfn.XMATCH($X108,$X$1:$X107,0,-1)),"A",""))+INDEX(Z:Z,_xlfn.XMATCH($X108,$X$1:$X107,0,-1))+1)</f>
        <v>3</v>
      </c>
      <c r="Z108" s="43" cm="1">
        <f t="array" ref="Z108">SUM(IF(ISNUMBER(FIND("TmAi",$BA$1:$ZZ$1)),IF(IFERROR(ISODD(SUBSTITUTE($BA108:$ZZ108,"A","")),FALSE),IF(ISODD(SUBSTITUTE($BA108:$ZZ108,"A","")),1,0),0)))</f>
        <v>0</v>
      </c>
      <c r="AA108" t="str">
        <f t="shared" si="125"/>
        <v>5B</v>
      </c>
      <c r="AB108" t="str">
        <f t="shared" si="126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 cm="1">
        <f t="array" ref="KE108">IF(COUNTIFS($U$2:$U108,$U108)=1,1,INDEX(KE:KE,_xlfn.XMATCH(U108,U$1:U107,0,-1))+COUNT(KE107:KI107))</f>
        <v>165</v>
      </c>
      <c r="KF108">
        <f t="shared" si="127"/>
        <v>166</v>
      </c>
      <c r="KG108">
        <f t="shared" si="127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 cm="1">
        <f t="array" ref="Y109">IF(COUNTIFS($X$2:$X109,$X109)=1,"1",VALUE(SUBSTITUTE(INDEX(Y:Y,_xlfn.XMATCH($X109,$X$1:$X108,0,-1)),"A",""))+INDEX(Z:Z,_xlfn.XMATCH($X109,$X$1:$X108,0,-1))+1)</f>
        <v>4</v>
      </c>
      <c r="Z109" s="43" cm="1">
        <f t="array" ref="Z109">SUM(IF(ISNUMBER(FIND("TmAi",$BA$1:$ZZ$1)),IF(IFERROR(ISODD(SUBSTITUTE($BA109:$ZZ109,"A","")),FALSE),IF(ISODD(SUBSTITUTE($BA109:$ZZ109,"A","")),1,0),0)))</f>
        <v>0</v>
      </c>
      <c r="AA109" t="str">
        <f t="shared" si="125"/>
        <v>7B</v>
      </c>
      <c r="AB109" t="str">
        <f t="shared" si="126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 cm="1">
        <f t="array" ref="KE109">IF(COUNTIFS($U$2:$U109,$U109)=1,1,INDEX(KE:KE,_xlfn.XMATCH(U109,U$1:U108,0,-1))+COUNT(KE108:KI108))</f>
        <v>168</v>
      </c>
      <c r="KF109">
        <f t="shared" si="127"/>
        <v>169</v>
      </c>
      <c r="KG109">
        <f t="shared" si="127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 cm="1">
        <f t="array" ref="Y110">IF(COUNTIFS($X$2:$X110,$X110)=1,"1",VALUE(SUBSTITUTE(INDEX(Y:Y,_xlfn.XMATCH($X110,$X$1:$X109,0,-1)),"A",""))+INDEX(Z:Z,_xlfn.XMATCH($X110,$X$1:$X109,0,-1))+1)</f>
        <v>5</v>
      </c>
      <c r="Z110" s="43" cm="1">
        <f t="array" ref="Z110">SUM(IF(ISNUMBER(FIND("TmAi",$BA$1:$ZZ$1)),IF(IFERROR(ISODD(SUBSTITUTE($BA110:$ZZ110,"A","")),FALSE),IF(ISODD(SUBSTITUTE($BA110:$ZZ110,"A","")),1,0),0)))</f>
        <v>0</v>
      </c>
      <c r="AA110" t="str">
        <f t="shared" si="125"/>
        <v>9B</v>
      </c>
      <c r="AB110" t="str">
        <f t="shared" si="126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 cm="1">
        <f t="array" ref="KE110">IF(COUNTIFS($U$2:$U110,$U110)=1,1,INDEX(KE:KE,_xlfn.XMATCH(U110,U$1:U109,0,-1))+COUNT(KE109:KI109))</f>
        <v>171</v>
      </c>
      <c r="KF110">
        <f t="shared" si="127"/>
        <v>172</v>
      </c>
      <c r="KG110">
        <f t="shared" si="127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 cm="1">
        <f t="array" ref="Y111">IF(COUNTIFS($X$2:$X111,$X111)=1,"1",VALUE(SUBSTITUTE(INDEX(Y:Y,_xlfn.XMATCH($X111,$X$1:$X110,0,-1)),"A",""))+INDEX(Z:Z,_xlfn.XMATCH($X111,$X$1:$X110,0,-1))+1)</f>
        <v>6</v>
      </c>
      <c r="Z111" s="43" cm="1">
        <f t="array" ref="Z111">SUM(IF(ISNUMBER(FIND("TmAi",$BA$1:$ZZ$1)),IF(IFERROR(ISODD(SUBSTITUTE($BA111:$ZZ111,"A","")),FALSE),IF(ISODD(SUBSTITUTE($BA111:$ZZ111,"A","")),1,0),0)))</f>
        <v>0</v>
      </c>
      <c r="AA111" t="str">
        <f t="shared" si="125"/>
        <v>11B</v>
      </c>
      <c r="AB111" t="str">
        <f t="shared" si="126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 cm="1">
        <f t="array" ref="KE111">IF(COUNTIFS($U$2:$U111,$U111)=1,1,INDEX(KE:KE,_xlfn.XMATCH(U111,U$1:U110,0,-1))+COUNT(KE110:KI110))</f>
        <v>174</v>
      </c>
      <c r="KF111">
        <f t="shared" si="127"/>
        <v>175</v>
      </c>
      <c r="KG111">
        <f t="shared" si="127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 cm="1">
        <f t="array" ref="Y112">IF(COUNTIFS($X$2:$X112,$X112)=1,"1",VALUE(SUBSTITUTE(INDEX(Y:Y,_xlfn.XMATCH($X112,$X$1:$X111,0,-1)),"A",""))+INDEX(Z:Z,_xlfn.XMATCH($X112,$X$1:$X111,0,-1))+1)</f>
        <v>7</v>
      </c>
      <c r="Z112" s="43" cm="1">
        <f t="array" ref="Z112">SUM(IF(ISNUMBER(FIND("TmAi",$BA$1:$ZZ$1)),IF(IFERROR(ISODD(SUBSTITUTE($BA112:$ZZ112,"A","")),FALSE),IF(ISODD(SUBSTITUTE($BA112:$ZZ112,"A","")),1,0),0)))</f>
        <v>0</v>
      </c>
      <c r="AA112" t="str">
        <f t="shared" si="125"/>
        <v>13B</v>
      </c>
      <c r="AB112" t="str">
        <f t="shared" si="126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 cm="1">
        <f t="array" ref="KE112">IF(COUNTIFS($U$2:$U112,$U112)=1,1,INDEX(KE:KE,_xlfn.XMATCH(U112,U$1:U111,0,-1))+COUNT(KE111:KI111))</f>
        <v>177</v>
      </c>
      <c r="KF112">
        <f t="shared" si="127"/>
        <v>178</v>
      </c>
      <c r="KG112">
        <f t="shared" si="127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 cm="1">
        <f t="array" ref="Y113">IF(COUNTIFS($X$2:$X113,$X113)=1,"1",VALUE(SUBSTITUTE(INDEX(Y:Y,_xlfn.XMATCH($X113,$X$1:$X112,0,-1)),"A",""))+INDEX(Z:Z,_xlfn.XMATCH($X113,$X$1:$X112,0,-1))+1)</f>
        <v>8</v>
      </c>
      <c r="Z113" s="43" cm="1">
        <f t="array" ref="Z113">SUM(IF(ISNUMBER(FIND("TmAi",$BA$1:$ZZ$1)),IF(IFERROR(ISODD(SUBSTITUTE($BA113:$ZZ113,"A","")),FALSE),IF(ISODD(SUBSTITUTE($BA113:$ZZ113,"A","")),1,0),0)))</f>
        <v>0</v>
      </c>
      <c r="AA113" t="str">
        <f t="shared" si="125"/>
        <v>15B</v>
      </c>
      <c r="AB113" t="str">
        <f t="shared" si="126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 cm="1">
        <f t="array" ref="KE113">IF(COUNTIFS($U$2:$U113,$U113)=1,1,INDEX(KE:KE,_xlfn.XMATCH(U113,U$1:U112,0,-1))+COUNT(KE112:KI112))</f>
        <v>180</v>
      </c>
      <c r="KF113">
        <f t="shared" si="127"/>
        <v>181</v>
      </c>
      <c r="KG113">
        <f t="shared" si="127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 cm="1">
        <f t="array" ref="Y114">IF(COUNTIFS($X$2:$X114,$X114)=1,"1",VALUE(SUBSTITUTE(INDEX(Y:Y,_xlfn.XMATCH($X114,$X$1:$X113,0,-1)),"A",""))+INDEX(Z:Z,_xlfn.XMATCH($X114,$X$1:$X113,0,-1))+1)</f>
        <v>1</v>
      </c>
      <c r="Z114" s="43" cm="1">
        <f t="array" ref="Z114">SUM(IF(ISNUMBER(FIND("TmAi",$BA$1:$ZZ$1)),IF(IFERROR(ISODD(SUBSTITUTE($BA114:$ZZ114,"A","")),FALSE),IF(ISODD(SUBSTITUTE($BA114:$ZZ114,"A","")),1,0),0)))</f>
        <v>0</v>
      </c>
      <c r="AA114" t="str">
        <f t="shared" si="125"/>
        <v>1B</v>
      </c>
      <c r="AB114" t="str">
        <f t="shared" si="126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 cm="1">
        <f t="array" ref="KE114">IF(COUNTIFS($U$2:$U114,$U114)=1,1,INDEX(KE:KE,_xlfn.XMATCH(U114,U$1:U113,0,-1))+COUNT(KE113:KI113))</f>
        <v>183</v>
      </c>
      <c r="KF114">
        <f t="shared" si="127"/>
        <v>184</v>
      </c>
      <c r="KG114">
        <f t="shared" si="127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 cm="1">
        <f t="array" ref="Y115">IF(COUNTIFS($X$2:$X115,$X115)=1,"1",VALUE(SUBSTITUTE(INDEX(Y:Y,_xlfn.XMATCH($X115,$X$1:$X114,0,-1)),"A",""))+INDEX(Z:Z,_xlfn.XMATCH($X115,$X$1:$X114,0,-1))+1)</f>
        <v>2</v>
      </c>
      <c r="Z115" s="43" cm="1">
        <f t="array" ref="Z115">SUM(IF(ISNUMBER(FIND("TmAi",$BA$1:$ZZ$1)),IF(IFERROR(ISODD(SUBSTITUTE($BA115:$ZZ115,"A","")),FALSE),IF(ISODD(SUBSTITUTE($BA115:$ZZ115,"A","")),1,0),0)))</f>
        <v>0</v>
      </c>
      <c r="AA115" t="str">
        <f t="shared" si="125"/>
        <v>3B</v>
      </c>
      <c r="AB115" t="str">
        <f t="shared" si="126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 cm="1">
        <f t="array" ref="KE115">IF(COUNTIFS($U$2:$U115,$U115)=1,1,INDEX(KE:KE,_xlfn.XMATCH(U115,U$1:U114,0,-1))+COUNT(KE114:KI114))</f>
        <v>186</v>
      </c>
      <c r="KF115">
        <f t="shared" si="127"/>
        <v>187</v>
      </c>
      <c r="KG115">
        <f t="shared" si="127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 cm="1">
        <f t="array" ref="Y116">IF(COUNTIFS($X$2:$X116,$X116)=1,"1",VALUE(SUBSTITUTE(INDEX(Y:Y,_xlfn.XMATCH($X116,$X$1:$X115,0,-1)),"A",""))+INDEX(Z:Z,_xlfn.XMATCH($X116,$X$1:$X115,0,-1))+1)</f>
        <v>3</v>
      </c>
      <c r="Z116" s="43" cm="1">
        <f t="array" ref="Z116">SUM(IF(ISNUMBER(FIND("TmAi",$BA$1:$ZZ$1)),IF(IFERROR(ISODD(SUBSTITUTE($BA116:$ZZ116,"A","")),FALSE),IF(ISODD(SUBSTITUTE($BA116:$ZZ116,"A","")),1,0),0)))</f>
        <v>0</v>
      </c>
      <c r="AA116" t="str">
        <f t="shared" si="125"/>
        <v>5B</v>
      </c>
      <c r="AB116" t="str">
        <f t="shared" si="126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 cm="1">
        <f t="array" ref="KE116">IF(COUNTIFS($U$2:$U116,$U116)=1,1,INDEX(KE:KE,_xlfn.XMATCH(U116,U$1:U115,0,-1))+COUNT(KE115:KI115))</f>
        <v>189</v>
      </c>
      <c r="KF116">
        <f t="shared" si="127"/>
        <v>190</v>
      </c>
      <c r="KG116">
        <f t="shared" si="127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 cm="1">
        <f t="array" ref="Y117">IF(COUNTIFS($X$2:$X117,$X117)=1,"1",VALUE(SUBSTITUTE(INDEX(Y:Y,_xlfn.XMATCH($X117,$X$1:$X116,0,-1)),"A",""))+INDEX(Z:Z,_xlfn.XMATCH($X117,$X$1:$X116,0,-1))+1)</f>
        <v>4</v>
      </c>
      <c r="Z117" s="43" cm="1">
        <f t="array" ref="Z117">SUM(IF(ISNUMBER(FIND("TmAi",$BA$1:$ZZ$1)),IF(IFERROR(ISODD(SUBSTITUTE($BA117:$ZZ117,"A","")),FALSE),IF(ISODD(SUBSTITUTE($BA117:$ZZ117,"A","")),1,0),0)))</f>
        <v>0</v>
      </c>
      <c r="AA117" t="str">
        <f t="shared" si="125"/>
        <v>7B</v>
      </c>
      <c r="AB117" t="str">
        <f t="shared" si="126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 cm="1">
        <f t="array" ref="KE117">IF(COUNTIFS($U$2:$U117,$U117)=1,1,INDEX(KE:KE,_xlfn.XMATCH(U117,U$1:U116,0,-1))+COUNT(KE116:KI116))</f>
        <v>192</v>
      </c>
      <c r="KF117">
        <f t="shared" si="127"/>
        <v>193</v>
      </c>
      <c r="KG117">
        <f t="shared" si="127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 cm="1">
        <f t="array" ref="Y118">IF(COUNTIFS($X$2:$X118,$X118)=1,"1",VALUE(SUBSTITUTE(INDEX(Y:Y,_xlfn.XMATCH($X118,$X$1:$X117,0,-1)),"A",""))+INDEX(Z:Z,_xlfn.XMATCH($X118,$X$1:$X117,0,-1))+1)</f>
        <v>5</v>
      </c>
      <c r="Z118" s="43" cm="1">
        <f t="array" ref="Z118">SUM(IF(ISNUMBER(FIND("TmAi",$BA$1:$ZZ$1)),IF(IFERROR(ISODD(SUBSTITUTE($BA118:$ZZ118,"A","")),FALSE),IF(ISODD(SUBSTITUTE($BA118:$ZZ118,"A","")),1,0),0)))</f>
        <v>0</v>
      </c>
      <c r="AA118" t="str">
        <f t="shared" si="125"/>
        <v>9B</v>
      </c>
      <c r="AB118" t="str">
        <f t="shared" si="126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 cm="1">
        <f t="array" ref="KE118">IF(COUNTIFS($U$2:$U118,$U118)=1,1,INDEX(KE:KE,_xlfn.XMATCH(U118,U$1:U117,0,-1))+COUNT(KE117:KI117))</f>
        <v>195</v>
      </c>
      <c r="KF118">
        <f t="shared" si="127"/>
        <v>196</v>
      </c>
      <c r="KG118">
        <f t="shared" si="127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 cm="1">
        <f t="array" ref="Y119">IF(COUNTIFS($X$2:$X119,$X119)=1,"1",VALUE(SUBSTITUTE(INDEX(Y:Y,_xlfn.XMATCH($X119,$X$1:$X118,0,-1)),"A",""))+INDEX(Z:Z,_xlfn.XMATCH($X119,$X$1:$X118,0,-1))+1)</f>
        <v>6</v>
      </c>
      <c r="Z119" s="43" cm="1">
        <f t="array" ref="Z119">SUM(IF(ISNUMBER(FIND("TmAi",$BA$1:$ZZ$1)),IF(IFERROR(ISODD(SUBSTITUTE($BA119:$ZZ119,"A","")),FALSE),IF(ISODD(SUBSTITUTE($BA119:$ZZ119,"A","")),1,0),0)))</f>
        <v>0</v>
      </c>
      <c r="AA119" t="str">
        <f t="shared" si="125"/>
        <v>11B</v>
      </c>
      <c r="AB119" t="str">
        <f t="shared" si="126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 cm="1">
        <f t="array" ref="KE119">IF(COUNTIFS($U$2:$U119,$U119)=1,1,INDEX(KE:KE,_xlfn.XMATCH(U119,U$1:U118,0,-1))+COUNT(KE118:KI118))</f>
        <v>198</v>
      </c>
      <c r="KF119">
        <f t="shared" si="127"/>
        <v>199</v>
      </c>
      <c r="KG119">
        <f t="shared" si="127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 cm="1">
        <f t="array" ref="Y120">IF(COUNTIFS($X$2:$X120,$X120)=1,"1",VALUE(SUBSTITUTE(INDEX(Y:Y,_xlfn.XMATCH($X120,$X$1:$X119,0,-1)),"A",""))+INDEX(Z:Z,_xlfn.XMATCH($X120,$X$1:$X119,0,-1))+1)</f>
        <v>7</v>
      </c>
      <c r="Z120" s="43" cm="1">
        <f t="array" ref="Z120">SUM(IF(ISNUMBER(FIND("TmAi",$BA$1:$ZZ$1)),IF(IFERROR(ISODD(SUBSTITUTE($BA120:$ZZ120,"A","")),FALSE),IF(ISODD(SUBSTITUTE($BA120:$ZZ120,"A","")),1,0),0)))</f>
        <v>0</v>
      </c>
      <c r="AA120" t="str">
        <f t="shared" si="125"/>
        <v>13B</v>
      </c>
      <c r="AB120" t="str">
        <f t="shared" si="126"/>
        <v>14B</v>
      </c>
      <c r="AL120" t="s">
        <v>137</v>
      </c>
      <c r="AO120" t="s">
        <v>396</v>
      </c>
      <c r="JV120" s="27" t="str">
        <f t="shared" ref="JV120:JV168" si="128">CONCATENATE("XT",U120)</f>
        <v>XT55</v>
      </c>
      <c r="JY120" t="str">
        <f t="shared" ref="JY120:JY168" si="129">CONCATENATE(T120,"-AI",REPLACE($X120,1,3,""),"-",AA120)</f>
        <v>F0-AI10-13B</v>
      </c>
      <c r="JZ120" t="str">
        <f t="shared" ref="JZ120:JZ168" si="130">CONCATENATE(T120,"-AI",REPLACE($X120,1,3,""),"-",AB120)</f>
        <v>F0-AI10-14B</v>
      </c>
      <c r="KE120" cm="1">
        <f t="array" ref="KE120">IF(COUNTIFS($U$2:$U120,$U120)=1,1,INDEX(KE:KE,_xlfn.XMATCH(U120,U$1:U119,0,-1))+COUNT(KE119:KI119))</f>
        <v>201</v>
      </c>
      <c r="KF120">
        <f t="shared" si="127"/>
        <v>202</v>
      </c>
      <c r="KG120">
        <f t="shared" si="127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 cm="1">
        <f t="array" ref="Y121">IF(COUNTIFS($X$2:$X121,$X121)=1,"1",VALUE(SUBSTITUTE(INDEX(Y:Y,_xlfn.XMATCH($X121,$X$1:$X120,0,-1)),"A",""))+INDEX(Z:Z,_xlfn.XMATCH($X121,$X$1:$X120,0,-1))+1)</f>
        <v>8</v>
      </c>
      <c r="Z121" s="43" cm="1">
        <f t="array" ref="Z121">SUM(IF(ISNUMBER(FIND("TmAi",$BA$1:$ZZ$1)),IF(IFERROR(ISODD(SUBSTITUTE($BA121:$ZZ121,"A","")),FALSE),IF(ISODD(SUBSTITUTE($BA121:$ZZ121,"A","")),1,0),0)))</f>
        <v>0</v>
      </c>
      <c r="AA121" t="str">
        <f t="shared" si="125"/>
        <v>15B</v>
      </c>
      <c r="AB121" t="str">
        <f t="shared" si="126"/>
        <v>16B</v>
      </c>
      <c r="AL121" t="s">
        <v>137</v>
      </c>
      <c r="AO121" t="s">
        <v>396</v>
      </c>
      <c r="JV121" s="27" t="str">
        <f t="shared" si="128"/>
        <v>XT55</v>
      </c>
      <c r="JY121" t="str">
        <f t="shared" si="129"/>
        <v>F0-AI10-15B</v>
      </c>
      <c r="JZ121" t="str">
        <f t="shared" si="130"/>
        <v>F0-AI10-16B</v>
      </c>
      <c r="KE121" cm="1">
        <f t="array" ref="KE121">IF(COUNTIFS($U$2:$U121,$U121)=1,1,INDEX(KE:KE,_xlfn.XMATCH(U121,U$1:U120,0,-1))+COUNT(KE120:KI120))</f>
        <v>204</v>
      </c>
      <c r="KF121">
        <f t="shared" si="127"/>
        <v>205</v>
      </c>
      <c r="KG121">
        <f t="shared" si="127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 cm="1">
        <f t="array" ref="Y122">IF(COUNTIFS($X$2:$X122,$X122)=1,"1",VALUE(SUBSTITUTE(INDEX(Y:Y,_xlfn.XMATCH($X122,$X$1:$X121,0,-1)),"A",""))+INDEX(Z:Z,_xlfn.XMATCH($X122,$X$1:$X121,0,-1))+1)</f>
        <v>1</v>
      </c>
      <c r="Z122" s="43" cm="1">
        <f t="array" ref="Z122">SUM(IF(ISNUMBER(FIND("TmAi",$BA$1:$ZZ$1)),IF(IFERROR(ISODD(SUBSTITUTE($BA122:$ZZ122,"A","")),FALSE),IF(ISODD(SUBSTITUTE($BA122:$ZZ122,"A","")),1,0),0)))</f>
        <v>0</v>
      </c>
      <c r="AA122" t="str">
        <f t="shared" si="125"/>
        <v>1B</v>
      </c>
      <c r="AB122" t="str">
        <f t="shared" si="126"/>
        <v>2B</v>
      </c>
      <c r="AL122" t="s">
        <v>137</v>
      </c>
      <c r="AO122" t="s">
        <v>396</v>
      </c>
      <c r="JV122" s="27" t="str">
        <f t="shared" si="128"/>
        <v>XT55</v>
      </c>
      <c r="JY122" t="str">
        <f t="shared" si="129"/>
        <v>F0-AI11-1B</v>
      </c>
      <c r="JZ122" t="str">
        <f t="shared" si="130"/>
        <v>F0-AI11-2B</v>
      </c>
      <c r="KE122" cm="1">
        <f t="array" ref="KE122">IF(COUNTIFS($U$2:$U122,$U122)=1,1,INDEX(KE:KE,_xlfn.XMATCH(U122,U$1:U121,0,-1))+COUNT(KE121:KI121))</f>
        <v>207</v>
      </c>
      <c r="KF122">
        <f t="shared" si="127"/>
        <v>208</v>
      </c>
      <c r="KG122">
        <f t="shared" si="127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 cm="1">
        <f t="array" ref="Y123">IF(COUNTIFS($X$2:$X123,$X123)=1,"1",VALUE(SUBSTITUTE(INDEX(Y:Y,_xlfn.XMATCH($X123,$X$1:$X122,0,-1)),"A",""))+INDEX(Z:Z,_xlfn.XMATCH($X123,$X$1:$X122,0,-1))+1)</f>
        <v>2</v>
      </c>
      <c r="Z123" s="43" cm="1">
        <f t="array" ref="Z123">SUM(IF(ISNUMBER(FIND("TmAi",$BA$1:$ZZ$1)),IF(IFERROR(ISODD(SUBSTITUTE($BA123:$ZZ123,"A","")),FALSE),IF(ISODD(SUBSTITUTE($BA123:$ZZ123,"A","")),1,0),0)))</f>
        <v>0</v>
      </c>
      <c r="AA123" t="str">
        <f t="shared" si="125"/>
        <v>3B</v>
      </c>
      <c r="AB123" t="str">
        <f t="shared" si="126"/>
        <v>4B</v>
      </c>
      <c r="AL123" t="s">
        <v>137</v>
      </c>
      <c r="AO123" t="s">
        <v>396</v>
      </c>
      <c r="JV123" s="27" t="str">
        <f t="shared" si="128"/>
        <v>XT55</v>
      </c>
      <c r="JY123" t="str">
        <f t="shared" si="129"/>
        <v>F0-AI11-3B</v>
      </c>
      <c r="JZ123" t="str">
        <f t="shared" si="130"/>
        <v>F0-AI11-4B</v>
      </c>
      <c r="KE123" cm="1">
        <f t="array" ref="KE123">IF(COUNTIFS($U$2:$U123,$U123)=1,1,INDEX(KE:KE,_xlfn.XMATCH(U123,U$1:U122,0,-1))+COUNT(KE122:KI122))</f>
        <v>210</v>
      </c>
      <c r="KF123">
        <f t="shared" ref="KF123:KG161" si="131">KE123+1</f>
        <v>211</v>
      </c>
      <c r="KG123">
        <f t="shared" si="131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 cm="1">
        <f t="array" ref="Y124">IF(COUNTIFS($X$2:$X124,$X124)=1,"1",VALUE(SUBSTITUTE(INDEX(Y:Y,_xlfn.XMATCH($X124,$X$1:$X123,0,-1)),"A",""))+INDEX(Z:Z,_xlfn.XMATCH($X124,$X$1:$X123,0,-1))+1)</f>
        <v>3</v>
      </c>
      <c r="Z124" s="43" cm="1">
        <f t="array" ref="Z124">SUM(IF(ISNUMBER(FIND("TmAi",$BA$1:$ZZ$1)),IF(IFERROR(ISODD(SUBSTITUTE($BA124:$ZZ124,"A","")),FALSE),IF(ISODD(SUBSTITUTE($BA124:$ZZ124,"A","")),1,0),0)))</f>
        <v>0</v>
      </c>
      <c r="AA124" t="str">
        <f t="shared" si="125"/>
        <v>5B</v>
      </c>
      <c r="AB124" t="str">
        <f t="shared" si="126"/>
        <v>6B</v>
      </c>
      <c r="AL124" t="s">
        <v>137</v>
      </c>
      <c r="AO124" t="s">
        <v>396</v>
      </c>
      <c r="JV124" s="27" t="str">
        <f t="shared" si="128"/>
        <v>XT55</v>
      </c>
      <c r="JY124" t="str">
        <f t="shared" si="129"/>
        <v>F0-AI11-5B</v>
      </c>
      <c r="JZ124" t="str">
        <f t="shared" si="130"/>
        <v>F0-AI11-6B</v>
      </c>
      <c r="KE124" cm="1">
        <f t="array" ref="KE124">IF(COUNTIFS($U$2:$U124,$U124)=1,1,INDEX(KE:KE,_xlfn.XMATCH(U124,U$1:U123,0,-1))+COUNT(KE123:KI123))</f>
        <v>213</v>
      </c>
      <c r="KF124">
        <f t="shared" si="131"/>
        <v>214</v>
      </c>
      <c r="KG124">
        <f t="shared" si="131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 cm="1">
        <f t="array" ref="Y125">IF(COUNTIFS($X$2:$X125,$X125)=1,"1",VALUE(SUBSTITUTE(INDEX(Y:Y,_xlfn.XMATCH($X125,$X$1:$X124,0,-1)),"A",""))+INDEX(Z:Z,_xlfn.XMATCH($X125,$X$1:$X124,0,-1))+1)</f>
        <v>4</v>
      </c>
      <c r="Z125" s="43" cm="1">
        <f t="array" ref="Z125">SUM(IF(ISNUMBER(FIND("TmAi",$BA$1:$ZZ$1)),IF(IFERROR(ISODD(SUBSTITUTE($BA125:$ZZ125,"A","")),FALSE),IF(ISODD(SUBSTITUTE($BA125:$ZZ125,"A","")),1,0),0)))</f>
        <v>0</v>
      </c>
      <c r="AA125" t="str">
        <f t="shared" si="125"/>
        <v>7B</v>
      </c>
      <c r="AB125" t="str">
        <f t="shared" si="126"/>
        <v>8B</v>
      </c>
      <c r="AL125" t="s">
        <v>137</v>
      </c>
      <c r="AO125" t="s">
        <v>396</v>
      </c>
      <c r="JV125" s="27" t="str">
        <f t="shared" si="128"/>
        <v>XT55</v>
      </c>
      <c r="JY125" t="str">
        <f t="shared" si="129"/>
        <v>F0-AI11-7B</v>
      </c>
      <c r="JZ125" t="str">
        <f t="shared" si="130"/>
        <v>F0-AI11-8B</v>
      </c>
      <c r="KE125" cm="1">
        <f t="array" ref="KE125">IF(COUNTIFS($U$2:$U125,$U125)=1,1,INDEX(KE:KE,_xlfn.XMATCH(U125,U$1:U124,0,-1))+COUNT(KE124:KI124))</f>
        <v>216</v>
      </c>
      <c r="KF125">
        <f t="shared" si="131"/>
        <v>217</v>
      </c>
      <c r="KG125">
        <f t="shared" si="131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 cm="1">
        <f t="array" ref="Y126">IF(COUNTIFS($X$2:$X126,$X126)=1,"1",VALUE(SUBSTITUTE(INDEX(Y:Y,_xlfn.XMATCH($X126,$X$1:$X125,0,-1)),"A",""))+INDEX(Z:Z,_xlfn.XMATCH($X126,$X$1:$X125,0,-1))+1)</f>
        <v>5</v>
      </c>
      <c r="Z126" s="43" cm="1">
        <f t="array" ref="Z126">SUM(IF(ISNUMBER(FIND("TmAi",$BA$1:$ZZ$1)),IF(IFERROR(ISODD(SUBSTITUTE($BA126:$ZZ126,"A","")),FALSE),IF(ISODD(SUBSTITUTE($BA126:$ZZ126,"A","")),1,0),0)))</f>
        <v>0</v>
      </c>
      <c r="AA126" t="str">
        <f t="shared" si="125"/>
        <v>9B</v>
      </c>
      <c r="AB126" t="str">
        <f t="shared" si="126"/>
        <v>10B</v>
      </c>
      <c r="AL126" t="s">
        <v>137</v>
      </c>
      <c r="AO126" t="s">
        <v>396</v>
      </c>
      <c r="JV126" s="27" t="str">
        <f t="shared" si="128"/>
        <v>XT55</v>
      </c>
      <c r="JY126" t="str">
        <f t="shared" si="129"/>
        <v>F0-AI11-9B</v>
      </c>
      <c r="JZ126" t="str">
        <f t="shared" si="130"/>
        <v>F0-AI11-10B</v>
      </c>
      <c r="KE126" cm="1">
        <f t="array" ref="KE126">IF(COUNTIFS($U$2:$U126,$U126)=1,1,INDEX(KE:KE,_xlfn.XMATCH(U126,U$1:U125,0,-1))+COUNT(KE125:KI125))</f>
        <v>219</v>
      </c>
      <c r="KF126">
        <f t="shared" si="131"/>
        <v>220</v>
      </c>
      <c r="KG126">
        <f t="shared" si="131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 cm="1">
        <f t="array" ref="Y127">IF(COUNTIFS($X$2:$X127,$X127)=1,"1",VALUE(SUBSTITUTE(INDEX(Y:Y,_xlfn.XMATCH($X127,$X$1:$X126,0,-1)),"A",""))+INDEX(Z:Z,_xlfn.XMATCH($X127,$X$1:$X126,0,-1))+1)</f>
        <v>6</v>
      </c>
      <c r="Z127" s="43" cm="1">
        <f t="array" ref="Z127">SUM(IF(ISNUMBER(FIND("TmAi",$BA$1:$ZZ$1)),IF(IFERROR(ISODD(SUBSTITUTE($BA127:$ZZ127,"A","")),FALSE),IF(ISODD(SUBSTITUTE($BA127:$ZZ127,"A","")),1,0),0)))</f>
        <v>0</v>
      </c>
      <c r="AA127" t="str">
        <f t="shared" si="125"/>
        <v>11B</v>
      </c>
      <c r="AB127" t="str">
        <f t="shared" si="126"/>
        <v>12B</v>
      </c>
      <c r="AL127" t="s">
        <v>137</v>
      </c>
      <c r="AO127" t="s">
        <v>396</v>
      </c>
      <c r="JV127" s="27" t="str">
        <f t="shared" si="128"/>
        <v>XT55</v>
      </c>
      <c r="JY127" t="str">
        <f t="shared" si="129"/>
        <v>F0-AI11-11B</v>
      </c>
      <c r="JZ127" t="str">
        <f t="shared" si="130"/>
        <v>F0-AI11-12B</v>
      </c>
      <c r="KE127" cm="1">
        <f t="array" ref="KE127">IF(COUNTIFS($U$2:$U127,$U127)=1,1,INDEX(KE:KE,_xlfn.XMATCH(U127,U$1:U126,0,-1))+COUNT(KE126:KI126))</f>
        <v>222</v>
      </c>
      <c r="KF127">
        <f t="shared" si="131"/>
        <v>223</v>
      </c>
      <c r="KG127">
        <f t="shared" si="131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 cm="1">
        <f t="array" ref="Y128">IF(COUNTIFS($X$2:$X128,$X128)=1,"1",VALUE(SUBSTITUTE(INDEX(Y:Y,_xlfn.XMATCH($X128,$X$1:$X127,0,-1)),"A",""))+INDEX(Z:Z,_xlfn.XMATCH($X128,$X$1:$X127,0,-1))+1)</f>
        <v>7</v>
      </c>
      <c r="Z128" s="43" cm="1">
        <f t="array" ref="Z128">SUM(IF(ISNUMBER(FIND("TmAi",$BA$1:$ZZ$1)),IF(IFERROR(ISODD(SUBSTITUTE($BA128:$ZZ128,"A","")),FALSE),IF(ISODD(SUBSTITUTE($BA128:$ZZ128,"A","")),1,0),0)))</f>
        <v>0</v>
      </c>
      <c r="AA128" t="str">
        <f t="shared" si="125"/>
        <v>13B</v>
      </c>
      <c r="AB128" t="str">
        <f t="shared" si="126"/>
        <v>14B</v>
      </c>
      <c r="AL128" t="s">
        <v>137</v>
      </c>
      <c r="AO128" t="s">
        <v>396</v>
      </c>
      <c r="JV128" s="27" t="str">
        <f t="shared" si="128"/>
        <v>XT55</v>
      </c>
      <c r="JY128" t="str">
        <f t="shared" si="129"/>
        <v>F0-AI11-13B</v>
      </c>
      <c r="JZ128" t="str">
        <f t="shared" si="130"/>
        <v>F0-AI11-14B</v>
      </c>
      <c r="KE128" cm="1">
        <f t="array" ref="KE128">IF(COUNTIFS($U$2:$U128,$U128)=1,1,INDEX(KE:KE,_xlfn.XMATCH(U128,U$1:U127,0,-1))+COUNT(KE127:KI127))</f>
        <v>225</v>
      </c>
      <c r="KF128">
        <f t="shared" si="131"/>
        <v>226</v>
      </c>
      <c r="KG128">
        <f t="shared" si="131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 cm="1">
        <f t="array" ref="Y129">IF(COUNTIFS($X$2:$X129,$X129)=1,"1",VALUE(SUBSTITUTE(INDEX(Y:Y,_xlfn.XMATCH($X129,$X$1:$X128,0,-1)),"A",""))+INDEX(Z:Z,_xlfn.XMATCH($X129,$X$1:$X128,0,-1))+1)</f>
        <v>8</v>
      </c>
      <c r="Z129" s="43" cm="1">
        <f t="array" ref="Z129">SUM(IF(ISNUMBER(FIND("TmAi",$BA$1:$ZZ$1)),IF(IFERROR(ISODD(SUBSTITUTE($BA129:$ZZ129,"A","")),FALSE),IF(ISODD(SUBSTITUTE($BA129:$ZZ129,"A","")),1,0),0)))</f>
        <v>0</v>
      </c>
      <c r="AA129" t="str">
        <f t="shared" si="125"/>
        <v>15B</v>
      </c>
      <c r="AB129" t="str">
        <f t="shared" si="126"/>
        <v>16B</v>
      </c>
      <c r="AL129" t="s">
        <v>137</v>
      </c>
      <c r="AO129" t="s">
        <v>396</v>
      </c>
      <c r="JV129" s="27" t="str">
        <f t="shared" si="128"/>
        <v>XT55</v>
      </c>
      <c r="JY129" t="str">
        <f t="shared" si="129"/>
        <v>F0-AI11-15B</v>
      </c>
      <c r="JZ129" t="str">
        <f t="shared" si="130"/>
        <v>F0-AI11-16B</v>
      </c>
      <c r="KE129" cm="1">
        <f t="array" ref="KE129">IF(COUNTIFS($U$2:$U129,$U129)=1,1,INDEX(KE:KE,_xlfn.XMATCH(U129,U$1:U128,0,-1))+COUNT(KE128:KI128))</f>
        <v>228</v>
      </c>
      <c r="KF129">
        <f t="shared" si="131"/>
        <v>229</v>
      </c>
      <c r="KG129">
        <f t="shared" si="131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 cm="1">
        <f t="array" ref="Y130">IF(COUNTIFS($X$2:$X130,$X130)=1,"1",VALUE(SUBSTITUTE(INDEX(Y:Y,_xlfn.XMATCH($X130,$X$1:$X129,0,-1)),"A",""))+INDEX(Z:Z,_xlfn.XMATCH($X130,$X$1:$X129,0,-1))+1)</f>
        <v>1</v>
      </c>
      <c r="Z130" s="43" cm="1">
        <f t="array" ref="Z130">SUM(IF(ISNUMBER(FIND("TmAi",$BA$1:$ZZ$1)),IF(IFERROR(ISODD(SUBSTITUTE($BA130:$ZZ130,"A","")),FALSE),IF(ISODD(SUBSTITUTE($BA130:$ZZ130,"A","")),1,0),0)))</f>
        <v>0</v>
      </c>
      <c r="AA130" t="str">
        <f t="shared" si="125"/>
        <v>1B</v>
      </c>
      <c r="AB130" t="str">
        <f t="shared" si="126"/>
        <v>2B</v>
      </c>
      <c r="AL130" t="s">
        <v>137</v>
      </c>
      <c r="AO130" t="s">
        <v>396</v>
      </c>
      <c r="JV130" s="27" t="str">
        <f t="shared" si="128"/>
        <v>XT55</v>
      </c>
      <c r="JY130" t="str">
        <f t="shared" si="129"/>
        <v>F0-AI12-1B</v>
      </c>
      <c r="JZ130" t="str">
        <f t="shared" si="130"/>
        <v>F0-AI12-2B</v>
      </c>
      <c r="KE130" cm="1">
        <f t="array" ref="KE130">IF(COUNTIFS($U$2:$U130,$U130)=1,1,INDEX(KE:KE,_xlfn.XMATCH(U130,U$1:U129,0,-1))+COUNT(KE129:KI129))</f>
        <v>231</v>
      </c>
      <c r="KF130">
        <f t="shared" si="131"/>
        <v>232</v>
      </c>
      <c r="KG130">
        <f t="shared" si="131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 cm="1">
        <f t="array" ref="Y131">IF(COUNTIFS($X$2:$X131,$X131)=1,"1",VALUE(SUBSTITUTE(INDEX(Y:Y,_xlfn.XMATCH($X131,$X$1:$X130,0,-1)),"A",""))+INDEX(Z:Z,_xlfn.XMATCH($X131,$X$1:$X130,0,-1))+1)</f>
        <v>2</v>
      </c>
      <c r="Z131" s="43" cm="1">
        <f t="array" ref="Z131">SUM(IF(ISNUMBER(FIND("TmAi",$BA$1:$ZZ$1)),IF(IFERROR(ISODD(SUBSTITUTE($BA131:$ZZ131,"A","")),FALSE),IF(ISODD(SUBSTITUTE($BA131:$ZZ131,"A","")),1,0),0)))</f>
        <v>0</v>
      </c>
      <c r="AA131" t="str">
        <f t="shared" si="125"/>
        <v>3B</v>
      </c>
      <c r="AB131" t="str">
        <f t="shared" si="126"/>
        <v>4B</v>
      </c>
      <c r="AL131" t="s">
        <v>137</v>
      </c>
      <c r="AO131" t="s">
        <v>396</v>
      </c>
      <c r="JV131" s="27" t="str">
        <f t="shared" si="128"/>
        <v>XT55</v>
      </c>
      <c r="JY131" t="str">
        <f t="shared" si="129"/>
        <v>F0-AI12-3B</v>
      </c>
      <c r="JZ131" t="str">
        <f t="shared" si="130"/>
        <v>F0-AI12-4B</v>
      </c>
      <c r="KE131" cm="1">
        <f t="array" ref="KE131">IF(COUNTIFS($U$2:$U131,$U131)=1,1,INDEX(KE:KE,_xlfn.XMATCH(U131,U$1:U130,0,-1))+COUNT(KE130:KI130))</f>
        <v>234</v>
      </c>
      <c r="KF131">
        <f t="shared" si="131"/>
        <v>235</v>
      </c>
      <c r="KG131">
        <f t="shared" si="131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 cm="1">
        <f t="array" ref="Y132">IF(COUNTIFS($X$2:$X132,$X132)=1,"1",VALUE(SUBSTITUTE(INDEX(Y:Y,_xlfn.XMATCH($X132,$X$1:$X131,0,-1)),"A",""))+INDEX(Z:Z,_xlfn.XMATCH($X132,$X$1:$X131,0,-1))+1)</f>
        <v>3</v>
      </c>
      <c r="Z132" s="43" cm="1">
        <f t="array" ref="Z132">SUM(IF(ISNUMBER(FIND("TmAi",$BA$1:$ZZ$1)),IF(IFERROR(ISODD(SUBSTITUTE($BA132:$ZZ132,"A","")),FALSE),IF(ISODD(SUBSTITUTE($BA132:$ZZ132,"A","")),1,0),0)))</f>
        <v>0</v>
      </c>
      <c r="AA132" t="str">
        <f t="shared" si="125"/>
        <v>5B</v>
      </c>
      <c r="AB132" t="str">
        <f t="shared" si="126"/>
        <v>6B</v>
      </c>
      <c r="AL132" t="s">
        <v>137</v>
      </c>
      <c r="AO132" t="s">
        <v>396</v>
      </c>
      <c r="JV132" s="27" t="str">
        <f t="shared" si="128"/>
        <v>XT55</v>
      </c>
      <c r="JY132" t="str">
        <f t="shared" si="129"/>
        <v>F0-AI12-5B</v>
      </c>
      <c r="JZ132" t="str">
        <f t="shared" si="130"/>
        <v>F0-AI12-6B</v>
      </c>
      <c r="KE132" cm="1">
        <f t="array" ref="KE132">IF(COUNTIFS($U$2:$U132,$U132)=1,1,INDEX(KE:KE,_xlfn.XMATCH(U132,U$1:U131,0,-1))+COUNT(KE131:KI131))</f>
        <v>237</v>
      </c>
      <c r="KF132">
        <f t="shared" si="131"/>
        <v>238</v>
      </c>
      <c r="KG132">
        <f t="shared" si="131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 cm="1">
        <f t="array" ref="Y133">IF(COUNTIFS($X$2:$X133,$X133)=1,"1",VALUE(SUBSTITUTE(INDEX(Y:Y,_xlfn.XMATCH($X133,$X$1:$X132,0,-1)),"A",""))+INDEX(Z:Z,_xlfn.XMATCH($X133,$X$1:$X132,0,-1))+1)</f>
        <v>4</v>
      </c>
      <c r="Z133" s="43" cm="1">
        <f t="array" ref="Z133">SUM(IF(ISNUMBER(FIND("TmAi",$BA$1:$ZZ$1)),IF(IFERROR(ISODD(SUBSTITUTE($BA133:$ZZ133,"A","")),FALSE),IF(ISODD(SUBSTITUTE($BA133:$ZZ133,"A","")),1,0),0)))</f>
        <v>0</v>
      </c>
      <c r="AA133" t="str">
        <f t="shared" si="125"/>
        <v>7B</v>
      </c>
      <c r="AB133" t="str">
        <f t="shared" si="126"/>
        <v>8B</v>
      </c>
      <c r="AL133" t="s">
        <v>137</v>
      </c>
      <c r="AO133" t="s">
        <v>396</v>
      </c>
      <c r="JV133" s="27" t="str">
        <f t="shared" si="128"/>
        <v>XT55</v>
      </c>
      <c r="JY133" t="str">
        <f t="shared" si="129"/>
        <v>F0-AI12-7B</v>
      </c>
      <c r="JZ133" t="str">
        <f t="shared" si="130"/>
        <v>F0-AI12-8B</v>
      </c>
      <c r="KE133" cm="1">
        <f t="array" ref="KE133">IF(COUNTIFS($U$2:$U133,$U133)=1,1,INDEX(KE:KE,_xlfn.XMATCH(U133,U$1:U132,0,-1))+COUNT(KE132:KI132))</f>
        <v>240</v>
      </c>
      <c r="KF133">
        <f t="shared" si="131"/>
        <v>241</v>
      </c>
      <c r="KG133">
        <f t="shared" si="131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 cm="1">
        <f t="array" ref="Y134">IF(COUNTIFS($X$2:$X134,$X134)=1,"1",VALUE(SUBSTITUTE(INDEX(Y:Y,_xlfn.XMATCH($X134,$X$1:$X133,0,-1)),"A",""))+INDEX(Z:Z,_xlfn.XMATCH($X134,$X$1:$X133,0,-1))+1)</f>
        <v>5</v>
      </c>
      <c r="Z134" s="43" cm="1">
        <f t="array" ref="Z134">SUM(IF(ISNUMBER(FIND("TmAi",$BA$1:$ZZ$1)),IF(IFERROR(ISODD(SUBSTITUTE($BA134:$ZZ134,"A","")),FALSE),IF(ISODD(SUBSTITUTE($BA134:$ZZ134,"A","")),1,0),0)))</f>
        <v>0</v>
      </c>
      <c r="AA134" t="str">
        <f t="shared" si="125"/>
        <v>9B</v>
      </c>
      <c r="AB134" t="str">
        <f t="shared" si="126"/>
        <v>10B</v>
      </c>
      <c r="AL134" t="s">
        <v>137</v>
      </c>
      <c r="AO134" t="s">
        <v>396</v>
      </c>
      <c r="JV134" s="27" t="str">
        <f t="shared" si="128"/>
        <v>XT55</v>
      </c>
      <c r="JY134" t="str">
        <f t="shared" si="129"/>
        <v>F0-AI12-9B</v>
      </c>
      <c r="JZ134" t="str">
        <f t="shared" si="130"/>
        <v>F0-AI12-10B</v>
      </c>
      <c r="KE134" cm="1">
        <f t="array" ref="KE134">IF(COUNTIFS($U$2:$U134,$U134)=1,1,INDEX(KE:KE,_xlfn.XMATCH(U134,U$1:U133,0,-1))+COUNT(KE133:KI133))</f>
        <v>243</v>
      </c>
      <c r="KF134">
        <f t="shared" si="131"/>
        <v>244</v>
      </c>
      <c r="KG134">
        <f t="shared" si="131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 cm="1">
        <f t="array" ref="Y135">IF(COUNTIFS($X$2:$X135,$X135)=1,"1",VALUE(SUBSTITUTE(INDEX(Y:Y,_xlfn.XMATCH($X135,$X$1:$X134,0,-1)),"A",""))+INDEX(Z:Z,_xlfn.XMATCH($X135,$X$1:$X134,0,-1))+1)</f>
        <v>6</v>
      </c>
      <c r="Z135" s="43" cm="1">
        <f t="array" ref="Z135">SUM(IF(ISNUMBER(FIND("TmAi",$BA$1:$ZZ$1)),IF(IFERROR(ISODD(SUBSTITUTE($BA135:$ZZ135,"A","")),FALSE),IF(ISODD(SUBSTITUTE($BA135:$ZZ135,"A","")),1,0),0)))</f>
        <v>0</v>
      </c>
      <c r="AA135" t="str">
        <f t="shared" si="125"/>
        <v>11B</v>
      </c>
      <c r="AB135" t="str">
        <f t="shared" si="126"/>
        <v>12B</v>
      </c>
      <c r="AL135" t="s">
        <v>137</v>
      </c>
      <c r="AO135" t="s">
        <v>396</v>
      </c>
      <c r="JV135" s="27" t="str">
        <f t="shared" si="128"/>
        <v>XT55</v>
      </c>
      <c r="JY135" t="str">
        <f t="shared" si="129"/>
        <v>F0-AI12-11B</v>
      </c>
      <c r="JZ135" t="str">
        <f t="shared" si="130"/>
        <v>F0-AI12-12B</v>
      </c>
      <c r="KE135" cm="1">
        <f t="array" ref="KE135">IF(COUNTIFS($U$2:$U135,$U135)=1,1,INDEX(KE:KE,_xlfn.XMATCH(U135,U$1:U134,0,-1))+COUNT(KE134:KI134))</f>
        <v>246</v>
      </c>
      <c r="KF135">
        <f t="shared" si="131"/>
        <v>247</v>
      </c>
      <c r="KG135">
        <f t="shared" si="131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 cm="1">
        <f t="array" ref="Y136">IF(COUNTIFS($X$2:$X136,$X136)=1,"1",VALUE(SUBSTITUTE(INDEX(Y:Y,_xlfn.XMATCH($X136,$X$1:$X135,0,-1)),"A",""))+INDEX(Z:Z,_xlfn.XMATCH($X136,$X$1:$X135,0,-1))+1)</f>
        <v>7</v>
      </c>
      <c r="Z136" s="43" cm="1">
        <f t="array" ref="Z136">SUM(IF(ISNUMBER(FIND("TmAi",$BA$1:$ZZ$1)),IF(IFERROR(ISODD(SUBSTITUTE($BA136:$ZZ136,"A","")),FALSE),IF(ISODD(SUBSTITUTE($BA136:$ZZ136,"A","")),1,0),0)))</f>
        <v>0</v>
      </c>
      <c r="AA136" t="str">
        <f t="shared" si="125"/>
        <v>13B</v>
      </c>
      <c r="AB136" t="str">
        <f t="shared" si="126"/>
        <v>14B</v>
      </c>
      <c r="AL136" t="s">
        <v>137</v>
      </c>
      <c r="AO136" t="s">
        <v>396</v>
      </c>
      <c r="JV136" s="27" t="str">
        <f t="shared" si="128"/>
        <v>XT55</v>
      </c>
      <c r="JY136" t="str">
        <f t="shared" si="129"/>
        <v>F0-AI12-13B</v>
      </c>
      <c r="JZ136" t="str">
        <f t="shared" si="130"/>
        <v>F0-AI12-14B</v>
      </c>
      <c r="KE136" cm="1">
        <f t="array" ref="KE136">IF(COUNTIFS($U$2:$U136,$U136)=1,1,INDEX(KE:KE,_xlfn.XMATCH(U136,U$1:U135,0,-1))+COUNT(KE135:KI135))</f>
        <v>249</v>
      </c>
      <c r="KF136">
        <f t="shared" si="131"/>
        <v>250</v>
      </c>
      <c r="KG136">
        <f t="shared" si="131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 cm="1">
        <f t="array" ref="Y137">IF(COUNTIFS($X$2:$X137,$X137)=1,"1",VALUE(SUBSTITUTE(INDEX(Y:Y,_xlfn.XMATCH($X137,$X$1:$X136,0,-1)),"A",""))+INDEX(Z:Z,_xlfn.XMATCH($X137,$X$1:$X136,0,-1))+1)</f>
        <v>8</v>
      </c>
      <c r="Z137" s="43" cm="1">
        <f t="array" ref="Z137">SUM(IF(ISNUMBER(FIND("TmAi",$BA$1:$ZZ$1)),IF(IFERROR(ISODD(SUBSTITUTE($BA137:$ZZ137,"A","")),FALSE),IF(ISODD(SUBSTITUTE($BA137:$ZZ137,"A","")),1,0),0)))</f>
        <v>0</v>
      </c>
      <c r="AA137" t="str">
        <f t="shared" si="125"/>
        <v>15B</v>
      </c>
      <c r="AB137" t="str">
        <f t="shared" si="126"/>
        <v>16B</v>
      </c>
      <c r="AL137" t="s">
        <v>137</v>
      </c>
      <c r="AO137" t="s">
        <v>396</v>
      </c>
      <c r="JV137" s="27" t="str">
        <f t="shared" si="128"/>
        <v>XT55</v>
      </c>
      <c r="JY137" t="str">
        <f t="shared" si="129"/>
        <v>F0-AI12-15B</v>
      </c>
      <c r="JZ137" t="str">
        <f t="shared" si="130"/>
        <v>F0-AI12-16B</v>
      </c>
      <c r="KE137" cm="1">
        <f t="array" ref="KE137">IF(COUNTIFS($U$2:$U137,$U137)=1,1,INDEX(KE:KE,_xlfn.XMATCH(U137,U$1:U136,0,-1))+COUNT(KE136:KI136))</f>
        <v>252</v>
      </c>
      <c r="KF137">
        <f t="shared" si="131"/>
        <v>253</v>
      </c>
      <c r="KG137">
        <f t="shared" si="131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 cm="1">
        <f t="array" ref="Y138">IF(COUNTIFS($X$2:$X138,$X138)=1,"1",VALUE(SUBSTITUTE(INDEX(Y:Y,_xlfn.XMATCH($X138,$X$1:$X137,0,-1)),"A",""))+INDEX(Z:Z,_xlfn.XMATCH($X138,$X$1:$X137,0,-1))+1)</f>
        <v>1</v>
      </c>
      <c r="Z138" s="43" cm="1">
        <f t="array" ref="Z138">SUM(IF(ISNUMBER(FIND("TmAi",$BA$1:$ZZ$1)),IF(IFERROR(ISODD(SUBSTITUTE($BA138:$ZZ138,"A","")),FALSE),IF(ISODD(SUBSTITUTE($BA138:$ZZ138,"A","")),1,0),0)))</f>
        <v>0</v>
      </c>
      <c r="AA138" t="str">
        <f t="shared" si="125"/>
        <v>1B</v>
      </c>
      <c r="AB138" t="str">
        <f t="shared" si="126"/>
        <v>2B</v>
      </c>
      <c r="AL138" t="s">
        <v>137</v>
      </c>
      <c r="AO138" t="s">
        <v>396</v>
      </c>
      <c r="JV138" s="27" t="str">
        <f t="shared" si="128"/>
        <v>XT55</v>
      </c>
      <c r="JY138" t="str">
        <f t="shared" si="129"/>
        <v>F0-AI13-1B</v>
      </c>
      <c r="JZ138" t="str">
        <f t="shared" si="130"/>
        <v>F0-AI13-2B</v>
      </c>
      <c r="KE138" cm="1">
        <f t="array" ref="KE138">IF(COUNTIFS($U$2:$U138,$U138)=1,1,INDEX(KE:KE,_xlfn.XMATCH(U138,U$1:U137,0,-1))+COUNT(KE137:KI137))</f>
        <v>255</v>
      </c>
      <c r="KF138">
        <f t="shared" si="131"/>
        <v>256</v>
      </c>
      <c r="KG138">
        <f t="shared" si="131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 cm="1">
        <f t="array" ref="Y139">IF(COUNTIFS($X$2:$X139,$X139)=1,"1",VALUE(SUBSTITUTE(INDEX(Y:Y,_xlfn.XMATCH($X139,$X$1:$X138,0,-1)),"A",""))+INDEX(Z:Z,_xlfn.XMATCH($X139,$X$1:$X138,0,-1))+1)</f>
        <v>2</v>
      </c>
      <c r="Z139" s="43" cm="1">
        <f t="array" ref="Z139">SUM(IF(ISNUMBER(FIND("TmAi",$BA$1:$ZZ$1)),IF(IFERROR(ISODD(SUBSTITUTE($BA139:$ZZ139,"A","")),FALSE),IF(ISODD(SUBSTITUTE($BA139:$ZZ139,"A","")),1,0),0)))</f>
        <v>0</v>
      </c>
      <c r="AA139" t="str">
        <f t="shared" si="125"/>
        <v>3B</v>
      </c>
      <c r="AB139" t="str">
        <f t="shared" si="126"/>
        <v>4B</v>
      </c>
      <c r="AL139" t="s">
        <v>137</v>
      </c>
      <c r="AO139" t="s">
        <v>396</v>
      </c>
      <c r="JV139" s="27" t="str">
        <f t="shared" si="128"/>
        <v>XT55</v>
      </c>
      <c r="JY139" t="str">
        <f t="shared" si="129"/>
        <v>F0-AI13-3B</v>
      </c>
      <c r="JZ139" t="str">
        <f t="shared" si="130"/>
        <v>F0-AI13-4B</v>
      </c>
      <c r="KE139" cm="1">
        <f t="array" ref="KE139">IF(COUNTIFS($U$2:$U139,$U139)=1,1,INDEX(KE:KE,_xlfn.XMATCH(U139,U$1:U138,0,-1))+COUNT(KE138:KI138))</f>
        <v>258</v>
      </c>
      <c r="KF139">
        <f t="shared" si="131"/>
        <v>259</v>
      </c>
      <c r="KG139">
        <f t="shared" si="131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 cm="1">
        <f t="array" ref="Y140">IF(COUNTIFS($X$2:$X140,$X140)=1,"1",VALUE(SUBSTITUTE(INDEX(Y:Y,_xlfn.XMATCH($X140,$X$1:$X139,0,-1)),"A",""))+INDEX(Z:Z,_xlfn.XMATCH($X140,$X$1:$X139,0,-1))+1)</f>
        <v>3</v>
      </c>
      <c r="Z140" s="43" cm="1">
        <f t="array" ref="Z140">SUM(IF(ISNUMBER(FIND("TmAi",$BA$1:$ZZ$1)),IF(IFERROR(ISODD(SUBSTITUTE($BA140:$ZZ140,"A","")),FALSE),IF(ISODD(SUBSTITUTE($BA140:$ZZ140,"A","")),1,0),0)))</f>
        <v>0</v>
      </c>
      <c r="AA140" t="str">
        <f t="shared" si="125"/>
        <v>5B</v>
      </c>
      <c r="AB140" t="str">
        <f t="shared" si="126"/>
        <v>6B</v>
      </c>
      <c r="AL140" t="s">
        <v>137</v>
      </c>
      <c r="AO140" t="s">
        <v>396</v>
      </c>
      <c r="JV140" s="27" t="str">
        <f t="shared" si="128"/>
        <v>XT55</v>
      </c>
      <c r="JY140" t="str">
        <f t="shared" si="129"/>
        <v>F0-AI13-5B</v>
      </c>
      <c r="JZ140" t="str">
        <f t="shared" si="130"/>
        <v>F0-AI13-6B</v>
      </c>
      <c r="KE140" cm="1">
        <f t="array" ref="KE140">IF(COUNTIFS($U$2:$U140,$U140)=1,1,INDEX(KE:KE,_xlfn.XMATCH(U140,U$1:U139,0,-1))+COUNT(KE139:KI139))</f>
        <v>261</v>
      </c>
      <c r="KF140">
        <f t="shared" si="131"/>
        <v>262</v>
      </c>
      <c r="KG140">
        <f t="shared" si="131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 cm="1">
        <f t="array" ref="Y141">IF(COUNTIFS($X$2:$X141,$X141)=1,"1",VALUE(SUBSTITUTE(INDEX(Y:Y,_xlfn.XMATCH($X141,$X$1:$X140,0,-1)),"A",""))+INDEX(Z:Z,_xlfn.XMATCH($X141,$X$1:$X140,0,-1))+1)</f>
        <v>4</v>
      </c>
      <c r="Z141" s="43" cm="1">
        <f t="array" ref="Z141">SUM(IF(ISNUMBER(FIND("TmAi",$BA$1:$ZZ$1)),IF(IFERROR(ISODD(SUBSTITUTE($BA141:$ZZ141,"A","")),FALSE),IF(ISODD(SUBSTITUTE($BA141:$ZZ141,"A","")),1,0),0)))</f>
        <v>0</v>
      </c>
      <c r="AA141" t="str">
        <f t="shared" si="125"/>
        <v>7B</v>
      </c>
      <c r="AB141" t="str">
        <f t="shared" si="126"/>
        <v>8B</v>
      </c>
      <c r="AL141" t="s">
        <v>137</v>
      </c>
      <c r="AO141" t="s">
        <v>396</v>
      </c>
      <c r="JV141" s="27" t="str">
        <f t="shared" si="128"/>
        <v>XT55</v>
      </c>
      <c r="JY141" t="str">
        <f t="shared" si="129"/>
        <v>F0-AI13-7B</v>
      </c>
      <c r="JZ141" t="str">
        <f t="shared" si="130"/>
        <v>F0-AI13-8B</v>
      </c>
      <c r="KE141" cm="1">
        <f t="array" ref="KE141">IF(COUNTIFS($U$2:$U141,$U141)=1,1,INDEX(KE:KE,_xlfn.XMATCH(U141,U$1:U140,0,-1))+COUNT(KE140:KI140))</f>
        <v>264</v>
      </c>
      <c r="KF141">
        <f t="shared" si="131"/>
        <v>265</v>
      </c>
      <c r="KG141">
        <f t="shared" si="131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 cm="1">
        <f t="array" ref="Y142">IF(COUNTIFS($X$2:$X142,$X142)=1,"1",VALUE(SUBSTITUTE(INDEX(Y:Y,_xlfn.XMATCH($X142,$X$1:$X141,0,-1)),"A",""))+INDEX(Z:Z,_xlfn.XMATCH($X142,$X$1:$X141,0,-1))+1)</f>
        <v>5</v>
      </c>
      <c r="Z142" s="43" cm="1">
        <f t="array" ref="Z142">SUM(IF(ISNUMBER(FIND("TmAi",$BA$1:$ZZ$1)),IF(IFERROR(ISODD(SUBSTITUTE($BA142:$ZZ142,"A","")),FALSE),IF(ISODD(SUBSTITUTE($BA142:$ZZ142,"A","")),1,0),0)))</f>
        <v>0</v>
      </c>
      <c r="AA142" t="str">
        <f t="shared" si="125"/>
        <v>9B</v>
      </c>
      <c r="AB142" t="str">
        <f t="shared" si="126"/>
        <v>10B</v>
      </c>
      <c r="AL142" t="s">
        <v>137</v>
      </c>
      <c r="AO142" t="s">
        <v>396</v>
      </c>
      <c r="JV142" s="27" t="str">
        <f t="shared" si="128"/>
        <v>XT55</v>
      </c>
      <c r="JY142" t="str">
        <f t="shared" si="129"/>
        <v>F0-AI13-9B</v>
      </c>
      <c r="JZ142" t="str">
        <f t="shared" si="130"/>
        <v>F0-AI13-10B</v>
      </c>
      <c r="KE142" cm="1">
        <f t="array" ref="KE142">IF(COUNTIFS($U$2:$U142,$U142)=1,1,INDEX(KE:KE,_xlfn.XMATCH(U142,U$1:U141,0,-1))+COUNT(KE141:KI141))</f>
        <v>267</v>
      </c>
      <c r="KF142">
        <f t="shared" si="131"/>
        <v>268</v>
      </c>
      <c r="KG142">
        <f t="shared" si="131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 cm="1">
        <f t="array" ref="Y143">IF(COUNTIFS($X$2:$X143,$X143)=1,"1",VALUE(SUBSTITUTE(INDEX(Y:Y,_xlfn.XMATCH($X143,$X$1:$X142,0,-1)),"A",""))+INDEX(Z:Z,_xlfn.XMATCH($X143,$X$1:$X142,0,-1))+1)</f>
        <v>6</v>
      </c>
      <c r="Z143" s="43" cm="1">
        <f t="array" ref="Z143">SUM(IF(ISNUMBER(FIND("TmAi",$BA$1:$ZZ$1)),IF(IFERROR(ISODD(SUBSTITUTE($BA143:$ZZ143,"A","")),FALSE),IF(ISODD(SUBSTITUTE($BA143:$ZZ143,"A","")),1,0),0)))</f>
        <v>0</v>
      </c>
      <c r="AA143" t="str">
        <f t="shared" si="125"/>
        <v>11B</v>
      </c>
      <c r="AB143" t="str">
        <f t="shared" si="126"/>
        <v>12B</v>
      </c>
      <c r="AL143" t="s">
        <v>137</v>
      </c>
      <c r="AO143" t="s">
        <v>396</v>
      </c>
      <c r="JV143" s="27" t="str">
        <f t="shared" si="128"/>
        <v>XT55</v>
      </c>
      <c r="JY143" t="str">
        <f t="shared" si="129"/>
        <v>F0-AI13-11B</v>
      </c>
      <c r="JZ143" t="str">
        <f t="shared" si="130"/>
        <v>F0-AI13-12B</v>
      </c>
      <c r="KE143" cm="1">
        <f t="array" ref="KE143">IF(COUNTIFS($U$2:$U143,$U143)=1,1,INDEX(KE:KE,_xlfn.XMATCH(U143,U$1:U142,0,-1))+COUNT(KE142:KI142))</f>
        <v>270</v>
      </c>
      <c r="KF143">
        <f t="shared" si="131"/>
        <v>271</v>
      </c>
      <c r="KG143">
        <f t="shared" si="131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 cm="1">
        <f t="array" ref="Y144">IF(COUNTIFS($X$2:$X144,$X144)=1,"1",VALUE(SUBSTITUTE(INDEX(Y:Y,_xlfn.XMATCH($X144,$X$1:$X143,0,-1)),"A",""))+INDEX(Z:Z,_xlfn.XMATCH($X144,$X$1:$X143,0,-1))+1)</f>
        <v>7</v>
      </c>
      <c r="Z144" s="43" cm="1">
        <f t="array" ref="Z144">SUM(IF(ISNUMBER(FIND("TmAi",$BA$1:$ZZ$1)),IF(IFERROR(ISODD(SUBSTITUTE($BA144:$ZZ144,"A","")),FALSE),IF(ISODD(SUBSTITUTE($BA144:$ZZ144,"A","")),1,0),0)))</f>
        <v>0</v>
      </c>
      <c r="AA144" t="str">
        <f t="shared" si="125"/>
        <v>13B</v>
      </c>
      <c r="AB144" t="str">
        <f t="shared" si="126"/>
        <v>14B</v>
      </c>
      <c r="AL144" t="s">
        <v>137</v>
      </c>
      <c r="AO144" t="s">
        <v>396</v>
      </c>
      <c r="JV144" s="27" t="str">
        <f t="shared" si="128"/>
        <v>XT55</v>
      </c>
      <c r="JY144" t="str">
        <f t="shared" si="129"/>
        <v>F0-AI13-13B</v>
      </c>
      <c r="JZ144" t="str">
        <f t="shared" si="130"/>
        <v>F0-AI13-14B</v>
      </c>
      <c r="KE144" cm="1">
        <f t="array" ref="KE144">IF(COUNTIFS($U$2:$U144,$U144)=1,1,INDEX(KE:KE,_xlfn.XMATCH(U144,U$1:U143,0,-1))+COUNT(KE143:KI143))</f>
        <v>273</v>
      </c>
      <c r="KF144">
        <f t="shared" si="131"/>
        <v>274</v>
      </c>
      <c r="KG144">
        <f t="shared" si="131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 cm="1">
        <f t="array" ref="Y145">IF(COUNTIFS($X$2:$X145,$X145)=1,"1",VALUE(SUBSTITUTE(INDEX(Y:Y,_xlfn.XMATCH($X145,$X$1:$X144,0,-1)),"A",""))+INDEX(Z:Z,_xlfn.XMATCH($X145,$X$1:$X144,0,-1))+1)</f>
        <v>8</v>
      </c>
      <c r="Z145" s="43" cm="1">
        <f t="array" ref="Z145">SUM(IF(ISNUMBER(FIND("TmAi",$BA$1:$ZZ$1)),IF(IFERROR(ISODD(SUBSTITUTE($BA145:$ZZ145,"A","")),FALSE),IF(ISODD(SUBSTITUTE($BA145:$ZZ145,"A","")),1,0),0)))</f>
        <v>0</v>
      </c>
      <c r="AA145" t="str">
        <f t="shared" si="125"/>
        <v>15B</v>
      </c>
      <c r="AB145" t="str">
        <f t="shared" si="126"/>
        <v>16B</v>
      </c>
      <c r="AL145" t="s">
        <v>137</v>
      </c>
      <c r="AO145" t="s">
        <v>396</v>
      </c>
      <c r="JV145" s="27" t="str">
        <f t="shared" si="128"/>
        <v>XT55</v>
      </c>
      <c r="JY145" t="str">
        <f t="shared" si="129"/>
        <v>F0-AI13-15B</v>
      </c>
      <c r="JZ145" t="str">
        <f t="shared" si="130"/>
        <v>F0-AI13-16B</v>
      </c>
      <c r="KE145" cm="1">
        <f t="array" ref="KE145">IF(COUNTIFS($U$2:$U145,$U145)=1,1,INDEX(KE:KE,_xlfn.XMATCH(U145,U$1:U144,0,-1))+COUNT(KE144:KI144))</f>
        <v>276</v>
      </c>
      <c r="KF145">
        <f t="shared" si="131"/>
        <v>277</v>
      </c>
      <c r="KG145">
        <f t="shared" si="131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 cm="1">
        <f t="array" ref="Y146">IF(COUNTIFS($X$2:$X146,$X146)=1,"1",VALUE(SUBSTITUTE(INDEX(Y:Y,_xlfn.XMATCH($X146,$X$1:$X145,0,-1)),"A",""))+INDEX(Z:Z,_xlfn.XMATCH($X146,$X$1:$X145,0,-1))+1)</f>
        <v>1</v>
      </c>
      <c r="Z146" s="43" cm="1">
        <f t="array" ref="Z146">SUM(IF(ISNUMBER(FIND("TmAi",$BA$1:$ZZ$1)),IF(IFERROR(ISODD(SUBSTITUTE($BA146:$ZZ146,"A","")),FALSE),IF(ISODD(SUBSTITUTE($BA146:$ZZ146,"A","")),1,0),0)))</f>
        <v>0</v>
      </c>
      <c r="AA146" t="str">
        <f t="shared" si="125"/>
        <v>1B</v>
      </c>
      <c r="AB146" t="str">
        <f t="shared" si="126"/>
        <v>2B</v>
      </c>
      <c r="AL146" t="s">
        <v>137</v>
      </c>
      <c r="AO146" t="s">
        <v>396</v>
      </c>
      <c r="JV146" s="27" t="str">
        <f t="shared" si="128"/>
        <v>XT55</v>
      </c>
      <c r="JY146" t="str">
        <f t="shared" si="129"/>
        <v>F0-AI14-1B</v>
      </c>
      <c r="JZ146" t="str">
        <f t="shared" si="130"/>
        <v>F0-AI14-2B</v>
      </c>
      <c r="KE146" cm="1">
        <f t="array" ref="KE146">IF(COUNTIFS($U$2:$U146,$U146)=1,1,INDEX(KE:KE,_xlfn.XMATCH(U146,U$1:U145,0,-1))+COUNT(KE145:KI145))</f>
        <v>279</v>
      </c>
      <c r="KF146">
        <f t="shared" si="131"/>
        <v>280</v>
      </c>
      <c r="KG146">
        <f t="shared" si="131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 cm="1">
        <f t="array" ref="Y147">IF(COUNTIFS($X$2:$X147,$X147)=1,"1",VALUE(SUBSTITUTE(INDEX(Y:Y,_xlfn.XMATCH($X147,$X$1:$X146,0,-1)),"A",""))+INDEX(Z:Z,_xlfn.XMATCH($X147,$X$1:$X146,0,-1))+1)</f>
        <v>2</v>
      </c>
      <c r="Z147" s="43" cm="1">
        <f t="array" ref="Z147">SUM(IF(ISNUMBER(FIND("TmAi",$BA$1:$ZZ$1)),IF(IFERROR(ISODD(SUBSTITUTE($BA147:$ZZ147,"A","")),FALSE),IF(ISODD(SUBSTITUTE($BA147:$ZZ147,"A","")),1,0),0)))</f>
        <v>0</v>
      </c>
      <c r="AA147" t="str">
        <f t="shared" si="125"/>
        <v>3B</v>
      </c>
      <c r="AB147" t="str">
        <f t="shared" si="126"/>
        <v>4B</v>
      </c>
      <c r="AL147" t="s">
        <v>137</v>
      </c>
      <c r="AO147" t="s">
        <v>396</v>
      </c>
      <c r="JV147" s="27" t="str">
        <f t="shared" si="128"/>
        <v>XT55</v>
      </c>
      <c r="JY147" t="str">
        <f t="shared" si="129"/>
        <v>F0-AI14-3B</v>
      </c>
      <c r="JZ147" t="str">
        <f t="shared" si="130"/>
        <v>F0-AI14-4B</v>
      </c>
      <c r="KE147" cm="1">
        <f t="array" ref="KE147">IF(COUNTIFS($U$2:$U147,$U147)=1,1,INDEX(KE:KE,_xlfn.XMATCH(U147,U$1:U146,0,-1))+COUNT(KE146:KI146))</f>
        <v>282</v>
      </c>
      <c r="KF147">
        <f t="shared" si="131"/>
        <v>283</v>
      </c>
      <c r="KG147">
        <f t="shared" si="131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 cm="1">
        <f t="array" ref="Y148">IF(COUNTIFS($X$2:$X148,$X148)=1,"1",VALUE(SUBSTITUTE(INDEX(Y:Y,_xlfn.XMATCH($X148,$X$1:$X147,0,-1)),"A",""))+INDEX(Z:Z,_xlfn.XMATCH($X148,$X$1:$X147,0,-1))+1)</f>
        <v>3</v>
      </c>
      <c r="Z148" s="43" cm="1">
        <f t="array" ref="Z148">SUM(IF(ISNUMBER(FIND("TmAi",$BA$1:$ZZ$1)),IF(IFERROR(ISODD(SUBSTITUTE($BA148:$ZZ148,"A","")),FALSE),IF(ISODD(SUBSTITUTE($BA148:$ZZ148,"A","")),1,0),0)))</f>
        <v>0</v>
      </c>
      <c r="AA148" t="str">
        <f t="shared" si="125"/>
        <v>5B</v>
      </c>
      <c r="AB148" t="str">
        <f t="shared" si="126"/>
        <v>6B</v>
      </c>
      <c r="AL148" t="s">
        <v>137</v>
      </c>
      <c r="AO148" t="s">
        <v>396</v>
      </c>
      <c r="JV148" s="27" t="str">
        <f t="shared" si="128"/>
        <v>XT55</v>
      </c>
      <c r="JY148" t="str">
        <f t="shared" si="129"/>
        <v>F0-AI14-5B</v>
      </c>
      <c r="JZ148" t="str">
        <f t="shared" si="130"/>
        <v>F0-AI14-6B</v>
      </c>
      <c r="KE148" cm="1">
        <f t="array" ref="KE148">IF(COUNTIFS($U$2:$U148,$U148)=1,1,INDEX(KE:KE,_xlfn.XMATCH(U148,U$1:U147,0,-1))+COUNT(KE147:KI147))</f>
        <v>285</v>
      </c>
      <c r="KF148">
        <f t="shared" si="131"/>
        <v>286</v>
      </c>
      <c r="KG148">
        <f t="shared" si="131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 cm="1">
        <f t="array" ref="Y149">IF(COUNTIFS($X$2:$X149,$X149)=1,"1",VALUE(SUBSTITUTE(INDEX(Y:Y,_xlfn.XMATCH($X149,$X$1:$X148,0,-1)),"A",""))+INDEX(Z:Z,_xlfn.XMATCH($X149,$X$1:$X148,0,-1))+1)</f>
        <v>4</v>
      </c>
      <c r="Z149" s="43" cm="1">
        <f t="array" ref="Z149">SUM(IF(ISNUMBER(FIND("TmAi",$BA$1:$ZZ$1)),IF(IFERROR(ISODD(SUBSTITUTE($BA149:$ZZ149,"A","")),FALSE),IF(ISODD(SUBSTITUTE($BA149:$ZZ149,"A","")),1,0),0)))</f>
        <v>0</v>
      </c>
      <c r="AA149" t="str">
        <f t="shared" si="125"/>
        <v>7B</v>
      </c>
      <c r="AB149" t="str">
        <f t="shared" si="126"/>
        <v>8B</v>
      </c>
      <c r="AL149" t="s">
        <v>137</v>
      </c>
      <c r="AO149" t="s">
        <v>396</v>
      </c>
      <c r="JV149" s="27" t="str">
        <f t="shared" si="128"/>
        <v>XT55</v>
      </c>
      <c r="JY149" t="str">
        <f t="shared" si="129"/>
        <v>F0-AI14-7B</v>
      </c>
      <c r="JZ149" t="str">
        <f t="shared" si="130"/>
        <v>F0-AI14-8B</v>
      </c>
      <c r="KE149" cm="1">
        <f t="array" ref="KE149">IF(COUNTIFS($U$2:$U149,$U149)=1,1,INDEX(KE:KE,_xlfn.XMATCH(U149,U$1:U148,0,-1))+COUNT(KE148:KI148))</f>
        <v>288</v>
      </c>
      <c r="KF149">
        <f t="shared" si="131"/>
        <v>289</v>
      </c>
      <c r="KG149">
        <f t="shared" si="131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 cm="1">
        <f t="array" ref="Y150">IF(COUNTIFS($X$2:$X150,$X150)=1,"1",VALUE(SUBSTITUTE(INDEX(Y:Y,_xlfn.XMATCH($X150,$X$1:$X149,0,-1)),"A",""))+INDEX(Z:Z,_xlfn.XMATCH($X150,$X$1:$X149,0,-1))+1)</f>
        <v>5</v>
      </c>
      <c r="Z150" s="43" cm="1">
        <f t="array" ref="Z150">SUM(IF(ISNUMBER(FIND("TmAi",$BA$1:$ZZ$1)),IF(IFERROR(ISODD(SUBSTITUTE($BA150:$ZZ150,"A","")),FALSE),IF(ISODD(SUBSTITUTE($BA150:$ZZ150,"A","")),1,0),0)))</f>
        <v>0</v>
      </c>
      <c r="AA150" t="str">
        <f t="shared" si="125"/>
        <v>9B</v>
      </c>
      <c r="AB150" t="str">
        <f t="shared" si="126"/>
        <v>10B</v>
      </c>
      <c r="AL150" t="s">
        <v>137</v>
      </c>
      <c r="AO150" t="s">
        <v>396</v>
      </c>
      <c r="JV150" s="27" t="str">
        <f t="shared" si="128"/>
        <v>XT55</v>
      </c>
      <c r="JY150" t="str">
        <f t="shared" si="129"/>
        <v>F0-AI14-9B</v>
      </c>
      <c r="JZ150" t="str">
        <f t="shared" si="130"/>
        <v>F0-AI14-10B</v>
      </c>
      <c r="KE150" cm="1">
        <f t="array" ref="KE150">IF(COUNTIFS($U$2:$U150,$U150)=1,1,INDEX(KE:KE,_xlfn.XMATCH(U150,U$1:U149,0,-1))+COUNT(KE149:KI149))</f>
        <v>291</v>
      </c>
      <c r="KF150">
        <f t="shared" si="131"/>
        <v>292</v>
      </c>
      <c r="KG150">
        <f t="shared" si="131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 cm="1">
        <f t="array" ref="Y151">IF(COUNTIFS($X$2:$X151,$X151)=1,"1",VALUE(SUBSTITUTE(INDEX(Y:Y,_xlfn.XMATCH($X151,$X$1:$X150,0,-1)),"A",""))+INDEX(Z:Z,_xlfn.XMATCH($X151,$X$1:$X150,0,-1))+1)</f>
        <v>6</v>
      </c>
      <c r="Z151" s="43" cm="1">
        <f t="array" ref="Z151">SUM(IF(ISNUMBER(FIND("TmAi",$BA$1:$ZZ$1)),IF(IFERROR(ISODD(SUBSTITUTE($BA151:$ZZ151,"A","")),FALSE),IF(ISODD(SUBSTITUTE($BA151:$ZZ151,"A","")),1,0),0)))</f>
        <v>0</v>
      </c>
      <c r="AA151" t="str">
        <f t="shared" si="125"/>
        <v>11B</v>
      </c>
      <c r="AB151" t="str">
        <f t="shared" si="126"/>
        <v>12B</v>
      </c>
      <c r="AL151" t="s">
        <v>137</v>
      </c>
      <c r="AO151" t="s">
        <v>396</v>
      </c>
      <c r="JV151" s="27" t="str">
        <f t="shared" si="128"/>
        <v>XT55</v>
      </c>
      <c r="JY151" t="str">
        <f t="shared" si="129"/>
        <v>F0-AI14-11B</v>
      </c>
      <c r="JZ151" t="str">
        <f t="shared" si="130"/>
        <v>F0-AI14-12B</v>
      </c>
      <c r="KE151" cm="1">
        <f t="array" ref="KE151">IF(COUNTIFS($U$2:$U151,$U151)=1,1,INDEX(KE:KE,_xlfn.XMATCH(U151,U$1:U150,0,-1))+COUNT(KE150:KI150))</f>
        <v>294</v>
      </c>
      <c r="KF151">
        <f t="shared" si="131"/>
        <v>295</v>
      </c>
      <c r="KG151">
        <f t="shared" si="131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 cm="1">
        <f t="array" ref="Y152">IF(COUNTIFS($X$2:$X152,$X152)=1,"1",VALUE(SUBSTITUTE(INDEX(Y:Y,_xlfn.XMATCH($X152,$X$1:$X151,0,-1)),"A",""))+INDEX(Z:Z,_xlfn.XMATCH($X152,$X$1:$X151,0,-1))+1)</f>
        <v>7</v>
      </c>
      <c r="Z152" s="43" cm="1">
        <f t="array" ref="Z152">SUM(IF(ISNUMBER(FIND("TmAi",$BA$1:$ZZ$1)),IF(IFERROR(ISODD(SUBSTITUTE($BA152:$ZZ152,"A","")),FALSE),IF(ISODD(SUBSTITUTE($BA152:$ZZ152,"A","")),1,0),0)))</f>
        <v>0</v>
      </c>
      <c r="AA152" t="str">
        <f t="shared" si="125"/>
        <v>13B</v>
      </c>
      <c r="AB152" t="str">
        <f t="shared" si="126"/>
        <v>14B</v>
      </c>
      <c r="AL152" t="s">
        <v>137</v>
      </c>
      <c r="AO152" t="s">
        <v>396</v>
      </c>
      <c r="JV152" s="27" t="str">
        <f t="shared" si="128"/>
        <v>XT55</v>
      </c>
      <c r="JY152" t="str">
        <f t="shared" si="129"/>
        <v>F0-AI14-13B</v>
      </c>
      <c r="JZ152" t="str">
        <f t="shared" si="130"/>
        <v>F0-AI14-14B</v>
      </c>
      <c r="KE152" cm="1">
        <f t="array" ref="KE152">IF(COUNTIFS($U$2:$U152,$U152)=1,1,INDEX(KE:KE,_xlfn.XMATCH(U152,U$1:U151,0,-1))+COUNT(KE151:KI151))</f>
        <v>297</v>
      </c>
      <c r="KF152">
        <f t="shared" si="131"/>
        <v>298</v>
      </c>
      <c r="KG152">
        <f t="shared" si="131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 cm="1">
        <f t="array" ref="Y153">IF(COUNTIFS($X$2:$X153,$X153)=1,"1",VALUE(SUBSTITUTE(INDEX(Y:Y,_xlfn.XMATCH($X153,$X$1:$X152,0,-1)),"A",""))+INDEX(Z:Z,_xlfn.XMATCH($X153,$X$1:$X152,0,-1))+1)</f>
        <v>8</v>
      </c>
      <c r="Z153" s="43" cm="1">
        <f t="array" ref="Z153">SUM(IF(ISNUMBER(FIND("TmAi",$BA$1:$ZZ$1)),IF(IFERROR(ISODD(SUBSTITUTE($BA153:$ZZ153,"A","")),FALSE),IF(ISODD(SUBSTITUTE($BA153:$ZZ153,"A","")),1,0),0)))</f>
        <v>0</v>
      </c>
      <c r="AA153" t="str">
        <f t="shared" si="125"/>
        <v>15B</v>
      </c>
      <c r="AB153" t="str">
        <f t="shared" si="126"/>
        <v>16B</v>
      </c>
      <c r="AL153" t="s">
        <v>137</v>
      </c>
      <c r="AO153" t="s">
        <v>396</v>
      </c>
      <c r="JV153" s="27" t="str">
        <f t="shared" si="128"/>
        <v>XT55</v>
      </c>
      <c r="JY153" t="str">
        <f t="shared" si="129"/>
        <v>F0-AI14-15B</v>
      </c>
      <c r="JZ153" t="str">
        <f t="shared" si="130"/>
        <v>F0-AI14-16B</v>
      </c>
      <c r="KE153" cm="1">
        <f t="array" ref="KE153">IF(COUNTIFS($U$2:$U153,$U153)=1,1,INDEX(KE:KE,_xlfn.XMATCH(U153,U$1:U152,0,-1))+COUNT(KE152:KI152))</f>
        <v>300</v>
      </c>
      <c r="KF153">
        <f t="shared" si="131"/>
        <v>301</v>
      </c>
      <c r="KG153">
        <f t="shared" si="131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 cm="1">
        <f t="array" ref="Y154">IF(COUNTIFS($X$2:$X154,$X154)=1,"1",VALUE(SUBSTITUTE(INDEX(Y:Y,_xlfn.XMATCH($X154,$X$1:$X153,0,-1)),"A",""))+INDEX(Z:Z,_xlfn.XMATCH($X154,$X$1:$X153,0,-1))+1)</f>
        <v>1</v>
      </c>
      <c r="Z154" s="43" cm="1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2">CONCATENATE($Y154*2-1,"B")</f>
        <v>1B</v>
      </c>
      <c r="AB154" t="str">
        <f t="shared" ref="AB154:AB165" si="133">CONCATENATE($Y154*2,"B")</f>
        <v>2B</v>
      </c>
      <c r="AL154" t="s">
        <v>137</v>
      </c>
      <c r="AO154" t="s">
        <v>396</v>
      </c>
      <c r="JV154" s="27" t="str">
        <f t="shared" si="128"/>
        <v>XT55</v>
      </c>
      <c r="JY154" t="str">
        <f t="shared" si="129"/>
        <v>F0-AI15-1B</v>
      </c>
      <c r="JZ154" t="str">
        <f t="shared" si="130"/>
        <v>F0-AI15-2B</v>
      </c>
      <c r="KE154" cm="1">
        <f t="array" ref="KE154">IF(COUNTIFS($U$2:$U154,$U154)=1,1,INDEX(KE:KE,_xlfn.XMATCH(U154,U$1:U153,0,-1))+COUNT(KE153:KI153))</f>
        <v>303</v>
      </c>
      <c r="KF154">
        <f t="shared" si="131"/>
        <v>304</v>
      </c>
      <c r="KG154">
        <f t="shared" si="131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 cm="1">
        <f t="array" ref="Y155">IF(COUNTIFS($X$2:$X155,$X155)=1,"1",VALUE(SUBSTITUTE(INDEX(Y:Y,_xlfn.XMATCH($X155,$X$1:$X154,0,-1)),"A",""))+INDEX(Z:Z,_xlfn.XMATCH($X155,$X$1:$X154,0,-1))+1)</f>
        <v>2</v>
      </c>
      <c r="Z155" s="43" cm="1">
        <f t="array" ref="Z155">SUM(IF(ISNUMBER(FIND("TmAi",$BA$1:$ZZ$1)),IF(IFERROR(ISODD(SUBSTITUTE($BA155:$ZZ155,"A","")),FALSE),IF(ISODD(SUBSTITUTE($BA155:$ZZ155,"A","")),1,0),0)))</f>
        <v>0</v>
      </c>
      <c r="AA155" t="str">
        <f t="shared" si="132"/>
        <v>3B</v>
      </c>
      <c r="AB155" t="str">
        <f t="shared" si="133"/>
        <v>4B</v>
      </c>
      <c r="AL155" t="s">
        <v>137</v>
      </c>
      <c r="AO155" t="s">
        <v>396</v>
      </c>
      <c r="JV155" s="27" t="str">
        <f t="shared" si="128"/>
        <v>XT55</v>
      </c>
      <c r="JY155" t="str">
        <f t="shared" si="129"/>
        <v>F0-AI15-3B</v>
      </c>
      <c r="JZ155" t="str">
        <f t="shared" si="130"/>
        <v>F0-AI15-4B</v>
      </c>
      <c r="KE155" cm="1">
        <f t="array" ref="KE155">IF(COUNTIFS($U$2:$U155,$U155)=1,1,INDEX(KE:KE,_xlfn.XMATCH(U155,U$1:U154,0,-1))+COUNT(KE154:KI154))</f>
        <v>306</v>
      </c>
      <c r="KF155">
        <f t="shared" si="131"/>
        <v>307</v>
      </c>
      <c r="KG155">
        <f t="shared" si="131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 cm="1">
        <f t="array" ref="Y156">IF(COUNTIFS($X$2:$X156,$X156)=1,"1",VALUE(SUBSTITUTE(INDEX(Y:Y,_xlfn.XMATCH($X156,$X$1:$X155,0,-1)),"A",""))+INDEX(Z:Z,_xlfn.XMATCH($X156,$X$1:$X155,0,-1))+1)</f>
        <v>3</v>
      </c>
      <c r="Z156" s="43" cm="1">
        <f t="array" ref="Z156">SUM(IF(ISNUMBER(FIND("TmAi",$BA$1:$ZZ$1)),IF(IFERROR(ISODD(SUBSTITUTE($BA156:$ZZ156,"A","")),FALSE),IF(ISODD(SUBSTITUTE($BA156:$ZZ156,"A","")),1,0),0)))</f>
        <v>0</v>
      </c>
      <c r="AA156" t="str">
        <f t="shared" si="132"/>
        <v>5B</v>
      </c>
      <c r="AB156" t="str">
        <f t="shared" si="133"/>
        <v>6B</v>
      </c>
      <c r="AL156" t="s">
        <v>137</v>
      </c>
      <c r="AO156" t="s">
        <v>396</v>
      </c>
      <c r="JV156" s="27" t="str">
        <f t="shared" si="128"/>
        <v>XT55</v>
      </c>
      <c r="JY156" t="str">
        <f t="shared" si="129"/>
        <v>F0-AI15-5B</v>
      </c>
      <c r="JZ156" t="str">
        <f t="shared" si="130"/>
        <v>F0-AI15-6B</v>
      </c>
      <c r="KE156" cm="1">
        <f t="array" ref="KE156">IF(COUNTIFS($U$2:$U156,$U156)=1,1,INDEX(KE:KE,_xlfn.XMATCH(U156,U$1:U155,0,-1))+COUNT(KE155:KI155))</f>
        <v>309</v>
      </c>
      <c r="KF156">
        <f t="shared" si="131"/>
        <v>310</v>
      </c>
      <c r="KG156">
        <f t="shared" si="131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 cm="1">
        <f t="array" ref="Y157">IF(COUNTIFS($X$2:$X157,$X157)=1,"1",VALUE(SUBSTITUTE(INDEX(Y:Y,_xlfn.XMATCH($X157,$X$1:$X156,0,-1)),"A",""))+INDEX(Z:Z,_xlfn.XMATCH($X157,$X$1:$X156,0,-1))+1)</f>
        <v>4</v>
      </c>
      <c r="Z157" s="43" cm="1">
        <f t="array" ref="Z157">SUM(IF(ISNUMBER(FIND("TmAi",$BA$1:$ZZ$1)),IF(IFERROR(ISODD(SUBSTITUTE($BA157:$ZZ157,"A","")),FALSE),IF(ISODD(SUBSTITUTE($BA157:$ZZ157,"A","")),1,0),0)))</f>
        <v>0</v>
      </c>
      <c r="AA157" t="str">
        <f t="shared" si="132"/>
        <v>7B</v>
      </c>
      <c r="AB157" t="str">
        <f t="shared" si="133"/>
        <v>8B</v>
      </c>
      <c r="AL157" t="s">
        <v>137</v>
      </c>
      <c r="AO157" t="s">
        <v>396</v>
      </c>
      <c r="JV157" s="27" t="str">
        <f t="shared" si="128"/>
        <v>XT55</v>
      </c>
      <c r="JY157" t="str">
        <f t="shared" si="129"/>
        <v>F0-AI15-7B</v>
      </c>
      <c r="JZ157" t="str">
        <f t="shared" si="130"/>
        <v>F0-AI15-8B</v>
      </c>
      <c r="KE157" cm="1">
        <f t="array" ref="KE157">IF(COUNTIFS($U$2:$U157,$U157)=1,1,INDEX(KE:KE,_xlfn.XMATCH(U157,U$1:U156,0,-1))+COUNT(KE156:KI156))</f>
        <v>312</v>
      </c>
      <c r="KF157">
        <f t="shared" si="131"/>
        <v>313</v>
      </c>
      <c r="KG157">
        <f t="shared" si="131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 cm="1">
        <f t="array" ref="Y158">IF(COUNTIFS($X$2:$X158,$X158)=1,"1",VALUE(SUBSTITUTE(INDEX(Y:Y,_xlfn.XMATCH($X158,$X$1:$X157,0,-1)),"A",""))+INDEX(Z:Z,_xlfn.XMATCH($X158,$X$1:$X157,0,-1))+1)</f>
        <v>5</v>
      </c>
      <c r="Z158" s="43" cm="1">
        <f t="array" ref="Z158">SUM(IF(ISNUMBER(FIND("TmAi",$BA$1:$ZZ$1)),IF(IFERROR(ISODD(SUBSTITUTE($BA158:$ZZ158,"A","")),FALSE),IF(ISODD(SUBSTITUTE($BA158:$ZZ158,"A","")),1,0),0)))</f>
        <v>0</v>
      </c>
      <c r="AA158" t="str">
        <f t="shared" si="132"/>
        <v>9B</v>
      </c>
      <c r="AB158" t="str">
        <f t="shared" si="133"/>
        <v>10B</v>
      </c>
      <c r="AL158" t="s">
        <v>137</v>
      </c>
      <c r="AO158" t="s">
        <v>396</v>
      </c>
      <c r="JV158" s="27" t="str">
        <f t="shared" si="128"/>
        <v>XT55</v>
      </c>
      <c r="JY158" t="str">
        <f t="shared" si="129"/>
        <v>F0-AI15-9B</v>
      </c>
      <c r="JZ158" t="str">
        <f t="shared" si="130"/>
        <v>F0-AI15-10B</v>
      </c>
      <c r="KE158" cm="1">
        <f t="array" ref="KE158">IF(COUNTIFS($U$2:$U158,$U158)=1,1,INDEX(KE:KE,_xlfn.XMATCH(U158,U$1:U157,0,-1))+COUNT(KE157:KI157))</f>
        <v>315</v>
      </c>
      <c r="KF158">
        <f t="shared" si="131"/>
        <v>316</v>
      </c>
      <c r="KG158">
        <f t="shared" si="131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 cm="1">
        <f t="array" ref="Y159">IF(COUNTIFS($X$2:$X159,$X159)=1,"1",VALUE(SUBSTITUTE(INDEX(Y:Y,_xlfn.XMATCH($X159,$X$1:$X158,0,-1)),"A",""))+INDEX(Z:Z,_xlfn.XMATCH($X159,$X$1:$X158,0,-1))+1)</f>
        <v>6</v>
      </c>
      <c r="Z159" s="43" cm="1">
        <f t="array" ref="Z159">SUM(IF(ISNUMBER(FIND("TmAi",$BA$1:$ZZ$1)),IF(IFERROR(ISODD(SUBSTITUTE($BA159:$ZZ159,"A","")),FALSE),IF(ISODD(SUBSTITUTE($BA159:$ZZ159,"A","")),1,0),0)))</f>
        <v>0</v>
      </c>
      <c r="AA159" t="str">
        <f t="shared" si="132"/>
        <v>11B</v>
      </c>
      <c r="AB159" t="str">
        <f t="shared" si="133"/>
        <v>12B</v>
      </c>
      <c r="AL159" t="s">
        <v>137</v>
      </c>
      <c r="AO159" t="s">
        <v>396</v>
      </c>
      <c r="JV159" s="27" t="str">
        <f t="shared" si="128"/>
        <v>XT55</v>
      </c>
      <c r="JY159" t="str">
        <f t="shared" si="129"/>
        <v>F0-AI15-11B</v>
      </c>
      <c r="JZ159" t="str">
        <f t="shared" si="130"/>
        <v>F0-AI15-12B</v>
      </c>
      <c r="KE159" cm="1">
        <f t="array" ref="KE159">IF(COUNTIFS($U$2:$U159,$U159)=1,1,INDEX(KE:KE,_xlfn.XMATCH(U159,U$1:U158,0,-1))+COUNT(KE158:KI158))</f>
        <v>318</v>
      </c>
      <c r="KF159">
        <f t="shared" si="131"/>
        <v>319</v>
      </c>
      <c r="KG159">
        <f t="shared" si="131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 cm="1">
        <f t="array" ref="Y160">IF(COUNTIFS($X$2:$X160,$X160)=1,"1",VALUE(SUBSTITUTE(INDEX(Y:Y,_xlfn.XMATCH($X160,$X$1:$X159,0,-1)),"A",""))+INDEX(Z:Z,_xlfn.XMATCH($X160,$X$1:$X159,0,-1))+1)</f>
        <v>7</v>
      </c>
      <c r="Z160" s="43" cm="1">
        <f t="array" ref="Z160">SUM(IF(ISNUMBER(FIND("TmAi",$BA$1:$ZZ$1)),IF(IFERROR(ISODD(SUBSTITUTE($BA160:$ZZ160,"A","")),FALSE),IF(ISODD(SUBSTITUTE($BA160:$ZZ160,"A","")),1,0),0)))</f>
        <v>0</v>
      </c>
      <c r="AA160" t="str">
        <f t="shared" si="132"/>
        <v>13B</v>
      </c>
      <c r="AB160" t="str">
        <f t="shared" si="133"/>
        <v>14B</v>
      </c>
      <c r="AL160" t="s">
        <v>137</v>
      </c>
      <c r="AO160" t="s">
        <v>396</v>
      </c>
      <c r="JV160" s="27" t="str">
        <f t="shared" si="128"/>
        <v>XT55</v>
      </c>
      <c r="JY160" t="str">
        <f t="shared" si="129"/>
        <v>F0-AI15-13B</v>
      </c>
      <c r="JZ160" t="str">
        <f t="shared" si="130"/>
        <v>F0-AI15-14B</v>
      </c>
      <c r="KE160" cm="1">
        <f t="array" ref="KE160">IF(COUNTIFS($U$2:$U160,$U160)=1,1,INDEX(KE:KE,_xlfn.XMATCH(U160,U$1:U159,0,-1))+COUNT(KE159:KI159))</f>
        <v>321</v>
      </c>
      <c r="KF160">
        <f t="shared" si="131"/>
        <v>322</v>
      </c>
      <c r="KG160">
        <f t="shared" si="131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 cm="1">
        <f t="array" ref="Y161">IF(COUNTIFS($X$2:$X161,$X161)=1,"1",VALUE(SUBSTITUTE(INDEX(Y:Y,_xlfn.XMATCH($X161,$X$1:$X160,0,-1)),"A",""))+INDEX(Z:Z,_xlfn.XMATCH($X161,$X$1:$X160,0,-1))+1)</f>
        <v>8</v>
      </c>
      <c r="Z161" s="43" cm="1">
        <f t="array" ref="Z161">SUM(IF(ISNUMBER(FIND("TmAi",$BA$1:$ZZ$1)),IF(IFERROR(ISODD(SUBSTITUTE($BA161:$ZZ161,"A","")),FALSE),IF(ISODD(SUBSTITUTE($BA161:$ZZ161,"A","")),1,0),0)))</f>
        <v>0</v>
      </c>
      <c r="AA161" t="str">
        <f t="shared" si="132"/>
        <v>15B</v>
      </c>
      <c r="AB161" t="str">
        <f t="shared" si="133"/>
        <v>16B</v>
      </c>
      <c r="AL161" t="s">
        <v>137</v>
      </c>
      <c r="AO161" t="s">
        <v>396</v>
      </c>
      <c r="JV161" s="27" t="str">
        <f t="shared" si="128"/>
        <v>XT55</v>
      </c>
      <c r="JY161" t="str">
        <f t="shared" si="129"/>
        <v>F0-AI15-15B</v>
      </c>
      <c r="JZ161" t="str">
        <f t="shared" si="130"/>
        <v>F0-AI15-16B</v>
      </c>
      <c r="KE161" cm="1">
        <f t="array" ref="KE161">IF(COUNTIFS($U$2:$U161,$U161)=1,1,INDEX(KE:KE,_xlfn.XMATCH(U161,U$1:U160,0,-1))+COUNT(KE160:KI160))</f>
        <v>324</v>
      </c>
      <c r="KF161">
        <f t="shared" si="131"/>
        <v>325</v>
      </c>
      <c r="KG161">
        <f t="shared" si="131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 cm="1">
        <f t="array" ref="Y162">IF(COUNTIFS($X$2:$X162,$X162)=1,"1",VALUE(SUBSTITUTE(INDEX(Y:Y,_xlfn.XMATCH($X162,$X$1:$X161,0,-1)),"A",""))+INDEX(Z:Z,_xlfn.XMATCH($X162,$X$1:$X161,0,-1))+1)</f>
        <v>1</v>
      </c>
      <c r="Z162" s="46" cm="1">
        <f t="array" ref="Z162">SUM(IF(ISNUMBER(FIND("TmAi",$BA$1:$ZZ$1)),IF(IFERROR(ISODD(SUBSTITUTE($BA162:$ZZ162,"A","")),FALSE),IF(ISODD(SUBSTITUTE($BA162:$ZZ162,"A","")),1,0),0)))</f>
        <v>0</v>
      </c>
      <c r="AA162" t="str">
        <f t="shared" si="132"/>
        <v>1B</v>
      </c>
      <c r="AB162" t="str">
        <f t="shared" si="133"/>
        <v>2B</v>
      </c>
      <c r="AL162" t="s">
        <v>137</v>
      </c>
      <c r="AO162" t="s">
        <v>396</v>
      </c>
      <c r="JV162" s="27" t="str">
        <f t="shared" si="128"/>
        <v>XT55</v>
      </c>
      <c r="JY162" t="str">
        <f t="shared" si="129"/>
        <v>F0-AI16-1B</v>
      </c>
      <c r="JZ162" t="str">
        <f t="shared" si="130"/>
        <v>F0-AI16-2B</v>
      </c>
      <c r="KE162" cm="1">
        <f t="array" ref="KE162">IF(COUNTIFS($U$2:$U162,$U162)=1,1,INDEX(KE:KE,_xlfn.XMATCH(U162,U$1:U161,0,-1))+COUNT(KE161:KI161))</f>
        <v>327</v>
      </c>
      <c r="KF162">
        <f t="shared" ref="KF162:KH168" si="134">KE162+1</f>
        <v>328</v>
      </c>
      <c r="KG162">
        <f t="shared" si="134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 cm="1">
        <f t="array" ref="Y163">IF(COUNTIFS($X$2:$X163,$X163)=1,"1",VALUE(SUBSTITUTE(INDEX(Y:Y,_xlfn.XMATCH($X163,$X$1:$X162,0,-1)),"A",""))+INDEX(Z:Z,_xlfn.XMATCH($X163,$X$1:$X162,0,-1))+1)</f>
        <v>2</v>
      </c>
      <c r="Z163" s="46" cm="1">
        <f t="array" ref="Z163">SUM(IF(ISNUMBER(FIND("TmAi",$BA$1:$ZZ$1)),IF(IFERROR(ISODD(SUBSTITUTE($BA163:$ZZ163,"A","")),FALSE),IF(ISODD(SUBSTITUTE($BA163:$ZZ163,"A","")),1,0),0)))</f>
        <v>0</v>
      </c>
      <c r="AA163" t="str">
        <f t="shared" si="132"/>
        <v>3B</v>
      </c>
      <c r="AB163" t="str">
        <f t="shared" si="133"/>
        <v>4B</v>
      </c>
      <c r="AL163" t="s">
        <v>137</v>
      </c>
      <c r="AO163" t="s">
        <v>396</v>
      </c>
      <c r="JV163" s="27" t="str">
        <f t="shared" si="128"/>
        <v>XT55</v>
      </c>
      <c r="JY163" t="str">
        <f t="shared" si="129"/>
        <v>F0-AI16-3B</v>
      </c>
      <c r="JZ163" t="str">
        <f t="shared" si="130"/>
        <v>F0-AI16-4B</v>
      </c>
      <c r="KE163" cm="1">
        <f t="array" ref="KE163">IF(COUNTIFS($U$2:$U163,$U163)=1,1,INDEX(KE:KE,_xlfn.XMATCH(U163,U$1:U162,0,-1))+COUNT(KE162:KI162))</f>
        <v>330</v>
      </c>
      <c r="KF163">
        <f t="shared" si="134"/>
        <v>331</v>
      </c>
      <c r="KG163">
        <f t="shared" si="134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 cm="1">
        <f t="array" ref="Y164">IF(COUNTIFS($X$2:$X164,$X164)=1,"1",VALUE(SUBSTITUTE(INDEX(Y:Y,_xlfn.XMATCH($X164,$X$1:$X163,0,-1)),"A",""))+INDEX(Z:Z,_xlfn.XMATCH($X164,$X$1:$X163,0,-1))+1)</f>
        <v>3</v>
      </c>
      <c r="Z164" s="46" cm="1">
        <f t="array" ref="Z164">SUM(IF(ISNUMBER(FIND("TmAi",$BA$1:$ZZ$1)),IF(IFERROR(ISODD(SUBSTITUTE($BA164:$ZZ164,"A","")),FALSE),IF(ISODD(SUBSTITUTE($BA164:$ZZ164,"A","")),1,0),0)))</f>
        <v>0</v>
      </c>
      <c r="AA164" t="str">
        <f t="shared" si="132"/>
        <v>5B</v>
      </c>
      <c r="AB164" t="str">
        <f t="shared" si="133"/>
        <v>6B</v>
      </c>
      <c r="AL164" t="s">
        <v>137</v>
      </c>
      <c r="AO164" t="s">
        <v>396</v>
      </c>
      <c r="JV164" s="27" t="str">
        <f t="shared" si="128"/>
        <v>XT55</v>
      </c>
      <c r="JY164" t="str">
        <f t="shared" si="129"/>
        <v>F0-AI16-5B</v>
      </c>
      <c r="JZ164" t="str">
        <f t="shared" si="130"/>
        <v>F0-AI16-6B</v>
      </c>
      <c r="KE164" cm="1">
        <f t="array" ref="KE164">IF(COUNTIFS($U$2:$U164,$U164)=1,1,INDEX(KE:KE,_xlfn.XMATCH(U164,U$1:U163,0,-1))+COUNT(KE163:KI163))</f>
        <v>333</v>
      </c>
      <c r="KF164">
        <f t="shared" si="134"/>
        <v>334</v>
      </c>
      <c r="KG164">
        <f t="shared" si="134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 cm="1">
        <f t="array" ref="Y165">IF(COUNTIFS($X$2:$X165,$X165)=1,"1",VALUE(SUBSTITUTE(INDEX(Y:Y,_xlfn.XMATCH($X165,$X$1:$X164,0,-1)),"A",""))+INDEX(Z:Z,_xlfn.XMATCH($X165,$X$1:$X164,0,-1))+1)</f>
        <v>4</v>
      </c>
      <c r="Z165" s="46" cm="1">
        <f t="array" ref="Z165">SUM(IF(ISNUMBER(FIND("TmAi",$BA$1:$ZZ$1)),IF(IFERROR(ISODD(SUBSTITUTE($BA165:$ZZ165,"A","")),FALSE),IF(ISODD(SUBSTITUTE($BA165:$ZZ165,"A","")),1,0),0)))</f>
        <v>0</v>
      </c>
      <c r="AA165" t="str">
        <f t="shared" si="132"/>
        <v>7B</v>
      </c>
      <c r="AB165" t="str">
        <f t="shared" si="133"/>
        <v>8B</v>
      </c>
      <c r="AL165" t="s">
        <v>137</v>
      </c>
      <c r="AO165" t="s">
        <v>396</v>
      </c>
      <c r="JV165" s="27" t="str">
        <f t="shared" si="128"/>
        <v>XT55</v>
      </c>
      <c r="JY165" t="str">
        <f t="shared" si="129"/>
        <v>F0-AI16-7B</v>
      </c>
      <c r="JZ165" t="str">
        <f t="shared" si="130"/>
        <v>F0-AI16-8B</v>
      </c>
      <c r="KE165" cm="1">
        <f t="array" ref="KE165">IF(COUNTIFS($U$2:$U165,$U165)=1,1,INDEX(KE:KE,_xlfn.XMATCH(U165,U$1:U164,0,-1))+COUNT(KE164:KI164))</f>
        <v>336</v>
      </c>
      <c r="KF165">
        <f t="shared" si="134"/>
        <v>337</v>
      </c>
      <c r="KG165">
        <f t="shared" si="134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 cm="1">
        <f t="array" ref="Y166">IF(COUNTIFS($X$2:$X166,$X166)=1,"1",VALUE(SUBSTITUTE(INDEX(Y:Y,_xlfn.XMATCH($X166,$X$1:$X165,0,-1)),"A",""))+INDEX(Z:Z,_xlfn.XMATCH($X166,$X$1:$X165,0,-1))+1)</f>
        <v>3</v>
      </c>
      <c r="Z166" s="46" cm="1">
        <f t="array" ref="Z166">SUM(IF(ISNUMBER(FIND("TmAi",$BA$1:$ZZ$1)),IF(IFERROR(ISODD(SUBSTITUTE($BA166:$ZZ166,"A","")),FALSE),IF(ISODD(SUBSTITUTE($BA166:$ZZ166,"A","")),1,0),0)))</f>
        <v>0</v>
      </c>
      <c r="AA166" t="str">
        <f t="shared" ref="AA166:AA168" si="135">CONCATENATE($Y166*2-1,"A")</f>
        <v>5A</v>
      </c>
      <c r="AB166" t="str">
        <f t="shared" ref="AB166:AB168" si="136">CONCATENATE($Y166*2-1,"B")</f>
        <v>5B</v>
      </c>
      <c r="AL166" t="s">
        <v>137</v>
      </c>
      <c r="AO166" t="s">
        <v>396</v>
      </c>
      <c r="JV166" s="27" t="str">
        <f t="shared" si="128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9"/>
        <v>F0-AI30-5A</v>
      </c>
      <c r="JZ166" t="str">
        <f t="shared" si="130"/>
        <v>F0-AI30-5B</v>
      </c>
      <c r="KA166" t="str">
        <f>CONCATENATE($T166,"-AI",REPLACE($X166,1,3,""),"-",JW166)</f>
        <v>F0-AI30-6A</v>
      </c>
      <c r="KB166" t="str">
        <f>CONCATENATE($T166,"-AI",REPLACE($X166,1,3,""),"-",JX166)</f>
        <v>F0-AI30-6B</v>
      </c>
      <c r="KE166" cm="1">
        <f t="array" ref="KE166">IF(COUNTIFS($U$2:$U166,$U166)=1,1,INDEX(KE:KE,_xlfn.XMATCH(U166,U$1:U165,0,-1))+COUNT(KE165:KI165))</f>
        <v>339</v>
      </c>
      <c r="KF166">
        <f t="shared" si="134"/>
        <v>340</v>
      </c>
      <c r="KG166">
        <f t="shared" si="134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 cm="1">
        <f t="array" ref="Y167">IF(COUNTIFS($X$2:$X167,$X167)=1,"1",VALUE(SUBSTITUTE(INDEX(Y:Y,_xlfn.XMATCH($X167,$X$1:$X166,0,-1)),"A",""))+INDEX(Z:Z,_xlfn.XMATCH($X167,$X$1:$X166,0,-1))+1)</f>
        <v>4</v>
      </c>
      <c r="Z167" s="46" cm="1">
        <f t="array" ref="Z167">SUM(IF(ISNUMBER(FIND("TmAi",$BA$1:$ZZ$1)),IF(IFERROR(ISODD(SUBSTITUTE($BA167:$ZZ167,"A","")),FALSE),IF(ISODD(SUBSTITUTE($BA167:$ZZ167,"A","")),1,0),0)))</f>
        <v>0</v>
      </c>
      <c r="AA167" t="str">
        <f t="shared" si="135"/>
        <v>7A</v>
      </c>
      <c r="AB167" t="str">
        <f t="shared" si="136"/>
        <v>7B</v>
      </c>
      <c r="AL167" t="s">
        <v>137</v>
      </c>
      <c r="AO167" t="s">
        <v>396</v>
      </c>
      <c r="JV167" s="27" t="str">
        <f t="shared" si="128"/>
        <v>XT55</v>
      </c>
      <c r="JW167" t="str">
        <f t="shared" ref="JW167:JX167" si="137">REPLACE(AA167,1,1,LEFT(AA167,1)+1)</f>
        <v>8A</v>
      </c>
      <c r="JX167" t="str">
        <f t="shared" si="137"/>
        <v>8B</v>
      </c>
      <c r="JY167" t="str">
        <f t="shared" si="129"/>
        <v>F0-AI30-7A</v>
      </c>
      <c r="JZ167" t="str">
        <f t="shared" si="130"/>
        <v>F0-AI30-7B</v>
      </c>
      <c r="KA167" t="str">
        <f t="shared" ref="KA167:KB168" si="138">CONCATENATE($T167,"-AI",REPLACE($X167,1,3,""),"-",JW167)</f>
        <v>F0-AI30-8A</v>
      </c>
      <c r="KB167" t="str">
        <f t="shared" si="138"/>
        <v>F0-AI30-8B</v>
      </c>
      <c r="KE167" cm="1">
        <f t="array" ref="KE167">IF(COUNTIFS($U$2:$U167,$U167)=1,1,INDEX(KE:KE,_xlfn.XMATCH(U167,U$1:U166,0,-1))+COUNT(KE166:KI166))</f>
        <v>343</v>
      </c>
      <c r="KF167">
        <f t="shared" si="134"/>
        <v>344</v>
      </c>
      <c r="KG167">
        <f t="shared" si="134"/>
        <v>345</v>
      </c>
      <c r="KH167">
        <f t="shared" si="134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 cm="1">
        <f t="array" ref="Y168">IF(COUNTIFS($X$2:$X168,$X168)=1,"1",VALUE(SUBSTITUTE(INDEX(Y:Y,_xlfn.XMATCH($X168,$X$1:$X167,0,-1)),"A",""))+INDEX(Z:Z,_xlfn.XMATCH($X168,$X$1:$X167,0,-1))+1)</f>
        <v>5</v>
      </c>
      <c r="Z168" s="46" cm="1">
        <f t="array" ref="Z168">SUM(IF(ISNUMBER(FIND("TmAi",$BA$1:$ZZ$1)),IF(IFERROR(ISODD(SUBSTITUTE($BA168:$ZZ168,"A","")),FALSE),IF(ISODD(SUBSTITUTE($BA168:$ZZ168,"A","")),1,0),0)))</f>
        <v>0</v>
      </c>
      <c r="AA168" t="str">
        <f t="shared" si="135"/>
        <v>9A</v>
      </c>
      <c r="AB168" t="str">
        <f t="shared" si="136"/>
        <v>9B</v>
      </c>
      <c r="AL168" t="s">
        <v>137</v>
      </c>
      <c r="AO168" t="s">
        <v>396</v>
      </c>
      <c r="JV168" s="28" t="str">
        <f t="shared" si="128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9"/>
        <v>F0-AI30-9A</v>
      </c>
      <c r="JZ168" s="19" t="str">
        <f t="shared" si="130"/>
        <v>F0-AI30-9B</v>
      </c>
      <c r="KA168" s="19" t="str">
        <f t="shared" si="138"/>
        <v>F0-AI30-10A</v>
      </c>
      <c r="KB168" s="19" t="str">
        <f t="shared" si="138"/>
        <v>F0-AI30-10B</v>
      </c>
      <c r="KC168" s="19"/>
      <c r="KD168" s="19"/>
      <c r="KE168" s="19" cm="1">
        <f t="array" ref="KE168">IF(COUNTIFS($U$2:$U168,$U168)=1,1,INDEX(KE:KE,_xlfn.XMATCH(U168,U$1:U167,0,-1))+COUNT(KE167:KI167))</f>
        <v>347</v>
      </c>
      <c r="KF168" s="19">
        <f t="shared" si="134"/>
        <v>348</v>
      </c>
      <c r="KG168" s="19">
        <f t="shared" si="134"/>
        <v>349</v>
      </c>
      <c r="KH168" s="19">
        <f t="shared" si="134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 cm="1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 cm="1">
        <f t="array" ref="Y170">IF(COUNTIFS($X$2:$X170,$X170)=1,"1",VALUE(SUBSTITUTE(INDEX(Y:Y,_xlfn.XMATCH($X170,$X$1:$X169,0,-1)),"A",""))+INDEX(Z:Z,_xlfn.XMATCH($X170,$X$1:$X169,0,-1))+1)</f>
        <v>5</v>
      </c>
      <c r="Z170" s="46" cm="1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9">CONCATENATE($Y170*2-1,"A")</f>
        <v>9A</v>
      </c>
      <c r="AB170" t="str">
        <f t="shared" ref="AB170:AB176" si="140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41">CONCATENATE("XT",U170)</f>
        <v>XT57</v>
      </c>
      <c r="LK170" s="12" t="str">
        <f t="shared" ref="LK170:LK176" si="142">CONCATENATE(T170,"-AI",REPLACE($X170,1,3,""),"-",AA170)</f>
        <v>F0-AI16-9A</v>
      </c>
      <c r="LL170" s="12" t="str">
        <f t="shared" ref="LL170:LL176" si="143">CONCATENATE(T170,"-AI",REPLACE($X170,1,3,""),"-",AB170)</f>
        <v>F0-AI16-9B</v>
      </c>
      <c r="LM170" s="12">
        <v>1</v>
      </c>
      <c r="LN170" s="12">
        <f t="shared" ref="LN170:LO176" si="144">LM170+1</f>
        <v>2</v>
      </c>
      <c r="LO170" s="12">
        <f t="shared" si="144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 cm="1">
        <f t="array" ref="Y171">IF(COUNTIFS($X$2:$X171,$X171)=1,"1",VALUE(SUBSTITUTE(INDEX(Y:Y,_xlfn.XMATCH($X171,$X$1:$X170,0,-1)),"A",""))+INDEX(Z:Z,_xlfn.XMATCH($X171,$X$1:$X170,0,-1))+1)</f>
        <v>6</v>
      </c>
      <c r="Z171" s="46" cm="1">
        <f t="array" ref="Z171">SUM(IF(ISNUMBER(FIND("TmAi",$BA$1:$ZZ$1)),IF(IFERROR(ISODD(SUBSTITUTE($BA171:$ZZ171,"A","")),FALSE),IF(ISODD(SUBSTITUTE($BA171:$ZZ171,"A","")),1,0),0)))</f>
        <v>0</v>
      </c>
      <c r="AA171" t="str">
        <f t="shared" si="139"/>
        <v>11A</v>
      </c>
      <c r="AB171" t="str">
        <f t="shared" si="140"/>
        <v>11B</v>
      </c>
      <c r="AL171" t="s">
        <v>137</v>
      </c>
      <c r="AM171" t="s">
        <v>873</v>
      </c>
      <c r="AO171" t="s">
        <v>396</v>
      </c>
      <c r="LJ171" s="27" t="str">
        <f t="shared" si="141"/>
        <v>XT57</v>
      </c>
      <c r="LK171" t="str">
        <f t="shared" si="142"/>
        <v>F0-AI16-11A</v>
      </c>
      <c r="LL171" t="str">
        <f t="shared" si="143"/>
        <v>F0-AI16-11B</v>
      </c>
      <c r="LM171">
        <f>LM170+3</f>
        <v>4</v>
      </c>
      <c r="LN171">
        <f t="shared" si="144"/>
        <v>5</v>
      </c>
      <c r="LO171">
        <f t="shared" si="144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 cm="1">
        <f t="array" ref="Y172">IF(COUNTIFS($X$2:$X172,$X172)=1,"1",VALUE(SUBSTITUTE(INDEX(Y:Y,_xlfn.XMATCH($X172,$X$1:$X171,0,-1)),"A",""))+INDEX(Z:Z,_xlfn.XMATCH($X172,$X$1:$X171,0,-1))+1)</f>
        <v>7</v>
      </c>
      <c r="Z172" s="46" cm="1">
        <f t="array" ref="Z172">SUM(IF(ISNUMBER(FIND("TmAi",$BA$1:$ZZ$1)),IF(IFERROR(ISODD(SUBSTITUTE($BA172:$ZZ172,"A","")),FALSE),IF(ISODD(SUBSTITUTE($BA172:$ZZ172,"A","")),1,0),0)))</f>
        <v>0</v>
      </c>
      <c r="AA172" t="str">
        <f t="shared" si="139"/>
        <v>13A</v>
      </c>
      <c r="AB172" t="str">
        <f t="shared" si="140"/>
        <v>13B</v>
      </c>
      <c r="AL172" t="s">
        <v>137</v>
      </c>
      <c r="AM172" t="s">
        <v>873</v>
      </c>
      <c r="AO172" t="s">
        <v>396</v>
      </c>
      <c r="LJ172" s="27" t="str">
        <f t="shared" si="141"/>
        <v>XT57</v>
      </c>
      <c r="LK172" t="str">
        <f t="shared" si="142"/>
        <v>F0-AI16-13A</v>
      </c>
      <c r="LL172" t="str">
        <f t="shared" si="143"/>
        <v>F0-AI16-13B</v>
      </c>
      <c r="LM172">
        <f t="shared" ref="LM172:LM176" si="145">LM171+3</f>
        <v>7</v>
      </c>
      <c r="LN172">
        <f t="shared" si="144"/>
        <v>8</v>
      </c>
      <c r="LO172">
        <f t="shared" si="144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 cm="1">
        <f t="array" ref="Y173">IF(COUNTIFS($X$2:$X173,$X173)=1,"1",VALUE(SUBSTITUTE(INDEX(Y:Y,_xlfn.XMATCH($X173,$X$1:$X172,0,-1)),"A",""))+INDEX(Z:Z,_xlfn.XMATCH($X173,$X$1:$X172,0,-1))+1)</f>
        <v>8</v>
      </c>
      <c r="Z173" s="46" cm="1">
        <f t="array" ref="Z173">SUM(IF(ISNUMBER(FIND("TmAi",$BA$1:$ZZ$1)),IF(IFERROR(ISODD(SUBSTITUTE($BA173:$ZZ173,"A","")),FALSE),IF(ISODD(SUBSTITUTE($BA173:$ZZ173,"A","")),1,0),0)))</f>
        <v>0</v>
      </c>
      <c r="AA173" t="str">
        <f t="shared" si="139"/>
        <v>15A</v>
      </c>
      <c r="AB173" t="str">
        <f t="shared" si="140"/>
        <v>15B</v>
      </c>
      <c r="AL173" t="s">
        <v>137</v>
      </c>
      <c r="AM173" t="s">
        <v>873</v>
      </c>
      <c r="AO173" t="s">
        <v>396</v>
      </c>
      <c r="LJ173" s="27" t="str">
        <f t="shared" si="141"/>
        <v>XT57</v>
      </c>
      <c r="LK173" t="str">
        <f t="shared" si="142"/>
        <v>F0-AI16-15A</v>
      </c>
      <c r="LL173" t="str">
        <f t="shared" si="143"/>
        <v>F0-AI16-15B</v>
      </c>
      <c r="LM173">
        <f t="shared" si="145"/>
        <v>10</v>
      </c>
      <c r="LN173">
        <f t="shared" si="144"/>
        <v>11</v>
      </c>
      <c r="LO173">
        <f t="shared" si="144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 cm="1">
        <f t="array" ref="Y174">IF(COUNTIFS($X$2:$X174,$X174)=1,"1",VALUE(SUBSTITUTE(INDEX(Y:Y,_xlfn.XMATCH($X174,$X$1:$X173,0,-1)),"A",""))+INDEX(Z:Z,_xlfn.XMATCH($X174,$X$1:$X173,0,-1))+1)</f>
        <v>1</v>
      </c>
      <c r="Z174" s="46" cm="1">
        <f t="array" ref="Z174">SUM(IF(ISNUMBER(FIND("TmAi",$BA$1:$ZZ$1)),IF(IFERROR(ISODD(SUBSTITUTE($BA174:$ZZ174,"A","")),FALSE),IF(ISODD(SUBSTITUTE($BA174:$ZZ174,"A","")),1,0),0)))</f>
        <v>0</v>
      </c>
      <c r="AA174" t="str">
        <f t="shared" si="139"/>
        <v>1A</v>
      </c>
      <c r="AB174" t="str">
        <f t="shared" si="140"/>
        <v>1B</v>
      </c>
      <c r="AL174" t="s">
        <v>137</v>
      </c>
      <c r="AM174" t="s">
        <v>873</v>
      </c>
      <c r="AO174" t="s">
        <v>396</v>
      </c>
      <c r="LJ174" s="27" t="str">
        <f t="shared" si="141"/>
        <v>XT57</v>
      </c>
      <c r="LK174" t="str">
        <f t="shared" si="142"/>
        <v>F0-AI17-1A</v>
      </c>
      <c r="LL174" t="str">
        <f t="shared" si="143"/>
        <v>F0-AI17-1B</v>
      </c>
      <c r="LM174">
        <f t="shared" si="145"/>
        <v>13</v>
      </c>
      <c r="LN174">
        <f t="shared" si="144"/>
        <v>14</v>
      </c>
      <c r="LO174">
        <f t="shared" si="144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 cm="1">
        <f t="array" ref="Y175">IF(COUNTIFS($X$2:$X175,$X175)=1,"1",VALUE(SUBSTITUTE(INDEX(Y:Y,_xlfn.XMATCH($X175,$X$1:$X174,0,-1)),"A",""))+INDEX(Z:Z,_xlfn.XMATCH($X175,$X$1:$X174,0,-1))+1)</f>
        <v>2</v>
      </c>
      <c r="Z175" s="46" cm="1">
        <f t="array" ref="Z175">SUM(IF(ISNUMBER(FIND("TmAi",$BA$1:$ZZ$1)),IF(IFERROR(ISODD(SUBSTITUTE($BA175:$ZZ175,"A","")),FALSE),IF(ISODD(SUBSTITUTE($BA175:$ZZ175,"A","")),1,0),0)))</f>
        <v>0</v>
      </c>
      <c r="AA175" t="str">
        <f t="shared" si="139"/>
        <v>3A</v>
      </c>
      <c r="AB175" t="str">
        <f t="shared" si="140"/>
        <v>3B</v>
      </c>
      <c r="AL175" t="s">
        <v>137</v>
      </c>
      <c r="AM175" t="s">
        <v>873</v>
      </c>
      <c r="AO175" t="s">
        <v>396</v>
      </c>
      <c r="LJ175" s="27" t="str">
        <f t="shared" si="141"/>
        <v>XT57</v>
      </c>
      <c r="LK175" t="str">
        <f t="shared" si="142"/>
        <v>F0-AI17-3A</v>
      </c>
      <c r="LL175" t="str">
        <f t="shared" si="143"/>
        <v>F0-AI17-3B</v>
      </c>
      <c r="LM175">
        <f t="shared" si="145"/>
        <v>16</v>
      </c>
      <c r="LN175">
        <f t="shared" si="144"/>
        <v>17</v>
      </c>
      <c r="LO175">
        <f t="shared" si="144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 cm="1">
        <f t="array" ref="Y176">IF(COUNTIFS($X$2:$X176,$X176)=1,"1",VALUE(SUBSTITUTE(INDEX(Y:Y,_xlfn.XMATCH($X176,$X$1:$X175,0,-1)),"A",""))+INDEX(Z:Z,_xlfn.XMATCH($X176,$X$1:$X175,0,-1))+1)</f>
        <v>3</v>
      </c>
      <c r="Z176" s="46" cm="1">
        <f t="array" ref="Z176">SUM(IF(ISNUMBER(FIND("TmAi",$BA$1:$ZZ$1)),IF(IFERROR(ISODD(SUBSTITUTE($BA176:$ZZ176,"A","")),FALSE),IF(ISODD(SUBSTITUTE($BA176:$ZZ176,"A","")),1,0),0)))</f>
        <v>0</v>
      </c>
      <c r="AA176" t="str">
        <f t="shared" si="139"/>
        <v>5A</v>
      </c>
      <c r="AB176" t="str">
        <f t="shared" si="140"/>
        <v>5B</v>
      </c>
      <c r="AL176" t="s">
        <v>137</v>
      </c>
      <c r="AM176" t="s">
        <v>873</v>
      </c>
      <c r="AO176" t="s">
        <v>396</v>
      </c>
      <c r="LJ176" s="27" t="str">
        <f t="shared" si="141"/>
        <v>XT57</v>
      </c>
      <c r="LK176" t="str">
        <f t="shared" si="142"/>
        <v>F0-AI17-5A</v>
      </c>
      <c r="LL176" t="str">
        <f t="shared" si="143"/>
        <v>F0-AI17-5B</v>
      </c>
      <c r="LM176">
        <f t="shared" si="145"/>
        <v>19</v>
      </c>
      <c r="LN176">
        <f t="shared" si="144"/>
        <v>20</v>
      </c>
      <c r="LO176">
        <f t="shared" si="144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6">ME177+1</f>
        <v>5</v>
      </c>
      <c r="MG177" s="12">
        <f t="shared" si="146"/>
        <v>6</v>
      </c>
      <c r="MH177" s="12">
        <f t="shared" si="146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6"/>
        <v>9</v>
      </c>
      <c r="MG178">
        <f t="shared" si="146"/>
        <v>10</v>
      </c>
      <c r="MH178">
        <f t="shared" si="146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 cm="1">
        <f t="array" ref="Y179">IF(COUNTIFS($X$2:$X179,$X179)=1,"1",VALUE(SUBSTITUTE(INDEX(Y:Y,_xlfn.XMATCH($X179,$X$1:$X178,0,-1)),"A",""))+INDEX(Z:Z,_xlfn.XMATCH($X179,$X$1:$X178,0,-1))+1)</f>
        <v>4</v>
      </c>
      <c r="Z179" s="46" cm="1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7">CONCATENATE($Y179*2-1,"A")</f>
        <v>7A</v>
      </c>
      <c r="AB179" t="str">
        <f t="shared" ref="AB179:AB185" si="148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 cm="1">
        <f t="array" ref="Y180">IF(COUNTIFS($X$2:$X180,$X180)=1,"1",VALUE(SUBSTITUTE(INDEX(Y:Y,_xlfn.XMATCH($X180,$X$1:$X179,0,-1)),"A",""))+INDEX(Z:Z,_xlfn.XMATCH($X180,$X$1:$X179,0,-1))+1)</f>
        <v>6</v>
      </c>
      <c r="Z180" s="46" cm="1">
        <f t="array" ref="Z180">SUM(IF(ISNUMBER(FIND("TmAi",$BA$1:$ZZ$1)),IF(IFERROR(ISODD(SUBSTITUTE($BA180:$ZZ180,"A","")),FALSE),IF(ISODD(SUBSTITUTE($BA180:$ZZ180,"A","")),1,0),0)))</f>
        <v>0</v>
      </c>
      <c r="AA180" t="str">
        <f t="shared" si="147"/>
        <v>11A</v>
      </c>
      <c r="AB180" t="str">
        <f t="shared" si="148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 cm="1">
        <f t="array" ref="Y181">IF(COUNTIFS($X$2:$X181,$X181)=1,"1",VALUE(SUBSTITUTE(INDEX(Y:Y,_xlfn.XMATCH($X181,$X$1:$X180,0,-1)),"A",""))+INDEX(Z:Z,_xlfn.XMATCH($X181,$X$1:$X180,0,-1))+1)</f>
        <v>7</v>
      </c>
      <c r="Z181" s="46" cm="1">
        <f t="array" ref="Z181">SUM(IF(ISNUMBER(FIND("TmAi",$BA$1:$ZZ$1)),IF(IFERROR(ISODD(SUBSTITUTE($BA181:$ZZ181,"A","")),FALSE),IF(ISODD(SUBSTITUTE($BA181:$ZZ181,"A","")),1,0),0)))</f>
        <v>0</v>
      </c>
      <c r="AA181" t="str">
        <f t="shared" si="147"/>
        <v>13A</v>
      </c>
      <c r="AB181" t="str">
        <f t="shared" si="148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 cm="1">
        <f t="array" ref="KE181">IF(COUNTIFS($U$2:$U181,$U181)=1,1,INDEX(KE:KE,_xlfn.XMATCH(U181,U$1:U180,0,-1))+COUNT(KE168:KI168))</f>
        <v>351</v>
      </c>
      <c r="KF181">
        <f t="shared" ref="KF181:KI182" si="149">KE181+1</f>
        <v>352</v>
      </c>
      <c r="KG181">
        <f t="shared" si="149"/>
        <v>353</v>
      </c>
      <c r="KH181">
        <f t="shared" si="149"/>
        <v>354</v>
      </c>
      <c r="KI181">
        <f t="shared" si="149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 cm="1">
        <f t="array" ref="Y182">IF(COUNTIFS($X$2:$X182,$X182)=1,"1",VALUE(SUBSTITUTE(INDEX(Y:Y,_xlfn.XMATCH($X182,$X$1:$X181,0,-1)),"A",""))+INDEX(Z:Z,_xlfn.XMATCH($X182,$X$1:$X181,0,-1))+1)</f>
        <v>8</v>
      </c>
      <c r="Z182" s="46" cm="1">
        <f t="array" ref="Z182">SUM(IF(ISNUMBER(FIND("TmAi",$BA$1:$ZZ$1)),IF(IFERROR(ISODD(SUBSTITUTE($BA182:$ZZ182,"A","")),FALSE),IF(ISODD(SUBSTITUTE($BA182:$ZZ182,"A","")),1,0),0)))</f>
        <v>0</v>
      </c>
      <c r="AA182" t="str">
        <f t="shared" si="147"/>
        <v>15A</v>
      </c>
      <c r="AB182" t="str">
        <f t="shared" si="148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 cm="1">
        <f t="array" ref="KE182">IF(COUNTIFS($U$2:$U182,$U182)=1,1,INDEX(KE:KE,_xlfn.XMATCH(U182,U$1:U181,0,-1))+COUNT(KE181:KI181))</f>
        <v>356</v>
      </c>
      <c r="KF182">
        <f t="shared" si="149"/>
        <v>357</v>
      </c>
      <c r="KG182">
        <f t="shared" si="149"/>
        <v>358</v>
      </c>
      <c r="KH182">
        <f t="shared" si="149"/>
        <v>359</v>
      </c>
      <c r="KI182">
        <f t="shared" si="149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 cm="1">
        <f t="array" ref="Y183">IF(COUNTIFS($X$2:$X183,$X183)=1,"1",VALUE(SUBSTITUTE(INDEX(Y:Y,_xlfn.XMATCH($X183,$X$1:$X182,0,-1)),"A",""))+INDEX(Z:Z,_xlfn.XMATCH($X183,$X$1:$X182,0,-1))+1)</f>
        <v>1</v>
      </c>
      <c r="Z183" s="46" cm="1">
        <f t="array" ref="Z183">SUM(IF(ISNUMBER(FIND("TmAi",$BA$1:$ZZ$1)),IF(IFERROR(ISODD(SUBSTITUTE($BA183:$ZZ183,"A","")),FALSE),IF(ISODD(SUBSTITUTE($BA183:$ZZ183,"A","")),1,0),0)))</f>
        <v>1</v>
      </c>
      <c r="AA183" t="str">
        <f t="shared" si="147"/>
        <v>1A</v>
      </c>
      <c r="AB183" t="str">
        <f t="shared" si="148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50">CONCATENATE(REPLACE(OG183,LEN(OG183),1,"")+1,RIGHT(OG183))</f>
        <v>3B</v>
      </c>
      <c r="OJ183" s="12" t="str">
        <f t="shared" si="150"/>
        <v>4A</v>
      </c>
      <c r="OK183" s="12" t="str">
        <f t="shared" si="150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51">CONCATENATE($T183,"-AI",REPLACE($X183,1,3,""),"-",OF183)</f>
        <v>F0-AI31-2A</v>
      </c>
      <c r="OS183" s="12" t="str">
        <f t="shared" si="151"/>
        <v>F0-AI31-2B</v>
      </c>
      <c r="OT183" s="12" t="str">
        <f t="shared" si="151"/>
        <v>F0-AI31-3A</v>
      </c>
      <c r="OU183" s="12" t="str">
        <f t="shared" si="151"/>
        <v>F0-AI31-3B</v>
      </c>
      <c r="OV183" s="12" t="str">
        <f t="shared" si="151"/>
        <v>F0-AI31-4A</v>
      </c>
      <c r="OW183" s="12" t="str">
        <f t="shared" si="151"/>
        <v>F0-AI31-4B</v>
      </c>
      <c r="OX183" s="12"/>
      <c r="OY183" s="12"/>
      <c r="OZ183" s="12"/>
      <c r="PA183" s="12"/>
      <c r="PB183" s="12" cm="1">
        <f t="array" ref="PB183">IF(COUNTIFS($U$2:$U183,$U183)=1,1,INDEX(PB:PB,_xlfn.XMATCH($U183,$U$1:EB182,0,-1))+COUNT(PB182:PG182))</f>
        <v>1</v>
      </c>
      <c r="PC183" s="12">
        <f t="shared" ref="PC183:PJ185" si="152">PB183+1</f>
        <v>2</v>
      </c>
      <c r="PD183" s="12">
        <f t="shared" si="152"/>
        <v>3</v>
      </c>
      <c r="PE183" s="12">
        <f>PD183+1</f>
        <v>4</v>
      </c>
      <c r="PF183" s="12">
        <f t="shared" ref="PF183:PG183" si="153">PE183+1</f>
        <v>5</v>
      </c>
      <c r="PG183" s="12">
        <f t="shared" si="153"/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 cm="1">
        <f t="array" ref="Y184">IF(COUNTIFS($X$2:$X184,$X184)=1,"1",VALUE(SUBSTITUTE(INDEX(Y:Y,_xlfn.XMATCH($X184,$X$1:$X183,0,-1)),"A",""))+INDEX(Z:Z,_xlfn.XMATCH($X184,$X$1:$X183,0,-1))+1)</f>
        <v>3</v>
      </c>
      <c r="Z184" s="46" cm="1">
        <f t="array" ref="Z184">SUM(IF(ISNUMBER(FIND("TmAi",$BA$1:$ZZ$1)),IF(IFERROR(ISODD(SUBSTITUTE($BA184:$ZZ184,"A","")),FALSE),IF(ISODD(SUBSTITUTE($BA184:$ZZ184,"A","")),1,0),0)))</f>
        <v>1</v>
      </c>
      <c r="AA184" t="str">
        <f t="shared" si="147"/>
        <v>5A</v>
      </c>
      <c r="AB184" t="str">
        <f t="shared" si="148"/>
        <v>5B</v>
      </c>
      <c r="AL184" t="s">
        <v>137</v>
      </c>
      <c r="AN184" t="s">
        <v>1023</v>
      </c>
      <c r="AO184" t="s">
        <v>396</v>
      </c>
      <c r="OA184" s="27" t="str">
        <f t="shared" ref="OA184:OA185" si="154">CONCATENATE("XT",$U184)</f>
        <v>XT59</v>
      </c>
      <c r="OB184" t="s">
        <v>1030</v>
      </c>
      <c r="OC184" t="s">
        <v>1026</v>
      </c>
      <c r="OF184" t="str">
        <f t="shared" ref="OF184:OF185" si="155">CONCATENATE(REPLACE($AA184,LEN($AA184),1,"")+1,RIGHT($AA184))</f>
        <v>6A</v>
      </c>
      <c r="OG184" t="str">
        <f t="shared" ref="OG184:OG185" si="156">CONCATENATE(REPLACE($AB184,LEN($AB184),1,"")+1,RIGHT($AB184))</f>
        <v>6B</v>
      </c>
      <c r="OH184" t="str">
        <f t="shared" ref="OH184:OH185" si="157">CONCATENATE(REPLACE(OF184,LEN(OF184),1,"")+1,RIGHT(OF184))</f>
        <v>7A</v>
      </c>
      <c r="OI184" t="str">
        <f t="shared" si="150"/>
        <v>7B</v>
      </c>
      <c r="OJ184" t="str">
        <f t="shared" si="150"/>
        <v>8A</v>
      </c>
      <c r="OK184" t="str">
        <f t="shared" si="150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51"/>
        <v>F0-AI31-6A</v>
      </c>
      <c r="OS184" t="str">
        <f t="shared" si="151"/>
        <v>F0-AI31-6B</v>
      </c>
      <c r="OT184" t="str">
        <f t="shared" si="151"/>
        <v>F0-AI31-7A</v>
      </c>
      <c r="OU184" t="str">
        <f t="shared" si="151"/>
        <v>F0-AI31-7B</v>
      </c>
      <c r="OV184" t="str">
        <f t="shared" si="151"/>
        <v>F0-AI31-8A</v>
      </c>
      <c r="OW184" t="str">
        <f t="shared" si="151"/>
        <v>F0-AI31-8B</v>
      </c>
      <c r="PB184" cm="1">
        <f t="array" ref="PB184">IF(COUNTIFS($U$2:$U184,$U184)=1,1,INDEX(PB:PB,_xlfn.XMATCH($U184,$U$1:$U183,0,-1))+COUNT(PB183:PG183))</f>
        <v>7</v>
      </c>
      <c r="PC184">
        <f t="shared" si="152"/>
        <v>8</v>
      </c>
      <c r="PD184">
        <f t="shared" si="152"/>
        <v>9</v>
      </c>
      <c r="PE184">
        <f t="shared" si="152"/>
        <v>10</v>
      </c>
      <c r="PF184">
        <f t="shared" si="152"/>
        <v>11</v>
      </c>
      <c r="PG184">
        <f t="shared" si="152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 cm="1">
        <f t="array" ref="Y185">IF(COUNTIFS($X$2:$X185,$X185)=1,"1",VALUE(SUBSTITUTE(INDEX(Y:Y,_xlfn.XMATCH($X185,$X$1:$X184,0,-1)),"A",""))+INDEX(Z:Z,_xlfn.XMATCH($X185,$X$1:$X184,0,-1))+1)</f>
        <v>5</v>
      </c>
      <c r="Z185" s="46" cm="1">
        <f t="array" ref="Z185">SUM(IF(ISNUMBER(FIND("TmAi",$BA$1:$ZZ$1)),IF(IFERROR(ISODD(SUBSTITUTE($BA185:$ZZ185,"A","")),FALSE),IF(ISODD(SUBSTITUTE($BA185:$ZZ185,"A","")),1,0),0)))</f>
        <v>2</v>
      </c>
      <c r="AA185" t="str">
        <f t="shared" si="147"/>
        <v>9A</v>
      </c>
      <c r="AB185" t="str">
        <f t="shared" si="148"/>
        <v>9B</v>
      </c>
      <c r="AL185" t="s">
        <v>137</v>
      </c>
      <c r="AN185" t="s">
        <v>1048</v>
      </c>
      <c r="AO185" t="s">
        <v>396</v>
      </c>
      <c r="OA185" s="27" t="str">
        <f t="shared" si="154"/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 t="shared" si="155"/>
        <v>10A</v>
      </c>
      <c r="OG185" t="str">
        <f t="shared" si="156"/>
        <v>10B</v>
      </c>
      <c r="OH185" t="str">
        <f t="shared" si="157"/>
        <v>11A</v>
      </c>
      <c r="OI185" t="str">
        <f t="shared" si="150"/>
        <v>11B</v>
      </c>
      <c r="OJ185" t="str">
        <f t="shared" si="150"/>
        <v>12A</v>
      </c>
      <c r="OK185" t="str">
        <f t="shared" si="150"/>
        <v>12B</v>
      </c>
      <c r="OL185" t="str">
        <f t="shared" si="150"/>
        <v>13A</v>
      </c>
      <c r="OM185" t="str">
        <f t="shared" si="150"/>
        <v>13B</v>
      </c>
      <c r="ON185" t="str">
        <f t="shared" si="150"/>
        <v>14A</v>
      </c>
      <c r="OO185" t="str">
        <f t="shared" si="150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51"/>
        <v>F0-AI31-10A</v>
      </c>
      <c r="OS185" t="str">
        <f t="shared" si="151"/>
        <v>F0-AI31-10B</v>
      </c>
      <c r="OT185" t="str">
        <f t="shared" si="151"/>
        <v>F0-AI31-11A</v>
      </c>
      <c r="OU185" t="str">
        <f t="shared" si="151"/>
        <v>F0-AI31-11B</v>
      </c>
      <c r="OV185" t="str">
        <f t="shared" si="151"/>
        <v>F0-AI31-12A</v>
      </c>
      <c r="OW185" t="str">
        <f t="shared" si="151"/>
        <v>F0-AI31-12B</v>
      </c>
      <c r="OX185" t="str">
        <f t="shared" si="151"/>
        <v>F0-AI31-13A</v>
      </c>
      <c r="OY185" t="str">
        <f t="shared" si="151"/>
        <v>F0-AI31-13B</v>
      </c>
      <c r="OZ185" t="str">
        <f t="shared" si="151"/>
        <v>F0-AI31-14A</v>
      </c>
      <c r="PA185" t="str">
        <f t="shared" si="151"/>
        <v>F0-AI31-14B</v>
      </c>
      <c r="PB185" cm="1">
        <f t="array" ref="PB185">IF(COUNTIFS($U$2:$U185,$U185)=1,1,INDEX(PB:PB,_xlfn.XMATCH($U185,$U$1:$U184,0,-1))+COUNT(PB184:PG184))</f>
        <v>13</v>
      </c>
      <c r="PC185">
        <f t="shared" si="152"/>
        <v>14</v>
      </c>
      <c r="PD185">
        <f t="shared" si="152"/>
        <v>15</v>
      </c>
      <c r="PE185">
        <f t="shared" si="152"/>
        <v>16</v>
      </c>
      <c r="PF185">
        <f t="shared" si="152"/>
        <v>17</v>
      </c>
      <c r="PG185">
        <f t="shared" si="152"/>
        <v>18</v>
      </c>
      <c r="PH185">
        <f t="shared" si="152"/>
        <v>19</v>
      </c>
      <c r="PI185">
        <f t="shared" si="152"/>
        <v>20</v>
      </c>
      <c r="PJ185">
        <f t="shared" si="152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 cm="1">
        <f t="array" ref="Y186">IF(COUNTIFS($X$2:$X186,$X186)=1,"1",VALUE(SUBSTITUTE(INDEX(Y:Y,_xlfn.XMATCH($X186,$X$1:$X185,0,-1)),"A",""))+INDEX(Z:Z,_xlfn.XMATCH($X186,$X$1:$X185,0,-1))+1)</f>
        <v>1</v>
      </c>
      <c r="Z186" s="46" cm="1">
        <f t="array" ref="Z186">SUM(IF(ISNUMBER(FIND("TmAi",$BA$1:$ZZ$1)),IF(IFERROR(ISODD(SUBSTITUTE($BA186:$ZZ186,"A","")),FALSE),IF(ISODD(SUBSTITUTE($BA186:$ZZ186,"A","")),1,0),0)))</f>
        <v>0</v>
      </c>
      <c r="AA186" t="str">
        <f t="shared" ref="AA186" si="158">CONCATENATE($Y186*2-1,"B")</f>
        <v>1B</v>
      </c>
      <c r="AB186" t="str">
        <f t="shared" ref="AB186" si="159"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 t="shared" ref="KF186:KG186" si="160">KE186+1</f>
        <v>23</v>
      </c>
      <c r="KG186">
        <f t="shared" si="160"/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 cm="1">
        <f t="array" ref="Y187">IF(COUNTIFS($X$2:$X187,$X187)=1,"1",VALUE(SUBSTITUTE(INDEX(Y:Y,_xlfn.XMATCH($X187,$X$1:$X186,0,-1)),"A",""))+INDEX(Z:Z,_xlfn.XMATCH($X187,$X$1:$X186,0,-1))+1)</f>
        <v>2</v>
      </c>
      <c r="Z187" s="46" cm="1">
        <f t="array" ref="Z187">SUM(IF(ISNUMBER(FIND("TmAi",$BA$1:$ZZ$1)),IF(IFERROR(ISODD(SUBSTITUTE($BA187:$ZZ187,"A","")),FALSE),IF(ISODD(SUBSTITUTE($BA187:$ZZ187,"A","")),1,0),0)))</f>
        <v>11</v>
      </c>
      <c r="AA187" t="str">
        <f t="shared" ref="AA187:AA190" si="161">CONCATENATE($Y187*2-1,"A")</f>
        <v>3A</v>
      </c>
      <c r="AB187" t="str">
        <f t="shared" ref="AB187:AB190" si="162">CONCATENATE($Y187*2-1,"B")</f>
        <v>3B</v>
      </c>
      <c r="AN187" t="s">
        <v>1058</v>
      </c>
      <c r="AO187" t="s">
        <v>396</v>
      </c>
      <c r="JV187" s="27"/>
      <c r="KE187" cm="1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 t="shared" ref="PY187" si="163">CONCATENATE(VALUE(SUBSTITUTE(PW187,"B",""))+2,"B")</f>
        <v>9B</v>
      </c>
      <c r="PZ187" s="12" t="str">
        <f t="shared" ref="PZ187" si="164">CONCATENATE(VALUE(SUBSTITUTE(PX187,"A",""))+2,"A")</f>
        <v>9A</v>
      </c>
      <c r="QA187" s="12" t="str">
        <f t="shared" ref="QA187" si="165">CONCATENATE(VALUE(SUBSTITUTE(PY187,"B",""))+2,"B")</f>
        <v>11B</v>
      </c>
      <c r="QB187" s="12" t="str">
        <f t="shared" ref="QB187" si="166">CONCATENATE(VALUE(SUBSTITUTE(PZ187,"A",""))+2,"A")</f>
        <v>11A</v>
      </c>
      <c r="QC187" s="12" t="str">
        <f t="shared" ref="QC187" si="167">CONCATENATE(VALUE(SUBSTITUTE(QA187,"B",""))+2,"B")</f>
        <v>13B</v>
      </c>
      <c r="QD187" s="12" t="str">
        <f t="shared" ref="QD187" si="168">CONCATENATE(VALUE(SUBSTITUTE(QB187,"A",""))+2,"A")</f>
        <v>13A</v>
      </c>
      <c r="QE187" s="12" t="s">
        <v>135</v>
      </c>
      <c r="QF187" s="12" t="s">
        <v>136</v>
      </c>
      <c r="QG187" s="12" t="str">
        <f t="shared" ref="QG187" si="169">CONCATENATE(VALUE(SUBSTITUTE(QE187,"B",""))+2,"B")</f>
        <v>3B</v>
      </c>
      <c r="QH187" s="12" t="str">
        <f t="shared" ref="QH187" si="170">CONCATENATE(VALUE(SUBSTITUTE(QF187,"A",""))+2,"A")</f>
        <v>3A</v>
      </c>
      <c r="QI187" s="12" t="str">
        <f t="shared" ref="QI187" si="171">CONCATENATE(VALUE(SUBSTITUTE(QG187,"B",""))+2,"B")</f>
        <v>5B</v>
      </c>
      <c r="QJ187" s="12" t="str">
        <f t="shared" ref="QJ187" si="172">CONCATENATE(VALUE(SUBSTITUTE(QH187,"A",""))+2,"A")</f>
        <v>5A</v>
      </c>
      <c r="QK187" s="12" t="str">
        <f t="shared" ref="QK187" si="173">CONCATENATE(VALUE(SUBSTITUTE(QI187,"B",""))+2,"B")</f>
        <v>7B</v>
      </c>
      <c r="QL187" s="12" t="str">
        <f t="shared" ref="QL187" si="174">CONCATENATE(VALUE(SUBSTITUTE(QJ187,"A",""))+2,"A")</f>
        <v>7A</v>
      </c>
      <c r="QM187" s="12" t="str">
        <f t="shared" ref="QM187" si="175">CONCATENATE(VALUE(SUBSTITUTE(QK187,"B",""))+2,"B")</f>
        <v>9B</v>
      </c>
      <c r="QN187" s="12" t="str">
        <f t="shared" ref="QN187" si="176">CONCATENATE(VALUE(SUBSTITUTE(QL187,"A",""))+2,"A")</f>
        <v>9A</v>
      </c>
      <c r="QO187" s="12" t="str">
        <f t="shared" ref="QO187" si="177">CONCATENATE(VALUE(SUBSTITUTE(QM187,"B",""))+2,"B")</f>
        <v>11B</v>
      </c>
      <c r="QP187" s="12" t="str">
        <f t="shared" ref="QP187" si="178"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79">CONCATENATE($T187,"-AI",REPLACE($X187,1,3,""),"-",PW187)</f>
        <v>F0-AI18-7B</v>
      </c>
      <c r="QV187" s="12" t="str">
        <f t="shared" si="179"/>
        <v>F0-AI18-7A</v>
      </c>
      <c r="QW187" s="12" t="str">
        <f t="shared" si="179"/>
        <v>F0-AI18-9B</v>
      </c>
      <c r="QX187" s="12" t="str">
        <f t="shared" si="179"/>
        <v>F0-AI18-9A</v>
      </c>
      <c r="QY187" s="12" t="str">
        <f t="shared" si="179"/>
        <v>F0-AI18-11B</v>
      </c>
      <c r="QZ187" s="12" t="str">
        <f t="shared" si="179"/>
        <v>F0-AI18-11A</v>
      </c>
      <c r="RA187" s="12" t="str">
        <f t="shared" si="179"/>
        <v>F0-AI18-13B</v>
      </c>
      <c r="RB187" s="12" t="str">
        <f t="shared" si="179"/>
        <v>F0-AI18-13A</v>
      </c>
      <c r="RC187" s="12" t="str">
        <f t="shared" ref="RC187:RN187" si="180">CONCATENATE($T187,"-AI",REPLACE($PT187,1,3,""),"-",QE187)</f>
        <v>F0-AI19-1B</v>
      </c>
      <c r="RD187" s="12" t="str">
        <f t="shared" si="180"/>
        <v>F0-AI19-1A</v>
      </c>
      <c r="RE187" s="12" t="str">
        <f t="shared" si="180"/>
        <v>F0-AI19-3B</v>
      </c>
      <c r="RF187" s="12" t="str">
        <f t="shared" si="180"/>
        <v>F0-AI19-3A</v>
      </c>
      <c r="RG187" s="12" t="str">
        <f t="shared" si="180"/>
        <v>F0-AI19-5B</v>
      </c>
      <c r="RH187" s="12" t="str">
        <f t="shared" si="180"/>
        <v>F0-AI19-5A</v>
      </c>
      <c r="RI187" s="12" t="str">
        <f t="shared" si="180"/>
        <v>F0-AI19-7B</v>
      </c>
      <c r="RJ187" s="12" t="str">
        <f t="shared" si="180"/>
        <v>F0-AI19-7A</v>
      </c>
      <c r="RK187" s="12" t="str">
        <f t="shared" si="180"/>
        <v>F0-AI19-9B</v>
      </c>
      <c r="RL187" s="12" t="str">
        <f t="shared" si="180"/>
        <v>F0-AI19-9A</v>
      </c>
      <c r="RM187" s="12" t="str">
        <f t="shared" si="180"/>
        <v>F0-AI19-11B</v>
      </c>
      <c r="RN187" s="12" t="str">
        <f t="shared" si="180"/>
        <v>F0-AI19-11A</v>
      </c>
      <c r="RO187" s="12" t="str">
        <f t="shared" ref="RO187" si="181"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 cm="1">
        <f t="array" ref="Y188">IF(COUNTIFS($X$2:$X188,$X188)=1,"1",VALUE(SUBSTITUTE(INDEX(Y:Y,_xlfn.XMATCH($X188,$X$1:$X187,0,-1)),"A",""))+INDEX(Z:Z,_xlfn.XMATCH($X188,$X$1:$X187,0,-1))+1)</f>
        <v>1</v>
      </c>
      <c r="Z188" s="46" cm="1">
        <f t="array" ref="Z188">SUM(IF(ISNUMBER(FIND("TmAi",$BA$1:$ZZ$1)),IF(IFERROR(ISODD(SUBSTITUTE($BA188:$ZZ188,"A","")),FALSE),IF(ISODD(SUBSTITUTE($BA188:$ZZ188,"A","")),1,0),0)))</f>
        <v>1</v>
      </c>
      <c r="AA188" t="str">
        <f t="shared" si="161"/>
        <v>1A</v>
      </c>
      <c r="AB188" t="str">
        <f t="shared" si="162"/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82">CONCATENATE(REPLACE(OG188,LEN(OG188),1,"")+1,RIGHT(OG188))</f>
        <v>3B</v>
      </c>
      <c r="OJ188" s="12" t="str">
        <f t="shared" si="182"/>
        <v>4A</v>
      </c>
      <c r="OK188" s="12" t="str">
        <f t="shared" si="182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83">CONCATENATE($T188,"-AI",REPLACE($X188,1,3,""),"-",OF188)</f>
        <v>F0-AI32-2A</v>
      </c>
      <c r="OS188" s="12" t="str">
        <f t="shared" si="183"/>
        <v>F0-AI32-2B</v>
      </c>
      <c r="OT188" s="12" t="str">
        <f t="shared" si="183"/>
        <v>F0-AI32-3A</v>
      </c>
      <c r="OU188" s="12" t="str">
        <f t="shared" si="183"/>
        <v>F0-AI32-3B</v>
      </c>
      <c r="OV188" s="12" t="str">
        <f t="shared" si="183"/>
        <v>F0-AI32-4A</v>
      </c>
      <c r="OW188" s="12" t="str">
        <f t="shared" si="183"/>
        <v>F0-AI32-4B</v>
      </c>
      <c r="OX188" s="12"/>
      <c r="OY188" s="12"/>
      <c r="OZ188" s="12"/>
      <c r="PA188" s="12"/>
      <c r="PB188" s="12" cm="1">
        <f t="array" ref="PB188">IF(COUNTIFS($U$2:$U188,$U188)=1,1,INDEX(PB:PB,_xlfn.XMATCH($U188,$U$1:EB187,0,-1))+COUNT(PB187:PG187))</f>
        <v>1</v>
      </c>
      <c r="PC188" s="12">
        <f t="shared" ref="PC188:PE190" si="184">PB188+1</f>
        <v>2</v>
      </c>
      <c r="PD188" s="12">
        <f t="shared" si="184"/>
        <v>3</v>
      </c>
      <c r="PE188" s="12">
        <f>PD188+1</f>
        <v>4</v>
      </c>
      <c r="PF188" s="12">
        <f t="shared" ref="PF188:PJ190" si="185">PE188+1</f>
        <v>5</v>
      </c>
      <c r="PG188" s="12">
        <f t="shared" si="185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 cm="1">
        <f t="array" ref="Y189">IF(COUNTIFS($X$2:$X189,$X189)=1,"1",VALUE(SUBSTITUTE(INDEX(Y:Y,_xlfn.XMATCH($X189,$X$1:$X188,0,-1)),"A",""))+INDEX(Z:Z,_xlfn.XMATCH($X189,$X$1:$X188,0,-1))+1)</f>
        <v>3</v>
      </c>
      <c r="Z189" s="46" cm="1">
        <f t="array" ref="Z189">SUM(IF(ISNUMBER(FIND("TmAi",$BA$1:$ZZ$1)),IF(IFERROR(ISODD(SUBSTITUTE($BA189:$ZZ189,"A","")),FALSE),IF(ISODD(SUBSTITUTE($BA189:$ZZ189,"A","")),1,0),0)))</f>
        <v>1</v>
      </c>
      <c r="AA189" t="str">
        <f t="shared" si="161"/>
        <v>5A</v>
      </c>
      <c r="AB189" t="str">
        <f t="shared" si="162"/>
        <v>5B</v>
      </c>
      <c r="AL189" t="s">
        <v>137</v>
      </c>
      <c r="AN189" t="s">
        <v>1152</v>
      </c>
      <c r="AO189" t="s">
        <v>396</v>
      </c>
      <c r="OA189" s="27" t="str">
        <f t="shared" ref="OA189:OA190" si="186">CONCATENATE("XT",$U189)</f>
        <v>XT60</v>
      </c>
      <c r="OB189" t="s">
        <v>1175</v>
      </c>
      <c r="OC189" t="s">
        <v>1181</v>
      </c>
      <c r="OF189" t="str">
        <f t="shared" ref="OF189:OF190" si="187">CONCATENATE(REPLACE($AA189,LEN($AA189),1,"")+1,RIGHT($AA189))</f>
        <v>6A</v>
      </c>
      <c r="OG189" t="str">
        <f t="shared" ref="OG189:OG190" si="188">CONCATENATE(REPLACE($AB189,LEN($AB189),1,"")+1,RIGHT($AB189))</f>
        <v>6B</v>
      </c>
      <c r="OH189" t="str">
        <f t="shared" ref="OH189:OH190" si="189">CONCATENATE(REPLACE(OF189,LEN(OF189),1,"")+1,RIGHT(OF189))</f>
        <v>7A</v>
      </c>
      <c r="OI189" t="str">
        <f t="shared" si="182"/>
        <v>7B</v>
      </c>
      <c r="OJ189" t="str">
        <f t="shared" si="182"/>
        <v>8A</v>
      </c>
      <c r="OK189" t="str">
        <f t="shared" si="182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83"/>
        <v>F0-AI32-6A</v>
      </c>
      <c r="OS189" t="str">
        <f t="shared" si="183"/>
        <v>F0-AI32-6B</v>
      </c>
      <c r="OT189" t="str">
        <f t="shared" si="183"/>
        <v>F0-AI32-7A</v>
      </c>
      <c r="OU189" t="str">
        <f t="shared" si="183"/>
        <v>F0-AI32-7B</v>
      </c>
      <c r="OV189" t="str">
        <f t="shared" si="183"/>
        <v>F0-AI32-8A</v>
      </c>
      <c r="OW189" t="str">
        <f t="shared" si="183"/>
        <v>F0-AI32-8B</v>
      </c>
      <c r="PB189" cm="1">
        <f t="array" ref="PB189">IF(COUNTIFS($U$2:$U189,$U189)=1,1,INDEX(PB:PB,_xlfn.XMATCH($U189,$U$1:$U188,0,-1))+COUNT(PB188:PG188))</f>
        <v>7</v>
      </c>
      <c r="PC189">
        <f t="shared" si="184"/>
        <v>8</v>
      </c>
      <c r="PD189">
        <f t="shared" si="184"/>
        <v>9</v>
      </c>
      <c r="PE189">
        <f t="shared" si="184"/>
        <v>10</v>
      </c>
      <c r="PF189">
        <f t="shared" si="185"/>
        <v>11</v>
      </c>
      <c r="PG189">
        <f t="shared" si="185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 cm="1">
        <f t="array" ref="Y190">IF(COUNTIFS($X$2:$X190,$X190)=1,"1",VALUE(SUBSTITUTE(INDEX(Y:Y,_xlfn.XMATCH($X190,$X$1:$X189,0,-1)),"A",""))+INDEX(Z:Z,_xlfn.XMATCH($X190,$X$1:$X189,0,-1))+1)</f>
        <v>5</v>
      </c>
      <c r="Z190" s="46" cm="1">
        <f t="array" ref="Z190">SUM(IF(ISNUMBER(FIND("TmAi",$BA$1:$ZZ$1)),IF(IFERROR(ISODD(SUBSTITUTE($BA190:$ZZ190,"A","")),FALSE),IF(ISODD(SUBSTITUTE($BA190:$ZZ190,"A","")),1,0),0)))</f>
        <v>2</v>
      </c>
      <c r="AA190" t="str">
        <f t="shared" si="161"/>
        <v>9A</v>
      </c>
      <c r="AB190" t="str">
        <f t="shared" si="162"/>
        <v>9B</v>
      </c>
      <c r="AL190" t="s">
        <v>137</v>
      </c>
      <c r="AN190" t="s">
        <v>1153</v>
      </c>
      <c r="AO190" t="s">
        <v>396</v>
      </c>
      <c r="OA190" s="27" t="str">
        <f t="shared" si="186"/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 t="shared" si="187"/>
        <v>10A</v>
      </c>
      <c r="OG190" t="str">
        <f t="shared" si="188"/>
        <v>10B</v>
      </c>
      <c r="OH190" t="str">
        <f t="shared" si="189"/>
        <v>11A</v>
      </c>
      <c r="OI190" t="str">
        <f t="shared" si="182"/>
        <v>11B</v>
      </c>
      <c r="OJ190" t="str">
        <f t="shared" si="182"/>
        <v>12A</v>
      </c>
      <c r="OK190" t="str">
        <f t="shared" si="182"/>
        <v>12B</v>
      </c>
      <c r="OL190" t="str">
        <f t="shared" si="182"/>
        <v>13A</v>
      </c>
      <c r="OM190" t="str">
        <f t="shared" si="182"/>
        <v>13B</v>
      </c>
      <c r="ON190" t="str">
        <f t="shared" si="182"/>
        <v>14A</v>
      </c>
      <c r="OO190" t="str">
        <f t="shared" si="182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83"/>
        <v>F0-AI32-10A</v>
      </c>
      <c r="OS190" t="str">
        <f t="shared" si="183"/>
        <v>F0-AI32-10B</v>
      </c>
      <c r="OT190" t="str">
        <f t="shared" si="183"/>
        <v>F0-AI32-11A</v>
      </c>
      <c r="OU190" t="str">
        <f t="shared" si="183"/>
        <v>F0-AI32-11B</v>
      </c>
      <c r="OV190" t="str">
        <f t="shared" si="183"/>
        <v>F0-AI32-12A</v>
      </c>
      <c r="OW190" t="str">
        <f t="shared" si="183"/>
        <v>F0-AI32-12B</v>
      </c>
      <c r="OX190" t="str">
        <f t="shared" si="183"/>
        <v>F0-AI32-13A</v>
      </c>
      <c r="OY190" t="str">
        <f t="shared" si="183"/>
        <v>F0-AI32-13B</v>
      </c>
      <c r="OZ190" t="str">
        <f t="shared" si="183"/>
        <v>F0-AI32-14A</v>
      </c>
      <c r="PA190" t="str">
        <f t="shared" si="183"/>
        <v>F0-AI32-14B</v>
      </c>
      <c r="PB190" cm="1">
        <f t="array" ref="PB190">IF(COUNTIFS($U$2:$U190,$U190)=1,1,INDEX(PB:PB,_xlfn.XMATCH($U190,$U$1:$U189,0,-1))+COUNT(PB189:PG189))</f>
        <v>13</v>
      </c>
      <c r="PC190">
        <f t="shared" si="184"/>
        <v>14</v>
      </c>
      <c r="PD190">
        <f t="shared" si="184"/>
        <v>15</v>
      </c>
      <c r="PE190">
        <f t="shared" si="184"/>
        <v>16</v>
      </c>
      <c r="PF190">
        <f t="shared" si="185"/>
        <v>17</v>
      </c>
      <c r="PG190">
        <f t="shared" si="185"/>
        <v>18</v>
      </c>
      <c r="PH190">
        <f t="shared" si="185"/>
        <v>19</v>
      </c>
      <c r="PI190">
        <f t="shared" si="185"/>
        <v>20</v>
      </c>
      <c r="PJ190">
        <f t="shared" si="185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 cm="1">
        <f t="array" ref="Y191">IF(COUNTIFS($X$2:$X191,$X191)=1,"1",VALUE(SUBSTITUTE(INDEX(Y:Y,_xlfn.XMATCH($X191,$X$1:$X190,0,-1)),"A",""))+INDEX(Z:Z,_xlfn.XMATCH($X191,$X$1:$X190,0,-1))+1)</f>
        <v>1</v>
      </c>
      <c r="Z191" s="46" cm="1">
        <f t="array" ref="Z191">SUM(IF(ISNUMBER(FIND("TmAi",$BA$1:$ZZ$1)),IF(IFERROR(ISODD(SUBSTITUTE($BA191:$ZZ191,"A","")),FALSE),IF(ISODD(SUBSTITUTE($BA191:$ZZ191,"A","")),1,0),0)))</f>
        <v>0</v>
      </c>
      <c r="AA191" t="str">
        <f t="shared" ref="AA191" si="190">CONCATENATE($Y191*2-1,"B")</f>
        <v>1B</v>
      </c>
      <c r="AB191" t="str">
        <f t="shared" ref="AB191" si="191"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 t="shared" ref="KF191:KG191" si="192">KE191+1</f>
        <v>23</v>
      </c>
      <c r="KG191">
        <f t="shared" si="192"/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 cm="1">
        <f t="array" ref="Y192">IF(COUNTIFS($X$2:$X192,$X192)=1,"1",VALUE(SUBSTITUTE(INDEX(Y:Y,_xlfn.XMATCH($X192,$X$1:$X191,0,-1)),"A",""))+INDEX(Z:Z,_xlfn.XMATCH($X192,$X$1:$X191,0,-1))+1)</f>
        <v>2</v>
      </c>
      <c r="Z192" s="46" cm="1">
        <f t="array" ref="Z192">SUM(IF(ISNUMBER(FIND("TmAi",$BA$1:$ZZ$1)),IF(IFERROR(ISODD(SUBSTITUTE($BA192:$ZZ192,"A","")),FALSE),IF(ISODD(SUBSTITUTE($BA192:$ZZ192,"A","")),1,0),0)))</f>
        <v>11</v>
      </c>
      <c r="AA192" t="str">
        <f t="shared" ref="AA192:AA195" si="193">CONCATENATE($Y192*2-1,"A")</f>
        <v>3A</v>
      </c>
      <c r="AB192" t="str">
        <f t="shared" ref="AB192:AB195" si="194">CONCATENATE($Y192*2-1,"B")</f>
        <v>3B</v>
      </c>
      <c r="AN192" t="s">
        <v>1147</v>
      </c>
      <c r="AO192" t="s">
        <v>396</v>
      </c>
      <c r="JV192" s="27"/>
      <c r="KE192" cm="1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 t="shared" ref="PY192" si="195">CONCATENATE(VALUE(SUBSTITUTE(PW192,"B",""))+2,"B")</f>
        <v>9B</v>
      </c>
      <c r="PZ192" s="12" t="str">
        <f t="shared" ref="PZ192" si="196">CONCATENATE(VALUE(SUBSTITUTE(PX192,"A",""))+2,"A")</f>
        <v>9A</v>
      </c>
      <c r="QA192" s="12" t="str">
        <f t="shared" ref="QA192" si="197">CONCATENATE(VALUE(SUBSTITUTE(PY192,"B",""))+2,"B")</f>
        <v>11B</v>
      </c>
      <c r="QB192" s="12" t="str">
        <f t="shared" ref="QB192" si="198">CONCATENATE(VALUE(SUBSTITUTE(PZ192,"A",""))+2,"A")</f>
        <v>11A</v>
      </c>
      <c r="QC192" s="12" t="str">
        <f t="shared" ref="QC192" si="199">CONCATENATE(VALUE(SUBSTITUTE(QA192,"B",""))+2,"B")</f>
        <v>13B</v>
      </c>
      <c r="QD192" s="12" t="str">
        <f t="shared" ref="QD192" si="200">CONCATENATE(VALUE(SUBSTITUTE(QB192,"A",""))+2,"A")</f>
        <v>13A</v>
      </c>
      <c r="QE192" s="12" t="s">
        <v>135</v>
      </c>
      <c r="QF192" s="12" t="s">
        <v>136</v>
      </c>
      <c r="QG192" s="12" t="str">
        <f t="shared" ref="QG192" si="201">CONCATENATE(VALUE(SUBSTITUTE(QE192,"B",""))+2,"B")</f>
        <v>3B</v>
      </c>
      <c r="QH192" s="12" t="str">
        <f t="shared" ref="QH192" si="202">CONCATENATE(VALUE(SUBSTITUTE(QF192,"A",""))+2,"A")</f>
        <v>3A</v>
      </c>
      <c r="QI192" s="12" t="str">
        <f t="shared" ref="QI192" si="203">CONCATENATE(VALUE(SUBSTITUTE(QG192,"B",""))+2,"B")</f>
        <v>5B</v>
      </c>
      <c r="QJ192" s="12" t="str">
        <f t="shared" ref="QJ192" si="204">CONCATENATE(VALUE(SUBSTITUTE(QH192,"A",""))+2,"A")</f>
        <v>5A</v>
      </c>
      <c r="QK192" s="12" t="str">
        <f t="shared" ref="QK192" si="205">CONCATENATE(VALUE(SUBSTITUTE(QI192,"B",""))+2,"B")</f>
        <v>7B</v>
      </c>
      <c r="QL192" s="12" t="str">
        <f t="shared" ref="QL192" si="206">CONCATENATE(VALUE(SUBSTITUTE(QJ192,"A",""))+2,"A")</f>
        <v>7A</v>
      </c>
      <c r="QM192" s="12" t="str">
        <f t="shared" ref="QM192" si="207">CONCATENATE(VALUE(SUBSTITUTE(QK192,"B",""))+2,"B")</f>
        <v>9B</v>
      </c>
      <c r="QN192" s="12" t="str">
        <f t="shared" ref="QN192" si="208">CONCATENATE(VALUE(SUBSTITUTE(QL192,"A",""))+2,"A")</f>
        <v>9A</v>
      </c>
      <c r="QO192" s="12" t="str">
        <f t="shared" ref="QO192" si="209">CONCATENATE(VALUE(SUBSTITUTE(QM192,"B",""))+2,"B")</f>
        <v>11B</v>
      </c>
      <c r="QP192" s="12" t="str">
        <f t="shared" ref="QP192" si="210"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211">CONCATENATE($T192,"-AI",REPLACE($X192,1,3,""),"-",PW192)</f>
        <v>F0-AI20-7B</v>
      </c>
      <c r="QV192" s="12" t="str">
        <f t="shared" si="211"/>
        <v>F0-AI20-7A</v>
      </c>
      <c r="QW192" s="12" t="str">
        <f t="shared" si="211"/>
        <v>F0-AI20-9B</v>
      </c>
      <c r="QX192" s="12" t="str">
        <f t="shared" si="211"/>
        <v>F0-AI20-9A</v>
      </c>
      <c r="QY192" s="12" t="str">
        <f t="shared" si="211"/>
        <v>F0-AI20-11B</v>
      </c>
      <c r="QZ192" s="12" t="str">
        <f t="shared" si="211"/>
        <v>F0-AI20-11A</v>
      </c>
      <c r="RA192" s="12" t="str">
        <f t="shared" si="211"/>
        <v>F0-AI20-13B</v>
      </c>
      <c r="RB192" s="12" t="str">
        <f t="shared" si="211"/>
        <v>F0-AI20-13A</v>
      </c>
      <c r="RC192" s="12" t="str">
        <f t="shared" ref="RC192:RN192" si="212">CONCATENATE($T192,"-AI",REPLACE($PT192,1,3,""),"-",QE192)</f>
        <v>F0-AI21-1B</v>
      </c>
      <c r="RD192" s="12" t="str">
        <f t="shared" si="212"/>
        <v>F0-AI21-1A</v>
      </c>
      <c r="RE192" s="12" t="str">
        <f t="shared" si="212"/>
        <v>F0-AI21-3B</v>
      </c>
      <c r="RF192" s="12" t="str">
        <f t="shared" si="212"/>
        <v>F0-AI21-3A</v>
      </c>
      <c r="RG192" s="12" t="str">
        <f t="shared" si="212"/>
        <v>F0-AI21-5B</v>
      </c>
      <c r="RH192" s="12" t="str">
        <f t="shared" si="212"/>
        <v>F0-AI21-5A</v>
      </c>
      <c r="RI192" s="12" t="str">
        <f t="shared" si="212"/>
        <v>F0-AI21-7B</v>
      </c>
      <c r="RJ192" s="12" t="str">
        <f t="shared" si="212"/>
        <v>F0-AI21-7A</v>
      </c>
      <c r="RK192" s="12" t="str">
        <f t="shared" si="212"/>
        <v>F0-AI21-9B</v>
      </c>
      <c r="RL192" s="12" t="str">
        <f t="shared" si="212"/>
        <v>F0-AI21-9A</v>
      </c>
      <c r="RM192" s="12" t="str">
        <f t="shared" si="212"/>
        <v>F0-AI21-11B</v>
      </c>
      <c r="RN192" s="12" t="str">
        <f t="shared" si="212"/>
        <v>F0-AI21-11A</v>
      </c>
      <c r="RO192" s="12" t="str">
        <f t="shared" ref="RO192" si="213"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 cm="1">
        <f t="array" ref="Y193">IF(COUNTIFS($X$2:$X193,$X193)=1,"1",VALUE(SUBSTITUTE(INDEX(Y:Y,_xlfn.XMATCH($X193,$X$1:$X192,0,-1)),"A",""))+INDEX(Z:Z,_xlfn.XMATCH($X193,$X$1:$X192,0,-1))+1)</f>
        <v>1</v>
      </c>
      <c r="Z193" s="46" cm="1">
        <f t="array" ref="Z193">SUM(IF(ISNUMBER(FIND("TmAi",$BA$1:$ZZ$1)),IF(IFERROR(ISODD(SUBSTITUTE($BA193:$ZZ193,"A","")),FALSE),IF(ISODD(SUBSTITUTE($BA193:$ZZ193,"A","")),1,0),0)))</f>
        <v>1</v>
      </c>
      <c r="AA193" t="str">
        <f t="shared" si="193"/>
        <v>1A</v>
      </c>
      <c r="AB193" t="str">
        <f t="shared" si="194"/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214">CONCATENATE(REPLACE(OG193,LEN(OG193),1,"")+1,RIGHT(OG193))</f>
        <v>3B</v>
      </c>
      <c r="OJ193" s="12" t="str">
        <f t="shared" si="214"/>
        <v>4A</v>
      </c>
      <c r="OK193" s="12" t="str">
        <f t="shared" si="214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215">CONCATENATE($T193,"-AI",REPLACE($X193,1,3,""),"-",OF193)</f>
        <v>F0-AI33-2A</v>
      </c>
      <c r="OS193" s="12" t="str">
        <f t="shared" si="215"/>
        <v>F0-AI33-2B</v>
      </c>
      <c r="OT193" s="12" t="str">
        <f t="shared" si="215"/>
        <v>F0-AI33-3A</v>
      </c>
      <c r="OU193" s="12" t="str">
        <f t="shared" si="215"/>
        <v>F0-AI33-3B</v>
      </c>
      <c r="OV193" s="12" t="str">
        <f t="shared" si="215"/>
        <v>F0-AI33-4A</v>
      </c>
      <c r="OW193" s="12" t="str">
        <f t="shared" si="215"/>
        <v>F0-AI33-4B</v>
      </c>
      <c r="OX193" s="12"/>
      <c r="OY193" s="12"/>
      <c r="OZ193" s="12"/>
      <c r="PA193" s="12"/>
      <c r="PB193" s="12" cm="1">
        <f t="array" ref="PB193">IF(COUNTIFS($U$2:$U193,$U193)=1,1,INDEX(PB:PB,_xlfn.XMATCH($U193,$U$1:EB192,0,-1))+COUNT(PB192:PG192))</f>
        <v>1</v>
      </c>
      <c r="PC193" s="12">
        <f t="shared" ref="PC193:PE195" si="216">PB193+1</f>
        <v>2</v>
      </c>
      <c r="PD193" s="12">
        <f t="shared" si="216"/>
        <v>3</v>
      </c>
      <c r="PE193" s="12">
        <f>PD193+1</f>
        <v>4</v>
      </c>
      <c r="PF193" s="12">
        <f t="shared" ref="PF193:PJ195" si="217">PE193+1</f>
        <v>5</v>
      </c>
      <c r="PG193" s="12">
        <f t="shared" si="217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 cm="1">
        <f t="array" ref="Y194">IF(COUNTIFS($X$2:$X194,$X194)=1,"1",VALUE(SUBSTITUTE(INDEX(Y:Y,_xlfn.XMATCH($X194,$X$1:$X193,0,-1)),"A",""))+INDEX(Z:Z,_xlfn.XMATCH($X194,$X$1:$X193,0,-1))+1)</f>
        <v>3</v>
      </c>
      <c r="Z194" s="46" cm="1">
        <f t="array" ref="Z194">SUM(IF(ISNUMBER(FIND("TmAi",$BA$1:$ZZ$1)),IF(IFERROR(ISODD(SUBSTITUTE($BA194:$ZZ194,"A","")),FALSE),IF(ISODD(SUBSTITUTE($BA194:$ZZ194,"A","")),1,0),0)))</f>
        <v>1</v>
      </c>
      <c r="AA194" t="str">
        <f t="shared" si="193"/>
        <v>5A</v>
      </c>
      <c r="AB194" t="str">
        <f t="shared" si="194"/>
        <v>5B</v>
      </c>
      <c r="AL194" t="s">
        <v>137</v>
      </c>
      <c r="AN194" t="s">
        <v>1207</v>
      </c>
      <c r="AO194" t="s">
        <v>396</v>
      </c>
      <c r="OA194" s="27" t="str">
        <f t="shared" ref="OA194:OA195" si="218">CONCATENATE("XT",$U194)</f>
        <v>XT61</v>
      </c>
      <c r="OB194" t="s">
        <v>1189</v>
      </c>
      <c r="OC194" t="s">
        <v>1324</v>
      </c>
      <c r="OF194" t="str">
        <f t="shared" ref="OF194:OF195" si="219">CONCATENATE(REPLACE($AA194,LEN($AA194),1,"")+1,RIGHT($AA194))</f>
        <v>6A</v>
      </c>
      <c r="OG194" t="str">
        <f t="shared" ref="OG194:OG195" si="220">CONCATENATE(REPLACE($AB194,LEN($AB194),1,"")+1,RIGHT($AB194))</f>
        <v>6B</v>
      </c>
      <c r="OH194" t="str">
        <f t="shared" ref="OH194:OH195" si="221">CONCATENATE(REPLACE(OF194,LEN(OF194),1,"")+1,RIGHT(OF194))</f>
        <v>7A</v>
      </c>
      <c r="OI194" t="str">
        <f t="shared" si="214"/>
        <v>7B</v>
      </c>
      <c r="OJ194" t="str">
        <f t="shared" si="214"/>
        <v>8A</v>
      </c>
      <c r="OK194" t="str">
        <f t="shared" si="214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215"/>
        <v>F0-AI33-6A</v>
      </c>
      <c r="OS194" t="str">
        <f t="shared" si="215"/>
        <v>F0-AI33-6B</v>
      </c>
      <c r="OT194" t="str">
        <f t="shared" si="215"/>
        <v>F0-AI33-7A</v>
      </c>
      <c r="OU194" t="str">
        <f t="shared" si="215"/>
        <v>F0-AI33-7B</v>
      </c>
      <c r="OV194" t="str">
        <f t="shared" si="215"/>
        <v>F0-AI33-8A</v>
      </c>
      <c r="OW194" t="str">
        <f t="shared" si="215"/>
        <v>F0-AI33-8B</v>
      </c>
      <c r="PB194" cm="1">
        <f t="array" ref="PB194">IF(COUNTIFS($U$2:$U194,$U194)=1,1,INDEX(PB:PB,_xlfn.XMATCH($U194,$U$1:$U193,0,-1))+COUNT(PB193:PG193))</f>
        <v>7</v>
      </c>
      <c r="PC194">
        <f t="shared" si="216"/>
        <v>8</v>
      </c>
      <c r="PD194">
        <f t="shared" si="216"/>
        <v>9</v>
      </c>
      <c r="PE194">
        <f t="shared" si="216"/>
        <v>10</v>
      </c>
      <c r="PF194">
        <f t="shared" si="217"/>
        <v>11</v>
      </c>
      <c r="PG194">
        <f t="shared" si="217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 cm="1">
        <f t="array" ref="Y195">IF(COUNTIFS($X$2:$X195,$X195)=1,"1",VALUE(SUBSTITUTE(INDEX(Y:Y,_xlfn.XMATCH($X195,$X$1:$X194,0,-1)),"A",""))+INDEX(Z:Z,_xlfn.XMATCH($X195,$X$1:$X194,0,-1))+1)</f>
        <v>5</v>
      </c>
      <c r="Z195" s="46" cm="1">
        <f t="array" ref="Z195">SUM(IF(ISNUMBER(FIND("TmAi",$BA$1:$ZZ$1)),IF(IFERROR(ISODD(SUBSTITUTE($BA195:$ZZ195,"A","")),FALSE),IF(ISODD(SUBSTITUTE($BA195:$ZZ195,"A","")),1,0),0)))</f>
        <v>2</v>
      </c>
      <c r="AA195" t="str">
        <f t="shared" si="193"/>
        <v>9A</v>
      </c>
      <c r="AB195" t="str">
        <f t="shared" si="194"/>
        <v>9B</v>
      </c>
      <c r="AL195" t="s">
        <v>137</v>
      </c>
      <c r="AN195" t="s">
        <v>1210</v>
      </c>
      <c r="AO195" t="s">
        <v>396</v>
      </c>
      <c r="OA195" s="27" t="str">
        <f t="shared" si="218"/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 t="shared" si="219"/>
        <v>10A</v>
      </c>
      <c r="OG195" t="str">
        <f t="shared" si="220"/>
        <v>10B</v>
      </c>
      <c r="OH195" t="str">
        <f t="shared" si="221"/>
        <v>11A</v>
      </c>
      <c r="OI195" t="str">
        <f t="shared" si="214"/>
        <v>11B</v>
      </c>
      <c r="OJ195" t="str">
        <f t="shared" si="214"/>
        <v>12A</v>
      </c>
      <c r="OK195" t="str">
        <f t="shared" si="214"/>
        <v>12B</v>
      </c>
      <c r="OL195" t="str">
        <f t="shared" si="214"/>
        <v>13A</v>
      </c>
      <c r="OM195" t="str">
        <f t="shared" si="214"/>
        <v>13B</v>
      </c>
      <c r="ON195" t="str">
        <f t="shared" si="214"/>
        <v>14A</v>
      </c>
      <c r="OO195" t="str">
        <f t="shared" si="214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215"/>
        <v>F0-AI33-10A</v>
      </c>
      <c r="OS195" t="str">
        <f t="shared" si="215"/>
        <v>F0-AI33-10B</v>
      </c>
      <c r="OT195" t="str">
        <f t="shared" si="215"/>
        <v>F0-AI33-11A</v>
      </c>
      <c r="OU195" t="str">
        <f t="shared" si="215"/>
        <v>F0-AI33-11B</v>
      </c>
      <c r="OV195" t="str">
        <f t="shared" si="215"/>
        <v>F0-AI33-12A</v>
      </c>
      <c r="OW195" t="str">
        <f t="shared" si="215"/>
        <v>F0-AI33-12B</v>
      </c>
      <c r="OX195" t="str">
        <f t="shared" si="215"/>
        <v>F0-AI33-13A</v>
      </c>
      <c r="OY195" t="str">
        <f t="shared" si="215"/>
        <v>F0-AI33-13B</v>
      </c>
      <c r="OZ195" t="str">
        <f t="shared" si="215"/>
        <v>F0-AI33-14A</v>
      </c>
      <c r="PA195" t="str">
        <f t="shared" si="215"/>
        <v>F0-AI33-14B</v>
      </c>
      <c r="PB195" cm="1">
        <f t="array" ref="PB195">IF(COUNTIFS($U$2:$U195,$U195)=1,1,INDEX(PB:PB,_xlfn.XMATCH($U195,$U$1:$U194,0,-1))+COUNT(PB194:PG194))</f>
        <v>13</v>
      </c>
      <c r="PC195">
        <f t="shared" si="216"/>
        <v>14</v>
      </c>
      <c r="PD195">
        <f t="shared" si="216"/>
        <v>15</v>
      </c>
      <c r="PE195">
        <f t="shared" si="216"/>
        <v>16</v>
      </c>
      <c r="PF195">
        <f t="shared" si="217"/>
        <v>17</v>
      </c>
      <c r="PG195">
        <f t="shared" si="217"/>
        <v>18</v>
      </c>
      <c r="PH195">
        <f t="shared" si="217"/>
        <v>19</v>
      </c>
      <c r="PI195">
        <f t="shared" si="217"/>
        <v>20</v>
      </c>
      <c r="PJ195">
        <f t="shared" si="217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 cm="1">
        <f t="array" ref="Y196">IF(COUNTIFS($X$2:$X196,$X196)=1,"1",VALUE(SUBSTITUTE(INDEX(Y:Y,_xlfn.XMATCH($X196,$X$1:$X195,0,-1)),"A",""))+INDEX(Z:Z,_xlfn.XMATCH($X196,$X$1:$X195,0,-1))+1)</f>
        <v>1</v>
      </c>
      <c r="Z196" s="46" cm="1">
        <f t="array" ref="Z196">SUM(IF(ISNUMBER(FIND("TmAi",$BA$1:$ZZ$1)),IF(IFERROR(ISODD(SUBSTITUTE($BA196:$ZZ196,"A","")),FALSE),IF(ISODD(SUBSTITUTE($BA196:$ZZ196,"A","")),1,0),0)))</f>
        <v>0</v>
      </c>
      <c r="AA196" t="str">
        <f t="shared" ref="AA196" si="222">CONCATENATE($Y196*2-1,"B")</f>
        <v>1B</v>
      </c>
      <c r="AB196" t="str">
        <f t="shared" ref="AB196" si="223"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 t="shared" ref="KF196:KG196" si="224">KE196+1</f>
        <v>23</v>
      </c>
      <c r="KG196">
        <f t="shared" si="224"/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 cm="1">
        <f t="array" ref="Y197">IF(COUNTIFS($X$2:$X197,$X197)=1,"1",VALUE(SUBSTITUTE(INDEX(Y:Y,_xlfn.XMATCH($X197,$X$1:$X196,0,-1)),"A",""))+INDEX(Z:Z,_xlfn.XMATCH($X197,$X$1:$X196,0,-1))+1)</f>
        <v>2</v>
      </c>
      <c r="Z197" s="46" cm="1">
        <f t="array" ref="Z197">SUM(IF(ISNUMBER(FIND("TmAi",$BA$1:$ZZ$1)),IF(IFERROR(ISODD(SUBSTITUTE($BA197:$ZZ197,"A","")),FALSE),IF(ISODD(SUBSTITUTE($BA197:$ZZ197,"A","")),1,0),0)))</f>
        <v>11</v>
      </c>
      <c r="AA197" t="str">
        <f t="shared" ref="AA197:AA200" si="225">CONCATENATE($Y197*2-1,"A")</f>
        <v>3A</v>
      </c>
      <c r="AB197" t="str">
        <f t="shared" ref="AB197:AB200" si="226">CONCATENATE($Y197*2-1,"B")</f>
        <v>3B</v>
      </c>
      <c r="AN197" t="s">
        <v>1213</v>
      </c>
      <c r="AO197" t="s">
        <v>396</v>
      </c>
      <c r="JV197" s="27"/>
      <c r="KE197" cm="1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 t="shared" ref="PY197" si="227">CONCATENATE(VALUE(SUBSTITUTE(PW197,"B",""))+2,"B")</f>
        <v>9B</v>
      </c>
      <c r="PZ197" s="12" t="str">
        <f t="shared" ref="PZ197" si="228">CONCATENATE(VALUE(SUBSTITUTE(PX197,"A",""))+2,"A")</f>
        <v>9A</v>
      </c>
      <c r="QA197" s="12" t="str">
        <f t="shared" ref="QA197" si="229">CONCATENATE(VALUE(SUBSTITUTE(PY197,"B",""))+2,"B")</f>
        <v>11B</v>
      </c>
      <c r="QB197" s="12" t="str">
        <f t="shared" ref="QB197" si="230">CONCATENATE(VALUE(SUBSTITUTE(PZ197,"A",""))+2,"A")</f>
        <v>11A</v>
      </c>
      <c r="QC197" s="12" t="str">
        <f t="shared" ref="QC197" si="231">CONCATENATE(VALUE(SUBSTITUTE(QA197,"B",""))+2,"B")</f>
        <v>13B</v>
      </c>
      <c r="QD197" s="12" t="str">
        <f t="shared" ref="QD197" si="232">CONCATENATE(VALUE(SUBSTITUTE(QB197,"A",""))+2,"A")</f>
        <v>13A</v>
      </c>
      <c r="QE197" s="12" t="s">
        <v>135</v>
      </c>
      <c r="QF197" s="12" t="s">
        <v>136</v>
      </c>
      <c r="QG197" s="12" t="str">
        <f t="shared" ref="QG197" si="233">CONCATENATE(VALUE(SUBSTITUTE(QE197,"B",""))+2,"B")</f>
        <v>3B</v>
      </c>
      <c r="QH197" s="12" t="str">
        <f t="shared" ref="QH197" si="234">CONCATENATE(VALUE(SUBSTITUTE(QF197,"A",""))+2,"A")</f>
        <v>3A</v>
      </c>
      <c r="QI197" s="12" t="str">
        <f t="shared" ref="QI197" si="235">CONCATENATE(VALUE(SUBSTITUTE(QG197,"B",""))+2,"B")</f>
        <v>5B</v>
      </c>
      <c r="QJ197" s="12" t="str">
        <f t="shared" ref="QJ197" si="236">CONCATENATE(VALUE(SUBSTITUTE(QH197,"A",""))+2,"A")</f>
        <v>5A</v>
      </c>
      <c r="QK197" s="12" t="str">
        <f t="shared" ref="QK197" si="237">CONCATENATE(VALUE(SUBSTITUTE(QI197,"B",""))+2,"B")</f>
        <v>7B</v>
      </c>
      <c r="QL197" s="12" t="str">
        <f t="shared" ref="QL197" si="238">CONCATENATE(VALUE(SUBSTITUTE(QJ197,"A",""))+2,"A")</f>
        <v>7A</v>
      </c>
      <c r="QM197" s="12" t="str">
        <f t="shared" ref="QM197" si="239">CONCATENATE(VALUE(SUBSTITUTE(QK197,"B",""))+2,"B")</f>
        <v>9B</v>
      </c>
      <c r="QN197" s="12" t="str">
        <f t="shared" ref="QN197" si="240">CONCATENATE(VALUE(SUBSTITUTE(QL197,"A",""))+2,"A")</f>
        <v>9A</v>
      </c>
      <c r="QO197" s="12" t="str">
        <f t="shared" ref="QO197" si="241">CONCATENATE(VALUE(SUBSTITUTE(QM197,"B",""))+2,"B")</f>
        <v>11B</v>
      </c>
      <c r="QP197" s="12" t="str">
        <f t="shared" ref="QP197" si="242"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243">CONCATENATE($T197,"-AI",REPLACE($X197,1,3,""),"-",PW197)</f>
        <v>F0-AI22-7B</v>
      </c>
      <c r="QV197" s="12" t="str">
        <f t="shared" si="243"/>
        <v>F0-AI22-7A</v>
      </c>
      <c r="QW197" s="12" t="str">
        <f t="shared" si="243"/>
        <v>F0-AI22-9B</v>
      </c>
      <c r="QX197" s="12" t="str">
        <f t="shared" si="243"/>
        <v>F0-AI22-9A</v>
      </c>
      <c r="QY197" s="12" t="str">
        <f t="shared" si="243"/>
        <v>F0-AI22-11B</v>
      </c>
      <c r="QZ197" s="12" t="str">
        <f t="shared" si="243"/>
        <v>F0-AI22-11A</v>
      </c>
      <c r="RA197" s="12" t="str">
        <f t="shared" si="243"/>
        <v>F0-AI22-13B</v>
      </c>
      <c r="RB197" s="12" t="str">
        <f t="shared" si="243"/>
        <v>F0-AI22-13A</v>
      </c>
      <c r="RC197" s="12" t="str">
        <f t="shared" ref="RC197:RN197" si="244">CONCATENATE($T197,"-AI",REPLACE($PT197,1,3,""),"-",QE197)</f>
        <v>F0-AI23-1B</v>
      </c>
      <c r="RD197" s="12" t="str">
        <f t="shared" si="244"/>
        <v>F0-AI23-1A</v>
      </c>
      <c r="RE197" s="12" t="str">
        <f t="shared" si="244"/>
        <v>F0-AI23-3B</v>
      </c>
      <c r="RF197" s="12" t="str">
        <f t="shared" si="244"/>
        <v>F0-AI23-3A</v>
      </c>
      <c r="RG197" s="12" t="str">
        <f t="shared" si="244"/>
        <v>F0-AI23-5B</v>
      </c>
      <c r="RH197" s="12" t="str">
        <f t="shared" si="244"/>
        <v>F0-AI23-5A</v>
      </c>
      <c r="RI197" s="12" t="str">
        <f t="shared" si="244"/>
        <v>F0-AI23-7B</v>
      </c>
      <c r="RJ197" s="12" t="str">
        <f t="shared" si="244"/>
        <v>F0-AI23-7A</v>
      </c>
      <c r="RK197" s="12" t="str">
        <f t="shared" si="244"/>
        <v>F0-AI23-9B</v>
      </c>
      <c r="RL197" s="12" t="str">
        <f t="shared" si="244"/>
        <v>F0-AI23-9A</v>
      </c>
      <c r="RM197" s="12" t="str">
        <f t="shared" si="244"/>
        <v>F0-AI23-11B</v>
      </c>
      <c r="RN197" s="12" t="str">
        <f t="shared" si="244"/>
        <v>F0-AI23-11A</v>
      </c>
      <c r="RO197" s="12" t="str">
        <f t="shared" ref="RO197" si="245"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 cm="1">
        <f t="array" ref="Y198">IF(COUNTIFS($X$2:$X198,$X198)=1,"1",VALUE(SUBSTITUTE(INDEX(Y:Y,_xlfn.XMATCH($X198,$X$1:$X197,0,-1)),"A",""))+INDEX(Z:Z,_xlfn.XMATCH($X198,$X$1:$X197,0,-1))+1)</f>
        <v>1</v>
      </c>
      <c r="Z198" s="46" cm="1">
        <f t="array" ref="Z198">SUM(IF(ISNUMBER(FIND("TmAi",$BA$1:$ZZ$1)),IF(IFERROR(ISODD(SUBSTITUTE($BA198:$ZZ198,"A","")),FALSE),IF(ISODD(SUBSTITUTE($BA198:$ZZ198,"A","")),1,0),0)))</f>
        <v>1</v>
      </c>
      <c r="AA198" t="str">
        <f t="shared" si="225"/>
        <v>1A</v>
      </c>
      <c r="AB198" t="str">
        <f t="shared" si="226"/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246">CONCATENATE(REPLACE(OG198,LEN(OG198),1,"")+1,RIGHT(OG198))</f>
        <v>3B</v>
      </c>
      <c r="OJ198" s="12" t="str">
        <f t="shared" si="246"/>
        <v>4A</v>
      </c>
      <c r="OK198" s="12" t="str">
        <f t="shared" si="246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247">CONCATENATE($T198,"-AI",REPLACE($X198,1,3,""),"-",OF198)</f>
        <v>F0-AI34-2A</v>
      </c>
      <c r="OS198" s="12" t="str">
        <f t="shared" si="247"/>
        <v>F0-AI34-2B</v>
      </c>
      <c r="OT198" s="12" t="str">
        <f t="shared" si="247"/>
        <v>F0-AI34-3A</v>
      </c>
      <c r="OU198" s="12" t="str">
        <f t="shared" si="247"/>
        <v>F0-AI34-3B</v>
      </c>
      <c r="OV198" s="12" t="str">
        <f t="shared" si="247"/>
        <v>F0-AI34-4A</v>
      </c>
      <c r="OW198" s="12" t="str">
        <f t="shared" si="247"/>
        <v>F0-AI34-4B</v>
      </c>
      <c r="OX198" s="12"/>
      <c r="OY198" s="12"/>
      <c r="OZ198" s="12"/>
      <c r="PA198" s="12"/>
      <c r="PB198" s="12" cm="1">
        <f t="array" ref="PB198">IF(COUNTIFS($U$2:$U198,$U198)=1,1,INDEX(PB:PB,_xlfn.XMATCH($U198,$U$1:EB197,0,-1))+COUNT(PB197:PG197))</f>
        <v>1</v>
      </c>
      <c r="PC198" s="12">
        <f t="shared" ref="PC198:PE200" si="248">PB198+1</f>
        <v>2</v>
      </c>
      <c r="PD198" s="12">
        <f t="shared" si="248"/>
        <v>3</v>
      </c>
      <c r="PE198" s="12">
        <f>PD198+1</f>
        <v>4</v>
      </c>
      <c r="PF198" s="12">
        <f t="shared" ref="PF198:PJ200" si="249">PE198+1</f>
        <v>5</v>
      </c>
      <c r="PG198" s="12">
        <f t="shared" si="249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 cm="1">
        <f t="array" ref="Y199">IF(COUNTIFS($X$2:$X199,$X199)=1,"1",VALUE(SUBSTITUTE(INDEX(Y:Y,_xlfn.XMATCH($X199,$X$1:$X198,0,-1)),"A",""))+INDEX(Z:Z,_xlfn.XMATCH($X199,$X$1:$X198,0,-1))+1)</f>
        <v>3</v>
      </c>
      <c r="Z199" s="46" cm="1">
        <f t="array" ref="Z199">SUM(IF(ISNUMBER(FIND("TmAi",$BA$1:$ZZ$1)),IF(IFERROR(ISODD(SUBSTITUTE($BA199:$ZZ199,"A","")),FALSE),IF(ISODD(SUBSTITUTE($BA199:$ZZ199,"A","")),1,0),0)))</f>
        <v>1</v>
      </c>
      <c r="AA199" t="str">
        <f t="shared" si="225"/>
        <v>5A</v>
      </c>
      <c r="AB199" t="str">
        <f t="shared" si="226"/>
        <v>5B</v>
      </c>
      <c r="AL199" t="s">
        <v>137</v>
      </c>
      <c r="AN199" t="s">
        <v>1216</v>
      </c>
      <c r="AO199" t="s">
        <v>396</v>
      </c>
      <c r="OA199" s="27" t="str">
        <f t="shared" ref="OA199:OA200" si="250">CONCATENATE("XT",$U199)</f>
        <v>XT62</v>
      </c>
      <c r="OB199" t="s">
        <v>1226</v>
      </c>
      <c r="OC199" t="s">
        <v>1328</v>
      </c>
      <c r="OF199" t="str">
        <f t="shared" ref="OF199:OF200" si="251">CONCATENATE(REPLACE($AA199,LEN($AA199),1,"")+1,RIGHT($AA199))</f>
        <v>6A</v>
      </c>
      <c r="OG199" t="str">
        <f t="shared" ref="OG199:OG200" si="252">CONCATENATE(REPLACE($AB199,LEN($AB199),1,"")+1,RIGHT($AB199))</f>
        <v>6B</v>
      </c>
      <c r="OH199" t="str">
        <f t="shared" ref="OH199:OH200" si="253">CONCATENATE(REPLACE(OF199,LEN(OF199),1,"")+1,RIGHT(OF199))</f>
        <v>7A</v>
      </c>
      <c r="OI199" t="str">
        <f t="shared" si="246"/>
        <v>7B</v>
      </c>
      <c r="OJ199" t="str">
        <f t="shared" si="246"/>
        <v>8A</v>
      </c>
      <c r="OK199" t="str">
        <f t="shared" si="246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247"/>
        <v>F0-AI34-6A</v>
      </c>
      <c r="OS199" t="str">
        <f t="shared" si="247"/>
        <v>F0-AI34-6B</v>
      </c>
      <c r="OT199" t="str">
        <f t="shared" si="247"/>
        <v>F0-AI34-7A</v>
      </c>
      <c r="OU199" t="str">
        <f t="shared" si="247"/>
        <v>F0-AI34-7B</v>
      </c>
      <c r="OV199" t="str">
        <f t="shared" si="247"/>
        <v>F0-AI34-8A</v>
      </c>
      <c r="OW199" t="str">
        <f t="shared" si="247"/>
        <v>F0-AI34-8B</v>
      </c>
      <c r="PB199" cm="1">
        <f t="array" ref="PB199">IF(COUNTIFS($U$2:$U199,$U199)=1,1,INDEX(PB:PB,_xlfn.XMATCH($U199,$U$1:$U198,0,-1))+COUNT(PB198:PG198))</f>
        <v>7</v>
      </c>
      <c r="PC199">
        <f t="shared" si="248"/>
        <v>8</v>
      </c>
      <c r="PD199">
        <f t="shared" si="248"/>
        <v>9</v>
      </c>
      <c r="PE199">
        <f t="shared" si="248"/>
        <v>10</v>
      </c>
      <c r="PF199">
        <f t="shared" si="249"/>
        <v>11</v>
      </c>
      <c r="PG199">
        <f t="shared" si="249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 cm="1">
        <f t="array" ref="Y200">IF(COUNTIFS($X$2:$X200,$X200)=1,"1",VALUE(SUBSTITUTE(INDEX(Y:Y,_xlfn.XMATCH($X200,$X$1:$X199,0,-1)),"A",""))+INDEX(Z:Z,_xlfn.XMATCH($X200,$X$1:$X199,0,-1))+1)</f>
        <v>5</v>
      </c>
      <c r="Z200" s="46" cm="1">
        <f t="array" ref="Z200">SUM(IF(ISNUMBER(FIND("TmAi",$BA$1:$ZZ$1)),IF(IFERROR(ISODD(SUBSTITUTE($BA200:$ZZ200,"A","")),FALSE),IF(ISODD(SUBSTITUTE($BA200:$ZZ200,"A","")),1,0),0)))</f>
        <v>2</v>
      </c>
      <c r="AA200" t="str">
        <f t="shared" si="225"/>
        <v>9A</v>
      </c>
      <c r="AB200" t="str">
        <f t="shared" si="226"/>
        <v>9B</v>
      </c>
      <c r="AL200" t="s">
        <v>137</v>
      </c>
      <c r="AN200" t="s">
        <v>1219</v>
      </c>
      <c r="AO200" t="s">
        <v>396</v>
      </c>
      <c r="OA200" s="27" t="str">
        <f t="shared" si="250"/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 t="shared" si="251"/>
        <v>10A</v>
      </c>
      <c r="OG200" t="str">
        <f t="shared" si="252"/>
        <v>10B</v>
      </c>
      <c r="OH200" t="str">
        <f t="shared" si="253"/>
        <v>11A</v>
      </c>
      <c r="OI200" t="str">
        <f t="shared" si="246"/>
        <v>11B</v>
      </c>
      <c r="OJ200" t="str">
        <f t="shared" si="246"/>
        <v>12A</v>
      </c>
      <c r="OK200" t="str">
        <f t="shared" si="246"/>
        <v>12B</v>
      </c>
      <c r="OL200" t="str">
        <f t="shared" si="246"/>
        <v>13A</v>
      </c>
      <c r="OM200" t="str">
        <f t="shared" si="246"/>
        <v>13B</v>
      </c>
      <c r="ON200" t="str">
        <f t="shared" si="246"/>
        <v>14A</v>
      </c>
      <c r="OO200" t="str">
        <f t="shared" si="246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247"/>
        <v>F0-AI34-10A</v>
      </c>
      <c r="OS200" t="str">
        <f t="shared" si="247"/>
        <v>F0-AI34-10B</v>
      </c>
      <c r="OT200" t="str">
        <f t="shared" si="247"/>
        <v>F0-AI34-11A</v>
      </c>
      <c r="OU200" t="str">
        <f t="shared" si="247"/>
        <v>F0-AI34-11B</v>
      </c>
      <c r="OV200" t="str">
        <f t="shared" si="247"/>
        <v>F0-AI34-12A</v>
      </c>
      <c r="OW200" t="str">
        <f t="shared" si="247"/>
        <v>F0-AI34-12B</v>
      </c>
      <c r="OX200" t="str">
        <f t="shared" si="247"/>
        <v>F0-AI34-13A</v>
      </c>
      <c r="OY200" t="str">
        <f t="shared" si="247"/>
        <v>F0-AI34-13B</v>
      </c>
      <c r="OZ200" t="str">
        <f t="shared" si="247"/>
        <v>F0-AI34-14A</v>
      </c>
      <c r="PA200" t="str">
        <f t="shared" si="247"/>
        <v>F0-AI34-14B</v>
      </c>
      <c r="PB200" cm="1">
        <f t="array" ref="PB200">IF(COUNTIFS($U$2:$U200,$U200)=1,1,INDEX(PB:PB,_xlfn.XMATCH($U200,$U$1:$U199,0,-1))+COUNT(PB199:PG199))</f>
        <v>13</v>
      </c>
      <c r="PC200">
        <f t="shared" si="248"/>
        <v>14</v>
      </c>
      <c r="PD200">
        <f t="shared" si="248"/>
        <v>15</v>
      </c>
      <c r="PE200">
        <f t="shared" si="248"/>
        <v>16</v>
      </c>
      <c r="PF200">
        <f t="shared" si="249"/>
        <v>17</v>
      </c>
      <c r="PG200">
        <f t="shared" si="249"/>
        <v>18</v>
      </c>
      <c r="PH200">
        <f t="shared" si="249"/>
        <v>19</v>
      </c>
      <c r="PI200">
        <f t="shared" si="249"/>
        <v>20</v>
      </c>
      <c r="PJ200">
        <f t="shared" si="249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 cm="1">
        <f t="array" ref="Y201">IF(COUNTIFS($X$2:$X201,$X201)=1,"1",VALUE(SUBSTITUTE(INDEX(Y:Y,_xlfn.XMATCH($X201,$X$1:$X200,0,-1)),"A",""))+INDEX(Z:Z,_xlfn.XMATCH($X201,$X$1:$X200,0,-1))+1)</f>
        <v>1</v>
      </c>
      <c r="Z201" s="46" cm="1">
        <f t="array" ref="Z201">SUM(IF(ISNUMBER(FIND("TmAi",$BA$1:$ZZ$1)),IF(IFERROR(ISODD(SUBSTITUTE($BA201:$ZZ201,"A","")),FALSE),IF(ISODD(SUBSTITUTE($BA201:$ZZ201,"A","")),1,0),0)))</f>
        <v>0</v>
      </c>
      <c r="AA201" t="str">
        <f t="shared" ref="AA201" si="254">CONCATENATE($Y201*2-1,"B")</f>
        <v>1B</v>
      </c>
      <c r="AB201" t="str">
        <f t="shared" ref="AB201" si="255"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 t="shared" ref="KF201:KG201" si="256">KE201+1</f>
        <v>23</v>
      </c>
      <c r="KG201">
        <f t="shared" si="256"/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 cm="1">
        <f t="array" ref="Y202">IF(COUNTIFS($X$2:$X202,$X202)=1,"1",VALUE(SUBSTITUTE(INDEX(Y:Y,_xlfn.XMATCH($X202,$X$1:$X201,0,-1)),"A",""))+INDEX(Z:Z,_xlfn.XMATCH($X202,$X$1:$X201,0,-1))+1)</f>
        <v>2</v>
      </c>
      <c r="Z202" s="46" cm="1">
        <f t="array" ref="Z202">SUM(IF(ISNUMBER(FIND("TmAi",$BA$1:$ZZ$1)),IF(IFERROR(ISODD(SUBSTITUTE($BA202:$ZZ202,"A","")),FALSE),IF(ISODD(SUBSTITUTE($BA202:$ZZ202,"A","")),1,0),0)))</f>
        <v>11</v>
      </c>
      <c r="AA202" t="str">
        <f t="shared" ref="AA202:AA203" si="257">CONCATENATE($Y202*2-1,"A")</f>
        <v>3A</v>
      </c>
      <c r="AB202" t="str">
        <f t="shared" ref="AB202:AB203" si="258">CONCATENATE($Y202*2-1,"B")</f>
        <v>3B</v>
      </c>
      <c r="AN202" t="s">
        <v>1222</v>
      </c>
      <c r="AO202" t="s">
        <v>396</v>
      </c>
      <c r="JV202" s="27"/>
      <c r="KE202" cm="1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 t="shared" ref="PY202" si="259">CONCATENATE(VALUE(SUBSTITUTE(PW202,"B",""))+2,"B")</f>
        <v>9B</v>
      </c>
      <c r="PZ202" s="12" t="str">
        <f t="shared" ref="PZ202" si="260">CONCATENATE(VALUE(SUBSTITUTE(PX202,"A",""))+2,"A")</f>
        <v>9A</v>
      </c>
      <c r="QA202" s="12" t="str">
        <f t="shared" ref="QA202" si="261">CONCATENATE(VALUE(SUBSTITUTE(PY202,"B",""))+2,"B")</f>
        <v>11B</v>
      </c>
      <c r="QB202" s="12" t="str">
        <f t="shared" ref="QB202" si="262">CONCATENATE(VALUE(SUBSTITUTE(PZ202,"A",""))+2,"A")</f>
        <v>11A</v>
      </c>
      <c r="QC202" s="12" t="str">
        <f t="shared" ref="QC202" si="263">CONCATENATE(VALUE(SUBSTITUTE(QA202,"B",""))+2,"B")</f>
        <v>13B</v>
      </c>
      <c r="QD202" s="12" t="str">
        <f t="shared" ref="QD202" si="264">CONCATENATE(VALUE(SUBSTITUTE(QB202,"A",""))+2,"A")</f>
        <v>13A</v>
      </c>
      <c r="QE202" s="12" t="s">
        <v>135</v>
      </c>
      <c r="QF202" s="12" t="s">
        <v>136</v>
      </c>
      <c r="QG202" s="12" t="str">
        <f t="shared" ref="QG202" si="265">CONCATENATE(VALUE(SUBSTITUTE(QE202,"B",""))+2,"B")</f>
        <v>3B</v>
      </c>
      <c r="QH202" s="12" t="str">
        <f t="shared" ref="QH202" si="266">CONCATENATE(VALUE(SUBSTITUTE(QF202,"A",""))+2,"A")</f>
        <v>3A</v>
      </c>
      <c r="QI202" s="12" t="str">
        <f t="shared" ref="QI202" si="267">CONCATENATE(VALUE(SUBSTITUTE(QG202,"B",""))+2,"B")</f>
        <v>5B</v>
      </c>
      <c r="QJ202" s="12" t="str">
        <f t="shared" ref="QJ202" si="268">CONCATENATE(VALUE(SUBSTITUTE(QH202,"A",""))+2,"A")</f>
        <v>5A</v>
      </c>
      <c r="QK202" s="12" t="str">
        <f t="shared" ref="QK202" si="269">CONCATENATE(VALUE(SUBSTITUTE(QI202,"B",""))+2,"B")</f>
        <v>7B</v>
      </c>
      <c r="QL202" s="12" t="str">
        <f t="shared" ref="QL202" si="270">CONCATENATE(VALUE(SUBSTITUTE(QJ202,"A",""))+2,"A")</f>
        <v>7A</v>
      </c>
      <c r="QM202" s="12" t="str">
        <f t="shared" ref="QM202" si="271">CONCATENATE(VALUE(SUBSTITUTE(QK202,"B",""))+2,"B")</f>
        <v>9B</v>
      </c>
      <c r="QN202" s="12" t="str">
        <f t="shared" ref="QN202" si="272">CONCATENATE(VALUE(SUBSTITUTE(QL202,"A",""))+2,"A")</f>
        <v>9A</v>
      </c>
      <c r="QO202" s="12" t="str">
        <f t="shared" ref="QO202" si="273">CONCATENATE(VALUE(SUBSTITUTE(QM202,"B",""))+2,"B")</f>
        <v>11B</v>
      </c>
      <c r="QP202" s="12" t="str">
        <f t="shared" ref="QP202" si="274"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275">CONCATENATE($T202,"-AI",REPLACE($X202,1,3,""),"-",PW202)</f>
        <v>F0-AI24-7B</v>
      </c>
      <c r="QV202" s="12" t="str">
        <f t="shared" si="275"/>
        <v>F0-AI24-7A</v>
      </c>
      <c r="QW202" s="12" t="str">
        <f t="shared" si="275"/>
        <v>F0-AI24-9B</v>
      </c>
      <c r="QX202" s="12" t="str">
        <f t="shared" si="275"/>
        <v>F0-AI24-9A</v>
      </c>
      <c r="QY202" s="12" t="str">
        <f t="shared" si="275"/>
        <v>F0-AI24-11B</v>
      </c>
      <c r="QZ202" s="12" t="str">
        <f t="shared" si="275"/>
        <v>F0-AI24-11A</v>
      </c>
      <c r="RA202" s="12" t="str">
        <f t="shared" si="275"/>
        <v>F0-AI24-13B</v>
      </c>
      <c r="RB202" s="12" t="str">
        <f t="shared" si="275"/>
        <v>F0-AI24-13A</v>
      </c>
      <c r="RC202" s="12" t="str">
        <f t="shared" ref="RC202:RN202" si="276">CONCATENATE($T202,"-AI",REPLACE($PT202,1,3,""),"-",QE202)</f>
        <v>F0-AI25-1B</v>
      </c>
      <c r="RD202" s="12" t="str">
        <f t="shared" si="276"/>
        <v>F0-AI25-1A</v>
      </c>
      <c r="RE202" s="12" t="str">
        <f t="shared" si="276"/>
        <v>F0-AI25-3B</v>
      </c>
      <c r="RF202" s="12" t="str">
        <f t="shared" si="276"/>
        <v>F0-AI25-3A</v>
      </c>
      <c r="RG202" s="12" t="str">
        <f t="shared" si="276"/>
        <v>F0-AI25-5B</v>
      </c>
      <c r="RH202" s="12" t="str">
        <f t="shared" si="276"/>
        <v>F0-AI25-5A</v>
      </c>
      <c r="RI202" s="12" t="str">
        <f t="shared" si="276"/>
        <v>F0-AI25-7B</v>
      </c>
      <c r="RJ202" s="12" t="str">
        <f t="shared" si="276"/>
        <v>F0-AI25-7A</v>
      </c>
      <c r="RK202" s="12" t="str">
        <f t="shared" si="276"/>
        <v>F0-AI25-9B</v>
      </c>
      <c r="RL202" s="12" t="str">
        <f t="shared" si="276"/>
        <v>F0-AI25-9A</v>
      </c>
      <c r="RM202" s="12" t="str">
        <f t="shared" si="276"/>
        <v>F0-AI25-11B</v>
      </c>
      <c r="RN202" s="12" t="str">
        <f t="shared" si="276"/>
        <v>F0-AI25-11A</v>
      </c>
      <c r="RO202" s="12" t="str">
        <f t="shared" ref="RO202" si="277"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 cm="1">
        <f t="array" ref="Y203">IF(COUNTIFS($X$2:$X203,$X203)=1,"1",VALUE(SUBSTITUTE(INDEX(Y:Y,_xlfn.XMATCH($X203,$X$1:$X202,0,-1)),"A",""))+INDEX(Z:Z,_xlfn.XMATCH($X203,$X$1:$X202,0,-1))+1)</f>
        <v>1</v>
      </c>
      <c r="Z203" s="46" cm="1">
        <f t="array" ref="Z203">SUM(IF(ISNUMBER(FIND("TmAi",$BA$1:$ZZ$1)),IF(IFERROR(ISODD(SUBSTITUTE($BA203:$ZZ203,"A","")),FALSE),IF(ISODD(SUBSTITUTE($BA203:$ZZ203,"A","")),1,0),0)))</f>
        <v>1</v>
      </c>
      <c r="AA203" t="str">
        <f t="shared" si="257"/>
        <v>1A</v>
      </c>
      <c r="AB203" t="str">
        <f t="shared" si="258"/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 t="shared" ref="OI203:OK203" si="278">CONCATENATE(REPLACE(OG203,LEN(OG203),1,"")+1,RIGHT(OG203))</f>
        <v>3B</v>
      </c>
      <c r="OJ203" s="12" t="str">
        <f t="shared" si="278"/>
        <v>4A</v>
      </c>
      <c r="OK203" s="12" t="str">
        <f t="shared" si="278"/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279">CONCATENATE($T203,"-AI",REPLACE($X203,1,3,""),"-",OF203)</f>
        <v>F0-AI35-2A</v>
      </c>
      <c r="OS203" s="12" t="str">
        <f t="shared" si="279"/>
        <v>F0-AI35-2B</v>
      </c>
      <c r="OT203" s="12" t="str">
        <f t="shared" si="279"/>
        <v>F0-AI35-3A</v>
      </c>
      <c r="OU203" s="12" t="str">
        <f t="shared" si="279"/>
        <v>F0-AI35-3B</v>
      </c>
      <c r="OV203" s="12" t="str">
        <f t="shared" si="279"/>
        <v>F0-AI35-4A</v>
      </c>
      <c r="OW203" s="12" t="str">
        <f t="shared" si="279"/>
        <v>F0-AI35-4B</v>
      </c>
      <c r="OX203" s="12"/>
      <c r="OY203" s="12"/>
      <c r="OZ203" s="12"/>
      <c r="PA203" s="12"/>
      <c r="PB203" s="12" cm="1">
        <f t="array" ref="PB203">IF(COUNTIFS($U$2:$U203,$U203)=1,1,INDEX(PB:PB,_xlfn.XMATCH($U203,$U$1:EB202,0,-1))+COUNT(PB202:PG202))</f>
        <v>1</v>
      </c>
      <c r="PC203" s="12">
        <f t="shared" ref="PC203:PD203" si="280">PB203+1</f>
        <v>2</v>
      </c>
      <c r="PD203" s="12">
        <f t="shared" si="280"/>
        <v>3</v>
      </c>
      <c r="PE203" s="12">
        <f>PD203+1</f>
        <v>4</v>
      </c>
      <c r="PF203" s="12">
        <f t="shared" ref="PF203:PG203" si="281">PE203+1</f>
        <v>5</v>
      </c>
      <c r="PG203" s="12">
        <f t="shared" si="281"/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 cm="1">
        <f t="array" ref="Y204">IF(COUNTIFS($X$2:$X204,$X204)=1,"1",VALUE(SUBSTITUTE(INDEX(Y:Y,_xlfn.XMATCH($X204,$X$1:$X203,0,-1)),"A",""))+INDEX(Z:Z,_xlfn.XMATCH($X204,$X$1:$X203,0,-1))+1)</f>
        <v>1</v>
      </c>
      <c r="Z204" s="46" cm="1">
        <f t="array" ref="Z204">SUM(IF(ISNUMBER(FIND("TmAi",$BA$1:$ZZ$1)),IF(IFERROR(ISODD(SUBSTITUTE($BA204:$ZZ204,"A","")),FALSE),IF(ISODD(SUBSTITUTE($BA204:$ZZ204,"A","")),1,0),0)))</f>
        <v>0</v>
      </c>
      <c r="AA204" t="str">
        <f t="shared" ref="AA204" si="282">CONCATENATE($Y204*2-1,"B")</f>
        <v>1B</v>
      </c>
      <c r="AB204" t="str">
        <f t="shared" ref="AB204" si="283"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 t="shared" ref="KF204:KG204" si="284">KE204+1</f>
        <v>8</v>
      </c>
      <c r="KG204">
        <f t="shared" si="284"/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 cm="1">
        <f t="array" ref="Y205">IF(COUNTIFS($X$2:$X205,$X205)=1,"1",VALUE(SUBSTITUTE(INDEX(Y:Y,_xlfn.XMATCH($X205,$X$1:$X204,0,-1)),"A",""))+INDEX(Z:Z,_xlfn.XMATCH($X205,$X$1:$X204,0,-1))+1)</f>
        <v>3</v>
      </c>
      <c r="Z205" s="46" cm="1">
        <f t="array" ref="Z205">SUM(IF(ISNUMBER(FIND("TmAi",$BA$1:$ZZ$1)),IF(IFERROR(ISODD(SUBSTITUTE($BA205:$ZZ205,"A","")),FALSE),IF(ISODD(SUBSTITUTE($BA205:$ZZ205,"A","")),1,0),0)))</f>
        <v>1</v>
      </c>
      <c r="AA205" t="str">
        <f t="shared" ref="AA205" si="285">CONCATENATE($Y205*2-1,"A")</f>
        <v>5A</v>
      </c>
      <c r="AB205" t="str">
        <f t="shared" ref="AB205" si="286"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 t="shared" ref="OI205:OK205" si="287">CONCATENATE(REPLACE(OG205,LEN(OG205),1,"")+1,RIGHT(OG205))</f>
        <v>7B</v>
      </c>
      <c r="OJ205" s="12" t="str">
        <f t="shared" si="287"/>
        <v>8A</v>
      </c>
      <c r="OK205" s="12" t="str">
        <f t="shared" si="287"/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288">CONCATENATE($T205,"-AI",REPLACE($X205,1,3,""),"-",OF205)</f>
        <v>F0-AI35-6A</v>
      </c>
      <c r="OS205" s="12" t="str">
        <f t="shared" si="288"/>
        <v>F0-AI35-6B</v>
      </c>
      <c r="OT205" s="12" t="str">
        <f t="shared" si="288"/>
        <v>F0-AI35-7A</v>
      </c>
      <c r="OU205" s="12" t="str">
        <f t="shared" si="288"/>
        <v>F0-AI35-7B</v>
      </c>
      <c r="OV205" s="12" t="str">
        <f t="shared" si="288"/>
        <v>F0-AI35-8A</v>
      </c>
      <c r="OW205" s="12" t="str">
        <f t="shared" si="288"/>
        <v>F0-AI35-8B</v>
      </c>
      <c r="OX205" s="12"/>
      <c r="OY205" s="12"/>
      <c r="OZ205" s="12"/>
      <c r="PA205" s="12"/>
      <c r="PB205" s="12" cm="1">
        <f t="array" ref="PB205">IF(COUNTIFS($U$2:$U205,$U205)=1,1,INDEX(PB:PB,_xlfn.XMATCH($U205,$U$1:EB204,0,-1))+COUNT(PB204:PG204))</f>
        <v>1</v>
      </c>
      <c r="PC205" s="12">
        <f t="shared" ref="PC205:PD205" si="289">PB205+1</f>
        <v>2</v>
      </c>
      <c r="PD205" s="12">
        <f t="shared" si="289"/>
        <v>3</v>
      </c>
      <c r="PE205" s="12">
        <f>PD205+1</f>
        <v>4</v>
      </c>
      <c r="PF205" s="12">
        <f t="shared" ref="PF205:PG205" si="290">PE205+1</f>
        <v>5</v>
      </c>
      <c r="PG205" s="12">
        <f t="shared" si="290"/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 cm="1">
        <f t="array" ref="Y206">IF(COUNTIFS($X$2:$X206,$X206)=1,"1",VALUE(SUBSTITUTE(INDEX(Y:Y,_xlfn.XMATCH($X206,$X$1:$X205,0,-1)),"A",""))+INDEX(Z:Z,_xlfn.XMATCH($X206,$X$1:$X205,0,-1))+1)</f>
        <v>2</v>
      </c>
      <c r="Z206" s="46" cm="1">
        <f t="array" ref="Z206">SUM(IF(ISNUMBER(FIND("TmAi",$BA$1:$ZZ$1)),IF(IFERROR(ISODD(SUBSTITUTE($BA206:$ZZ206,"A","")),FALSE),IF(ISODD(SUBSTITUTE($BA206:$ZZ206,"A","")),1,0),0)))</f>
        <v>0</v>
      </c>
      <c r="AA206" t="str">
        <f t="shared" ref="AA206" si="291">CONCATENATE($Y206*2-1,"B")</f>
        <v>3B</v>
      </c>
      <c r="AB206" t="str">
        <f t="shared" ref="AB206" si="292"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 t="shared" ref="KF206:KG206" si="293">KE206+1</f>
        <v>8</v>
      </c>
      <c r="KG206">
        <f t="shared" si="293"/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 cm="1">
        <f t="array" ref="Y207">IF(COUNTIFS($X$2:$X207,$X207)=1,"1",VALUE(SUBSTITUTE(INDEX(Y:Y,_xlfn.XMATCH($X207,$X$1:$X206,0,-1)),"A",""))+INDEX(Z:Z,_xlfn.XMATCH($X207,$X$1:$X206,0,-1))+1)</f>
        <v>1</v>
      </c>
      <c r="Z207" s="46" cm="1">
        <f t="array" ref="Z207">SUM(IF(ISNUMBER(FIND("TmAi",$BA$1:$ZZ$1)),IF(IFERROR(ISODD(SUBSTITUTE($BA207:$ZZ207,"A","")),FALSE),IF(ISODD(SUBSTITUTE($BA207:$ZZ207,"A","")),1,0),0)))</f>
        <v>1</v>
      </c>
      <c r="AA207" t="str">
        <f t="shared" ref="AA207" si="294">CONCATENATE($Y207*2-1,"A")</f>
        <v>1A</v>
      </c>
      <c r="AB207" t="str">
        <f t="shared" ref="AB207" si="295"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 t="shared" ref="OI207:OK207" si="296">CONCATENATE(REPLACE(OG207,LEN(OG207),1,"")+1,RIGHT(OG207))</f>
        <v>3B</v>
      </c>
      <c r="OJ207" s="12" t="str">
        <f t="shared" si="296"/>
        <v>4A</v>
      </c>
      <c r="OK207" s="12" t="str">
        <f t="shared" si="296"/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297">CONCATENATE($T207,"-AI",REPLACE($X207,1,3,""),"-",OF207)</f>
        <v>F0-AI36-2A</v>
      </c>
      <c r="OS207" s="12" t="str">
        <f t="shared" si="297"/>
        <v>F0-AI36-2B</v>
      </c>
      <c r="OT207" s="12" t="str">
        <f t="shared" si="297"/>
        <v>F0-AI36-3A</v>
      </c>
      <c r="OU207" s="12" t="str">
        <f t="shared" si="297"/>
        <v>F0-AI36-3B</v>
      </c>
      <c r="OV207" s="12" t="str">
        <f t="shared" si="297"/>
        <v>F0-AI36-4A</v>
      </c>
      <c r="OW207" s="12" t="str">
        <f t="shared" si="297"/>
        <v>F0-AI36-4B</v>
      </c>
      <c r="OX207" s="12"/>
      <c r="OY207" s="12"/>
      <c r="OZ207" s="12"/>
      <c r="PA207" s="12"/>
      <c r="PB207" s="12" cm="1">
        <f t="array" ref="PB207">IF(COUNTIFS($U$2:$U207,$U207)=1,1,INDEX(PB:PB,_xlfn.XMATCH($U207,$U$1:EB206,0,-1))+COUNT(PB206:PG206))</f>
        <v>1</v>
      </c>
      <c r="PC207" s="12">
        <f t="shared" ref="PC207:PD207" si="298">PB207+1</f>
        <v>2</v>
      </c>
      <c r="PD207" s="12">
        <f t="shared" si="298"/>
        <v>3</v>
      </c>
      <c r="PE207" s="12">
        <f>PD207+1</f>
        <v>4</v>
      </c>
      <c r="PF207" s="12">
        <f t="shared" ref="PF207:PG207" si="299">PE207+1</f>
        <v>5</v>
      </c>
      <c r="PG207" s="12">
        <f t="shared" si="299"/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 cm="1">
        <f t="array" ref="Y208">IF(COUNTIFS($X$2:$X208,$X208)=1,"1",VALUE(SUBSTITUTE(INDEX(Y:Y,_xlfn.XMATCH($X208,$X$1:$X207,0,-1)),"A",""))+INDEX(Z:Z,_xlfn.XMATCH($X208,$X$1:$X207,0,-1))+1)</f>
        <v>3</v>
      </c>
      <c r="Z208" s="46" cm="1">
        <f t="array" ref="Z208">SUM(IF(ISNUMBER(FIND("TmAi",$BA$1:$ZZ$1)),IF(IFERROR(ISODD(SUBSTITUTE($BA208:$ZZ208,"A","")),FALSE),IF(ISODD(SUBSTITUTE($BA208:$ZZ208,"A","")),1,0),0)))</f>
        <v>0</v>
      </c>
      <c r="AA208" t="str">
        <f t="shared" ref="AA208" si="300">CONCATENATE($Y208*2-1,"B")</f>
        <v>5B</v>
      </c>
      <c r="AB208" t="str">
        <f t="shared" ref="AB208" si="301"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 t="shared" ref="KF208:KG208" si="302">KE208+1</f>
        <v>8</v>
      </c>
      <c r="KG208">
        <f t="shared" si="302"/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 cm="1">
        <f t="array" ref="Y209">IF(COUNTIFS($X$2:$X209,$X209)=1,"1",VALUE(SUBSTITUTE(INDEX(Y:Y,_xlfn.XMATCH($X209,$X$1:$X208,0,-1)),"A",""))+INDEX(Z:Z,_xlfn.XMATCH($X209,$X$1:$X208,0,-1))+1)</f>
        <v>3</v>
      </c>
      <c r="Z209" s="46" cm="1">
        <f t="array" ref="Z209">SUM(IF(ISNUMBER(FIND("TmAi",$BA$1:$ZZ$1)),IF(IFERROR(ISODD(SUBSTITUTE($BA209:$ZZ209,"A","")),FALSE),IF(ISODD(SUBSTITUTE($BA209:$ZZ209,"A","")),1,0),0)))</f>
        <v>1</v>
      </c>
      <c r="AA209" t="str">
        <f t="shared" ref="AA209" si="303">CONCATENATE($Y209*2-1,"A")</f>
        <v>5A</v>
      </c>
      <c r="AB209" t="str">
        <f t="shared" ref="AB209" si="304"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 t="shared" ref="OI209:OK209" si="305">CONCATENATE(REPLACE(OG209,LEN(OG209),1,"")+1,RIGHT(OG209))</f>
        <v>7B</v>
      </c>
      <c r="OJ209" s="12" t="str">
        <f t="shared" si="305"/>
        <v>8A</v>
      </c>
      <c r="OK209" s="12" t="str">
        <f t="shared" si="305"/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306">CONCATENATE($T209,"-AI",REPLACE($X209,1,3,""),"-",OF209)</f>
        <v>F0-AI36-6A</v>
      </c>
      <c r="OS209" s="12" t="str">
        <f t="shared" si="306"/>
        <v>F0-AI36-6B</v>
      </c>
      <c r="OT209" s="12" t="str">
        <f t="shared" si="306"/>
        <v>F0-AI36-7A</v>
      </c>
      <c r="OU209" s="12" t="str">
        <f t="shared" si="306"/>
        <v>F0-AI36-7B</v>
      </c>
      <c r="OV209" s="12" t="str">
        <f t="shared" si="306"/>
        <v>F0-AI36-8A</v>
      </c>
      <c r="OW209" s="12" t="str">
        <f t="shared" si="306"/>
        <v>F0-AI36-8B</v>
      </c>
      <c r="OX209" s="12"/>
      <c r="OY209" s="12"/>
      <c r="OZ209" s="12"/>
      <c r="PA209" s="12"/>
      <c r="PB209" s="12" cm="1">
        <f t="array" ref="PB209">IF(COUNTIFS($U$2:$U209,$U209)=1,1,INDEX(PB:PB,_xlfn.XMATCH($U209,$U$1:EB208,0,-1))+COUNT(PB208:PG208))</f>
        <v>1</v>
      </c>
      <c r="PC209" s="12">
        <f t="shared" ref="PC209:PD209" si="307">PB209+1</f>
        <v>2</v>
      </c>
      <c r="PD209" s="12">
        <f t="shared" si="307"/>
        <v>3</v>
      </c>
      <c r="PE209" s="12">
        <f>PD209+1</f>
        <v>4</v>
      </c>
      <c r="PF209" s="12">
        <f t="shared" ref="PF209:PG209" si="308">PE209+1</f>
        <v>5</v>
      </c>
      <c r="PG209" s="12">
        <f t="shared" si="308"/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 cm="1">
        <f t="array" ref="Y210">IF(COUNTIFS($X$2:$X210,$X210)=1,"1",VALUE(SUBSTITUTE(INDEX(Y:Y,_xlfn.XMATCH($X210,$X$1:$X209,0,-1)),"A",""))+INDEX(Z:Z,_xlfn.XMATCH($X210,$X$1:$X209,0,-1))+1)</f>
        <v>4</v>
      </c>
      <c r="Z210" s="46" cm="1">
        <f t="array" ref="Z210">SUM(IF(ISNUMBER(FIND("TmAi",$BA$1:$ZZ$1)),IF(IFERROR(ISODD(SUBSTITUTE($BA210:$ZZ210,"A","")),FALSE),IF(ISODD(SUBSTITUTE($BA210:$ZZ210,"A","")),1,0),0)))</f>
        <v>0</v>
      </c>
      <c r="AA210" t="str">
        <f t="shared" ref="AA210" si="309">CONCATENATE($Y210*2-1,"B")</f>
        <v>7B</v>
      </c>
      <c r="AB210" t="str">
        <f t="shared" ref="AB210" si="310"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 t="shared" ref="KF210:KG210" si="311">KE210+1</f>
        <v>8</v>
      </c>
      <c r="KG210">
        <f t="shared" si="311"/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 cm="1">
        <f t="array" ref="Y211">IF(COUNTIFS($X$2:$X211,$X211)=1,"1",VALUE(SUBSTITUTE(INDEX(Y:Y,_xlfn.XMATCH($X211,$X$1:$X210,0,-1)),"A",""))+INDEX(Z:Z,_xlfn.XMATCH($X211,$X$1:$X210,0,-1))+1)</f>
        <v>5</v>
      </c>
      <c r="Z211" s="46" cm="1">
        <f t="array" ref="Z211">SUM(IF(ISNUMBER(FIND("TmAi",$BA$1:$ZZ$1)),IF(IFERROR(ISODD(SUBSTITUTE($BA211:$ZZ211,"A","")),FALSE),IF(ISODD(SUBSTITUTE($BA211:$ZZ211,"A","")),1,0),0)))</f>
        <v>1</v>
      </c>
      <c r="AA211" t="str">
        <f t="shared" ref="AA211" si="312">CONCATENATE($Y211*2-1,"A")</f>
        <v>9A</v>
      </c>
      <c r="AB211" t="str">
        <f t="shared" ref="AB211" si="313"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 t="shared" ref="OI211:OK211" si="314">CONCATENATE(REPLACE(OG211,LEN(OG211),1,"")+1,RIGHT(OG211))</f>
        <v>11B</v>
      </c>
      <c r="OJ211" s="12" t="str">
        <f t="shared" si="314"/>
        <v>12A</v>
      </c>
      <c r="OK211" s="12" t="str">
        <f t="shared" si="314"/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315">CONCATENATE($T211,"-AI",REPLACE($X211,1,3,""),"-",OF211)</f>
        <v>F0-AI36-10A</v>
      </c>
      <c r="OS211" s="12" t="str">
        <f t="shared" si="315"/>
        <v>F0-AI36-10B</v>
      </c>
      <c r="OT211" s="12" t="str">
        <f t="shared" si="315"/>
        <v>F0-AI36-11A</v>
      </c>
      <c r="OU211" s="12" t="str">
        <f t="shared" si="315"/>
        <v>F0-AI36-11B</v>
      </c>
      <c r="OV211" s="12" t="str">
        <f t="shared" si="315"/>
        <v>F0-AI36-12A</v>
      </c>
      <c r="OW211" s="12" t="str">
        <f t="shared" si="315"/>
        <v>F0-AI36-12B</v>
      </c>
      <c r="OX211" s="12"/>
      <c r="OY211" s="12"/>
      <c r="OZ211" s="12"/>
      <c r="PA211" s="12"/>
      <c r="PB211" s="12" cm="1">
        <f t="array" ref="PB211">IF(COUNTIFS($U$2:$U211,$U211)=1,1,INDEX(PB:PB,_xlfn.XMATCH($U211,$U$1:EB210,0,-1))+COUNT(PB210:PG210))</f>
        <v>1</v>
      </c>
      <c r="PC211" s="12">
        <f t="shared" ref="PC211:PD211" si="316">PB211+1</f>
        <v>2</v>
      </c>
      <c r="PD211" s="12">
        <f t="shared" si="316"/>
        <v>3</v>
      </c>
      <c r="PE211" s="12">
        <f>PD211+1</f>
        <v>4</v>
      </c>
      <c r="PF211" s="12">
        <f t="shared" ref="PF211:PG211" si="317">PE211+1</f>
        <v>5</v>
      </c>
      <c r="PG211" s="12">
        <f t="shared" si="317"/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 cm="1">
        <f t="array" ref="Y212">IF(COUNTIFS($X$2:$X212,$X212)=1,"1",VALUE(SUBSTITUTE(INDEX(Y:Y,_xlfn.XMATCH($X212,$X$1:$X211,0,-1)),"A",""))+INDEX(Z:Z,_xlfn.XMATCH($X212,$X$1:$X211,0,-1))+1)</f>
        <v>5</v>
      </c>
      <c r="Z212" s="46" cm="1">
        <f t="array" ref="Z212">SUM(IF(ISNUMBER(FIND("TmAi",$BA$1:$ZZ$1)),IF(IFERROR(ISODD(SUBSTITUTE($BA212:$ZZ212,"A","")),FALSE),IF(ISODD(SUBSTITUTE($BA212:$ZZ212,"A","")),1,0),0)))</f>
        <v>0</v>
      </c>
      <c r="AA212" t="str">
        <f t="shared" ref="AA212" si="318">CONCATENATE($Y212*2-1,"B")</f>
        <v>9B</v>
      </c>
      <c r="AB212" t="str">
        <f t="shared" ref="AB212" si="319"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 t="shared" ref="KF212:KG212" si="320">KE212+1</f>
        <v>8</v>
      </c>
      <c r="KG212">
        <f t="shared" si="320"/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 cm="1">
        <f t="array" ref="Y213">IF(COUNTIFS($X$2:$X213,$X213)=1,"1",VALUE(SUBSTITUTE(INDEX(Y:Y,_xlfn.XMATCH($X213,$X$1:$X212,0,-1)),"A",""))+INDEX(Z:Z,_xlfn.XMATCH($X213,$X$1:$X212,0,-1))+1)</f>
        <v>1</v>
      </c>
      <c r="Z213" s="46" cm="1">
        <f t="array" ref="Z213">SUM(IF(ISNUMBER(FIND("TmAi",$BA$1:$ZZ$1)),IF(IFERROR(ISODD(SUBSTITUTE($BA213:$ZZ213,"A","")),FALSE),IF(ISODD(SUBSTITUTE($BA213:$ZZ213,"A","")),1,0),0)))</f>
        <v>1</v>
      </c>
      <c r="AA213" t="str">
        <f t="shared" ref="AA213" si="321">CONCATENATE($Y213*2-1,"A")</f>
        <v>1A</v>
      </c>
      <c r="AB213" t="str">
        <f t="shared" ref="AB213" si="322"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 t="shared" ref="OI213:OK213" si="323">CONCATENATE(REPLACE(OG213,LEN(OG213),1,"")+1,RIGHT(OG213))</f>
        <v>3B</v>
      </c>
      <c r="OJ213" s="12" t="str">
        <f t="shared" si="323"/>
        <v>4A</v>
      </c>
      <c r="OK213" s="12" t="str">
        <f t="shared" si="323"/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324">CONCATENATE($T213,"-AI",REPLACE($X213,1,3,""),"-",OF213)</f>
        <v>F0-AI37-2A</v>
      </c>
      <c r="OS213" s="12" t="str">
        <f t="shared" si="324"/>
        <v>F0-AI37-2B</v>
      </c>
      <c r="OT213" s="12" t="str">
        <f t="shared" si="324"/>
        <v>F0-AI37-3A</v>
      </c>
      <c r="OU213" s="12" t="str">
        <f t="shared" si="324"/>
        <v>F0-AI37-3B</v>
      </c>
      <c r="OV213" s="12" t="str">
        <f t="shared" si="324"/>
        <v>F0-AI37-4A</v>
      </c>
      <c r="OW213" s="12" t="str">
        <f t="shared" si="324"/>
        <v>F0-AI37-4B</v>
      </c>
      <c r="OX213" s="12"/>
      <c r="OY213" s="12"/>
      <c r="OZ213" s="12"/>
      <c r="PA213" s="12"/>
      <c r="PB213" s="12" cm="1">
        <f t="array" ref="PB213">IF(COUNTIFS($U$2:$U213,$U213)=1,1,INDEX(PB:PB,_xlfn.XMATCH($U213,$U$1:EB212,0,-1))+COUNT(PB212:PG212))</f>
        <v>1</v>
      </c>
      <c r="PC213" s="12">
        <f t="shared" ref="PC213:PD213" si="325">PB213+1</f>
        <v>2</v>
      </c>
      <c r="PD213" s="12">
        <f t="shared" si="325"/>
        <v>3</v>
      </c>
      <c r="PE213" s="12">
        <f>PD213+1</f>
        <v>4</v>
      </c>
      <c r="PF213" s="12">
        <f t="shared" ref="PF213:PG213" si="326">PE213+1</f>
        <v>5</v>
      </c>
      <c r="PG213" s="12">
        <f t="shared" si="326"/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 cm="1">
        <f t="array" ref="Y214">IF(COUNTIFS($X$2:$X214,$X214)=1,"1",VALUE(SUBSTITUTE(INDEX(Y:Y,_xlfn.XMATCH($X214,$X$1:$X213,0,-1)),"A",""))+INDEX(Z:Z,_xlfn.XMATCH($X214,$X$1:$X213,0,-1))+1)</f>
        <v>6</v>
      </c>
      <c r="Z214" s="46" cm="1">
        <f t="array" ref="Z214">SUM(IF(ISNUMBER(FIND("TmAi",$BA$1:$ZZ$1)),IF(IFERROR(ISODD(SUBSTITUTE($BA214:$ZZ214,"A","")),FALSE),IF(ISODD(SUBSTITUTE($BA214:$ZZ214,"A","")),1,0),0)))</f>
        <v>0</v>
      </c>
      <c r="AA214" t="str">
        <f t="shared" ref="AA214" si="327">CONCATENATE($Y214*2-1,"B")</f>
        <v>11B</v>
      </c>
      <c r="AB214" t="str">
        <f t="shared" ref="AB214" si="328"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 t="shared" ref="KF214:KG214" si="329">KE214+1</f>
        <v>8</v>
      </c>
      <c r="KG214">
        <f t="shared" si="329"/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 cm="1">
        <f t="array" ref="Y215">IF(COUNTIFS($X$2:$X215,$X215)=1,"1",VALUE(SUBSTITUTE(INDEX(Y:Y,_xlfn.XMATCH($X215,$X$1:$X214,0,-1)),"A",""))+INDEX(Z:Z,_xlfn.XMATCH($X215,$X$1:$X214,0,-1))+1)</f>
        <v>3</v>
      </c>
      <c r="Z215" s="46" cm="1">
        <f t="array" ref="Z215">SUM(IF(ISNUMBER(FIND("TmAi",$BA$1:$ZZ$1)),IF(IFERROR(ISODD(SUBSTITUTE($BA215:$ZZ215,"A","")),FALSE),IF(ISODD(SUBSTITUTE($BA215:$ZZ215,"A","")),1,0),0)))</f>
        <v>1</v>
      </c>
      <c r="AA215" t="str">
        <f t="shared" ref="AA215" si="330">CONCATENATE($Y215*2-1,"A")</f>
        <v>5A</v>
      </c>
      <c r="AB215" t="str">
        <f t="shared" ref="AB215" si="331"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 t="shared" ref="OI215:OK215" si="332">CONCATENATE(REPLACE(OG215,LEN(OG215),1,"")+1,RIGHT(OG215))</f>
        <v>7B</v>
      </c>
      <c r="OJ215" s="12" t="str">
        <f t="shared" si="332"/>
        <v>8A</v>
      </c>
      <c r="OK215" s="12" t="str">
        <f t="shared" si="332"/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333">CONCATENATE($T215,"-AI",REPLACE($X215,1,3,""),"-",OF215)</f>
        <v>F0-AI37-6A</v>
      </c>
      <c r="OS215" s="12" t="str">
        <f t="shared" si="333"/>
        <v>F0-AI37-6B</v>
      </c>
      <c r="OT215" s="12" t="str">
        <f t="shared" si="333"/>
        <v>F0-AI37-7A</v>
      </c>
      <c r="OU215" s="12" t="str">
        <f t="shared" si="333"/>
        <v>F0-AI37-7B</v>
      </c>
      <c r="OV215" s="12" t="str">
        <f t="shared" si="333"/>
        <v>F0-AI37-8A</v>
      </c>
      <c r="OW215" s="12" t="str">
        <f t="shared" si="333"/>
        <v>F0-AI37-8B</v>
      </c>
      <c r="OX215" s="12"/>
      <c r="OY215" s="12"/>
      <c r="OZ215" s="12"/>
      <c r="PA215" s="12"/>
      <c r="PB215" s="12" cm="1">
        <f t="array" ref="PB215">IF(COUNTIFS($U$2:$U215,$U215)=1,1,INDEX(PB:PB,_xlfn.XMATCH($U215,$U$1:EB214,0,-1))+COUNT(PB214:PG214))</f>
        <v>1</v>
      </c>
      <c r="PC215" s="12">
        <f t="shared" ref="PC215:PD215" si="334">PB215+1</f>
        <v>2</v>
      </c>
      <c r="PD215" s="12">
        <f t="shared" si="334"/>
        <v>3</v>
      </c>
      <c r="PE215" s="12">
        <f>PD215+1</f>
        <v>4</v>
      </c>
      <c r="PF215" s="12">
        <f t="shared" ref="PF215:PG215" si="335">PE215+1</f>
        <v>5</v>
      </c>
      <c r="PG215" s="12">
        <f t="shared" si="335"/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 cm="1">
        <f t="array" ref="Y216">IF(COUNTIFS($X$2:$X216,$X216)=1,"1",VALUE(SUBSTITUTE(INDEX(Y:Y,_xlfn.XMATCH($X216,$X$1:$X215,0,-1)),"A",""))+INDEX(Z:Z,_xlfn.XMATCH($X216,$X$1:$X215,0,-1))+1)</f>
        <v>7</v>
      </c>
      <c r="Z216" s="46" cm="1">
        <f t="array" ref="Z216">SUM(IF(ISNUMBER(FIND("TmAi",$BA$1:$ZZ$1)),IF(IFERROR(ISODD(SUBSTITUTE($BA216:$ZZ216,"A","")),FALSE),IF(ISODD(SUBSTITUTE($BA216:$ZZ216,"A","")),1,0),0)))</f>
        <v>0</v>
      </c>
      <c r="AA216" t="str">
        <f t="shared" ref="AA216:AA220" si="336">CONCATENATE($Y216*2-1,"B")</f>
        <v>13B</v>
      </c>
      <c r="AB216" t="str">
        <f t="shared" ref="AB216:AB220" si="337"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338">CONCATENATE("XT",U216)</f>
        <v>XT69</v>
      </c>
      <c r="JY216" t="str">
        <f t="shared" ref="JY216:JY224" si="339">CONCATENATE(T216,"-AI",REPLACE($X216,1,3,""),"-",AA216)</f>
        <v>F0-AI25-13B</v>
      </c>
      <c r="JZ216" t="str">
        <f t="shared" ref="JZ216:JZ224" si="340">CONCATENATE(T216,"-AI",REPLACE($X216,1,3,""),"-",AB216)</f>
        <v>F0-AI25-14B</v>
      </c>
      <c r="KE216">
        <v>7</v>
      </c>
      <c r="KF216">
        <f t="shared" ref="KF216:KH224" si="341">KE216+1</f>
        <v>8</v>
      </c>
      <c r="KG216">
        <f t="shared" si="341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 cm="1">
        <f t="array" ref="Y217">IF(COUNTIFS($X$2:$X217,$X217)=1,"1",VALUE(SUBSTITUTE(INDEX(Y:Y,_xlfn.XMATCH($X217,$X$1:$X216,0,-1)),"A",""))+INDEX(Z:Z,_xlfn.XMATCH($X217,$X$1:$X216,0,-1))+1)</f>
        <v>1</v>
      </c>
      <c r="Z217" s="46" cm="1">
        <f t="array" ref="Z217">SUM(IF(ISNUMBER(FIND("TmAi",$BA$1:$ZZ$1)),IF(IFERROR(ISODD(SUBSTITUTE($BA217:$ZZ217,"A","")),FALSE),IF(ISODD(SUBSTITUTE($BA217:$ZZ217,"A","")),1,0),0)))</f>
        <v>0</v>
      </c>
      <c r="AA217" t="str">
        <f t="shared" si="336"/>
        <v>1B</v>
      </c>
      <c r="AB217" t="str">
        <f t="shared" si="337"/>
        <v>2B</v>
      </c>
      <c r="AL217" t="s">
        <v>137</v>
      </c>
      <c r="AM217" t="s">
        <v>1307</v>
      </c>
      <c r="AO217" t="s">
        <v>396</v>
      </c>
      <c r="JV217" s="27" t="str">
        <f t="shared" si="338"/>
        <v>XT70</v>
      </c>
      <c r="JY217" t="str">
        <f t="shared" si="339"/>
        <v>F0-AI26-1B</v>
      </c>
      <c r="JZ217" t="str">
        <f t="shared" si="340"/>
        <v>F0-AI26-2B</v>
      </c>
      <c r="KE217">
        <v>1</v>
      </c>
      <c r="KF217">
        <f t="shared" si="341"/>
        <v>2</v>
      </c>
      <c r="KG217">
        <f t="shared" si="341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 cm="1">
        <f t="array" ref="Y218">IF(COUNTIFS($X$2:$X218,$X218)=1,"1",VALUE(SUBSTITUTE(INDEX(Y:Y,_xlfn.XMATCH($X218,$X$1:$X217,0,-1)),"A",""))+INDEX(Z:Z,_xlfn.XMATCH($X218,$X$1:$X217,0,-1))+1)</f>
        <v>2</v>
      </c>
      <c r="Z218" s="46" cm="1">
        <f t="array" ref="Z218">SUM(IF(ISNUMBER(FIND("TmAi",$BA$1:$ZZ$1)),IF(IFERROR(ISODD(SUBSTITUTE($BA218:$ZZ218,"A","")),FALSE),IF(ISODD(SUBSTITUTE($BA218:$ZZ218,"A","")),1,0),0)))</f>
        <v>0</v>
      </c>
      <c r="AA218" t="str">
        <f t="shared" si="336"/>
        <v>3B</v>
      </c>
      <c r="AB218" t="str">
        <f t="shared" si="337"/>
        <v>4B</v>
      </c>
      <c r="AL218" t="s">
        <v>137</v>
      </c>
      <c r="AM218" t="s">
        <v>1307</v>
      </c>
      <c r="AO218" t="s">
        <v>396</v>
      </c>
      <c r="JV218" s="27" t="str">
        <f t="shared" si="338"/>
        <v>XT70</v>
      </c>
      <c r="JY218" t="str">
        <f t="shared" si="339"/>
        <v>F0-AI26-3B</v>
      </c>
      <c r="JZ218" t="str">
        <f t="shared" si="340"/>
        <v>F0-AI26-4B</v>
      </c>
      <c r="KE218" cm="1">
        <f t="array" ref="KE218">IF(COUNTIFS($U$2:$U218,$U218)=1,1,INDEX(KE:KE,_xlfn.XMATCH(U218,U$1:U217,0,-1))+COUNT(KE217:KI217))</f>
        <v>4</v>
      </c>
      <c r="KF218">
        <f t="shared" si="341"/>
        <v>5</v>
      </c>
      <c r="KG218">
        <f t="shared" si="341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 cm="1">
        <f t="array" ref="Y219">IF(COUNTIFS($X$2:$X219,$X219)=1,"1",VALUE(SUBSTITUTE(INDEX(Y:Y,_xlfn.XMATCH($X219,$X$1:$X218,0,-1)),"A",""))+INDEX(Z:Z,_xlfn.XMATCH($X219,$X$1:$X218,0,-1))+1)</f>
        <v>3</v>
      </c>
      <c r="Z219" s="46" cm="1">
        <f t="array" ref="Z219">SUM(IF(ISNUMBER(FIND("TmAi",$BA$1:$ZZ$1)),IF(IFERROR(ISODD(SUBSTITUTE($BA219:$ZZ219,"A","")),FALSE),IF(ISODD(SUBSTITUTE($BA219:$ZZ219,"A","")),1,0),0)))</f>
        <v>0</v>
      </c>
      <c r="AA219" t="str">
        <f t="shared" si="336"/>
        <v>5B</v>
      </c>
      <c r="AB219" t="str">
        <f t="shared" si="337"/>
        <v>6B</v>
      </c>
      <c r="AL219" t="s">
        <v>137</v>
      </c>
      <c r="AM219" t="s">
        <v>1302</v>
      </c>
      <c r="AO219" t="s">
        <v>396</v>
      </c>
      <c r="JV219" s="27" t="str">
        <f t="shared" si="338"/>
        <v>XT70</v>
      </c>
      <c r="JY219" t="str">
        <f t="shared" si="339"/>
        <v>F0-AI26-5B</v>
      </c>
      <c r="JZ219" t="str">
        <f t="shared" si="340"/>
        <v>F0-AI26-6B</v>
      </c>
      <c r="KE219" cm="1">
        <f t="array" ref="KE219">IF(COUNTIFS($U$2:$U219,$U219)=1,1,INDEX(KE:KE,_xlfn.XMATCH(U219,U$1:U218,0,-1))+COUNT(KE218:KI218))</f>
        <v>7</v>
      </c>
      <c r="KF219">
        <f t="shared" si="341"/>
        <v>8</v>
      </c>
      <c r="KG219">
        <f t="shared" si="341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 cm="1">
        <f t="array" ref="Y220">IF(COUNTIFS($X$2:$X220,$X220)=1,"1",VALUE(SUBSTITUTE(INDEX(Y:Y,_xlfn.XMATCH($X220,$X$1:$X219,0,-1)),"A",""))+INDEX(Z:Z,_xlfn.XMATCH($X220,$X$1:$X219,0,-1))+1)</f>
        <v>4</v>
      </c>
      <c r="Z220" s="46" cm="1">
        <f t="array" ref="Z220">SUM(IF(ISNUMBER(FIND("TmAi",$BA$1:$ZZ$1)),IF(IFERROR(ISODD(SUBSTITUTE($BA220:$ZZ220,"A","")),FALSE),IF(ISODD(SUBSTITUTE($BA220:$ZZ220,"A","")),1,0),0)))</f>
        <v>0</v>
      </c>
      <c r="AA220" t="str">
        <f t="shared" si="336"/>
        <v>7B</v>
      </c>
      <c r="AB220" t="str">
        <f t="shared" si="337"/>
        <v>8B</v>
      </c>
      <c r="AL220" t="s">
        <v>137</v>
      </c>
      <c r="AM220" t="s">
        <v>1302</v>
      </c>
      <c r="AO220" t="s">
        <v>396</v>
      </c>
      <c r="JV220" s="27" t="str">
        <f t="shared" si="338"/>
        <v>XT70</v>
      </c>
      <c r="JY220" t="str">
        <f t="shared" si="339"/>
        <v>F0-AI26-7B</v>
      </c>
      <c r="JZ220" t="str">
        <f t="shared" si="340"/>
        <v>F0-AI26-8B</v>
      </c>
      <c r="KE220" cm="1">
        <f t="array" ref="KE220">IF(COUNTIFS($U$2:$U220,$U220)=1,1,INDEX(KE:KE,_xlfn.XMATCH(U220,U$1:U219,0,-1))+COUNT(KE219:KI219))</f>
        <v>10</v>
      </c>
      <c r="KF220">
        <f t="shared" si="341"/>
        <v>11</v>
      </c>
      <c r="KG220">
        <f t="shared" si="341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 cm="1">
        <f t="array" ref="Y221">IF(COUNTIFS($X$2:$X221,$X221)=1,"1",VALUE(SUBSTITUTE(INDEX(Y:Y,_xlfn.XMATCH($X221,$X$1:$X220,0,-1)),"A",""))+INDEX(Z:Z,_xlfn.XMATCH($X221,$X$1:$X220,0,-1))+1)</f>
        <v>1</v>
      </c>
      <c r="Z221" s="46" cm="1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338"/>
        <v>XT71</v>
      </c>
      <c r="JW221" t="str">
        <f t="shared" ref="JW221:JW222" si="342">REPLACE(AA221,1,1,LEFT(AA221,1)+1)</f>
        <v>2A</v>
      </c>
      <c r="JY221" t="str">
        <f t="shared" si="339"/>
        <v>F0-AI38-1A</v>
      </c>
      <c r="JZ221" t="str">
        <f t="shared" si="340"/>
        <v>F0-AI38-1B</v>
      </c>
      <c r="KA221" t="str">
        <f t="shared" ref="KA221:KB222" si="343">CONCATENATE($T221,"-AI",REPLACE($X221,1,3,""),"-",JW221)</f>
        <v>F0-AI38-2A</v>
      </c>
      <c r="KB221" t="str">
        <f t="shared" si="343"/>
        <v>F0-AI38-</v>
      </c>
      <c r="KE221" cm="1">
        <f t="array" ref="KE221">IF(COUNTIFS($U$2:$U221,$U221)=1,1,INDEX(KE:KE,_xlfn.XMATCH(U221,U$1:U220,0,-1))+COUNT(KE220:KI220))</f>
        <v>1</v>
      </c>
      <c r="KF221">
        <f t="shared" si="341"/>
        <v>2</v>
      </c>
      <c r="KG221">
        <f t="shared" si="341"/>
        <v>3</v>
      </c>
      <c r="KH221">
        <f t="shared" si="341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 cm="1">
        <f t="array" ref="Y222">IF(COUNTIFS($X$2:$X222,$X222)=1,"1",VALUE(SUBSTITUTE(INDEX(Y:Y,_xlfn.XMATCH($X222,$X$1:$X221,0,-1)),"A",""))+INDEX(Z:Z,_xlfn.XMATCH($X222,$X$1:$X221,0,-1))+1)</f>
        <v>2</v>
      </c>
      <c r="Z222" s="46" cm="1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338"/>
        <v>XT71</v>
      </c>
      <c r="JW222" t="str">
        <f t="shared" si="342"/>
        <v>4A</v>
      </c>
      <c r="JY222" t="str">
        <f t="shared" si="339"/>
        <v>F0-AI38-3A</v>
      </c>
      <c r="JZ222" t="str">
        <f t="shared" si="340"/>
        <v>F0-AI38-3B</v>
      </c>
      <c r="KA222" t="str">
        <f t="shared" si="343"/>
        <v>F0-AI38-4A</v>
      </c>
      <c r="KB222" t="str">
        <f t="shared" si="343"/>
        <v>F0-AI38-</v>
      </c>
      <c r="KE222" cm="1">
        <f t="array" ref="KE222">IF(COUNTIFS($U$2:$U222,$U222)=1,1,INDEX(KE:KE,_xlfn.XMATCH(U222,U$1:U221,0,-1))+COUNT(KE221:KI221))</f>
        <v>5</v>
      </c>
      <c r="KF222">
        <f t="shared" si="341"/>
        <v>6</v>
      </c>
      <c r="KG222">
        <f t="shared" si="341"/>
        <v>7</v>
      </c>
      <c r="KH222">
        <f t="shared" si="341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 cm="1">
        <f t="array" ref="Y223">IF(COUNTIFS($X$2:$X223,$X223)=1,"1",VALUE(SUBSTITUTE(INDEX(Y:Y,_xlfn.XMATCH($X223,$X$1:$X222,0,-1)),"A",""))+INDEX(Z:Z,_xlfn.XMATCH($X223,$X$1:$X222,0,-1))+1)</f>
        <v>1</v>
      </c>
      <c r="Z223" s="46" cm="1">
        <f t="array" ref="Z223">SUM(IF(ISNUMBER(FIND("TmAi",$BA$1:$ZZ$1)),IF(IFERROR(ISODD(SUBSTITUTE($BA223:$ZZ223,"A","")),FALSE),IF(ISODD(SUBSTITUTE($BA223:$ZZ223,"A","")),1,0),0)))</f>
        <v>0</v>
      </c>
      <c r="AA223" t="str">
        <f t="shared" ref="AA223:AA224" si="344">CONCATENATE($Y223*2-1,"B")</f>
        <v>1B</v>
      </c>
      <c r="AB223" t="str">
        <f t="shared" ref="AB223:AB224" si="345">CONCATENATE($Y223*2,"B")</f>
        <v>2B</v>
      </c>
      <c r="AL223" t="s">
        <v>137</v>
      </c>
      <c r="AO223" t="s">
        <v>396</v>
      </c>
      <c r="JV223" s="27" t="str">
        <f t="shared" si="338"/>
        <v>XT71</v>
      </c>
      <c r="JY223" t="str">
        <f t="shared" si="339"/>
        <v>F0-AI27-1B</v>
      </c>
      <c r="JZ223" t="str">
        <f t="shared" si="340"/>
        <v>F0-AI27-2B</v>
      </c>
      <c r="KE223" cm="1">
        <f t="array" ref="KE223">IF(COUNTIFS($U$2:$U223,$U223)=1,1,INDEX(KE:KE,_xlfn.XMATCH(U223,U$1:U222,0,-1))+COUNT(KE222:KI222))</f>
        <v>9</v>
      </c>
      <c r="KF223">
        <f t="shared" si="341"/>
        <v>10</v>
      </c>
      <c r="KG223">
        <f t="shared" si="341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 cm="1">
        <f t="array" ref="Y224">IF(COUNTIFS($X$2:$X224,$X224)=1,"1",VALUE(SUBSTITUTE(INDEX(Y:Y,_xlfn.XMATCH($X224,$X$1:$X223,0,-1)),"A",""))+INDEX(Z:Z,_xlfn.XMATCH($X224,$X$1:$X223,0,-1))+1)</f>
        <v>2</v>
      </c>
      <c r="Z224" s="46" cm="1">
        <f t="array" ref="Z224">SUM(IF(ISNUMBER(FIND("TmAi",$BA$1:$ZZ$1)),IF(IFERROR(ISODD(SUBSTITUTE($BA224:$ZZ224,"A","")),FALSE),IF(ISODD(SUBSTITUTE($BA224:$ZZ224,"A","")),1,0),0)))</f>
        <v>0</v>
      </c>
      <c r="AA224" t="str">
        <f t="shared" si="344"/>
        <v>3B</v>
      </c>
      <c r="AB224" t="str">
        <f t="shared" si="345"/>
        <v>4B</v>
      </c>
      <c r="AL224" t="s">
        <v>137</v>
      </c>
      <c r="AO224" t="s">
        <v>396</v>
      </c>
      <c r="JV224" s="27" t="str">
        <f t="shared" si="338"/>
        <v>XT71</v>
      </c>
      <c r="JY224" t="str">
        <f t="shared" si="339"/>
        <v>F0-AI27-3B</v>
      </c>
      <c r="JZ224" t="str">
        <f t="shared" si="340"/>
        <v>F0-AI27-4B</v>
      </c>
      <c r="KE224" cm="1">
        <f t="array" ref="KE224">IF(COUNTIFS($U$2:$U224,$U224)=1,1,INDEX(KE:KE,_xlfn.XMATCH(U224,U$1:U223,0,-1))+COUNT(KE223:KI223))</f>
        <v>12</v>
      </c>
      <c r="KF224">
        <f t="shared" si="341"/>
        <v>13</v>
      </c>
      <c r="KG224">
        <f t="shared" si="341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 t="shared" ref="AK225:AK229" si="346"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 t="shared" ref="EN225:EN229" si="347"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348">CONCATENATE("DI",REPLACE($AC225,1,3,""),"-",EO225)</f>
        <v>DI13-C2</v>
      </c>
      <c r="EX225" s="12" t="str">
        <f t="shared" si="348"/>
        <v>DI13-B2</v>
      </c>
      <c r="EY225" s="12" t="str">
        <f t="shared" si="348"/>
        <v>DI13-C3</v>
      </c>
      <c r="EZ225" s="12" t="str">
        <f t="shared" si="348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>CONCATENATE("DO",REPLACE($AF225,1,3,""),"-",ES225)</f>
        <v>DO7-2B</v>
      </c>
      <c r="FD225" s="12" t="str">
        <f>CONCATENATE("DO",REPLACE($AF225,1,3,""),"-",ET225)</f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 t="shared" ref="FI225:FI229" si="349"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 t="shared" ref="FQ225:FQ229" si="350"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 t="shared" ref="AJ226:AJ229" si="351">CONCATENATE(AI226,"XT")</f>
        <v>2XT</v>
      </c>
      <c r="AK226" t="str">
        <f t="shared" si="346"/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 t="shared" si="347"/>
        <v>XT73</v>
      </c>
      <c r="EO226" t="str">
        <f t="shared" ref="EO226:EO227" si="352">CONCATENATE("C",REPLACE(AD226,1,1,"")+1)</f>
        <v>C5</v>
      </c>
      <c r="EP226" t="str">
        <f t="shared" ref="EP226:EP227" si="353">CONCATENATE("B",REPLACE(AE226,1,1,"")+1)</f>
        <v>B5</v>
      </c>
      <c r="EQ226" t="str">
        <f t="shared" ref="EQ226:EQ227" si="354">CONCATENATE("C",REPLACE(EO226,1,1,"")+1)</f>
        <v>C6</v>
      </c>
      <c r="ER226" t="str">
        <f t="shared" ref="ER226:ER227" si="355">CONCATENATE("B",REPLACE(EP226,1,1,"")+1)</f>
        <v>B6</v>
      </c>
      <c r="ES226" t="str">
        <f t="shared" ref="ES226:ES227" si="356">CONCATENATE(REPLACE(AG226,LEN(AG226),1,"")+1,"B")</f>
        <v>4B</v>
      </c>
      <c r="ET226" t="str">
        <f t="shared" ref="ET226:ET227" si="357">CONCATENATE(REPLACE(AH226,LEN(AH226),1,"")+1,"A")</f>
        <v>4A</v>
      </c>
      <c r="EU226" t="str">
        <f t="shared" ref="EU226:EV229" si="358">CONCATENATE("DI",REPLACE($AC226,1,3,""),"-",AD226)</f>
        <v>DI13-C4</v>
      </c>
      <c r="EV226" t="str">
        <f t="shared" si="358"/>
        <v>DI13-B4</v>
      </c>
      <c r="EW226" t="str">
        <f t="shared" si="348"/>
        <v>DI13-C5</v>
      </c>
      <c r="EX226" t="str">
        <f t="shared" si="348"/>
        <v>DI13-B5</v>
      </c>
      <c r="EY226" t="str">
        <f t="shared" si="348"/>
        <v>DI13-C6</v>
      </c>
      <c r="EZ226" t="str">
        <f t="shared" si="348"/>
        <v>DI13-B6</v>
      </c>
      <c r="FA226" t="str">
        <f t="shared" ref="FA226:FB229" si="359">CONCATENATE("DO",REPLACE($AF226,1,3,""),"-",AG226)</f>
        <v>DO7-3B</v>
      </c>
      <c r="FB226" t="str">
        <f t="shared" si="359"/>
        <v>DO7-3A</v>
      </c>
      <c r="FC226" t="str">
        <f t="shared" ref="FC226:FD227" si="360">CONCATENATE("DO",REPLACE($AF226,1,3,""),"-",ES226)</f>
        <v>DO7-4B</v>
      </c>
      <c r="FD226" t="str">
        <f t="shared" si="360"/>
        <v>DO7-4A</v>
      </c>
      <c r="FE226" t="str">
        <f t="shared" ref="FE226:FE229" si="361">CONCATENATE("K",$U226,"-03")</f>
        <v>K73-03</v>
      </c>
      <c r="FF226" t="str">
        <f t="shared" ref="FF226:FF227" si="362">CONCATENATE("K",$U226,"-04")</f>
        <v>K73-04</v>
      </c>
      <c r="FG226" t="str">
        <f t="shared" ref="FG226:FG227" si="363">CONCATENATE("K",$U226,"-01")</f>
        <v>K73-01</v>
      </c>
      <c r="FH226" t="str">
        <f t="shared" ref="FH226:FH227" si="364">CONCATENATE("K",$U226,"-02")</f>
        <v>K73-02</v>
      </c>
      <c r="FI226" t="str">
        <f t="shared" si="349"/>
        <v>K73-05</v>
      </c>
      <c r="FJ226" t="str">
        <f t="shared" ref="FJ226:FJ229" si="365">CONCATENATE($T226,"-M",$U226,"-H1")</f>
        <v>F0-M73-H1</v>
      </c>
      <c r="FK226" t="str">
        <f t="shared" ref="FK226:FK229" si="366">CONCATENATE($T226,"-M",$U226,"-A1")</f>
        <v>F0-M73-A1</v>
      </c>
      <c r="FL226" t="str">
        <f t="shared" ref="FL226:FL229" si="367">CONCATENATE($T226,"-M",$U226,"-3")</f>
        <v>F0-M73-3</v>
      </c>
      <c r="FM226" t="str">
        <f t="shared" ref="FM226:FM227" si="368">CONCATENATE($T226,"-M",$U226,"-2")</f>
        <v>F0-M73-2</v>
      </c>
      <c r="FN226" t="str">
        <f t="shared" ref="FN226:FN227" si="369">CONCATENATE($T226,"-M",$U226,"-16")</f>
        <v>F0-M73-16</v>
      </c>
      <c r="FO226" t="str">
        <f t="shared" ref="FO226:FO227" si="370">CONCATENATE($T226,"-M",$U226,"-15")</f>
        <v>F0-M73-15</v>
      </c>
      <c r="FP226" t="str">
        <f t="shared" ref="FP226:FP229" si="371">CONCATENATE($T226,"-A220-M",$U226,)</f>
        <v>F0-A220-M73</v>
      </c>
      <c r="FQ226" t="str">
        <f t="shared" si="350"/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 t="shared" si="351"/>
        <v>3XT</v>
      </c>
      <c r="AK227" t="str">
        <f t="shared" si="346"/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 t="shared" si="347"/>
        <v>XT74</v>
      </c>
      <c r="EO227" t="str">
        <f t="shared" si="352"/>
        <v>C8</v>
      </c>
      <c r="EP227" t="str">
        <f t="shared" si="353"/>
        <v>B8</v>
      </c>
      <c r="EQ227" t="str">
        <f t="shared" si="354"/>
        <v>C9</v>
      </c>
      <c r="ER227" t="str">
        <f t="shared" si="355"/>
        <v>B9</v>
      </c>
      <c r="ES227" t="str">
        <f t="shared" si="356"/>
        <v>6B</v>
      </c>
      <c r="ET227" t="str">
        <f t="shared" si="357"/>
        <v>6A</v>
      </c>
      <c r="EU227" t="str">
        <f t="shared" si="358"/>
        <v>DI13-C7</v>
      </c>
      <c r="EV227" t="str">
        <f t="shared" si="358"/>
        <v>DI13-B7</v>
      </c>
      <c r="EW227" t="str">
        <f t="shared" si="348"/>
        <v>DI13-C8</v>
      </c>
      <c r="EX227" t="str">
        <f t="shared" si="348"/>
        <v>DI13-B8</v>
      </c>
      <c r="EY227" t="str">
        <f t="shared" si="348"/>
        <v>DI13-C9</v>
      </c>
      <c r="EZ227" t="str">
        <f t="shared" si="348"/>
        <v>DI13-B9</v>
      </c>
      <c r="FA227" t="str">
        <f t="shared" si="359"/>
        <v>DO7-5B</v>
      </c>
      <c r="FB227" t="str">
        <f t="shared" si="359"/>
        <v>DO7-5A</v>
      </c>
      <c r="FC227" t="str">
        <f t="shared" si="360"/>
        <v>DO7-6B</v>
      </c>
      <c r="FD227" t="str">
        <f t="shared" si="360"/>
        <v>DO7-6A</v>
      </c>
      <c r="FE227" t="str">
        <f t="shared" si="361"/>
        <v>K74-03</v>
      </c>
      <c r="FF227" t="str">
        <f t="shared" si="362"/>
        <v>K74-04</v>
      </c>
      <c r="FG227" t="str">
        <f t="shared" si="363"/>
        <v>K74-01</v>
      </c>
      <c r="FH227" t="str">
        <f t="shared" si="364"/>
        <v>K74-02</v>
      </c>
      <c r="FI227" t="str">
        <f t="shared" si="349"/>
        <v>K74-05</v>
      </c>
      <c r="FJ227" t="str">
        <f t="shared" si="365"/>
        <v>F0-M74-H1</v>
      </c>
      <c r="FK227" t="str">
        <f t="shared" si="366"/>
        <v>F0-M74-A1</v>
      </c>
      <c r="FL227" t="str">
        <f t="shared" si="367"/>
        <v>F0-M74-3</v>
      </c>
      <c r="FM227" t="str">
        <f t="shared" si="368"/>
        <v>F0-M74-2</v>
      </c>
      <c r="FN227" t="str">
        <f t="shared" si="369"/>
        <v>F0-M74-16</v>
      </c>
      <c r="FO227" t="str">
        <f t="shared" si="370"/>
        <v>F0-M74-15</v>
      </c>
      <c r="FP227" t="str">
        <f t="shared" si="371"/>
        <v>F0-A220-M74</v>
      </c>
      <c r="FQ227" t="str">
        <f t="shared" si="350"/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 t="shared" si="351"/>
        <v>4XT</v>
      </c>
      <c r="AK228" t="str">
        <f t="shared" si="346"/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 t="shared" si="347"/>
        <v>XT75</v>
      </c>
      <c r="EU228" t="str">
        <f t="shared" si="358"/>
        <v>DI13-C10</v>
      </c>
      <c r="EV228" t="str">
        <f t="shared" si="358"/>
        <v>DI13-B10</v>
      </c>
      <c r="FA228" t="str">
        <f t="shared" si="359"/>
        <v>DO7-7B</v>
      </c>
      <c r="FB228" t="str">
        <f t="shared" si="359"/>
        <v>DO7-7A</v>
      </c>
      <c r="FE228" t="str">
        <f t="shared" si="361"/>
        <v>K75-03</v>
      </c>
      <c r="FI228" t="str">
        <f t="shared" si="349"/>
        <v>K75-05</v>
      </c>
      <c r="FJ228" t="str">
        <f t="shared" si="365"/>
        <v>F0-M75-H1</v>
      </c>
      <c r="FK228" t="str">
        <f t="shared" si="366"/>
        <v>F0-M75-A1</v>
      </c>
      <c r="FL228" t="str">
        <f t="shared" si="367"/>
        <v>F0-M75-3</v>
      </c>
      <c r="FP228" t="str">
        <f t="shared" si="371"/>
        <v>F0-A220-M75</v>
      </c>
      <c r="FQ228" t="str">
        <f t="shared" si="350"/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 t="shared" si="351"/>
        <v>5XT</v>
      </c>
      <c r="AK229" t="str">
        <f t="shared" si="346"/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 t="shared" si="347"/>
        <v>XT76</v>
      </c>
      <c r="EU229" t="str">
        <f t="shared" si="358"/>
        <v>DI13-C11</v>
      </c>
      <c r="EV229" t="str">
        <f t="shared" si="358"/>
        <v>DI13-B11</v>
      </c>
      <c r="FA229" t="str">
        <f t="shared" si="359"/>
        <v>DO7-8B</v>
      </c>
      <c r="FB229" t="str">
        <f t="shared" si="359"/>
        <v>DO7-8A</v>
      </c>
      <c r="FE229" t="str">
        <f t="shared" si="361"/>
        <v>K76-03</v>
      </c>
      <c r="FI229" t="str">
        <f t="shared" si="349"/>
        <v>K76-05</v>
      </c>
      <c r="FJ229" t="str">
        <f t="shared" si="365"/>
        <v>F0-M76-H1</v>
      </c>
      <c r="FK229" t="str">
        <f t="shared" si="366"/>
        <v>F0-M76-A1</v>
      </c>
      <c r="FL229" t="str">
        <f t="shared" si="367"/>
        <v>F0-M76-3</v>
      </c>
      <c r="FP229" t="str">
        <f t="shared" si="371"/>
        <v>F0-A220-M76</v>
      </c>
      <c r="FQ229" t="str">
        <f t="shared" si="350"/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 t="shared" ref="MF230" si="372"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 t="shared" ref="LS231:LS232" si="373">CONCATENATE("XT",U231)</f>
        <v>XT77</v>
      </c>
      <c r="LT231" s="12" t="str">
        <f t="shared" ref="LT231:LT232" si="374"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 t="shared" si="373"/>
        <v>XT77</v>
      </c>
      <c r="LT232" s="12" t="str">
        <f t="shared" si="374"/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 cm="1">
        <f t="array" ref="Y233">IF(COUNTIFS($X$2:$X233,$X233)=1,"1",VALUE(SUBSTITUTE(INDEX(Y:Y,_xlfn.XMATCH($X233,$X$1:$X232,0,-1)),"A",""))+INDEX(Z:Z,_xlfn.XMATCH($X233,$X$1:$X232,0,-1))+1)</f>
        <v>1</v>
      </c>
      <c r="Z233" s="43" cm="1">
        <f t="array" ref="Z233">SUM(IF(ISNUMBER(FIND("TmAi",$BA$1:$ZZ$1)),IF(IFERROR(ISODD(SUBSTITUTE($BA233:$ZZ233,"A","")),FALSE),IF(ISODD(SUBSTITUTE($BA233:$ZZ233,"A","")),1,0),0)))</f>
        <v>0</v>
      </c>
      <c r="AA233" t="str">
        <f t="shared" ref="AA233:AA234" si="375">CONCATENATE($Y233*2-1,"B")</f>
        <v>1B</v>
      </c>
      <c r="AB233" t="str">
        <f t="shared" ref="AB233:AB234" si="376">CONCATENATE($Y233*2,"B")</f>
        <v>2B</v>
      </c>
      <c r="AL233" t="s">
        <v>137</v>
      </c>
      <c r="AO233" t="s">
        <v>396</v>
      </c>
      <c r="JV233" s="27" t="str">
        <f t="shared" ref="JV233:JV234" si="377">CONCATENATE("XT",U233)</f>
        <v>XT78</v>
      </c>
      <c r="JY233" t="str">
        <f t="shared" ref="JY233:JY234" si="378">CONCATENATE(T233,"-AI",REPLACE($X233,1,3,""),"-",AA233)</f>
        <v>F0-AI28-1B</v>
      </c>
      <c r="JZ233" t="str">
        <f t="shared" ref="JZ233:JZ234" si="379">CONCATENATE(T233,"-AI",REPLACE($X233,1,3,""),"-",AB233)</f>
        <v>F0-AI28-2B</v>
      </c>
      <c r="KE233" cm="1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 cm="1">
        <f t="array" ref="Y234">IF(COUNTIFS($X$2:$X234,$X234)=1,"1",VALUE(SUBSTITUTE(INDEX(Y:Y,_xlfn.XMATCH($X234,$X$1:$X233,0,-1)),"A",""))+INDEX(Z:Z,_xlfn.XMATCH($X234,$X$1:$X233,0,-1))+1)</f>
        <v>2</v>
      </c>
      <c r="Z234" s="43" cm="1">
        <f t="array" ref="Z234">SUM(IF(ISNUMBER(FIND("TmAi",$BA$1:$ZZ$1)),IF(IFERROR(ISODD(SUBSTITUTE($BA234:$ZZ234,"A","")),FALSE),IF(ISODD(SUBSTITUTE($BA234:$ZZ234,"A","")),1,0),0)))</f>
        <v>0</v>
      </c>
      <c r="AA234" t="str">
        <f t="shared" si="375"/>
        <v>3B</v>
      </c>
      <c r="AB234" t="str">
        <f t="shared" si="376"/>
        <v>4B</v>
      </c>
      <c r="AL234" t="s">
        <v>137</v>
      </c>
      <c r="AO234" t="s">
        <v>396</v>
      </c>
      <c r="JV234" s="27" t="str">
        <f t="shared" si="377"/>
        <v>XT78</v>
      </c>
      <c r="JY234" t="str">
        <f t="shared" si="378"/>
        <v>F0-AI28-3B</v>
      </c>
      <c r="JZ234" t="str">
        <f t="shared" si="379"/>
        <v>F0-AI28-4B</v>
      </c>
      <c r="KE234" cm="1">
        <f t="array" ref="KE234">IF(COUNTIFS($U$2:$U234,$U234)=1,1,INDEX(KE:KE,_xlfn.XMATCH(U234,U$1:U233,0,-1))+COUNT(KE233:KI233))</f>
        <v>4</v>
      </c>
      <c r="KF234">
        <f t="shared" ref="KF234:KG234" si="380">KE234+1</f>
        <v>5</v>
      </c>
      <c r="KG234">
        <f t="shared" si="380"/>
        <v>6</v>
      </c>
      <c r="KJ234">
        <v>1</v>
      </c>
      <c r="KK234" s="16">
        <v>2</v>
      </c>
      <c r="KO234" s="16"/>
    </row>
  </sheetData>
  <autoFilter ref="P1:P224" xr:uid="{00000000-0001-0000-0000-000000000000}"/>
  <conditionalFormatting sqref="A1:A32">
    <cfRule type="duplicateValues" dxfId="4" priority="5"/>
  </conditionalFormatting>
  <conditionalFormatting sqref="A221:A224 A1:A32 A226:A227 A235:A1048576">
    <cfRule type="duplicateValues" dxfId="3" priority="4"/>
  </conditionalFormatting>
  <conditionalFormatting sqref="B1:B56 B221:B229 B235:B1048576">
    <cfRule type="duplicateValues" dxfId="2" priority="3"/>
  </conditionalFormatting>
  <conditionalFormatting sqref="V1:V182 V187 V192 V197 V202 W183:W220 V221:V222 W223:W224 V225:V1048576">
    <cfRule type="duplicateValues" dxfId="1" priority="2"/>
  </conditionalFormatting>
  <conditionalFormatting sqref="Y1:Y1048576">
    <cfRule type="cellIs" dxfId="0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4774-E616-40C5-A368-D4384F05BD61}">
  <dimension ref="A1:E38"/>
  <sheetViews>
    <sheetView workbookViewId="0">
      <selection activeCell="H19" sqref="H19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1925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1927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1928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1929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1930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1931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1932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1926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1924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C27" t="s">
        <v>969</v>
      </c>
      <c r="D27" t="s">
        <v>974</v>
      </c>
      <c r="E27" t="s">
        <v>1781</v>
      </c>
    </row>
    <row r="28" spans="1:5" x14ac:dyDescent="0.25">
      <c r="A28" t="s">
        <v>1917</v>
      </c>
      <c r="C28" t="s">
        <v>969</v>
      </c>
      <c r="D28" t="s">
        <v>974</v>
      </c>
      <c r="E28" t="s">
        <v>1781</v>
      </c>
    </row>
    <row r="29" spans="1:5" x14ac:dyDescent="0.25">
      <c r="A29" t="s">
        <v>1918</v>
      </c>
      <c r="C29" t="s">
        <v>969</v>
      </c>
      <c r="D29" t="s">
        <v>974</v>
      </c>
      <c r="E29" t="s">
        <v>1781</v>
      </c>
    </row>
    <row r="30" spans="1:5" x14ac:dyDescent="0.25">
      <c r="A30" t="s">
        <v>1918</v>
      </c>
      <c r="C30" t="s">
        <v>969</v>
      </c>
      <c r="D30" t="s">
        <v>974</v>
      </c>
      <c r="E30" t="s">
        <v>1781</v>
      </c>
    </row>
    <row r="31" spans="1:5" x14ac:dyDescent="0.25">
      <c r="A31" t="s">
        <v>1919</v>
      </c>
      <c r="C31" t="s">
        <v>969</v>
      </c>
      <c r="D31" t="s">
        <v>974</v>
      </c>
      <c r="E31" t="s">
        <v>1779</v>
      </c>
    </row>
    <row r="32" spans="1:5" x14ac:dyDescent="0.25">
      <c r="A32" t="s">
        <v>1919</v>
      </c>
      <c r="C32" t="s">
        <v>969</v>
      </c>
      <c r="D32" t="s">
        <v>974</v>
      </c>
      <c r="E32" t="s">
        <v>1779</v>
      </c>
    </row>
    <row r="33" spans="1:5" x14ac:dyDescent="0.25">
      <c r="A33" t="s">
        <v>1920</v>
      </c>
      <c r="C33" t="s">
        <v>969</v>
      </c>
      <c r="D33" t="s">
        <v>974</v>
      </c>
      <c r="E33" t="s">
        <v>1779</v>
      </c>
    </row>
    <row r="34" spans="1:5" x14ac:dyDescent="0.25">
      <c r="A34" t="s">
        <v>1920</v>
      </c>
      <c r="C34" t="s">
        <v>969</v>
      </c>
      <c r="D34" t="s">
        <v>974</v>
      </c>
      <c r="E34" t="s">
        <v>1779</v>
      </c>
    </row>
    <row r="35" spans="1:5" x14ac:dyDescent="0.25">
      <c r="A35" t="s">
        <v>1921</v>
      </c>
      <c r="C35" t="s">
        <v>969</v>
      </c>
      <c r="D35" t="s">
        <v>1922</v>
      </c>
    </row>
    <row r="36" spans="1:5" x14ac:dyDescent="0.25">
      <c r="A36" t="s">
        <v>1921</v>
      </c>
      <c r="C36" t="s">
        <v>969</v>
      </c>
      <c r="D36" t="s">
        <v>1923</v>
      </c>
    </row>
    <row r="37" spans="1:5" x14ac:dyDescent="0.25">
      <c r="A37" t="s">
        <v>974</v>
      </c>
      <c r="C37" t="s">
        <v>969</v>
      </c>
      <c r="D37" t="s">
        <v>1922</v>
      </c>
    </row>
    <row r="38" spans="1:5" x14ac:dyDescent="0.25">
      <c r="A38" t="s">
        <v>974</v>
      </c>
      <c r="C38" t="s">
        <v>969</v>
      </c>
      <c r="D38" t="s">
        <v>1923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2506320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2025-07-02T10:03:12Z</dcterms:modified>
</cp:coreProperties>
</file>