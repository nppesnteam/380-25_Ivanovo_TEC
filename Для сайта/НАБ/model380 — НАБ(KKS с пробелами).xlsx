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НАБ\"/>
    </mc:Choice>
  </mc:AlternateContent>
  <xr:revisionPtr revIDLastSave="0" documentId="8_{B7C80E52-2E9D-4B83-9CA8-C38CFE69AB36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L42" i="1" l="1"/>
  <c r="MR44" i="1"/>
  <c r="MR45" i="1" s="1"/>
  <c r="MR46" i="1" s="1"/>
  <c r="MR47" i="1" s="1"/>
  <c r="MR48" i="1" s="1"/>
  <c r="MR49" i="1" s="1"/>
  <c r="MQ44" i="1"/>
  <c r="MQ45" i="1" s="1"/>
  <c r="MQ46" i="1" s="1"/>
  <c r="MQ47" i="1" s="1"/>
  <c r="MQ48" i="1" s="1"/>
  <c r="MQ49" i="1" s="1"/>
  <c r="MJ44" i="1"/>
  <c r="MJ45" i="1" s="1"/>
  <c r="MJ46" i="1" s="1"/>
  <c r="MJ47" i="1" s="1"/>
  <c r="MJ48" i="1" s="1"/>
  <c r="MJ49" i="1" s="1"/>
  <c r="MI44" i="1"/>
  <c r="MI45" i="1" s="1"/>
  <c r="MI46" i="1" s="1"/>
  <c r="MI47" i="1" s="1"/>
  <c r="MI48" i="1" s="1"/>
  <c r="MI49" i="1" s="1"/>
  <c r="MH44" i="1"/>
  <c r="MH45" i="1" s="1"/>
  <c r="MH46" i="1" s="1"/>
  <c r="MH47" i="1" s="1"/>
  <c r="MH48" i="1" s="1"/>
  <c r="MH49" i="1" s="1"/>
  <c r="MG44" i="1"/>
  <c r="MG45" i="1" s="1"/>
  <c r="MG46" i="1" s="1"/>
  <c r="MG47" i="1" s="1"/>
  <c r="MG48" i="1" s="1"/>
  <c r="MG49" i="1" s="1"/>
  <c r="MF44" i="1"/>
  <c r="MF45" i="1" s="1"/>
  <c r="MF46" i="1" s="1"/>
  <c r="MF47" i="1" s="1"/>
  <c r="MF48" i="1" s="1"/>
  <c r="MF49" i="1" s="1"/>
  <c r="ME44" i="1"/>
  <c r="ME45" i="1" s="1"/>
  <c r="ME46" i="1" s="1"/>
  <c r="ME47" i="1" s="1"/>
  <c r="ME48" i="1" s="1"/>
  <c r="ME49" i="1" s="1"/>
  <c r="MD44" i="1"/>
  <c r="MD45" i="1" s="1"/>
  <c r="MD46" i="1" s="1"/>
  <c r="MD47" i="1" s="1"/>
  <c r="MD48" i="1" s="1"/>
  <c r="MD49" i="1" s="1"/>
  <c r="MC44" i="1"/>
  <c r="MC45" i="1" s="1"/>
  <c r="MC46" i="1" s="1"/>
  <c r="MC47" i="1" s="1"/>
  <c r="MC48" i="1" s="1"/>
  <c r="MC49" i="1" s="1"/>
  <c r="LX42" i="1"/>
  <c r="ADS41" i="1"/>
  <c r="ADT41" i="1"/>
  <c r="ADR41" i="1"/>
  <c r="ADE41" i="1"/>
  <c r="KC40" i="1"/>
  <c r="KD40" i="1"/>
  <c r="JZ40" i="1"/>
  <c r="KC39" i="1"/>
  <c r="KD39" i="1"/>
  <c r="KD38" i="1"/>
  <c r="KC38" i="1"/>
  <c r="JZ39" i="1"/>
  <c r="JZ38" i="1"/>
  <c r="UC37" i="1"/>
  <c r="UD37" i="1" s="1"/>
  <c r="UA37" i="1"/>
  <c r="ACO36" i="1"/>
  <c r="ACN36" i="1"/>
  <c r="ACM36" i="1"/>
  <c r="ACL36" i="1"/>
  <c r="ABI36" i="1"/>
  <c r="ABJ36" i="1" s="1"/>
  <c r="ABK36" i="1" s="1"/>
  <c r="ABL36" i="1" s="1"/>
  <c r="ABM36" i="1" s="1"/>
  <c r="ABN36" i="1" s="1"/>
  <c r="ABO36" i="1" s="1"/>
  <c r="ABG36" i="1"/>
  <c r="AAJ35" i="1"/>
  <c r="AAK35" i="1" s="1"/>
  <c r="AAL35" i="1" s="1"/>
  <c r="AAM35" i="1" s="1"/>
  <c r="AAN35" i="1" s="1"/>
  <c r="AAO35" i="1" s="1"/>
  <c r="AAP35" i="1" s="1"/>
  <c r="AAQ35" i="1" s="1"/>
  <c r="AAR35" i="1" s="1"/>
  <c r="AAS35" i="1" s="1"/>
  <c r="AAT35" i="1" s="1"/>
  <c r="AAU35" i="1" s="1"/>
  <c r="AAV35" i="1" s="1"/>
  <c r="AAW35" i="1" s="1"/>
  <c r="AAX35" i="1" s="1"/>
  <c r="AAY35" i="1" s="1"/>
  <c r="AAZ35" i="1" s="1"/>
  <c r="ABA35" i="1" s="1"/>
  <c r="ABB35" i="1" s="1"/>
  <c r="ZC35" i="1"/>
  <c r="ZB35" i="1"/>
  <c r="ZA35" i="1"/>
  <c r="YZ35" i="1"/>
  <c r="YY35" i="1"/>
  <c r="YX35" i="1"/>
  <c r="YW35" i="1"/>
  <c r="YV35" i="1"/>
  <c r="YU35" i="1"/>
  <c r="YT35" i="1"/>
  <c r="WO35" i="1"/>
  <c r="WP35" i="1" s="1"/>
  <c r="WQ35" i="1" s="1"/>
  <c r="WM35" i="1"/>
  <c r="UC34" i="1"/>
  <c r="UD34" i="1" s="1"/>
  <c r="UA34" i="1"/>
  <c r="ACO33" i="1"/>
  <c r="ACN33" i="1"/>
  <c r="ACM33" i="1"/>
  <c r="ACL33" i="1"/>
  <c r="ABG33" i="1"/>
  <c r="ABI33" i="1" s="1"/>
  <c r="ABJ33" i="1" s="1"/>
  <c r="ABK33" i="1" s="1"/>
  <c r="ABL33" i="1" s="1"/>
  <c r="ABM33" i="1" s="1"/>
  <c r="ABN33" i="1" s="1"/>
  <c r="ABO33" i="1" s="1"/>
  <c r="AAJ32" i="1"/>
  <c r="AAK32" i="1" s="1"/>
  <c r="AAL32" i="1" s="1"/>
  <c r="AAM32" i="1" s="1"/>
  <c r="AAN32" i="1" s="1"/>
  <c r="AAO32" i="1" s="1"/>
  <c r="AAP32" i="1" s="1"/>
  <c r="AAQ32" i="1" s="1"/>
  <c r="AAR32" i="1" s="1"/>
  <c r="AAS32" i="1" s="1"/>
  <c r="AAT32" i="1" s="1"/>
  <c r="AAU32" i="1" s="1"/>
  <c r="AAV32" i="1" s="1"/>
  <c r="AAW32" i="1" s="1"/>
  <c r="AAX32" i="1" s="1"/>
  <c r="AAY32" i="1" s="1"/>
  <c r="AAZ32" i="1" s="1"/>
  <c r="ABA32" i="1" s="1"/>
  <c r="ABB32" i="1" s="1"/>
  <c r="ZC32" i="1"/>
  <c r="ZB32" i="1"/>
  <c r="ZA32" i="1"/>
  <c r="YZ32" i="1"/>
  <c r="YY32" i="1"/>
  <c r="YX32" i="1"/>
  <c r="YW32" i="1"/>
  <c r="YV32" i="1"/>
  <c r="YU32" i="1"/>
  <c r="YT32" i="1"/>
  <c r="WO32" i="1"/>
  <c r="WP32" i="1" s="1"/>
  <c r="WQ32" i="1" s="1"/>
  <c r="WR32" i="1" s="1"/>
  <c r="WS32" i="1" s="1"/>
  <c r="WT32" i="1" s="1"/>
  <c r="WU32" i="1" s="1"/>
  <c r="WV32" i="1" s="1"/>
  <c r="WW32" i="1" s="1"/>
  <c r="WX32" i="1" s="1"/>
  <c r="WY32" i="1" s="1"/>
  <c r="WZ32" i="1" s="1"/>
  <c r="XA32" i="1" s="1"/>
  <c r="XB32" i="1" s="1"/>
  <c r="XC32" i="1" s="1"/>
  <c r="XD32" i="1" s="1"/>
  <c r="XE32" i="1" s="1"/>
  <c r="XF32" i="1" s="1"/>
  <c r="XG32" i="1" s="1"/>
  <c r="WM32" i="1"/>
  <c r="JZ31" i="1"/>
  <c r="JZ30" i="1"/>
  <c r="X10" i="1"/>
  <c r="Y19" i="1" s="1" a="1"/>
  <c r="Y19" i="1" s="1"/>
  <c r="JZ29" i="1"/>
  <c r="JZ28" i="1"/>
  <c r="JZ27" i="1"/>
  <c r="JZ26" i="1"/>
  <c r="JZ25" i="1"/>
  <c r="JZ24" i="1"/>
  <c r="JZ23" i="1"/>
  <c r="JZ22" i="1"/>
  <c r="JZ21" i="1"/>
  <c r="JZ20" i="1"/>
  <c r="JZ19" i="1"/>
  <c r="U13" i="1"/>
  <c r="DF13" i="1" s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BE12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BE11" i="1"/>
  <c r="Y9" i="1" a="1"/>
  <c r="Y9" i="1" s="1"/>
  <c r="U9" i="1"/>
  <c r="IQ9" i="1" s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BE8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BE7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BE6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BE5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BE4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BE3" i="1"/>
  <c r="DH2" i="1"/>
  <c r="DG2" i="1"/>
  <c r="AI2" i="1" a="1"/>
  <c r="AI2" i="1" s="1"/>
  <c r="AK2" i="1" s="1"/>
  <c r="BP2" i="1" s="1"/>
  <c r="BR2" i="1" s="1"/>
  <c r="AD2" i="1" a="1"/>
  <c r="AD2" i="1" s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BE2" i="1"/>
  <c r="DH13" i="1" l="1"/>
  <c r="AL2" i="1"/>
  <c r="BQ2" i="1" s="1"/>
  <c r="BS2" i="1" s="1"/>
  <c r="WR35" i="1"/>
  <c r="WS35" i="1" s="1"/>
  <c r="WT35" i="1" s="1"/>
  <c r="WU35" i="1" s="1"/>
  <c r="WV35" i="1" s="1"/>
  <c r="WW35" i="1" s="1"/>
  <c r="WX35" i="1" s="1"/>
  <c r="WY35" i="1" s="1"/>
  <c r="WZ35" i="1" s="1"/>
  <c r="XA35" i="1" s="1"/>
  <c r="XB35" i="1" s="1"/>
  <c r="XC35" i="1" s="1"/>
  <c r="XD35" i="1" s="1"/>
  <c r="XE35" i="1" s="1"/>
  <c r="XF35" i="1" s="1"/>
  <c r="XG35" i="1" s="1"/>
  <c r="IM9" i="1"/>
  <c r="II9" i="1"/>
  <c r="IN9" i="1"/>
  <c r="U10" i="1"/>
  <c r="HY10" i="1" s="1"/>
  <c r="CO13" i="1"/>
  <c r="CU13" i="1"/>
  <c r="HZ9" i="1"/>
  <c r="IA9" i="1"/>
  <c r="U14" i="1"/>
  <c r="CM14" i="1" s="1"/>
  <c r="IB9" i="1"/>
  <c r="IK9" i="1"/>
  <c r="BE13" i="1"/>
  <c r="IL9" i="1"/>
  <c r="CM13" i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CV13" i="1"/>
  <c r="CY13" i="1"/>
  <c r="DA13" i="1"/>
  <c r="HY9" i="1"/>
  <c r="DG13" i="1"/>
  <c r="CL14" i="1"/>
  <c r="CW13" i="1"/>
  <c r="CL13" i="1"/>
  <c r="CX13" i="1"/>
  <c r="CN13" i="1"/>
  <c r="CZ13" i="1"/>
  <c r="CP13" i="1"/>
  <c r="DB13" i="1"/>
  <c r="CQ13" i="1"/>
  <c r="DC13" i="1"/>
  <c r="CR13" i="1"/>
  <c r="DD13" i="1"/>
  <c r="CS13" i="1"/>
  <c r="DE13" i="1"/>
  <c r="CT13" i="1"/>
  <c r="IF9" i="1"/>
  <c r="IG9" i="1"/>
  <c r="IH9" i="1"/>
  <c r="IJ9" i="1"/>
  <c r="IC9" i="1"/>
  <c r="IO9" i="1"/>
  <c r="GT9" i="1"/>
  <c r="ID9" i="1"/>
  <c r="IP9" i="1"/>
  <c r="IE9" i="1"/>
  <c r="X39" i="1" l="1"/>
  <c r="X40" i="1" s="1"/>
  <c r="X41" i="1" s="1"/>
  <c r="Y38" i="1" a="1"/>
  <c r="Y38" i="1" s="1"/>
  <c r="DF14" i="1"/>
  <c r="IK10" i="1"/>
  <c r="IJ10" i="1"/>
  <c r="IF10" i="1"/>
  <c r="ID10" i="1"/>
  <c r="IN10" i="1"/>
  <c r="IM10" i="1"/>
  <c r="IG10" i="1"/>
  <c r="IO10" i="1"/>
  <c r="IC10" i="1"/>
  <c r="IB10" i="1"/>
  <c r="IA10" i="1"/>
  <c r="IL10" i="1"/>
  <c r="HZ10" i="1"/>
  <c r="GT10" i="1"/>
  <c r="IQ10" i="1"/>
  <c r="II10" i="1"/>
  <c r="IE10" i="1"/>
  <c r="DD14" i="1"/>
  <c r="CQ14" i="1"/>
  <c r="BE14" i="1"/>
  <c r="CS14" i="1"/>
  <c r="CX14" i="1"/>
  <c r="CR14" i="1"/>
  <c r="DC14" i="1"/>
  <c r="DB14" i="1"/>
  <c r="CV14" i="1"/>
  <c r="CP14" i="1"/>
  <c r="DG14" i="1"/>
  <c r="DA14" i="1"/>
  <c r="CU14" i="1"/>
  <c r="CO14" i="1"/>
  <c r="CT14" i="1"/>
  <c r="CY14" i="1"/>
  <c r="DE14" i="1"/>
  <c r="IP10" i="1"/>
  <c r="IH10" i="1"/>
  <c r="DH14" i="1"/>
  <c r="U15" i="1"/>
  <c r="CZ14" i="1"/>
  <c r="CW14" i="1"/>
  <c r="CN14" i="1"/>
  <c r="AB38" i="1" l="1"/>
  <c r="AA38" i="1"/>
  <c r="U16" i="1"/>
  <c r="DC15" i="1"/>
  <c r="CQ15" i="1"/>
  <c r="DB15" i="1"/>
  <c r="CP15" i="1"/>
  <c r="DA15" i="1"/>
  <c r="CO15" i="1"/>
  <c r="CZ15" i="1"/>
  <c r="CN15" i="1"/>
  <c r="CY15" i="1"/>
  <c r="CM15" i="1"/>
  <c r="CX15" i="1"/>
  <c r="CL15" i="1"/>
  <c r="CW15" i="1"/>
  <c r="BE15" i="1"/>
  <c r="DH15" i="1"/>
  <c r="CV15" i="1"/>
  <c r="DG15" i="1"/>
  <c r="CU15" i="1"/>
  <c r="DF15" i="1"/>
  <c r="CT15" i="1"/>
  <c r="CR15" i="1"/>
  <c r="DE15" i="1"/>
  <c r="CS15" i="1"/>
  <c r="DD15" i="1"/>
  <c r="CL16" i="1" l="1"/>
  <c r="DD16" i="1"/>
  <c r="CW16" i="1"/>
  <c r="CR16" i="1"/>
  <c r="BE16" i="1"/>
  <c r="CO16" i="1"/>
  <c r="DH16" i="1"/>
  <c r="DC16" i="1"/>
  <c r="CV16" i="1"/>
  <c r="CQ16" i="1"/>
  <c r="DA16" i="1"/>
  <c r="DB16" i="1"/>
  <c r="CZ16" i="1"/>
  <c r="DG16" i="1"/>
  <c r="CP16" i="1"/>
  <c r="CN16" i="1"/>
  <c r="CU16" i="1"/>
  <c r="CY16" i="1"/>
  <c r="DF16" i="1"/>
  <c r="CM16" i="1"/>
  <c r="CT16" i="1"/>
  <c r="U17" i="1"/>
  <c r="DE16" i="1"/>
  <c r="CX16" i="1"/>
  <c r="CS16" i="1"/>
  <c r="CZ17" i="1" l="1"/>
  <c r="DG17" i="1"/>
  <c r="CP17" i="1"/>
  <c r="CW17" i="1"/>
  <c r="CN17" i="1"/>
  <c r="CU17" i="1"/>
  <c r="CO17" i="1"/>
  <c r="DF17" i="1"/>
  <c r="CY17" i="1"/>
  <c r="CT17" i="1"/>
  <c r="CM17" i="1"/>
  <c r="DA17" i="1"/>
  <c r="CX17" i="1"/>
  <c r="DE17" i="1"/>
  <c r="CR17" i="1"/>
  <c r="CL17" i="1"/>
  <c r="CS17" i="1"/>
  <c r="U18" i="1"/>
  <c r="KI19" i="1" s="1" a="1"/>
  <c r="KI19" i="1" s="1"/>
  <c r="DD17" i="1"/>
  <c r="BE17" i="1"/>
  <c r="DC17" i="1"/>
  <c r="CV17" i="1"/>
  <c r="DB17" i="1"/>
  <c r="DH17" i="1"/>
  <c r="CQ17" i="1"/>
  <c r="CV18" i="1" l="1"/>
  <c r="CO18" i="1"/>
  <c r="DG18" i="1"/>
  <c r="DB18" i="1"/>
  <c r="CZ18" i="1"/>
  <c r="DF18" i="1"/>
  <c r="CL18" i="1"/>
  <c r="CN18" i="1"/>
  <c r="CT18" i="1"/>
  <c r="CY18" i="1"/>
  <c r="DE18" i="1"/>
  <c r="DA18" i="1"/>
  <c r="CM18" i="1"/>
  <c r="CS18" i="1"/>
  <c r="CX18" i="1"/>
  <c r="CW18" i="1"/>
  <c r="CR18" i="1"/>
  <c r="CP18" i="1"/>
  <c r="BE18" i="1"/>
  <c r="DC18" i="1"/>
  <c r="CU18" i="1"/>
  <c r="DH18" i="1"/>
  <c r="CQ18" i="1"/>
  <c r="DD18" i="1"/>
  <c r="KJ19" i="1" l="1"/>
  <c r="KK19" i="1" l="1"/>
  <c r="KI20" i="1" s="1" a="1"/>
  <c r="KI20" i="1" s="1"/>
  <c r="KI21" i="1" l="1" a="1"/>
  <c r="KI21" i="1" s="1"/>
  <c r="KJ20" i="1"/>
  <c r="KK20" i="1" s="1"/>
  <c r="KJ21" i="1" l="1"/>
  <c r="KK21" i="1" s="1"/>
  <c r="KI22" i="1" l="1" a="1"/>
  <c r="KI22" i="1" s="1"/>
  <c r="KJ22" i="1" s="1"/>
  <c r="KK22" i="1" s="1"/>
  <c r="KI23" i="1" l="1" a="1"/>
  <c r="KI23" i="1" s="1"/>
  <c r="KJ23" i="1" s="1"/>
  <c r="KK23" i="1" s="1"/>
  <c r="KI24" i="1" l="1" a="1"/>
  <c r="KI24" i="1" s="1"/>
  <c r="KJ24" i="1" s="1"/>
  <c r="KK24" i="1" s="1"/>
  <c r="KI25" i="1" l="1" a="1"/>
  <c r="KI25" i="1" s="1"/>
  <c r="KJ25" i="1" s="1"/>
  <c r="KK25" i="1" s="1"/>
  <c r="KI26" i="1" l="1" a="1"/>
  <c r="KI26" i="1" s="1"/>
  <c r="KJ26" i="1" s="1"/>
  <c r="KK26" i="1" s="1"/>
  <c r="KI27" i="1" l="1" a="1"/>
  <c r="KI27" i="1" s="1"/>
  <c r="KJ27" i="1" l="1"/>
  <c r="KK27" i="1" s="1"/>
  <c r="KI28" i="1" l="1" a="1"/>
  <c r="KI28" i="1" s="1"/>
  <c r="KJ28" i="1" s="1"/>
  <c r="KK28" i="1" s="1"/>
  <c r="KI29" i="1" l="1" a="1"/>
  <c r="KI29" i="1" s="1"/>
  <c r="KJ29" i="1" s="1"/>
  <c r="KK29" i="1" s="1"/>
  <c r="KI30" i="1" l="1" a="1"/>
  <c r="KI30" i="1" s="1"/>
  <c r="KJ30" i="1" s="1"/>
  <c r="KK30" i="1" s="1"/>
  <c r="KI31" i="1" l="1" a="1"/>
  <c r="KI31" i="1" s="1"/>
  <c r="KJ31" i="1" s="1"/>
  <c r="KK31" i="1" s="1"/>
  <c r="KI38" i="1" l="1" a="1"/>
  <c r="KI38" i="1" s="1"/>
  <c r="KJ38" i="1" s="1"/>
  <c r="KK38" i="1" s="1"/>
  <c r="KI39" i="1" l="1" a="1"/>
  <c r="KI39" i="1" s="1"/>
  <c r="KJ39" i="1" s="1"/>
  <c r="KK39" i="1" s="1"/>
  <c r="Z38" i="1" a="1"/>
  <c r="Z38" i="1" s="1"/>
  <c r="Y39" i="1" s="1" a="1"/>
  <c r="Y39" i="1" s="1"/>
  <c r="AA39" i="1" s="1"/>
  <c r="Z39" i="1" s="1" a="1"/>
  <c r="Z39" i="1" s="1"/>
  <c r="KI40" i="1" a="1"/>
  <c r="KI40" i="1" s="1"/>
  <c r="AB39" i="1" l="1"/>
  <c r="KJ40" i="1"/>
  <c r="KK40" i="1" s="1"/>
  <c r="KL40" i="1" s="1"/>
  <c r="KM40" i="1" s="1"/>
  <c r="ADF41" i="1" s="1"/>
  <c r="ADG41" i="1" s="1"/>
  <c r="ADH41" i="1" s="1"/>
  <c r="ADI41" i="1" s="1"/>
  <c r="Z41" i="1" l="1" a="1"/>
  <c r="Z41" i="1" s="1"/>
  <c r="Y40" i="1" l="1" a="1"/>
  <c r="Y40" i="1" s="1"/>
  <c r="AB40" i="1" l="1"/>
  <c r="AA40" i="1"/>
  <c r="Z40" i="1" s="1" a="1"/>
  <c r="Z40" i="1" s="1"/>
  <c r="Y41" i="1" s="1" a="1"/>
  <c r="Y41" i="1" s="1"/>
  <c r="AB41" i="1" l="1"/>
  <c r="AA41" i="1"/>
  <c r="ADJ41" i="1" l="1"/>
  <c r="ADN41" i="1"/>
  <c r="ADK41" i="1"/>
  <c r="ADM41" i="1" s="1"/>
  <c r="ADL41" i="1"/>
  <c r="AB19" i="1" l="1"/>
  <c r="KD19" i="1" s="1"/>
  <c r="AA19" i="1"/>
  <c r="KC19" i="1" s="1"/>
  <c r="Z19" i="1" s="1" a="1"/>
  <c r="Z19" i="1" s="1"/>
  <c r="Y20" i="1" s="1" a="1"/>
  <c r="Y20" i="1" s="1"/>
  <c r="AA9" i="1"/>
  <c r="HG9" i="1" s="1"/>
  <c r="AB9" i="1"/>
  <c r="HH9" i="1" s="1"/>
  <c r="AA20" i="1" l="1"/>
  <c r="KC20" i="1" s="1"/>
  <c r="Z20" i="1" s="1" a="1"/>
  <c r="Z20" i="1" s="1"/>
  <c r="Y21" i="1" s="1" a="1"/>
  <c r="Y21" i="1" s="1"/>
  <c r="AB20" i="1"/>
  <c r="KD20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B24" i="1" l="1"/>
  <c r="KD24" i="1" s="1"/>
  <c r="AA24" i="1"/>
  <c r="KC24" i="1" s="1"/>
  <c r="Z24" i="1" s="1" a="1"/>
  <c r="Z24" i="1" s="1"/>
  <c r="Y25" i="1" s="1" a="1"/>
  <c r="Y25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s="1" a="1"/>
  <c r="Z28" i="1" s="1"/>
  <c r="Y29" i="1" s="1" a="1"/>
  <c r="Y29" i="1" s="1"/>
  <c r="AB29" i="1" l="1"/>
  <c r="KD29" i="1" s="1"/>
  <c r="AA29" i="1"/>
  <c r="KC29" i="1" s="1"/>
  <c r="Z29" i="1" s="1" a="1"/>
  <c r="Z29" i="1" s="1"/>
  <c r="Y30" i="1" s="1" a="1"/>
  <c r="Y30" i="1" s="1"/>
  <c r="AA30" i="1" l="1"/>
  <c r="KC30" i="1" s="1"/>
  <c r="Z30" i="1" s="1" a="1"/>
  <c r="Z30" i="1" s="1"/>
  <c r="Y31" i="1" s="1" a="1"/>
  <c r="Y31" i="1" s="1"/>
  <c r="AB30" i="1"/>
  <c r="KD30" i="1" s="1"/>
  <c r="AB31" i="1" l="1"/>
  <c r="KD31" i="1" s="1"/>
  <c r="AA31" i="1"/>
  <c r="KC31" i="1" s="1"/>
  <c r="Z31" i="1" l="1" a="1"/>
  <c r="Z31" i="1" s="1"/>
  <c r="CF2" i="1" l="1"/>
  <c r="CJ2" i="1" l="1"/>
  <c r="CH2" i="1"/>
  <c r="AG2" i="1" l="1"/>
  <c r="AF2" i="1"/>
  <c r="BF2" i="1" l="1"/>
  <c r="BT2" i="1"/>
  <c r="BG2" i="1"/>
  <c r="BU2" i="1"/>
  <c r="BI2" i="1" l="1"/>
  <c r="BW2" i="1"/>
  <c r="BH2" i="1"/>
  <c r="BV2" i="1"/>
  <c r="CG2" i="1" l="1"/>
  <c r="BJ2" i="1"/>
  <c r="BX2" i="1"/>
  <c r="BK2" i="1"/>
  <c r="BY2" i="1"/>
  <c r="CK2" i="1" l="1"/>
  <c r="CI2" i="1"/>
  <c r="BM2" i="1"/>
  <c r="CA2" i="1"/>
  <c r="BL2" i="1"/>
  <c r="BZ2" i="1"/>
  <c r="BN2" i="1" l="1"/>
  <c r="CB2" i="1"/>
  <c r="BO2" i="1"/>
  <c r="CE2" i="1" s="1"/>
  <c r="CC2" i="1"/>
  <c r="CD2" i="1" l="1"/>
  <c r="AJ2" i="1" a="1"/>
  <c r="AJ2" i="1" s="1"/>
  <c r="AH3" i="1" s="1"/>
  <c r="AE2" i="1" a="1"/>
  <c r="AE2" i="1" s="1"/>
  <c r="AC3" i="1" s="1"/>
  <c r="AI3" i="1" l="1" a="1"/>
  <c r="AI3" i="1" s="1"/>
  <c r="AD3" i="1" a="1"/>
  <c r="AD3" i="1" s="1"/>
  <c r="AL3" i="1" l="1"/>
  <c r="BQ3" i="1" s="1"/>
  <c r="BS3" i="1" s="1"/>
  <c r="AK3" i="1"/>
  <c r="BP3" i="1" s="1"/>
  <c r="BR3" i="1" s="1"/>
  <c r="AG3" i="1"/>
  <c r="BG3" i="1" s="1"/>
  <c r="AF3" i="1"/>
  <c r="BT3" i="1" s="1"/>
  <c r="CF3" i="1" l="1"/>
  <c r="CJ3" i="1"/>
  <c r="BU3" i="1"/>
  <c r="BF3" i="1"/>
  <c r="BH3" i="1" s="1"/>
  <c r="BI3" i="1"/>
  <c r="CG3" i="1" s="1"/>
  <c r="BW3" i="1"/>
  <c r="CK3" i="1" l="1"/>
  <c r="CH3" i="1"/>
  <c r="BV3" i="1"/>
  <c r="BJ3" i="1"/>
  <c r="BX3" i="1"/>
  <c r="BK3" i="1"/>
  <c r="BY3" i="1"/>
  <c r="CI3" i="1" l="1"/>
  <c r="CA3" i="1"/>
  <c r="BM3" i="1"/>
  <c r="BZ3" i="1"/>
  <c r="BL3" i="1"/>
  <c r="CB3" i="1" l="1"/>
  <c r="BN3" i="1"/>
  <c r="CC3" i="1"/>
  <c r="BO3" i="1"/>
  <c r="CE3" i="1" s="1"/>
  <c r="CD3" i="1" l="1"/>
  <c r="AJ3" i="1" a="1"/>
  <c r="AJ3" i="1" s="1"/>
  <c r="AH4" i="1" s="1"/>
  <c r="AE3" i="1" a="1"/>
  <c r="AE3" i="1" s="1"/>
  <c r="AC4" i="1" s="1"/>
  <c r="AI4" i="1" l="1" a="1"/>
  <c r="AI4" i="1" s="1"/>
  <c r="AD4" i="1" a="1"/>
  <c r="AD4" i="1" s="1"/>
  <c r="AL4" i="1" l="1"/>
  <c r="BQ4" i="1" s="1"/>
  <c r="BS4" i="1" s="1"/>
  <c r="AK4" i="1"/>
  <c r="BP4" i="1" s="1"/>
  <c r="BR4" i="1" s="1"/>
  <c r="AG4" i="1"/>
  <c r="AF4" i="1"/>
  <c r="CF4" i="1" l="1"/>
  <c r="BF4" i="1"/>
  <c r="BT4" i="1"/>
  <c r="BG4" i="1"/>
  <c r="BU4" i="1"/>
  <c r="BH4" i="1" l="1"/>
  <c r="BV4" i="1"/>
  <c r="BI4" i="1"/>
  <c r="BW4" i="1"/>
  <c r="CJ4" i="1"/>
  <c r="CH4" i="1"/>
  <c r="CG4" i="1" l="1"/>
  <c r="BK4" i="1"/>
  <c r="BY4" i="1"/>
  <c r="BJ4" i="1"/>
  <c r="BX4" i="1"/>
  <c r="CI4" i="1" l="1"/>
  <c r="CK4" i="1"/>
  <c r="BL4" i="1"/>
  <c r="BZ4" i="1"/>
  <c r="BM4" i="1"/>
  <c r="CA4" i="1"/>
  <c r="BO4" i="1" l="1"/>
  <c r="CE4" i="1" s="1"/>
  <c r="CC4" i="1"/>
  <c r="BN4" i="1"/>
  <c r="CB4" i="1"/>
  <c r="CD4" i="1" l="1"/>
  <c r="AJ4" i="1" a="1"/>
  <c r="AJ4" i="1" s="1"/>
  <c r="AH5" i="1" s="1"/>
  <c r="AE4" i="1" a="1"/>
  <c r="AE4" i="1" s="1"/>
  <c r="AC5" i="1" s="1"/>
  <c r="AD5" i="1" l="1" a="1"/>
  <c r="AD5" i="1" s="1"/>
  <c r="AI5" i="1" a="1"/>
  <c r="AI5" i="1" s="1"/>
  <c r="AL5" i="1" l="1"/>
  <c r="BQ5" i="1" s="1"/>
  <c r="BS5" i="1" s="1"/>
  <c r="AK5" i="1"/>
  <c r="BP5" i="1" s="1"/>
  <c r="BR5" i="1" s="1"/>
  <c r="AF5" i="1"/>
  <c r="AG5" i="1"/>
  <c r="CF5" i="1" l="1"/>
  <c r="BG5" i="1"/>
  <c r="BU5" i="1"/>
  <c r="BF5" i="1"/>
  <c r="BT5" i="1"/>
  <c r="BH5" i="1" l="1"/>
  <c r="BJ5" i="1" s="1"/>
  <c r="BV5" i="1"/>
  <c r="BI5" i="1"/>
  <c r="BW5" i="1"/>
  <c r="CJ5" i="1"/>
  <c r="CH5" i="1"/>
  <c r="BK5" i="1" l="1"/>
  <c r="BY5" i="1"/>
  <c r="BX5" i="1"/>
  <c r="CG5" i="1" l="1"/>
  <c r="BZ5" i="1"/>
  <c r="CA5" i="1"/>
  <c r="CK5" i="1" l="1"/>
  <c r="CI5" i="1"/>
  <c r="CE5" i="1"/>
  <c r="CC5" i="1"/>
  <c r="CB5" i="1"/>
  <c r="CD5" i="1" l="1"/>
  <c r="AJ5" i="1" a="1"/>
  <c r="AJ5" i="1" s="1"/>
  <c r="AH6" i="1" s="1"/>
  <c r="AE5" i="1" a="1"/>
  <c r="AE5" i="1" s="1"/>
  <c r="AC6" i="1" s="1"/>
  <c r="AI6" i="1" l="1" a="1"/>
  <c r="AI6" i="1" s="1"/>
  <c r="AD6" i="1" a="1"/>
  <c r="AD6" i="1" s="1"/>
  <c r="CC6" i="1"/>
  <c r="CE6" i="1"/>
  <c r="CD6" i="1"/>
  <c r="CB6" i="1"/>
  <c r="AL6" i="1" l="1"/>
  <c r="BQ6" i="1" s="1"/>
  <c r="BS6" i="1" s="1"/>
  <c r="AK6" i="1"/>
  <c r="BP6" i="1" s="1"/>
  <c r="BR6" i="1" s="1"/>
  <c r="AF6" i="1"/>
  <c r="AG6" i="1"/>
  <c r="BG6" i="1" l="1"/>
  <c r="BU6" i="1"/>
  <c r="CF6" i="1"/>
  <c r="BF6" i="1"/>
  <c r="BT6" i="1"/>
  <c r="CJ6" i="1" l="1"/>
  <c r="CH6" i="1"/>
  <c r="BH6" i="1"/>
  <c r="BV6" i="1"/>
  <c r="BI6" i="1"/>
  <c r="BW6" i="1"/>
  <c r="CG6" i="1" l="1"/>
  <c r="BK6" i="1"/>
  <c r="CA6" i="1" s="1"/>
  <c r="BY6" i="1"/>
  <c r="BJ6" i="1"/>
  <c r="BX6" i="1"/>
  <c r="CK6" i="1" l="1"/>
  <c r="CI6" i="1"/>
  <c r="BZ6" i="1"/>
  <c r="AJ6" i="1" a="1"/>
  <c r="AJ6" i="1" s="1"/>
  <c r="AH7" i="1" s="1"/>
  <c r="AE6" i="1" a="1"/>
  <c r="AE6" i="1" s="1"/>
  <c r="AC7" i="1" s="1"/>
  <c r="AI7" i="1" l="1" a="1"/>
  <c r="AI7" i="1" s="1"/>
  <c r="AD7" i="1" a="1"/>
  <c r="AD7" i="1" s="1"/>
  <c r="CE7" i="1"/>
  <c r="CD7" i="1"/>
  <c r="CC7" i="1"/>
  <c r="CB7" i="1"/>
  <c r="AL7" i="1" l="1"/>
  <c r="BQ7" i="1" s="1"/>
  <c r="BS7" i="1" s="1"/>
  <c r="AK7" i="1"/>
  <c r="BP7" i="1" s="1"/>
  <c r="BR7" i="1" s="1"/>
  <c r="AF7" i="1"/>
  <c r="AG7" i="1"/>
  <c r="BG7" i="1" l="1"/>
  <c r="BU7" i="1"/>
  <c r="CF7" i="1"/>
  <c r="BF7" i="1"/>
  <c r="BT7" i="1"/>
  <c r="BH7" i="1" l="1"/>
  <c r="BV7" i="1"/>
  <c r="CJ7" i="1"/>
  <c r="CH7" i="1"/>
  <c r="BI7" i="1"/>
  <c r="BW7" i="1"/>
  <c r="CG7" i="1" l="1"/>
  <c r="BK7" i="1"/>
  <c r="CA7" i="1" s="1"/>
  <c r="BY7" i="1"/>
  <c r="BJ7" i="1"/>
  <c r="BX7" i="1"/>
  <c r="CK7" i="1" l="1"/>
  <c r="CI7" i="1"/>
  <c r="BZ7" i="1"/>
  <c r="AE7" i="1" a="1"/>
  <c r="AE7" i="1" s="1"/>
  <c r="AC8" i="1" s="1"/>
  <c r="AJ7" i="1" a="1"/>
  <c r="AJ7" i="1" s="1"/>
  <c r="AH8" i="1" s="1"/>
  <c r="AD8" i="1" l="1" a="1"/>
  <c r="AD8" i="1" s="1"/>
  <c r="CE8" i="1"/>
  <c r="CB8" i="1"/>
  <c r="CD8" i="1"/>
  <c r="CC8" i="1"/>
  <c r="AI8" i="1" a="1"/>
  <c r="AI8" i="1" s="1"/>
  <c r="AL8" i="1" l="1"/>
  <c r="BQ8" i="1" s="1"/>
  <c r="BS8" i="1" s="1"/>
  <c r="AK8" i="1"/>
  <c r="BP8" i="1" s="1"/>
  <c r="BR8" i="1" s="1"/>
  <c r="AF8" i="1"/>
  <c r="AG8" i="1"/>
  <c r="BF8" i="1" l="1"/>
  <c r="BT8" i="1"/>
  <c r="CF8" i="1"/>
  <c r="BG8" i="1"/>
  <c r="BU8" i="1"/>
  <c r="BI8" i="1" l="1"/>
  <c r="BW8" i="1"/>
  <c r="CJ8" i="1"/>
  <c r="CH8" i="1"/>
  <c r="BH8" i="1"/>
  <c r="BV8" i="1"/>
  <c r="CG8" i="1" l="1"/>
  <c r="BJ8" i="1"/>
  <c r="BX8" i="1"/>
  <c r="BK8" i="1"/>
  <c r="CA8" i="1" s="1"/>
  <c r="BY8" i="1"/>
  <c r="CK8" i="1" l="1"/>
  <c r="CI8" i="1"/>
  <c r="BZ8" i="1"/>
  <c r="AJ8" i="1" a="1"/>
  <c r="AJ8" i="1" s="1"/>
  <c r="AH9" i="1" s="1"/>
  <c r="AI9" i="1" s="1" a="1"/>
  <c r="AI9" i="1" s="1"/>
  <c r="AE8" i="1" a="1"/>
  <c r="AE8" i="1" s="1"/>
  <c r="AC9" i="1" s="1"/>
  <c r="AD9" i="1" s="1" a="1"/>
  <c r="AD9" i="1" s="1"/>
  <c r="AL9" i="1" l="1"/>
  <c r="HF9" i="1" s="1"/>
  <c r="AK9" i="1"/>
  <c r="HE9" i="1" s="1"/>
  <c r="AG9" i="1"/>
  <c r="AF9" i="1"/>
  <c r="GU9" i="1" l="1"/>
  <c r="HI9" i="1"/>
  <c r="HX9" i="1"/>
  <c r="HV9" i="1"/>
  <c r="GV9" i="1"/>
  <c r="HJ9" i="1"/>
  <c r="HW9" i="1"/>
  <c r="HU9" i="1"/>
  <c r="GX9" i="1" l="1"/>
  <c r="HL9" i="1"/>
  <c r="GW9" i="1"/>
  <c r="HK9" i="1"/>
  <c r="GY9" i="1" l="1"/>
  <c r="HM9" i="1"/>
  <c r="GZ9" i="1"/>
  <c r="HN9" i="1"/>
  <c r="HB9" i="1" l="1"/>
  <c r="HP9" i="1"/>
  <c r="HA9" i="1"/>
  <c r="HO9" i="1"/>
  <c r="HC9" i="1" l="1"/>
  <c r="HQ9" i="1"/>
  <c r="HD9" i="1"/>
  <c r="HT9" i="1" s="1"/>
  <c r="HR9" i="1"/>
  <c r="HS9" i="1" l="1"/>
  <c r="AJ9" i="1" a="1"/>
  <c r="AJ9" i="1" s="1"/>
  <c r="AH10" i="1" s="1"/>
  <c r="Z9" i="1" a="1"/>
  <c r="Z9" i="1" s="1"/>
  <c r="Y10" i="1" s="1" a="1"/>
  <c r="Y10" i="1" s="1"/>
  <c r="AE9" i="1" a="1"/>
  <c r="AE9" i="1" s="1"/>
  <c r="AC10" i="1" s="1"/>
  <c r="AD10" i="1" l="1" a="1"/>
  <c r="AD10" i="1" s="1"/>
  <c r="AI10" i="1" a="1"/>
  <c r="AI10" i="1" s="1"/>
  <c r="AA10" i="1"/>
  <c r="HG10" i="1" s="1"/>
  <c r="AB10" i="1"/>
  <c r="HH10" i="1" s="1"/>
  <c r="AL10" i="1" l="1"/>
  <c r="HF10" i="1" s="1"/>
  <c r="AK10" i="1"/>
  <c r="HE10" i="1" s="1"/>
  <c r="AG10" i="1"/>
  <c r="AF10" i="1"/>
  <c r="HW10" i="1" l="1"/>
  <c r="HU10" i="1"/>
  <c r="HX10" i="1"/>
  <c r="HV10" i="1"/>
  <c r="GU10" i="1"/>
  <c r="HI10" i="1"/>
  <c r="GV10" i="1"/>
  <c r="HJ10" i="1"/>
  <c r="GX10" i="1" l="1"/>
  <c r="HL10" i="1"/>
  <c r="GW10" i="1"/>
  <c r="HK10" i="1"/>
  <c r="GY10" i="1" l="1"/>
  <c r="HM10" i="1"/>
  <c r="GZ10" i="1"/>
  <c r="HN10" i="1"/>
  <c r="HB10" i="1" l="1"/>
  <c r="HP10" i="1"/>
  <c r="HA10" i="1"/>
  <c r="HO10" i="1"/>
  <c r="HC10" i="1" l="1"/>
  <c r="HQ10" i="1"/>
  <c r="HD10" i="1"/>
  <c r="HT10" i="1" s="1"/>
  <c r="HR10" i="1"/>
  <c r="HS10" i="1" l="1"/>
  <c r="AJ10" i="1" a="1"/>
  <c r="AJ10" i="1" s="1"/>
  <c r="AH11" i="1" s="1"/>
  <c r="AE10" i="1" a="1"/>
  <c r="AE10" i="1" s="1"/>
  <c r="AC11" i="1" s="1"/>
  <c r="Z10" i="1" a="1"/>
  <c r="Z10" i="1" s="1"/>
  <c r="AI11" i="1" l="1" a="1"/>
  <c r="AI11" i="1" s="1"/>
  <c r="AD11" i="1" a="1"/>
  <c r="AD11" i="1" s="1"/>
  <c r="AL11" i="1" l="1"/>
  <c r="BQ11" i="1" s="1"/>
  <c r="BS11" i="1" s="1"/>
  <c r="AK11" i="1"/>
  <c r="BP11" i="1" s="1"/>
  <c r="BR11" i="1" s="1"/>
  <c r="AG11" i="1"/>
  <c r="AF11" i="1"/>
  <c r="BG11" i="1" l="1"/>
  <c r="BU11" i="1"/>
  <c r="BF11" i="1"/>
  <c r="BT11" i="1"/>
  <c r="CF11" i="1"/>
  <c r="BH11" i="1" l="1"/>
  <c r="BV11" i="1"/>
  <c r="CJ11" i="1"/>
  <c r="CH11" i="1"/>
  <c r="BI11" i="1"/>
  <c r="BW11" i="1"/>
  <c r="CG11" i="1" l="1"/>
  <c r="BK11" i="1"/>
  <c r="BY11" i="1"/>
  <c r="BJ11" i="1"/>
  <c r="BX11" i="1"/>
  <c r="CK11" i="1" l="1"/>
  <c r="CI11" i="1"/>
  <c r="BL11" i="1"/>
  <c r="BZ11" i="1"/>
  <c r="BM11" i="1"/>
  <c r="CA11" i="1"/>
  <c r="BO11" i="1" l="1"/>
  <c r="CE11" i="1" s="1"/>
  <c r="CC11" i="1"/>
  <c r="BN11" i="1"/>
  <c r="CB11" i="1"/>
  <c r="CD11" i="1" l="1"/>
  <c r="AJ11" i="1" a="1"/>
  <c r="AJ11" i="1" s="1"/>
  <c r="AH12" i="1" s="1"/>
  <c r="AE11" i="1" a="1"/>
  <c r="AE11" i="1" s="1"/>
  <c r="AC12" i="1" s="1"/>
  <c r="AD12" i="1" l="1" a="1"/>
  <c r="AD12" i="1" s="1"/>
  <c r="AI12" i="1" a="1"/>
  <c r="AI12" i="1" s="1"/>
  <c r="AL12" i="1" l="1"/>
  <c r="BQ12" i="1" s="1"/>
  <c r="BS12" i="1" s="1"/>
  <c r="AK12" i="1"/>
  <c r="BP12" i="1" s="1"/>
  <c r="BR12" i="1" s="1"/>
  <c r="AG12" i="1"/>
  <c r="AF12" i="1"/>
  <c r="CF12" i="1" l="1"/>
  <c r="BF12" i="1"/>
  <c r="BT12" i="1"/>
  <c r="BG12" i="1"/>
  <c r="BU12" i="1"/>
  <c r="BI12" i="1" l="1"/>
  <c r="BW12" i="1"/>
  <c r="CJ12" i="1"/>
  <c r="CH12" i="1"/>
  <c r="BH12" i="1"/>
  <c r="BV12" i="1"/>
  <c r="CG12" i="1" l="1"/>
  <c r="BJ12" i="1"/>
  <c r="BX12" i="1"/>
  <c r="BK12" i="1"/>
  <c r="BY12" i="1"/>
  <c r="CK12" i="1" l="1"/>
  <c r="CI12" i="1"/>
  <c r="BM12" i="1"/>
  <c r="CA12" i="1"/>
  <c r="BL12" i="1"/>
  <c r="BZ12" i="1"/>
  <c r="BN12" i="1" l="1"/>
  <c r="CB12" i="1"/>
  <c r="BO12" i="1"/>
  <c r="CE12" i="1" s="1"/>
  <c r="CC12" i="1"/>
  <c r="CD12" i="1" l="1"/>
  <c r="AJ12" i="1" a="1"/>
  <c r="AJ12" i="1" s="1"/>
  <c r="AH13" i="1" s="1"/>
  <c r="AI13" i="1" s="1" a="1"/>
  <c r="AI13" i="1" s="1"/>
  <c r="AE12" i="1" a="1"/>
  <c r="AE12" i="1" s="1"/>
  <c r="AC13" i="1" s="1"/>
  <c r="AD13" i="1" s="1" a="1"/>
  <c r="AD13" i="1" s="1"/>
  <c r="AL13" i="1" l="1"/>
  <c r="BQ13" i="1" s="1"/>
  <c r="BS13" i="1" s="1"/>
  <c r="AK13" i="1"/>
  <c r="BP13" i="1" s="1"/>
  <c r="BR13" i="1" s="1"/>
  <c r="AG13" i="1"/>
  <c r="AF13" i="1"/>
  <c r="CF13" i="1" l="1"/>
  <c r="BF13" i="1"/>
  <c r="BT13" i="1"/>
  <c r="BG13" i="1"/>
  <c r="BU13" i="1"/>
  <c r="BH13" i="1" l="1"/>
  <c r="BV13" i="1"/>
  <c r="BI13" i="1"/>
  <c r="BW13" i="1"/>
  <c r="CJ13" i="1"/>
  <c r="CH13" i="1"/>
  <c r="CG13" i="1" l="1"/>
  <c r="BK13" i="1"/>
  <c r="BY13" i="1"/>
  <c r="BJ13" i="1"/>
  <c r="BX13" i="1"/>
  <c r="CI13" i="1" l="1"/>
  <c r="CK13" i="1"/>
  <c r="BL13" i="1"/>
  <c r="BZ13" i="1"/>
  <c r="BM13" i="1"/>
  <c r="CA13" i="1"/>
  <c r="BO13" i="1" l="1"/>
  <c r="CE13" i="1" s="1"/>
  <c r="CC13" i="1"/>
  <c r="BN13" i="1"/>
  <c r="CB13" i="1"/>
  <c r="CD13" i="1" l="1"/>
  <c r="AJ13" i="1" a="1"/>
  <c r="AJ13" i="1" s="1"/>
  <c r="AH14" i="1" s="1"/>
  <c r="AE13" i="1" a="1"/>
  <c r="AE13" i="1" s="1"/>
  <c r="AC14" i="1" s="1"/>
  <c r="AI14" i="1" l="1" a="1"/>
  <c r="AI14" i="1" s="1"/>
  <c r="AD14" i="1" a="1"/>
  <c r="AD14" i="1" s="1"/>
  <c r="AL14" i="1" l="1"/>
  <c r="BQ14" i="1" s="1"/>
  <c r="BS14" i="1" s="1"/>
  <c r="AK14" i="1"/>
  <c r="BP14" i="1" s="1"/>
  <c r="BR14" i="1" s="1"/>
  <c r="AG14" i="1"/>
  <c r="AF14" i="1"/>
  <c r="BG14" i="1" l="1"/>
  <c r="BU14" i="1"/>
  <c r="CF14" i="1"/>
  <c r="BF14" i="1"/>
  <c r="BT14" i="1"/>
  <c r="CJ14" i="1" l="1"/>
  <c r="CH14" i="1"/>
  <c r="BH14" i="1"/>
  <c r="BV14" i="1"/>
  <c r="BI14" i="1"/>
  <c r="BW14" i="1"/>
  <c r="CG14" i="1" l="1"/>
  <c r="BJ14" i="1"/>
  <c r="BX14" i="1"/>
  <c r="BK14" i="1"/>
  <c r="BY14" i="1"/>
  <c r="CK14" i="1" l="1"/>
  <c r="CI14" i="1"/>
  <c r="BM14" i="1"/>
  <c r="CA14" i="1"/>
  <c r="BL14" i="1"/>
  <c r="BZ14" i="1"/>
  <c r="BN14" i="1" l="1"/>
  <c r="CB14" i="1"/>
  <c r="BO14" i="1"/>
  <c r="CE14" i="1" s="1"/>
  <c r="CC14" i="1"/>
  <c r="CD14" i="1" l="1"/>
  <c r="AJ14" i="1" a="1"/>
  <c r="AJ14" i="1" s="1"/>
  <c r="AH15" i="1" s="1"/>
  <c r="AE14" i="1" a="1"/>
  <c r="AE14" i="1" s="1"/>
  <c r="AC15" i="1" s="1"/>
  <c r="AI15" i="1" l="1" a="1"/>
  <c r="AI15" i="1" s="1"/>
  <c r="CD15" i="1"/>
  <c r="CC15" i="1"/>
  <c r="AD15" i="1" a="1"/>
  <c r="AD15" i="1" s="1"/>
  <c r="CB15" i="1"/>
  <c r="CE15" i="1"/>
  <c r="AL15" i="1" l="1"/>
  <c r="BQ15" i="1" s="1"/>
  <c r="BS15" i="1" s="1"/>
  <c r="AK15" i="1"/>
  <c r="BP15" i="1" s="1"/>
  <c r="BR15" i="1" s="1"/>
  <c r="AG15" i="1"/>
  <c r="AF15" i="1"/>
  <c r="CF15" i="1" l="1"/>
  <c r="BF15" i="1"/>
  <c r="BT15" i="1"/>
  <c r="BG15" i="1"/>
  <c r="BU15" i="1"/>
  <c r="BH15" i="1" l="1"/>
  <c r="BV15" i="1"/>
  <c r="CJ15" i="1"/>
  <c r="CH15" i="1"/>
  <c r="BI15" i="1"/>
  <c r="BW15" i="1"/>
  <c r="CG15" i="1" l="1"/>
  <c r="BK15" i="1"/>
  <c r="CA15" i="1" s="1"/>
  <c r="BY15" i="1"/>
  <c r="BJ15" i="1"/>
  <c r="BX15" i="1"/>
  <c r="CK15" i="1" l="1"/>
  <c r="CI15" i="1"/>
  <c r="BZ15" i="1"/>
  <c r="AJ15" i="1" a="1"/>
  <c r="AJ15" i="1" s="1"/>
  <c r="AH16" i="1" s="1"/>
  <c r="AE15" i="1" a="1"/>
  <c r="AE15" i="1" s="1"/>
  <c r="AC16" i="1" s="1"/>
  <c r="AI16" i="1" l="1" a="1"/>
  <c r="AI16" i="1" s="1"/>
  <c r="CC16" i="1"/>
  <c r="AD16" i="1" a="1"/>
  <c r="AD16" i="1" s="1"/>
  <c r="CE16" i="1"/>
  <c r="CD16" i="1"/>
  <c r="CB16" i="1"/>
  <c r="AL16" i="1" l="1"/>
  <c r="BQ16" i="1" s="1"/>
  <c r="BS16" i="1" s="1"/>
  <c r="AK16" i="1"/>
  <c r="BP16" i="1" s="1"/>
  <c r="BR16" i="1" s="1"/>
  <c r="AF16" i="1"/>
  <c r="AG16" i="1"/>
  <c r="BG16" i="1" l="1"/>
  <c r="BU16" i="1"/>
  <c r="BF16" i="1"/>
  <c r="BT16" i="1"/>
  <c r="CF16" i="1"/>
  <c r="BH16" i="1" l="1"/>
  <c r="BV16" i="1"/>
  <c r="CJ16" i="1"/>
  <c r="CH16" i="1"/>
  <c r="BI16" i="1"/>
  <c r="BW16" i="1"/>
  <c r="CG16" i="1" l="1"/>
  <c r="BK16" i="1"/>
  <c r="CA16" i="1" s="1"/>
  <c r="BY16" i="1"/>
  <c r="BJ16" i="1"/>
  <c r="BX16" i="1"/>
  <c r="CK16" i="1" l="1"/>
  <c r="CI16" i="1"/>
  <c r="BZ16" i="1"/>
  <c r="AJ16" i="1" a="1"/>
  <c r="AJ16" i="1" s="1"/>
  <c r="AH17" i="1" s="1"/>
  <c r="AE16" i="1" a="1"/>
  <c r="AE16" i="1" s="1"/>
  <c r="AC17" i="1" s="1"/>
  <c r="AI17" i="1" l="1" a="1"/>
  <c r="AI17" i="1" s="1"/>
  <c r="CD17" i="1"/>
  <c r="CC17" i="1"/>
  <c r="AD17" i="1" a="1"/>
  <c r="AD17" i="1" s="1"/>
  <c r="CE17" i="1"/>
  <c r="CB17" i="1"/>
  <c r="AL17" i="1" l="1"/>
  <c r="BQ17" i="1" s="1"/>
  <c r="BS17" i="1" s="1"/>
  <c r="AK17" i="1"/>
  <c r="BP17" i="1" s="1"/>
  <c r="BR17" i="1" s="1"/>
  <c r="AG17" i="1"/>
  <c r="AF17" i="1"/>
  <c r="CF17" i="1" l="1"/>
  <c r="BF17" i="1"/>
  <c r="BT17" i="1"/>
  <c r="BG17" i="1"/>
  <c r="BU17" i="1"/>
  <c r="BH17" i="1" l="1"/>
  <c r="BV17" i="1"/>
  <c r="BI17" i="1"/>
  <c r="BW17" i="1"/>
  <c r="CJ17" i="1"/>
  <c r="CH17" i="1"/>
  <c r="CG17" i="1" l="1"/>
  <c r="BK17" i="1"/>
  <c r="CA17" i="1" s="1"/>
  <c r="BY17" i="1"/>
  <c r="BJ17" i="1"/>
  <c r="BX17" i="1"/>
  <c r="CI17" i="1" l="1"/>
  <c r="CK17" i="1"/>
  <c r="BZ17" i="1"/>
  <c r="AJ17" i="1" a="1"/>
  <c r="AJ17" i="1" s="1"/>
  <c r="AH18" i="1" s="1"/>
  <c r="AE17" i="1" a="1"/>
  <c r="AE17" i="1" s="1"/>
  <c r="AC18" i="1" s="1"/>
  <c r="AI32" i="1" l="1" a="1"/>
  <c r="AI32" i="1" s="1"/>
  <c r="AD33" i="1" a="1"/>
  <c r="AD33" i="1" s="1"/>
  <c r="AG33" i="1" s="1"/>
  <c r="AI18" i="1" a="1"/>
  <c r="AI18" i="1" s="1"/>
  <c r="AD18" i="1" a="1"/>
  <c r="AD18" i="1" s="1"/>
  <c r="CE18" i="1"/>
  <c r="CD18" i="1"/>
  <c r="CC18" i="1"/>
  <c r="CB18" i="1"/>
  <c r="AL18" i="1" l="1"/>
  <c r="BQ18" i="1" s="1"/>
  <c r="BS18" i="1" s="1"/>
  <c r="AK18" i="1"/>
  <c r="BP18" i="1" s="1"/>
  <c r="BR18" i="1" s="1"/>
  <c r="AL32" i="1"/>
  <c r="AK32" i="1"/>
  <c r="ABQ33" i="1"/>
  <c r="ABW33" i="1"/>
  <c r="AF33" i="1"/>
  <c r="AF18" i="1"/>
  <c r="AG18" i="1"/>
  <c r="XZ32" i="1" l="1"/>
  <c r="XH32" i="1"/>
  <c r="XJ32" i="1" s="1"/>
  <c r="XL32" i="1" s="1"/>
  <c r="XN32" i="1" s="1"/>
  <c r="XP32" i="1" s="1"/>
  <c r="XR32" i="1" s="1"/>
  <c r="XT32" i="1" s="1"/>
  <c r="XV32" i="1" s="1"/>
  <c r="XX32" i="1" s="1"/>
  <c r="YA32" i="1"/>
  <c r="XI32" i="1"/>
  <c r="ABP33" i="1"/>
  <c r="ABV33" i="1"/>
  <c r="ABS33" i="1"/>
  <c r="ABY33" i="1"/>
  <c r="BG18" i="1"/>
  <c r="BU18" i="1"/>
  <c r="BF18" i="1"/>
  <c r="BT18" i="1"/>
  <c r="CF18" i="1"/>
  <c r="YB32" i="1" l="1"/>
  <c r="YC32" i="1"/>
  <c r="XK32" i="1"/>
  <c r="XM32" i="1" s="1"/>
  <c r="XO32" i="1" s="1"/>
  <c r="XQ32" i="1" s="1"/>
  <c r="XS32" i="1" s="1"/>
  <c r="XU32" i="1" s="1"/>
  <c r="XW32" i="1" s="1"/>
  <c r="XY32" i="1" s="1"/>
  <c r="YD32" i="1"/>
  <c r="ABU33" i="1"/>
  <c r="ACC33" i="1" s="1"/>
  <c r="ACA33" i="1"/>
  <c r="ABR33" i="1"/>
  <c r="ABX33" i="1"/>
  <c r="CJ18" i="1"/>
  <c r="CH18" i="1"/>
  <c r="BH18" i="1"/>
  <c r="BV18" i="1"/>
  <c r="BI18" i="1"/>
  <c r="BW18" i="1"/>
  <c r="YE32" i="1" l="1"/>
  <c r="YF32" i="1"/>
  <c r="CG18" i="1"/>
  <c r="ABT33" i="1"/>
  <c r="ABZ33" i="1"/>
  <c r="YG32" i="1"/>
  <c r="BK18" i="1"/>
  <c r="CA18" i="1" s="1"/>
  <c r="BY18" i="1"/>
  <c r="BJ18" i="1"/>
  <c r="BX18" i="1"/>
  <c r="CK18" i="1" l="1"/>
  <c r="CI18" i="1"/>
  <c r="ACB33" i="1"/>
  <c r="AE33" i="1" a="1"/>
  <c r="AE33" i="1" s="1"/>
  <c r="AD36" i="1" s="1" a="1"/>
  <c r="AD36" i="1" s="1"/>
  <c r="YI32" i="1"/>
  <c r="BZ18" i="1"/>
  <c r="AJ18" i="1" a="1"/>
  <c r="AJ18" i="1" s="1"/>
  <c r="AE18" i="1" a="1"/>
  <c r="AE18" i="1" s="1"/>
  <c r="YH32" i="1" l="1"/>
  <c r="AG36" i="1"/>
  <c r="AF36" i="1"/>
  <c r="YK32" i="1"/>
  <c r="YJ32" i="1"/>
  <c r="ABV36" i="1" l="1"/>
  <c r="ABP36" i="1"/>
  <c r="ABW36" i="1"/>
  <c r="ABQ36" i="1"/>
  <c r="YL32" i="1"/>
  <c r="YM32" i="1"/>
  <c r="ABX36" i="1" l="1"/>
  <c r="ABR36" i="1"/>
  <c r="ABY36" i="1"/>
  <c r="ABS36" i="1"/>
  <c r="YO32" i="1"/>
  <c r="YN32" i="1"/>
  <c r="ABZ36" i="1" l="1"/>
  <c r="ABT36" i="1"/>
  <c r="ACA36" i="1"/>
  <c r="ABU36" i="1"/>
  <c r="ACC36" i="1" s="1"/>
  <c r="YP32" i="1"/>
  <c r="YS32" i="1"/>
  <c r="YQ32" i="1"/>
  <c r="ACB36" i="1" l="1"/>
  <c r="AE36" i="1" a="1"/>
  <c r="AE36" i="1" s="1"/>
  <c r="YR32" i="1"/>
  <c r="AJ32" i="1" a="1"/>
  <c r="AJ32" i="1" s="1"/>
  <c r="AI35" i="1" s="1" a="1"/>
  <c r="AI35" i="1" s="1"/>
  <c r="AL35" i="1" l="1"/>
  <c r="XI35" i="1" s="1"/>
  <c r="XK35" i="1" s="1"/>
  <c r="XM35" i="1" s="1"/>
  <c r="XO35" i="1" s="1"/>
  <c r="XQ35" i="1" s="1"/>
  <c r="XS35" i="1" s="1"/>
  <c r="XU35" i="1" s="1"/>
  <c r="XW35" i="1" s="1"/>
  <c r="XY35" i="1" s="1"/>
  <c r="AK35" i="1"/>
  <c r="XH35" i="1" s="1"/>
  <c r="XJ35" i="1" s="1"/>
  <c r="XL35" i="1" s="1"/>
  <c r="XN35" i="1" s="1"/>
  <c r="XP35" i="1" s="1"/>
  <c r="XR35" i="1" s="1"/>
  <c r="XT35" i="1" s="1"/>
  <c r="XV35" i="1" s="1"/>
  <c r="XX35" i="1" s="1"/>
  <c r="AG42" i="1"/>
  <c r="LY42" i="1" s="1"/>
  <c r="AE42" i="1" s="1" a="1"/>
  <c r="AE42" i="1" s="1"/>
  <c r="AC43" i="1" s="1"/>
  <c r="AD43" i="1" s="1" a="1"/>
  <c r="AD43" i="1" s="1"/>
  <c r="AF42" i="1"/>
  <c r="LZ42" i="1" s="1"/>
  <c r="AF43" i="1" l="1"/>
  <c r="LY43" i="1" s="1"/>
  <c r="AE43" i="1" s="1" a="1"/>
  <c r="AE43" i="1" s="1"/>
  <c r="AC44" i="1" s="1"/>
  <c r="AD44" i="1" s="1" a="1"/>
  <c r="AD44" i="1" s="1"/>
  <c r="AG43" i="1"/>
  <c r="XZ35" i="1"/>
  <c r="YA35" i="1"/>
  <c r="AF44" i="1" l="1"/>
  <c r="LY44" i="1" s="1"/>
  <c r="AE44" i="1" s="1" a="1"/>
  <c r="AE44" i="1" s="1"/>
  <c r="AC45" i="1" s="1"/>
  <c r="AD45" i="1" s="1" a="1"/>
  <c r="AD45" i="1" s="1"/>
  <c r="AG44" i="1"/>
  <c r="YC35" i="1"/>
  <c r="YB35" i="1"/>
  <c r="AF45" i="1" l="1"/>
  <c r="LY45" i="1" s="1"/>
  <c r="AE45" i="1" s="1" a="1"/>
  <c r="AE45" i="1" s="1"/>
  <c r="AC46" i="1" s="1"/>
  <c r="AD46" i="1" s="1" a="1"/>
  <c r="AD46" i="1" s="1"/>
  <c r="AG45" i="1"/>
  <c r="YD35" i="1"/>
  <c r="YE35" i="1"/>
  <c r="AF46" i="1" l="1"/>
  <c r="LY46" i="1" s="1"/>
  <c r="AE46" i="1" s="1" a="1"/>
  <c r="AE46" i="1" s="1"/>
  <c r="AC47" i="1" s="1"/>
  <c r="AD47" i="1" s="1" a="1"/>
  <c r="AD47" i="1" s="1"/>
  <c r="AG46" i="1"/>
  <c r="YG35" i="1"/>
  <c r="YF35" i="1"/>
  <c r="AF47" i="1" l="1"/>
  <c r="LY47" i="1" s="1"/>
  <c r="AE47" i="1" s="1" a="1"/>
  <c r="AE47" i="1" s="1"/>
  <c r="AC48" i="1" s="1"/>
  <c r="AD48" i="1" s="1" a="1"/>
  <c r="AD48" i="1" s="1"/>
  <c r="AG47" i="1"/>
  <c r="YH35" i="1"/>
  <c r="YI35" i="1"/>
  <c r="AF48" i="1" l="1"/>
  <c r="LY48" i="1" s="1"/>
  <c r="AE48" i="1" s="1" a="1"/>
  <c r="AE48" i="1" s="1"/>
  <c r="AC49" i="1" s="1"/>
  <c r="AD49" i="1" s="1" a="1"/>
  <c r="AD49" i="1" s="1"/>
  <c r="AG48" i="1"/>
  <c r="YK35" i="1"/>
  <c r="YJ35" i="1"/>
  <c r="AF49" i="1" l="1"/>
  <c r="LY49" i="1" s="1"/>
  <c r="AE49" i="1" s="1" a="1"/>
  <c r="AE49" i="1" s="1"/>
  <c r="AG49" i="1"/>
  <c r="YL35" i="1"/>
  <c r="YM35" i="1"/>
  <c r="YO35" i="1" l="1"/>
  <c r="YN35" i="1"/>
  <c r="YP35" i="1" l="1"/>
  <c r="YS35" i="1"/>
  <c r="YQ35" i="1"/>
  <c r="YR35" i="1" l="1"/>
  <c r="AJ35" i="1" a="1"/>
  <c r="AJ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tc={16653607-FB67-4DB8-8255-D89C6181BDB1}</author>
  </authors>
  <commentList>
    <comment ref="B42" authorId="0" shapeId="0" xr:uid="{16653607-FB67-4DB8-8255-D89C6181BDB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<sst xmlns="http://schemas.openxmlformats.org/spreadsheetml/2006/main" count="1658" uniqueCount="712">
  <si>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</si>
  <si>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</si>
  <si>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</si>
  <si>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</si>
  <si>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</si>
  <si>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</si>
  <si>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</si>
  <si>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</si>
  <si>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</si>
  <si>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</si>
  <si>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</si>
  <si>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</si>
  <si>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</si>
  <si>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</si>
  <si>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</si>
  <si>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</si>
  <si>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</si>
  <si>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</si>
  <si>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</si>
  <si>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</si>
  <si>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</si>
  <si>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</si>
  <si>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</si>
  <si>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</si>
  <si>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</si>
  <si>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</si>
  <si>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</si>
  <si>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</si>
  <si>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</si>
  <si>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</si>
  <si>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</si>
  <si>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</si>
  <si>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</si>
  <si>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</si>
  <si>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</si>
  <si>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</si>
  <si>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</si>
  <si>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</si>
  <si>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</si>
  <si>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</si>
  <si>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</si>
  <si>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</si>
  <si>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</si>
  <si>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</si>
  <si>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</si>
  <si>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</si>
  <si>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</si>
  <si>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</si>
  <si>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</si>
  <si>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</si>
  <si>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</si>
  <si>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</si>
  <si>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</si>
  <si>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</si>
  <si>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</si>
  <si>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</si>
  <si>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</si>
  <si>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</si>
  <si>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</si>
  <si>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</si>
  <si>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</si>
  <si>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</si>
  <si>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</si>
  <si>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</si>
  <si>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</si>
  <si>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</si>
  <si>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</si>
  <si>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</si>
  <si>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</si>
  <si>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</si>
  <si>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</si>
  <si>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</si>
  <si>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</si>
  <si>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</si>
  <si>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</si>
  <si>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</si>
  <si>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</si>
  <si>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</si>
  <si>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</si>
  <si>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</si>
  <si>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</si>
  <si>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</si>
  <si>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</si>
  <si>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</si>
  <si>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</si>
  <si>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</si>
  <si>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</si>
  <si>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</si>
  <si>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</si>
  <si>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</si>
  <si>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</si>
  <si>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</si>
  <si>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</si>
  <si>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</si>
  <si>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</si>
  <si>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</si>
  <si>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</si>
  <si>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</si>
  <si>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</si>
  <si>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</si>
  <si>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</si>
  <si>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</si>
  <si>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</si>
  <si>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</si>
  <si>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</si>
  <si>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</si>
  <si>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</si>
  <si>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</si>
  <si>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</si>
  <si>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</si>
  <si>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</si>
  <si>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</si>
  <si>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</si>
  <si>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</si>
  <si>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</si>
  <si>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</si>
  <si>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</si>
  <si>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</si>
  <si>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</si>
  <si>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</si>
  <si>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</si>
  <si>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</si>
  <si>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</si>
  <si>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</si>
  <si>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</si>
  <si>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</si>
  <si>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se0001</t>
  </si>
  <si>
    <t>ГС</t>
  </si>
  <si>
    <t>A5.1</t>
  </si>
  <si>
    <t>A6.1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</si>
  <si>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</si>
  <si>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</si>
  <si>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</si>
  <si>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</si>
  <si>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</si>
  <si>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</si>
  <si>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</si>
  <si>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2X</t>
  </si>
  <si>
    <t>3X</t>
  </si>
  <si>
    <t>4X</t>
  </si>
  <si>
    <t>5X</t>
  </si>
  <si>
    <t>6X</t>
  </si>
  <si>
    <t>7X</t>
  </si>
  <si>
    <t>8X</t>
  </si>
  <si>
    <t>9X</t>
  </si>
  <si>
    <t>A5.4</t>
  </si>
  <si>
    <t>A6.3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</si>
  <si>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</si>
  <si>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</si>
  <si>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</si>
  <si>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</si>
  <si>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</si>
  <si>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</si>
  <si>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</si>
  <si>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</si>
  <si>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</si>
  <si>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</si>
  <si>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</si>
  <si>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</si>
  <si>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</si>
  <si>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</si>
  <si>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</si>
  <si>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</si>
  <si>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</si>
  <si>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</si>
  <si>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</si>
  <si>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</si>
  <si>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se0004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</si>
  <si>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</si>
  <si>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</si>
  <si>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</si>
  <si>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</si>
  <si>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</si>
  <si>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</si>
  <si>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</si>
  <si>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</si>
  <si>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</si>
  <si>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</si>
  <si>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</si>
  <si>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</si>
  <si>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</si>
  <si>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</si>
  <si>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</si>
  <si>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</si>
  <si>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</si>
  <si>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</si>
  <si>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</si>
  <si>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</si>
  <si>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WcpKlDoA</t>
  </si>
  <si>
    <t>se0005</t>
  </si>
  <si>
    <t>24v3</t>
  </si>
  <si>
    <t>0v3</t>
  </si>
  <si>
    <t>T1+</t>
  </si>
  <si>
    <t>T2+</t>
  </si>
  <si>
    <t>T1-</t>
  </si>
  <si>
    <t>ТПУ-205</t>
  </si>
  <si>
    <t>АИР-20/М2-Н</t>
  </si>
  <si>
    <t>se0006</t>
  </si>
  <si>
    <t>A3.4</t>
  </si>
  <si>
    <t>УЛМ-31.А1</t>
  </si>
  <si>
    <t>+</t>
  </si>
  <si>
    <t>-</t>
  </si>
  <si>
    <t>Xid1</t>
  </si>
  <si>
    <t>Xid2</t>
  </si>
  <si>
    <t>4-20мА</t>
  </si>
  <si>
    <t>24В</t>
  </si>
  <si>
    <t>T2-</t>
  </si>
  <si>
    <t>WcpAi2-</t>
  </si>
  <si>
    <t>WcpAi2+</t>
  </si>
  <si>
    <t>TmAi2-</t>
  </si>
  <si>
    <t>TmAi2+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</si>
  <si>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</si>
  <si>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</si>
  <si>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</si>
  <si>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</si>
  <si>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</si>
  <si>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</si>
  <si>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</si>
  <si>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</si>
  <si>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</si>
  <si>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</si>
  <si>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</si>
  <si>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</si>
  <si>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</si>
  <si>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</si>
  <si>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</si>
  <si>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</si>
  <si>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</si>
  <si>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</si>
  <si>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</si>
  <si>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</si>
  <si>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</si>
  <si>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</si>
  <si>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</si>
  <si>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</si>
  <si>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</si>
  <si>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</si>
  <si>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</si>
  <si>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</si>
  <si>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</si>
  <si>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</si>
  <si>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</si>
  <si>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</si>
  <si>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</si>
  <si>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</si>
  <si>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</si>
  <si>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</si>
  <si>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</si>
  <si>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</si>
  <si>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</si>
  <si>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</si>
  <si>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</si>
  <si>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</si>
  <si>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</si>
  <si>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</si>
  <si>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</si>
  <si>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</si>
  <si>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</si>
  <si>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</si>
  <si>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</si>
  <si>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</si>
  <si>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</si>
  <si>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</si>
  <si>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</si>
  <si>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</si>
  <si>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</si>
  <si>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</si>
  <si>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</si>
  <si>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</si>
  <si>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</si>
  <si>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</si>
  <si>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</si>
  <si>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</si>
  <si>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</si>
  <si>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</si>
  <si>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</si>
  <si>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</si>
  <si>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</si>
  <si>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</si>
  <si>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</si>
  <si>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</si>
  <si>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</si>
  <si>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</si>
  <si>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</si>
  <si>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</si>
  <si>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</si>
  <si>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</si>
  <si>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</si>
  <si>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</si>
  <si>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</si>
  <si>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</si>
  <si>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</si>
  <si>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</si>
  <si>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</si>
  <si>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</si>
  <si>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</si>
  <si>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</si>
  <si>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</si>
  <si>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</si>
  <si>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</si>
  <si>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</si>
  <si>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</si>
  <si>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</si>
  <si>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</si>
  <si>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</si>
  <si>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</si>
  <si>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</si>
  <si>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</si>
  <si>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</si>
  <si>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</si>
  <si>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</si>
  <si>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</si>
  <si>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</si>
  <si>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</si>
  <si>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</si>
  <si>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</si>
  <si>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</si>
  <si>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</si>
  <si>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</si>
  <si>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</si>
  <si>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</si>
  <si>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</si>
  <si>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</si>
  <si>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</si>
  <si>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</si>
  <si>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</si>
  <si>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</si>
  <si>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</si>
  <si>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</si>
  <si>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</si>
  <si>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</si>
  <si>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</si>
  <si>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</si>
  <si>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</si>
  <si>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</si>
  <si>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</si>
  <si>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</si>
  <si>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</si>
  <si>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</si>
  <si>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</si>
  <si>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</si>
  <si>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</si>
  <si>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</si>
  <si>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</si>
  <si>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</si>
  <si>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</si>
  <si>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</si>
  <si>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</si>
  <si>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</si>
  <si>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</si>
  <si>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</si>
  <si>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id1</t>
  </si>
  <si>
    <t>role1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</si>
  <si>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</si>
  <si>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</si>
  <si>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</si>
  <si>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</si>
  <si>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</si>
  <si>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</si>
  <si>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</si>
  <si>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</si>
  <si>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</si>
  <si>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</si>
  <si>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</si>
  <si>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</si>
  <si>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</si>
  <si>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</si>
  <si>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</si>
  <si>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</si>
  <si>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№chanDi</t>
  </si>
  <si>
    <t>DiCount</t>
  </si>
  <si>
    <t>№chanDo</t>
  </si>
  <si>
    <t>DoCount</t>
  </si>
  <si>
    <t>se0023</t>
  </si>
  <si>
    <t>Ki-01</t>
  </si>
  <si>
    <t>SD1</t>
  </si>
  <si>
    <t>SD3</t>
  </si>
  <si>
    <t>Ki-03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</si>
  <si>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</si>
  <si>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</si>
  <si>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</si>
  <si>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</si>
  <si>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</si>
  <si>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</si>
  <si>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</si>
  <si>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</si>
  <si>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</si>
  <si>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</si>
  <si>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</si>
  <si>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</si>
  <si>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</si>
  <si>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</si>
  <si>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</si>
  <si>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</si>
  <si>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</si>
  <si>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</si>
  <si>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</si>
  <si>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</si>
  <si>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</si>
  <si>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</si>
  <si>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</si>
  <si>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</si>
  <si>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</si>
  <si>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</si>
  <si>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</si>
  <si>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</si>
  <si>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</si>
  <si>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</si>
  <si>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</si>
  <si>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</si>
  <si>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</si>
  <si>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</si>
  <si>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</si>
  <si>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</si>
  <si>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</si>
  <si>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</si>
  <si>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</si>
  <si>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A7.1
Port4</t>
  </si>
  <si>
    <t>TmComSG</t>
  </si>
  <si>
    <t>WppL</t>
  </si>
  <si>
    <t>WppDi1</t>
  </si>
  <si>
    <t>WppDi2</t>
  </si>
  <si>
    <t>WppL2</t>
  </si>
  <si>
    <t>XT5</t>
  </si>
  <si>
    <t>A3.2</t>
  </si>
  <si>
    <t>Desc1</t>
  </si>
  <si>
    <t>Desc2</t>
  </si>
  <si>
    <t>X</t>
  </si>
  <si>
    <t>K2-05</t>
  </si>
  <si>
    <t>E1-GH2-EH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</si>
  <si>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</si>
  <si>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</si>
  <si>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</si>
  <si>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</si>
  <si>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</si>
  <si>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</si>
  <si>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</si>
  <si>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</si>
  <si>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</si>
  <si>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</si>
  <si>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</si>
  <si>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</si>
  <si>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se0032</t>
  </si>
  <si>
    <t>N2-1</t>
  </si>
  <si>
    <t>N2</t>
  </si>
  <si>
    <t>Задвижка 9ПТА-1</t>
  </si>
  <si>
    <t>Шкаф АСУ ТП НАБ (N2CJU01)</t>
  </si>
  <si>
    <t>Шкаф Ш-2 (N2CDA01GH002)</t>
  </si>
  <si>
    <t>N2-4</t>
  </si>
  <si>
    <t>Задвижка 10ПТА-1</t>
  </si>
  <si>
    <t>Задвижка 3ПТА</t>
  </si>
  <si>
    <t>N2-7</t>
  </si>
  <si>
    <t>N2-10</t>
  </si>
  <si>
    <t>Шаровый кран 4ПТА-1 на всасе насоса</t>
  </si>
  <si>
    <t>se0033</t>
  </si>
  <si>
    <t>Шаровый кран 5ПТА-1 на напоре насоса</t>
  </si>
  <si>
    <t>N2-13</t>
  </si>
  <si>
    <t>Шаровый кран 4ПТА-2 на всасе насоса</t>
  </si>
  <si>
    <t>N2-16</t>
  </si>
  <si>
    <t>N2-19</t>
  </si>
  <si>
    <t>Шаровый кран 5ПТА-2 на напоре насоса</t>
  </si>
  <si>
    <t>N2-26</t>
  </si>
  <si>
    <t>N2-25</t>
  </si>
  <si>
    <t>Регулирующий клапан РД0</t>
  </si>
  <si>
    <t>Регулирующий клапан РД1</t>
  </si>
  <si>
    <t>N2-30</t>
  </si>
  <si>
    <t>N2-31</t>
  </si>
  <si>
    <t>Шкаф Ш-3 (N2CDA01GH003)</t>
  </si>
  <si>
    <t>Задвижка 9ПТА-2</t>
  </si>
  <si>
    <t>N2-32</t>
  </si>
  <si>
    <t>Задвижка 10ПТА-2</t>
  </si>
  <si>
    <t>N2-35</t>
  </si>
  <si>
    <t>N2-38</t>
  </si>
  <si>
    <t>Затвор дисковый 11ПТА</t>
  </si>
  <si>
    <t>N2-41</t>
  </si>
  <si>
    <t>Затвор дисковый 12ПТА</t>
  </si>
  <si>
    <t>N2-44</t>
  </si>
  <si>
    <t>N2-47</t>
  </si>
  <si>
    <t>N2-50</t>
  </si>
  <si>
    <t>N2-53</t>
  </si>
  <si>
    <t>Шаровый кран 4ПТА-3 на всасе насоса</t>
  </si>
  <si>
    <t>Шаровый кран 5ПТА-3 на напоре насоса</t>
  </si>
  <si>
    <t>Шаровый кран 4ПТА-4 на всасе насоса</t>
  </si>
  <si>
    <t>Шаровый кран 5ПТА-4 на напоре насоса</t>
  </si>
  <si>
    <t>N2-56</t>
  </si>
  <si>
    <t>Давление в напорном коллекторе НАБ</t>
  </si>
  <si>
    <t>Давление в коллекторе всаса НАБ</t>
  </si>
  <si>
    <t>N2-57</t>
  </si>
  <si>
    <t>Давление на всасе НАБ-1</t>
  </si>
  <si>
    <t>Давление на напоре НАБ-1</t>
  </si>
  <si>
    <t>N2-58</t>
  </si>
  <si>
    <t>N2-59</t>
  </si>
  <si>
    <t>N2-60</t>
  </si>
  <si>
    <t>N2-61</t>
  </si>
  <si>
    <t>Давление на всасе НАБ-2</t>
  </si>
  <si>
    <t>Давление на напоре НАБ-2</t>
  </si>
  <si>
    <t>Давление на всасе НАБ-3</t>
  </si>
  <si>
    <t>Давление на напоре НАБ-3</t>
  </si>
  <si>
    <t>Давление на всасе НАБ-4</t>
  </si>
  <si>
    <t>Давление на напоре НАБ-4</t>
  </si>
  <si>
    <t>N2-62</t>
  </si>
  <si>
    <t>N2-63</t>
  </si>
  <si>
    <t>N2-64</t>
  </si>
  <si>
    <t>N2-65</t>
  </si>
  <si>
    <t>N2-66</t>
  </si>
  <si>
    <t>N2-67</t>
  </si>
  <si>
    <t>N2-68</t>
  </si>
  <si>
    <t>Температура воды от аккумуляторных баков</t>
  </si>
  <si>
    <t>Температура воздуха в машзале НАБ</t>
  </si>
  <si>
    <t>Температура воздуха в помещении управления НАБ</t>
  </si>
  <si>
    <t>N2CUB01 DO</t>
  </si>
  <si>
    <t>Управляющие сигналы в ШУ НАБ-1, НАБ-2</t>
  </si>
  <si>
    <t>se0034</t>
  </si>
  <si>
    <t>N2-69</t>
  </si>
  <si>
    <t>ШУ насосами аккумулирующих баков НАБ-1, НАБ-2 (N2CUB01)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</si>
  <si>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</si>
  <si>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</si>
  <si>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</si>
  <si>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</si>
  <si>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</si>
  <si>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</si>
  <si>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</si>
  <si>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</si>
  <si>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</si>
  <si>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</si>
  <si>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</si>
  <si>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</si>
  <si>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</si>
  <si>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</si>
  <si>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</si>
  <si>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</si>
  <si>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</si>
  <si>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</si>
  <si>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</si>
  <si>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</si>
  <si>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</si>
  <si>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</si>
  <si>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</si>
  <si>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</si>
  <si>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</si>
  <si>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</si>
  <si>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</si>
  <si>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</si>
  <si>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</si>
  <si>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</si>
  <si>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</si>
  <si>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</si>
  <si>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</si>
  <si>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</si>
  <si>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</si>
  <si>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</si>
  <si>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</si>
  <si>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</si>
  <si>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</si>
  <si>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</si>
  <si>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</si>
  <si>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</si>
  <si>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</si>
  <si>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</si>
  <si>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</si>
  <si>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</si>
  <si>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</si>
  <si>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</si>
  <si>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</si>
  <si>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</si>
  <si>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</si>
  <si>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</si>
  <si>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</si>
  <si>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</si>
  <si>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</si>
  <si>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</si>
  <si>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</si>
  <si>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</si>
  <si>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</si>
  <si>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</si>
  <si>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</si>
  <si>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</si>
  <si>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</si>
  <si>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Пуск насосной группы НАБ-1, НАБ-2</t>
  </si>
  <si>
    <t>Стоп насосной группы НАБ-1, НАБ-2</t>
  </si>
  <si>
    <t>Давление на всасе НАБ-1 норма</t>
  </si>
  <si>
    <t>Давление на напоре НАБ-1 низко</t>
  </si>
  <si>
    <t>Давление на всасе НАБ-2 норма</t>
  </si>
  <si>
    <t>Давление на напоре НАБ-2 низко</t>
  </si>
  <si>
    <t>Шаровый кран 5ПТА-1 на напоре насоса закрыт</t>
  </si>
  <si>
    <t>Шаровый кран 5ПТА-2 на напоре насоса закрыт</t>
  </si>
  <si>
    <t>Технологическая защита НАБ-1 сработала</t>
  </si>
  <si>
    <t>Технологическая защита НАБ-2 сработала</t>
  </si>
  <si>
    <t>Tpp15</t>
  </si>
  <si>
    <t>Tpp16</t>
  </si>
  <si>
    <t>Tpp17</t>
  </si>
  <si>
    <t>Tpp18</t>
  </si>
  <si>
    <t>Tpp19</t>
  </si>
  <si>
    <t>Tpp20</t>
  </si>
  <si>
    <t>N2CUB01 DI</t>
  </si>
  <si>
    <t>Контрольные сигналы в ШУ НАБ-1, НАБ-2</t>
  </si>
  <si>
    <t>se0035</t>
  </si>
  <si>
    <t>N2-70</t>
  </si>
  <si>
    <t>Насос НАБ-1 Включен</t>
  </si>
  <si>
    <t>Насос НАБ-2 Включен</t>
  </si>
  <si>
    <t>Насос НАБ-1 Отключен</t>
  </si>
  <si>
    <t>Насос НАБ-2 Отключен</t>
  </si>
  <si>
    <t>1-21</t>
  </si>
  <si>
    <t>1-22</t>
  </si>
  <si>
    <t>1-23</t>
  </si>
  <si>
    <t>1-24</t>
  </si>
  <si>
    <t>WcpKl8</t>
  </si>
  <si>
    <t>1-25</t>
  </si>
  <si>
    <t>1-26</t>
  </si>
  <si>
    <t>1-27</t>
  </si>
  <si>
    <t>1-28</t>
  </si>
  <si>
    <t>Цифровые сигналы в ШУ НАБ-1, НАБ-2</t>
  </si>
  <si>
    <t>N2CUB01 MB</t>
  </si>
  <si>
    <t>1-A</t>
  </si>
  <si>
    <t>1-B</t>
  </si>
  <si>
    <t>1-G</t>
  </si>
  <si>
    <t>XT6</t>
  </si>
  <si>
    <t>A+</t>
  </si>
  <si>
    <t>B-</t>
  </si>
  <si>
    <t>GND</t>
  </si>
  <si>
    <t>Управляющие сигналы в ШУ НАБ-3, НАБ-4</t>
  </si>
  <si>
    <t>Контрольные сигналы в ШУ НАБ-3, НАБ-4</t>
  </si>
  <si>
    <t>Цифровые сигналы в ШУ НАБ-3, НАБ-4</t>
  </si>
  <si>
    <t>N2CUB02 DO</t>
  </si>
  <si>
    <t>N2CUB02 DI</t>
  </si>
  <si>
    <t>N2CUB02 MB</t>
  </si>
  <si>
    <t>N2-72</t>
  </si>
  <si>
    <t>N2-73</t>
  </si>
  <si>
    <t>N2-74</t>
  </si>
  <si>
    <t>N2-71</t>
  </si>
  <si>
    <t>Насос НАБ-3 Включен</t>
  </si>
  <si>
    <t>Насос НАБ-3 Отключен</t>
  </si>
  <si>
    <t>ШУ насосами аккумулирующих баков НАБ-3, НАБ-4 (N2CUB01)</t>
  </si>
  <si>
    <t>Насос НАБ-4 Включен</t>
  </si>
  <si>
    <t>Насос НАБ-4 Отключен</t>
  </si>
  <si>
    <t>Давление на всасе НАБ-4 норма</t>
  </si>
  <si>
    <t>Давление на напоре НАБ-4 низко</t>
  </si>
  <si>
    <t>Технологическая защита НАБ-4 сработала</t>
  </si>
  <si>
    <t>Пуск насосной группы НАБ-3, НАБ-4</t>
  </si>
  <si>
    <t>Стоп насосной группы НАБ-3, НАБ-4</t>
  </si>
  <si>
    <t>Давление на всасе НАБ-3 норма</t>
  </si>
  <si>
    <t>Давление на напоре НАБ-3 низко</t>
  </si>
  <si>
    <t>Технологическая защита НАБ-3 сработала</t>
  </si>
  <si>
    <t>Уровень в АБ№1</t>
  </si>
  <si>
    <t>N2-75</t>
  </si>
  <si>
    <t>Уровень в АБ№2</t>
  </si>
  <si>
    <t>N2-76</t>
  </si>
  <si>
    <t>Уровень герметизирующей жидкости в резервуаре хранения</t>
  </si>
  <si>
    <t>N2-77</t>
  </si>
  <si>
    <t>Расход воды на заполнение аккумуляторных баков</t>
  </si>
  <si>
    <t>ЭБ ультразвукового расходомера US-800</t>
  </si>
  <si>
    <t>se0036</t>
  </si>
  <si>
    <t>N2-80</t>
  </si>
  <si>
    <t>Шкаф расходомера (N2CFQ01)</t>
  </si>
  <si>
    <t>XS3</t>
  </si>
  <si>
    <t>ch1</t>
  </si>
  <si>
    <t>chCom</t>
  </si>
  <si>
    <t>ch2</t>
  </si>
  <si>
    <t>N2NDE10CF002</t>
  </si>
  <si>
    <t>Расход воды на подпитку теплосети от аккумуляторных баков</t>
  </si>
  <si>
    <t>Неисправность шкафа ввода Ш-1 сборки задвижек</t>
  </si>
  <si>
    <t>N2-78</t>
  </si>
  <si>
    <t>Сборка задвижек НАБ. Шкаф ввода Ш-1 (N2CDA01GH001)</t>
  </si>
  <si>
    <t>Питание ввода №1 в норме (НАБ)</t>
  </si>
  <si>
    <t>Ввод 1 включен (НАБ)</t>
  </si>
  <si>
    <t>Питание ИБП в норме (НАБ)</t>
  </si>
  <si>
    <t>Питание цепей внешних сигналов включено (НАБ)</t>
  </si>
  <si>
    <t>Питание цепей внутренних сигналов включено (НАБ)</t>
  </si>
  <si>
    <t>Питание датчиков 220В включено (НАБ)</t>
  </si>
  <si>
    <t>Дверь шкафа открыта (НАБ)</t>
  </si>
  <si>
    <t>N2NDE11 AA001</t>
  </si>
  <si>
    <t>N2NDE11 AA002</t>
  </si>
  <si>
    <t>N2NDE20 AA002</t>
  </si>
  <si>
    <t>N2NDE01 AA001</t>
  </si>
  <si>
    <t>N2NDE01 AA002</t>
  </si>
  <si>
    <t>N2NDE02 AA001</t>
  </si>
  <si>
    <t>N2NDE02 AA002</t>
  </si>
  <si>
    <t>N2NDE20 AA801</t>
  </si>
  <si>
    <t>N2NDE10 AA801</t>
  </si>
  <si>
    <t>N2NDE12 AA001</t>
  </si>
  <si>
    <t>N2NDE12 AA002</t>
  </si>
  <si>
    <t>N2NDE20 AA001</t>
  </si>
  <si>
    <t>N2NDE10 AA001</t>
  </si>
  <si>
    <t>N2NDE03 AA001</t>
  </si>
  <si>
    <t>N2NDE03 AA002</t>
  </si>
  <si>
    <t>N2NDE04 AA001</t>
  </si>
  <si>
    <t>N2NDE04 AA002</t>
  </si>
  <si>
    <t>N2NDE20 CT001</t>
  </si>
  <si>
    <t>N2UNC01 CT001</t>
  </si>
  <si>
    <t>N2UNC02 CT001</t>
  </si>
  <si>
    <t>N2NDE10 CP001</t>
  </si>
  <si>
    <t>N2NDE20 CP001</t>
  </si>
  <si>
    <t>N2NDE01 CP001</t>
  </si>
  <si>
    <t>N2NDE01 CP002</t>
  </si>
  <si>
    <t>N2NDE02 CP001</t>
  </si>
  <si>
    <t>N2NDE02 CP002</t>
  </si>
  <si>
    <t>N2NDE03 CP001</t>
  </si>
  <si>
    <t>N2NDE03 CP002</t>
  </si>
  <si>
    <t>N2NDE04 CP001</t>
  </si>
  <si>
    <t>N2NDE04 CP002</t>
  </si>
  <si>
    <t>N2NDE11 CL001</t>
  </si>
  <si>
    <t>N2NDE12 CL001</t>
  </si>
  <si>
    <t>N2NDV10 CL001</t>
  </si>
  <si>
    <t>N2NDE10 CF001</t>
  </si>
  <si>
    <t>N2CDA01 GH001</t>
  </si>
  <si>
    <t>N2CJU01 GH001</t>
  </si>
  <si>
    <t>N2CJU01 GH003</t>
  </si>
  <si>
    <t>N2CJU01 GH005</t>
  </si>
  <si>
    <t>N2CJU01 GH006</t>
  </si>
  <si>
    <t>N2CJU01 GH007</t>
  </si>
  <si>
    <t>N2CJU01 GH008</t>
  </si>
  <si>
    <t>N2CJU01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</si>
</sst>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/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0" borderId="12" xfId="0" applyBorder="1" applyAlignment="1">
      <alignment wrapText="1"/>
    </xf>
    <xf numFmtId="0" fontId="1" fillId="0" borderId="0" xfId="0" applyFont="1"/>
    <xf numFmtId="0" fontId="0" fillId="0" borderId="10" xfId="0" applyBorder="1" applyAlignment="1">
      <alignment horizontal="center"/>
    </xf>
    <xf numFmtId="49" fontId="0" fillId="0" borderId="5" xfId="0" applyNumberFormat="1" applyBorder="1"/>
    <xf numFmtId="49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" dT="2025-07-02T09:35:37.96" personId="{1BBA9C37-440F-4406-BC90-B03034B3364F}" id="{16653607-FB67-4DB8-8255-D89C6181BDB1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49"/>
  <sheetViews>
    <sheetView tabSelected="1" zoomScale="85" zoomScaleNormal="85" workbookViewId="0">
      <pane ySplit="1" topLeftCell="A2" activePane="bottomLeft" state="frozen"/>
      <selection pane="bottomLeft" activeCell="A43" sqref="A43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6" bestFit="1" customWidth="1"/>
    <col min="36" max="36" width="8.7109375" style="46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150</v>
      </c>
      <c r="W1" s="7" t="s">
        <v>149</v>
      </c>
      <c r="X1" s="8" t="s">
        <v>170</v>
      </c>
      <c r="Y1" s="5" t="s">
        <v>359</v>
      </c>
      <c r="Z1" s="5" t="s">
        <v>360</v>
      </c>
      <c r="AA1" s="5" t="s">
        <v>171</v>
      </c>
      <c r="AB1" s="5" t="s">
        <v>172</v>
      </c>
      <c r="AC1" s="8" t="s">
        <v>21</v>
      </c>
      <c r="AD1" s="5" t="s">
        <v>369</v>
      </c>
      <c r="AE1" s="5" t="s">
        <v>370</v>
      </c>
      <c r="AF1" s="5" t="s">
        <v>23</v>
      </c>
      <c r="AG1" s="5" t="s">
        <v>24</v>
      </c>
      <c r="AH1" s="8" t="s">
        <v>22</v>
      </c>
      <c r="AI1" s="45" t="s">
        <v>371</v>
      </c>
      <c r="AJ1" s="45" t="s">
        <v>372</v>
      </c>
      <c r="AK1" s="5" t="s">
        <v>25</v>
      </c>
      <c r="AL1" s="5" t="s">
        <v>26</v>
      </c>
      <c r="AM1" s="8" t="s">
        <v>31</v>
      </c>
      <c r="AN1" s="8" t="s">
        <v>147</v>
      </c>
      <c r="AO1" s="8" t="s">
        <v>148</v>
      </c>
      <c r="AP1" s="8" t="s">
        <v>27</v>
      </c>
      <c r="AQ1" s="8" t="s">
        <v>28</v>
      </c>
      <c r="AR1" s="8" t="s">
        <v>159</v>
      </c>
      <c r="AS1" s="8" t="s">
        <v>168</v>
      </c>
      <c r="AT1" s="8" t="s">
        <v>29</v>
      </c>
      <c r="AU1" s="8" t="s">
        <v>30</v>
      </c>
      <c r="AV1" s="21" t="s">
        <v>32</v>
      </c>
      <c r="AW1" s="21" t="s">
        <v>33</v>
      </c>
      <c r="AX1" s="21" t="s">
        <v>34</v>
      </c>
      <c r="AY1" s="21" t="s">
        <v>161</v>
      </c>
      <c r="AZ1" s="21" t="s">
        <v>162</v>
      </c>
      <c r="BA1" s="21" t="s">
        <v>163</v>
      </c>
      <c r="BB1" s="21" t="s">
        <v>164</v>
      </c>
      <c r="BC1" s="21" t="s">
        <v>165</v>
      </c>
      <c r="BD1" s="21" t="s">
        <v>166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151</v>
      </c>
      <c r="FO1" s="5" t="s">
        <v>160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152</v>
      </c>
      <c r="GL1" s="5" t="s">
        <v>153</v>
      </c>
      <c r="GM1" s="5" t="s">
        <v>154</v>
      </c>
      <c r="GN1" s="5" t="s">
        <v>155</v>
      </c>
      <c r="GO1" s="5" t="s">
        <v>156</v>
      </c>
      <c r="GP1" s="5" t="s">
        <v>122</v>
      </c>
      <c r="GQ1" s="5" t="s">
        <v>123</v>
      </c>
      <c r="GR1" s="5" t="s">
        <v>157</v>
      </c>
      <c r="GS1" s="25" t="s">
        <v>158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174</v>
      </c>
      <c r="HH1" s="5" t="s">
        <v>175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176</v>
      </c>
      <c r="IH1" s="5" t="s">
        <v>188</v>
      </c>
      <c r="II1" s="5" t="s">
        <v>177</v>
      </c>
      <c r="IJ1" s="5" t="s">
        <v>178</v>
      </c>
      <c r="IK1" s="5" t="s">
        <v>179</v>
      </c>
      <c r="IL1" s="5" t="s">
        <v>180</v>
      </c>
      <c r="IM1" s="5" t="s">
        <v>181</v>
      </c>
      <c r="IN1" s="5" t="s">
        <v>182</v>
      </c>
      <c r="IO1" s="5" t="s">
        <v>183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184</v>
      </c>
      <c r="IW1" s="5" t="s">
        <v>185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18" t="s">
        <v>35</v>
      </c>
      <c r="KA1" s="18" t="s">
        <v>209</v>
      </c>
      <c r="KB1" s="18" t="s">
        <v>210</v>
      </c>
      <c r="KC1" s="26" t="s">
        <v>174</v>
      </c>
      <c r="KD1" s="5" t="s">
        <v>175</v>
      </c>
      <c r="KE1" s="26" t="s">
        <v>207</v>
      </c>
      <c r="KF1" s="5" t="s">
        <v>208</v>
      </c>
      <c r="KG1" s="5" t="s">
        <v>185</v>
      </c>
      <c r="KH1" s="5" t="s">
        <v>184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24" t="s">
        <v>192</v>
      </c>
      <c r="KO1" s="27" t="s">
        <v>194</v>
      </c>
      <c r="KP1" s="24" t="s">
        <v>193</v>
      </c>
      <c r="KQ1" s="27" t="s">
        <v>206</v>
      </c>
      <c r="KR1" s="16" t="s">
        <v>202</v>
      </c>
      <c r="KS1" s="16" t="s">
        <v>203</v>
      </c>
      <c r="KT1" s="4" t="s">
        <v>35</v>
      </c>
      <c r="KU1" s="5" t="s">
        <v>212</v>
      </c>
      <c r="KV1" s="5" t="s">
        <v>177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213</v>
      </c>
      <c r="LC1" s="5" t="s">
        <v>214</v>
      </c>
      <c r="LD1" s="5" t="s">
        <v>215</v>
      </c>
      <c r="LE1" s="5" t="s">
        <v>216</v>
      </c>
      <c r="LF1" s="5" t="s">
        <v>98</v>
      </c>
      <c r="LG1" s="5" t="s">
        <v>99</v>
      </c>
      <c r="LH1" s="5" t="s">
        <v>100</v>
      </c>
      <c r="LI1" s="5" t="s">
        <v>217</v>
      </c>
      <c r="LJ1" s="5" t="s">
        <v>218</v>
      </c>
      <c r="LK1" s="5" t="s">
        <v>219</v>
      </c>
      <c r="LL1" s="5" t="s">
        <v>220</v>
      </c>
      <c r="LM1" s="9" t="s">
        <v>221</v>
      </c>
      <c r="LN1" s="30" t="s">
        <v>35</v>
      </c>
      <c r="LO1" s="26" t="s">
        <v>174</v>
      </c>
      <c r="LP1" s="5" t="s">
        <v>175</v>
      </c>
      <c r="LQ1" s="5" t="s">
        <v>98</v>
      </c>
      <c r="LR1" s="5" t="s">
        <v>99</v>
      </c>
      <c r="LS1" s="5" t="s">
        <v>100</v>
      </c>
      <c r="LT1" s="28" t="s">
        <v>31</v>
      </c>
      <c r="LU1" s="24" t="s">
        <v>112</v>
      </c>
      <c r="LV1" s="29" t="s">
        <v>113</v>
      </c>
      <c r="LW1" s="16" t="s">
        <v>114</v>
      </c>
      <c r="LX1" s="4" t="s">
        <v>35</v>
      </c>
      <c r="LY1" s="5" t="s">
        <v>51</v>
      </c>
      <c r="LZ1" s="5" t="s">
        <v>50</v>
      </c>
      <c r="MA1" s="5" t="s">
        <v>177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213</v>
      </c>
      <c r="MH1" s="5" t="s">
        <v>214</v>
      </c>
      <c r="MI1" s="5" t="s">
        <v>215</v>
      </c>
      <c r="MJ1" s="5" t="s">
        <v>216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217</v>
      </c>
      <c r="MP1" s="5" t="s">
        <v>218</v>
      </c>
      <c r="MQ1" s="5" t="s">
        <v>219</v>
      </c>
      <c r="MR1" s="5" t="s">
        <v>220</v>
      </c>
      <c r="MS1" s="9" t="s">
        <v>221</v>
      </c>
      <c r="MT1" s="31" t="s">
        <v>228</v>
      </c>
      <c r="MU1" s="28" t="s">
        <v>229</v>
      </c>
      <c r="MV1" s="32" t="s">
        <v>230</v>
      </c>
      <c r="MW1" s="32" t="s">
        <v>231</v>
      </c>
      <c r="MX1" s="32" t="s">
        <v>232</v>
      </c>
      <c r="MY1" s="32" t="s">
        <v>35</v>
      </c>
      <c r="MZ1" s="32" t="s">
        <v>37</v>
      </c>
      <c r="NA1" s="32" t="s">
        <v>36</v>
      </c>
      <c r="NB1" s="32" t="s">
        <v>39</v>
      </c>
      <c r="NC1" s="32" t="s">
        <v>38</v>
      </c>
      <c r="ND1" s="32" t="s">
        <v>41</v>
      </c>
      <c r="NE1" s="32" t="s">
        <v>40</v>
      </c>
      <c r="NF1" s="32" t="s">
        <v>209</v>
      </c>
      <c r="NG1" s="32" t="s">
        <v>210</v>
      </c>
      <c r="NH1" s="5" t="s">
        <v>212</v>
      </c>
      <c r="NI1" s="5" t="s">
        <v>222</v>
      </c>
      <c r="NJ1" s="5" t="s">
        <v>223</v>
      </c>
      <c r="NK1" s="5" t="s">
        <v>224</v>
      </c>
      <c r="NL1" s="5" t="s">
        <v>225</v>
      </c>
      <c r="NM1" s="5" t="s">
        <v>226</v>
      </c>
      <c r="NN1" s="5" t="s">
        <v>227</v>
      </c>
      <c r="NO1" s="5" t="s">
        <v>177</v>
      </c>
      <c r="NP1" s="5" t="s">
        <v>178</v>
      </c>
      <c r="NQ1" s="5" t="s">
        <v>179</v>
      </c>
      <c r="NR1" s="5" t="s">
        <v>180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213</v>
      </c>
      <c r="OB1" s="5" t="s">
        <v>214</v>
      </c>
      <c r="OC1" s="5" t="s">
        <v>215</v>
      </c>
      <c r="OD1" s="9" t="s">
        <v>216</v>
      </c>
      <c r="OE1" s="5" t="s">
        <v>233</v>
      </c>
      <c r="OF1" s="9" t="s">
        <v>234</v>
      </c>
      <c r="OG1" s="18" t="s">
        <v>35</v>
      </c>
      <c r="OH1" s="18" t="s">
        <v>228</v>
      </c>
      <c r="OI1" s="18" t="s">
        <v>229</v>
      </c>
      <c r="OJ1" s="18" t="s">
        <v>284</v>
      </c>
      <c r="OK1" s="18" t="s">
        <v>285</v>
      </c>
      <c r="OL1" s="18" t="s">
        <v>209</v>
      </c>
      <c r="OM1" s="18" t="s">
        <v>210</v>
      </c>
      <c r="ON1" s="18" t="s">
        <v>276</v>
      </c>
      <c r="OO1" s="18" t="s">
        <v>277</v>
      </c>
      <c r="OP1" s="18" t="s">
        <v>278</v>
      </c>
      <c r="OQ1" s="18" t="s">
        <v>279</v>
      </c>
      <c r="OR1" s="18" t="s">
        <v>286</v>
      </c>
      <c r="OS1" s="18" t="s">
        <v>287</v>
      </c>
      <c r="OT1" s="18" t="s">
        <v>288</v>
      </c>
      <c r="OU1" s="18" t="s">
        <v>289</v>
      </c>
      <c r="OV1" s="26" t="s">
        <v>174</v>
      </c>
      <c r="OW1" s="5" t="s">
        <v>175</v>
      </c>
      <c r="OX1" s="26" t="s">
        <v>207</v>
      </c>
      <c r="OY1" s="5" t="s">
        <v>208</v>
      </c>
      <c r="OZ1" s="26" t="s">
        <v>280</v>
      </c>
      <c r="PA1" s="5" t="s">
        <v>281</v>
      </c>
      <c r="PB1" s="26" t="s">
        <v>282</v>
      </c>
      <c r="PC1" s="5" t="s">
        <v>283</v>
      </c>
      <c r="PD1" s="26" t="s">
        <v>290</v>
      </c>
      <c r="PE1" s="5" t="s">
        <v>291</v>
      </c>
      <c r="PF1" s="26" t="s">
        <v>292</v>
      </c>
      <c r="PG1" s="5" t="s">
        <v>293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24" t="s">
        <v>152</v>
      </c>
      <c r="PR1" s="24" t="s">
        <v>153</v>
      </c>
      <c r="PS1" s="24" t="s">
        <v>154</v>
      </c>
      <c r="PT1" s="24" t="s">
        <v>155</v>
      </c>
      <c r="PU1" s="24" t="s">
        <v>156</v>
      </c>
      <c r="PV1" s="24" t="s">
        <v>275</v>
      </c>
      <c r="PW1" s="24" t="s">
        <v>294</v>
      </c>
      <c r="PX1" s="24" t="s">
        <v>295</v>
      </c>
      <c r="PY1" s="24" t="s">
        <v>296</v>
      </c>
      <c r="PZ1" s="33" t="s">
        <v>297</v>
      </c>
      <c r="QA1" s="33" t="s">
        <v>210</v>
      </c>
      <c r="QB1" s="33" t="s">
        <v>209</v>
      </c>
      <c r="QC1" s="33" t="s">
        <v>277</v>
      </c>
      <c r="QD1" s="33" t="s">
        <v>276</v>
      </c>
      <c r="QE1" s="33" t="s">
        <v>279</v>
      </c>
      <c r="QF1" s="33" t="s">
        <v>278</v>
      </c>
      <c r="QG1" s="33" t="s">
        <v>287</v>
      </c>
      <c r="QH1" s="33" t="s">
        <v>286</v>
      </c>
      <c r="QI1" s="33" t="s">
        <v>289</v>
      </c>
      <c r="QJ1" s="33" t="s">
        <v>288</v>
      </c>
      <c r="QK1" s="33" t="s">
        <v>298</v>
      </c>
      <c r="QL1" s="33" t="s">
        <v>299</v>
      </c>
      <c r="QM1" s="33" t="s">
        <v>300</v>
      </c>
      <c r="QN1" s="33" t="s">
        <v>301</v>
      </c>
      <c r="QO1" s="33" t="s">
        <v>302</v>
      </c>
      <c r="QP1" s="33" t="s">
        <v>303</v>
      </c>
      <c r="QQ1" s="33" t="s">
        <v>304</v>
      </c>
      <c r="QR1" s="33" t="s">
        <v>305</v>
      </c>
      <c r="QS1" s="33" t="s">
        <v>306</v>
      </c>
      <c r="QT1" s="33" t="s">
        <v>307</v>
      </c>
      <c r="QU1" s="33" t="s">
        <v>308</v>
      </c>
      <c r="QV1" s="33" t="s">
        <v>309</v>
      </c>
      <c r="QW1" s="33" t="s">
        <v>175</v>
      </c>
      <c r="QX1" s="33" t="s">
        <v>174</v>
      </c>
      <c r="QY1" s="33" t="s">
        <v>208</v>
      </c>
      <c r="QZ1" s="33" t="s">
        <v>207</v>
      </c>
      <c r="RA1" s="33" t="s">
        <v>281</v>
      </c>
      <c r="RB1" s="33" t="s">
        <v>280</v>
      </c>
      <c r="RC1" s="33" t="s">
        <v>283</v>
      </c>
      <c r="RD1" s="33" t="s">
        <v>282</v>
      </c>
      <c r="RE1" s="33" t="s">
        <v>291</v>
      </c>
      <c r="RF1" s="33" t="s">
        <v>290</v>
      </c>
      <c r="RG1" s="33" t="s">
        <v>293</v>
      </c>
      <c r="RH1" s="33" t="s">
        <v>292</v>
      </c>
      <c r="RI1" s="33" t="s">
        <v>310</v>
      </c>
      <c r="RJ1" s="33" t="s">
        <v>311</v>
      </c>
      <c r="RK1" s="33" t="s">
        <v>312</v>
      </c>
      <c r="RL1" s="33" t="s">
        <v>313</v>
      </c>
      <c r="RM1" s="33" t="s">
        <v>314</v>
      </c>
      <c r="RN1" s="33" t="s">
        <v>315</v>
      </c>
      <c r="RO1" s="33" t="s">
        <v>316</v>
      </c>
      <c r="RP1" s="33" t="s">
        <v>317</v>
      </c>
      <c r="RQ1" s="33" t="s">
        <v>318</v>
      </c>
      <c r="RR1" s="33" t="s">
        <v>319</v>
      </c>
      <c r="RS1" s="33" t="s">
        <v>320</v>
      </c>
      <c r="RT1" s="33" t="s">
        <v>321</v>
      </c>
      <c r="RU1" s="33" t="s">
        <v>35</v>
      </c>
      <c r="RV1" s="33" t="s">
        <v>98</v>
      </c>
      <c r="RW1" s="33" t="s">
        <v>99</v>
      </c>
      <c r="RX1" s="33" t="s">
        <v>100</v>
      </c>
      <c r="RY1" s="33" t="s">
        <v>101</v>
      </c>
      <c r="RZ1" s="33" t="s">
        <v>102</v>
      </c>
      <c r="SA1" s="33" t="s">
        <v>103</v>
      </c>
      <c r="SB1" s="33" t="s">
        <v>104</v>
      </c>
      <c r="SC1" s="33" t="s">
        <v>105</v>
      </c>
      <c r="SD1" s="33" t="s">
        <v>106</v>
      </c>
      <c r="SE1" s="33" t="s">
        <v>107</v>
      </c>
      <c r="SF1" s="33" t="s">
        <v>108</v>
      </c>
      <c r="SG1" s="33" t="s">
        <v>109</v>
      </c>
      <c r="SH1" s="33" t="s">
        <v>110</v>
      </c>
      <c r="SI1" s="33" t="s">
        <v>111</v>
      </c>
      <c r="SJ1" s="33" t="s">
        <v>322</v>
      </c>
      <c r="SK1" s="33" t="s">
        <v>323</v>
      </c>
      <c r="SL1" s="33" t="s">
        <v>324</v>
      </c>
      <c r="SM1" s="33" t="s">
        <v>325</v>
      </c>
      <c r="SN1" s="33" t="s">
        <v>326</v>
      </c>
      <c r="SO1" s="33" t="s">
        <v>327</v>
      </c>
      <c r="SP1" s="33" t="s">
        <v>328</v>
      </c>
      <c r="SQ1" s="33" t="s">
        <v>329</v>
      </c>
      <c r="SR1" s="33" t="s">
        <v>330</v>
      </c>
      <c r="SS1" s="33" t="s">
        <v>331</v>
      </c>
      <c r="ST1" s="33" t="s">
        <v>332</v>
      </c>
      <c r="SU1" s="33" t="s">
        <v>351</v>
      </c>
      <c r="SV1" s="33" t="s">
        <v>228</v>
      </c>
      <c r="SW1" s="33" t="s">
        <v>284</v>
      </c>
      <c r="SX1" s="33" t="s">
        <v>333</v>
      </c>
      <c r="SY1" s="33" t="s">
        <v>334</v>
      </c>
      <c r="SZ1" s="33" t="s">
        <v>335</v>
      </c>
      <c r="TA1" s="33" t="s">
        <v>336</v>
      </c>
      <c r="TB1" s="33" t="s">
        <v>337</v>
      </c>
      <c r="TC1" s="33" t="s">
        <v>338</v>
      </c>
      <c r="TD1" s="33" t="s">
        <v>339</v>
      </c>
      <c r="TE1" s="33" t="s">
        <v>340</v>
      </c>
      <c r="TF1" s="33" t="s">
        <v>341</v>
      </c>
      <c r="TG1" s="33" t="s">
        <v>352</v>
      </c>
      <c r="TH1" s="33" t="s">
        <v>229</v>
      </c>
      <c r="TI1" s="33" t="s">
        <v>285</v>
      </c>
      <c r="TJ1" s="33" t="s">
        <v>342</v>
      </c>
      <c r="TK1" s="33" t="s">
        <v>343</v>
      </c>
      <c r="TL1" s="33" t="s">
        <v>344</v>
      </c>
      <c r="TM1" s="33" t="s">
        <v>345</v>
      </c>
      <c r="TN1" s="33" t="s">
        <v>346</v>
      </c>
      <c r="TO1" s="33" t="s">
        <v>347</v>
      </c>
      <c r="TP1" s="33" t="s">
        <v>348</v>
      </c>
      <c r="TQ1" s="33" t="s">
        <v>349</v>
      </c>
      <c r="TR1" s="36" t="s">
        <v>350</v>
      </c>
      <c r="TS1" s="30" t="s">
        <v>405</v>
      </c>
      <c r="TT1" s="18" t="s">
        <v>406</v>
      </c>
      <c r="TU1" s="18" t="s">
        <v>407</v>
      </c>
      <c r="TV1" s="18" t="s">
        <v>418</v>
      </c>
      <c r="TW1" s="18" t="s">
        <v>408</v>
      </c>
      <c r="TX1" s="18" t="s">
        <v>409</v>
      </c>
      <c r="TY1" s="18" t="s">
        <v>410</v>
      </c>
      <c r="TZ1" s="18" t="s">
        <v>411</v>
      </c>
      <c r="UA1" s="18" t="s">
        <v>35</v>
      </c>
      <c r="UB1" s="18" t="s">
        <v>98</v>
      </c>
      <c r="UC1" s="18" t="s">
        <v>99</v>
      </c>
      <c r="UD1" s="18" t="s">
        <v>100</v>
      </c>
      <c r="UE1" s="18" t="s">
        <v>31</v>
      </c>
      <c r="UF1" s="18" t="s">
        <v>112</v>
      </c>
      <c r="UG1" s="18" t="s">
        <v>113</v>
      </c>
      <c r="UH1" s="19" t="s">
        <v>114</v>
      </c>
      <c r="UI1" s="30" t="s">
        <v>35</v>
      </c>
      <c r="UJ1" s="18" t="s">
        <v>228</v>
      </c>
      <c r="UK1" s="18" t="s">
        <v>229</v>
      </c>
      <c r="UL1" s="18" t="s">
        <v>37</v>
      </c>
      <c r="UM1" s="18" t="s">
        <v>36</v>
      </c>
      <c r="UN1" s="18" t="s">
        <v>51</v>
      </c>
      <c r="UO1" s="18" t="s">
        <v>50</v>
      </c>
      <c r="UP1" s="18" t="s">
        <v>53</v>
      </c>
      <c r="UQ1" s="18" t="s">
        <v>52</v>
      </c>
      <c r="UR1" s="18" t="s">
        <v>73</v>
      </c>
      <c r="US1" s="18" t="s">
        <v>74</v>
      </c>
      <c r="UT1" s="18" t="s">
        <v>70</v>
      </c>
      <c r="UU1" s="18" t="s">
        <v>71</v>
      </c>
      <c r="UV1" s="18" t="s">
        <v>68</v>
      </c>
      <c r="UW1" s="18" t="s">
        <v>69</v>
      </c>
      <c r="UX1" s="18" t="s">
        <v>98</v>
      </c>
      <c r="UY1" s="18" t="s">
        <v>99</v>
      </c>
      <c r="UZ1" s="18" t="s">
        <v>100</v>
      </c>
      <c r="VA1" s="18" t="s">
        <v>101</v>
      </c>
      <c r="VB1" s="18" t="s">
        <v>419</v>
      </c>
      <c r="VC1" s="18" t="s">
        <v>422</v>
      </c>
      <c r="VD1" s="18" t="s">
        <v>420</v>
      </c>
      <c r="VE1" s="18" t="s">
        <v>421</v>
      </c>
      <c r="VF1" s="18" t="s">
        <v>112</v>
      </c>
      <c r="VG1" s="18" t="s">
        <v>113</v>
      </c>
      <c r="VH1" s="19" t="s">
        <v>114</v>
      </c>
      <c r="VI1" s="23" t="s">
        <v>135</v>
      </c>
      <c r="VJ1" s="16" t="s">
        <v>425</v>
      </c>
      <c r="VK1" s="17" t="s">
        <v>426</v>
      </c>
      <c r="VL1" s="4" t="s">
        <v>35</v>
      </c>
      <c r="VM1" s="26" t="s">
        <v>98</v>
      </c>
      <c r="VN1" s="26" t="s">
        <v>99</v>
      </c>
      <c r="VO1" s="26" t="s">
        <v>100</v>
      </c>
      <c r="VP1" s="26" t="s">
        <v>101</v>
      </c>
      <c r="VQ1" s="26" t="s">
        <v>37</v>
      </c>
      <c r="VR1" s="26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177</v>
      </c>
      <c r="VX1" s="5" t="s">
        <v>178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215</v>
      </c>
      <c r="WF1" s="5" t="s">
        <v>216</v>
      </c>
      <c r="WG1" s="5" t="s">
        <v>219</v>
      </c>
      <c r="WH1" s="5" t="s">
        <v>220</v>
      </c>
      <c r="WI1" s="25" t="s">
        <v>221</v>
      </c>
      <c r="WJ1" s="18" t="s">
        <v>430</v>
      </c>
      <c r="WK1" s="16" t="s">
        <v>431</v>
      </c>
      <c r="WL1" s="17" t="s">
        <v>432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322</v>
      </c>
      <c r="XC1" t="s">
        <v>323</v>
      </c>
      <c r="XD1" t="s">
        <v>324</v>
      </c>
      <c r="XE1" t="s">
        <v>325</v>
      </c>
      <c r="XF1" t="s">
        <v>326</v>
      </c>
      <c r="XG1" t="s">
        <v>327</v>
      </c>
      <c r="XH1" t="s">
        <v>46</v>
      </c>
      <c r="XI1" t="s">
        <v>47</v>
      </c>
      <c r="XJ1" t="s">
        <v>48</v>
      </c>
      <c r="XK1" t="s">
        <v>49</v>
      </c>
      <c r="XL1" t="s">
        <v>524</v>
      </c>
      <c r="XM1" t="s">
        <v>523</v>
      </c>
      <c r="XN1" t="s">
        <v>525</v>
      </c>
      <c r="XO1" t="s">
        <v>522</v>
      </c>
      <c r="XP1" t="s">
        <v>526</v>
      </c>
      <c r="XQ1" t="s">
        <v>521</v>
      </c>
      <c r="XR1" t="s">
        <v>527</v>
      </c>
      <c r="XS1" t="s">
        <v>520</v>
      </c>
      <c r="XT1" t="s">
        <v>528</v>
      </c>
      <c r="XU1" t="s">
        <v>519</v>
      </c>
      <c r="XV1" t="s">
        <v>518</v>
      </c>
      <c r="XW1" t="s">
        <v>517</v>
      </c>
      <c r="XX1" t="s">
        <v>516</v>
      </c>
      <c r="XY1" t="s">
        <v>515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530</v>
      </c>
      <c r="YG1" t="s">
        <v>529</v>
      </c>
      <c r="YH1" t="s">
        <v>532</v>
      </c>
      <c r="YI1" t="s">
        <v>531</v>
      </c>
      <c r="YJ1" t="s">
        <v>534</v>
      </c>
      <c r="YK1" t="s">
        <v>533</v>
      </c>
      <c r="YL1" t="s">
        <v>536</v>
      </c>
      <c r="YM1" t="s">
        <v>535</v>
      </c>
      <c r="YN1" t="s">
        <v>538</v>
      </c>
      <c r="YO1" t="s">
        <v>537</v>
      </c>
      <c r="YP1" t="s">
        <v>540</v>
      </c>
      <c r="YQ1" t="s">
        <v>539</v>
      </c>
      <c r="YR1" t="s">
        <v>541</v>
      </c>
      <c r="YS1" t="s">
        <v>542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543</v>
      </c>
      <c r="ZD1" t="s">
        <v>544</v>
      </c>
      <c r="ZE1" t="s">
        <v>82</v>
      </c>
      <c r="ZF1" t="s">
        <v>545</v>
      </c>
      <c r="ZG1" t="s">
        <v>83</v>
      </c>
      <c r="ZH1" t="s">
        <v>546</v>
      </c>
      <c r="ZI1" t="s">
        <v>84</v>
      </c>
      <c r="ZJ1" t="s">
        <v>547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548</v>
      </c>
      <c r="ZW1" t="s">
        <v>549</v>
      </c>
      <c r="ZX1" t="s">
        <v>425</v>
      </c>
      <c r="ZY1" t="s">
        <v>426</v>
      </c>
      <c r="ZZ1" t="s">
        <v>570</v>
      </c>
      <c r="AAA1" t="s">
        <v>571</v>
      </c>
      <c r="AAB1" t="s">
        <v>572</v>
      </c>
      <c r="AAC1" t="s">
        <v>573</v>
      </c>
      <c r="AAD1" t="s">
        <v>574</v>
      </c>
      <c r="AAE1" t="s">
        <v>575</v>
      </c>
      <c r="AAF1" t="s">
        <v>576</v>
      </c>
      <c r="AAG1" t="s">
        <v>577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588</v>
      </c>
      <c r="AAX1" t="s">
        <v>589</v>
      </c>
      <c r="AAY1" t="s">
        <v>590</v>
      </c>
      <c r="AAZ1" t="s">
        <v>591</v>
      </c>
      <c r="ABA1" t="s">
        <v>592</v>
      </c>
      <c r="ABB1" s="14" t="s">
        <v>593</v>
      </c>
      <c r="ABC1" s="16" t="s">
        <v>425</v>
      </c>
      <c r="ABD1" s="17" t="s">
        <v>426</v>
      </c>
      <c r="ABE1" s="16" t="s">
        <v>570</v>
      </c>
      <c r="ABF1" s="16" t="s">
        <v>571</v>
      </c>
      <c r="ABG1" s="4" t="s">
        <v>35</v>
      </c>
      <c r="ABH1" s="26" t="s">
        <v>98</v>
      </c>
      <c r="ABI1" s="26" t="s">
        <v>99</v>
      </c>
      <c r="ABJ1" s="26" t="s">
        <v>100</v>
      </c>
      <c r="ABK1" s="26" t="s">
        <v>101</v>
      </c>
      <c r="ABL1" s="26" t="s">
        <v>102</v>
      </c>
      <c r="ABM1" s="26" t="s">
        <v>103</v>
      </c>
      <c r="ABN1" s="26" t="s">
        <v>104</v>
      </c>
      <c r="ABO1" s="26" t="s">
        <v>105</v>
      </c>
      <c r="ABP1" s="26" t="s">
        <v>37</v>
      </c>
      <c r="ABQ1" s="26" t="s">
        <v>36</v>
      </c>
      <c r="ABR1" s="26" t="s">
        <v>39</v>
      </c>
      <c r="ABS1" s="26" t="s">
        <v>38</v>
      </c>
      <c r="ABT1" s="26" t="s">
        <v>41</v>
      </c>
      <c r="ABU1" s="26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177</v>
      </c>
      <c r="ACE1" s="5" t="s">
        <v>178</v>
      </c>
      <c r="ACF1" s="5" t="s">
        <v>179</v>
      </c>
      <c r="ACG1" s="5" t="s">
        <v>180</v>
      </c>
      <c r="ACH1" s="5" t="s">
        <v>181</v>
      </c>
      <c r="ACI1" s="5" t="s">
        <v>182</v>
      </c>
      <c r="ACJ1" s="5" t="s">
        <v>183</v>
      </c>
      <c r="ACK1" s="5" t="s">
        <v>606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215</v>
      </c>
      <c r="ACU1" s="5" t="s">
        <v>216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33" t="s">
        <v>35</v>
      </c>
      <c r="ADF1" s="33" t="s">
        <v>98</v>
      </c>
      <c r="ADG1" s="33" t="s">
        <v>99</v>
      </c>
      <c r="ADH1" s="33" t="s">
        <v>100</v>
      </c>
      <c r="ADI1" s="33" t="s">
        <v>101</v>
      </c>
      <c r="ADJ1" s="33" t="s">
        <v>210</v>
      </c>
      <c r="ADK1" s="33" t="s">
        <v>209</v>
      </c>
      <c r="ADL1" s="33" t="s">
        <v>225</v>
      </c>
      <c r="ADM1" s="33" t="s">
        <v>226</v>
      </c>
      <c r="ADN1" s="33" t="s">
        <v>227</v>
      </c>
      <c r="ADO1" s="33" t="s">
        <v>219</v>
      </c>
      <c r="ADP1" s="33" t="s">
        <v>220</v>
      </c>
      <c r="ADQ1" s="33" t="s">
        <v>221</v>
      </c>
      <c r="ADR1" s="33" t="s">
        <v>655</v>
      </c>
      <c r="ADS1" s="33" t="s">
        <v>656</v>
      </c>
      <c r="ADT1" s="33" t="s">
        <v>657</v>
      </c>
      <c r="ADU1" s="33" t="s">
        <v>228</v>
      </c>
      <c r="ADV1" s="33" t="s">
        <v>229</v>
      </c>
    </row>
    <row r="2" spans="1:802" x14ac:dyDescent="0.25">
      <c r="A2" s="41" t="s">
        <v>670</v>
      </c>
      <c r="B2" t="s">
        <v>445</v>
      </c>
      <c r="C2" s="3"/>
      <c r="O2" s="2"/>
      <c r="P2" t="s">
        <v>442</v>
      </c>
      <c r="Q2" s="1"/>
      <c r="S2" s="1" t="s">
        <v>127</v>
      </c>
      <c r="T2" s="12" t="s">
        <v>444</v>
      </c>
      <c r="U2" s="38">
        <v>1</v>
      </c>
      <c r="V2" s="13" t="s">
        <v>443</v>
      </c>
      <c r="W2" s="13"/>
      <c r="AC2" t="s">
        <v>128</v>
      </c>
      <c r="AD2" s="34" t="str" cm="1">
        <f t="array" ref="AD2">IF(COUNTIFS(AC$2:AC2,AC2)=1,"1",VALUE(SUBSTITUTE(INDEX(AD:AD,_xlfn.XMATCH(AC2,AC$1:AC1,0,-1)),"A",""))+INDEX(AE:AE,_xlfn.XMATCH(AC2,AC$1:AC1,0,-1))+1)</f>
        <v>1</v>
      </c>
      <c r="AE2" s="34" cm="1">
        <f t="array" ref="AE2">SUM(IF(ISNUMBER(FIND("TmDi",$BE$1:$AAL$1)),IF(IFERROR(ISNUMBER(VALUE(SUBSTITUTE($BE2:$AAL2,"B",""))),FALSE),IF(ISNUMBER(VALUE(SUBSTITUTE($BE2:$AAL2,"B",""))),1,0),0)))</f>
        <v>5</v>
      </c>
      <c r="AF2" t="str">
        <f t="shared" ref="AF2:AF18" si="0">CONCATENATE("C",$AD2)</f>
        <v>C1</v>
      </c>
      <c r="AG2" t="str">
        <f t="shared" ref="AG2:AG18" si="1">CONCATENATE("B",$AD2)</f>
        <v>B1</v>
      </c>
      <c r="AH2" t="s">
        <v>129</v>
      </c>
      <c r="AI2" s="46" t="str" cm="1">
        <f t="array" ref="AI2">IF(COUNTIFS(AH$2:AH2,AH2)=1,"1",VALUE(SUBSTITUTE(INDEX(AI:AI,_xlfn.XMATCH(AH2,AH$1:AH1,0,-1)),"A",""))+INDEX(AJ:AJ,_xlfn.XMATCH(AH2,AH$1:AH1,0,-1))+1)</f>
        <v>1</v>
      </c>
      <c r="AJ2" s="39" cm="1">
        <f t="array" ref="AJ2">SUM(IF(ISNUMBER(FIND("TmDo",$BE$1:$AAL$1)),IF(IFERROR(ISNUMBER(VALUE(SUBSTITUTE($BE2:$AAL2,"B",""))),FALSE),IF(ISNUMBER(VALUE(SUBSTITUTE($BE2:$AAL2,"B",""))),1,0),0)))</f>
        <v>2</v>
      </c>
      <c r="AK2" t="str">
        <f t="shared" ref="AK2:AK18" si="2">CONCATENATE($AI2,"A")</f>
        <v>1A</v>
      </c>
      <c r="AL2" t="str">
        <f t="shared" ref="AL2:AL18" si="3">CONCATENATE($AI2,"B")</f>
        <v>1B</v>
      </c>
      <c r="AM2" t="s">
        <v>132</v>
      </c>
      <c r="AP2" t="s">
        <v>446</v>
      </c>
      <c r="AQ2" t="s">
        <v>447</v>
      </c>
      <c r="AT2" t="s">
        <v>130</v>
      </c>
      <c r="AU2" t="s">
        <v>131</v>
      </c>
      <c r="BD2" s="14"/>
      <c r="BE2" s="22" t="str">
        <f t="shared" ref="BE2" si="4">CONCATENATE("XT",U2)</f>
        <v>XT1</v>
      </c>
      <c r="BF2" t="str">
        <f t="shared" ref="BF2" si="5">CONCATENATE("C",REPLACE(AF2,1,1,"")+1)</f>
        <v>C2</v>
      </c>
      <c r="BG2" t="str">
        <f t="shared" ref="BG2" si="6">CONCATENATE("B",REPLACE(AG2,1,1,"")+1)</f>
        <v>B2</v>
      </c>
      <c r="BH2" t="str">
        <f t="shared" ref="BH2" si="7">CONCATENATE("C",REPLACE(BF2,1,1,"")+1)</f>
        <v>C3</v>
      </c>
      <c r="BI2" t="str">
        <f t="shared" ref="BI2" si="8">CONCATENATE("B",REPLACE(BG2,1,1,"")+1)</f>
        <v>B3</v>
      </c>
      <c r="BJ2" t="str">
        <f t="shared" ref="BJ2" si="9">CONCATENATE("C",REPLACE(BH2,1,1,"")+1)</f>
        <v>C4</v>
      </c>
      <c r="BK2" t="str">
        <f t="shared" ref="BK2" si="10">CONCATENATE("B",REPLACE(BI2,1,1,"")+1)</f>
        <v>B4</v>
      </c>
      <c r="BL2" t="str">
        <f t="shared" ref="BL2" si="11">CONCATENATE("C",REPLACE(BJ2,1,1,"")+1)</f>
        <v>C5</v>
      </c>
      <c r="BM2" t="str">
        <f t="shared" ref="BM2" si="12">CONCATENATE("B",REPLACE(BK2,1,1,"")+1)</f>
        <v>B5</v>
      </c>
      <c r="BN2" t="str">
        <f t="shared" ref="BN2" si="13">CONCATENATE("C",REPLACE(BL2,1,1,"")+1)</f>
        <v>C6</v>
      </c>
      <c r="BO2" t="str">
        <f t="shared" ref="BO2" si="14">CONCATENATE("B",REPLACE(BM2,1,1,"")+1)</f>
        <v>B6</v>
      </c>
      <c r="BP2" t="str">
        <f t="shared" ref="BP2:BP8" si="15">CONCATENATE(REPLACE(AK2,LEN(AK2),1,"")+1,"A")</f>
        <v>2A</v>
      </c>
      <c r="BQ2" t="str">
        <f t="shared" ref="BQ2:BQ8" si="16">CONCATENATE(REPLACE(AL2,LEN(AL2),1,"")+1,"B")</f>
        <v>2B</v>
      </c>
      <c r="BR2" t="str">
        <f t="shared" ref="BR2:BR8" si="17">CONCATENATE(REPLACE(BP2,LEN(BP2),1,"")+1,"A")</f>
        <v>3A</v>
      </c>
      <c r="BS2" t="str">
        <f t="shared" ref="BS2:BS8" si="18">CONCATENATE(REPLACE(BQ2,LEN(BQ2),1,"")+1,"B")</f>
        <v>3B</v>
      </c>
      <c r="BT2" t="str">
        <f t="shared" ref="BT2" si="19">CONCATENATE("DI",REPLACE($AC2,1,3,""),"-",AF2)</f>
        <v>DI1-C1</v>
      </c>
      <c r="BU2" t="str">
        <f t="shared" ref="BU2" si="20">CONCATENATE("DI",REPLACE($AC2,1,3,""),"-",AG2)</f>
        <v>DI1-B1</v>
      </c>
      <c r="BV2" t="str">
        <f t="shared" ref="BV2" si="21">CONCATENATE("DI",REPLACE($AC2,1,3,""),"-",BF2)</f>
        <v>DI1-C2</v>
      </c>
      <c r="BW2" t="str">
        <f t="shared" ref="BW2" si="22">CONCATENATE("DI",REPLACE($AC2,1,3,""),"-",BG2)</f>
        <v>DI1-B2</v>
      </c>
      <c r="BX2" t="str">
        <f t="shared" ref="BX2" si="23">CONCATENATE("DI",REPLACE($AC2,1,3,""),"-",BH2)</f>
        <v>DI1-C3</v>
      </c>
      <c r="BY2" t="str">
        <f t="shared" ref="BY2" si="24">CONCATENATE("DI",REPLACE($AC2,1,3,""),"-",BI2)</f>
        <v>DI1-B3</v>
      </c>
      <c r="BZ2" t="str">
        <f t="shared" ref="BZ2" si="25">CONCATENATE("DI",REPLACE($AC2,1,3,""),"-",BJ2)</f>
        <v>DI1-C4</v>
      </c>
      <c r="CA2" t="str">
        <f t="shared" ref="CA2" si="26">CONCATENATE("DI",REPLACE($AC2,1,3,""),"-",BK2)</f>
        <v>DI1-B4</v>
      </c>
      <c r="CB2" t="str">
        <f t="shared" ref="CB2" si="27">CONCATENATE("DI",REPLACE($AC2,1,3,""),"-",BL2)</f>
        <v>DI1-C5</v>
      </c>
      <c r="CC2" t="str">
        <f t="shared" ref="CC2" si="28">CONCATENATE("DI",REPLACE($AC2,1,3,""),"-",BM2)</f>
        <v>DI1-B5</v>
      </c>
      <c r="CD2" t="str">
        <f t="shared" ref="CD2" si="29">CONCATENATE("DI",REPLACE($AC2,1,3,""),"-",BN2)</f>
        <v>DI1-C6</v>
      </c>
      <c r="CE2" t="str">
        <f t="shared" ref="CE2" si="30">CONCATENATE("DI",REPLACE($AC2,1,3,""),"-",BO2)</f>
        <v>DI1-B6</v>
      </c>
      <c r="CF2" t="str">
        <f t="shared" ref="CF2" si="31">CONCATENATE("DO",REPLACE($AH2,1,3,""),"-",AK2)</f>
        <v>DO1-1A</v>
      </c>
      <c r="CG2" t="str">
        <f t="shared" ref="CG2" si="32">CONCATENATE("DO",REPLACE($AH2,1,3,""),"-",AL2)</f>
        <v>DO1-1B</v>
      </c>
      <c r="CH2" t="str">
        <f t="shared" ref="CH2" si="33">CONCATENATE("DO",REPLACE($AH2,1,3,""),"-",BP2)</f>
        <v>DO1-2A</v>
      </c>
      <c r="CI2" t="str">
        <f t="shared" ref="CI2" si="34">CONCATENATE("DO",REPLACE($AH2,1,3,""),"-",BQ2)</f>
        <v>DO1-2B</v>
      </c>
      <c r="CJ2" t="str">
        <f t="shared" ref="CJ2" si="35">CONCATENATE("DO",REPLACE($AH2,1,3,""),"-",BR2)</f>
        <v>DO1-3A</v>
      </c>
      <c r="CK2" t="str">
        <f t="shared" ref="CK2" si="36">CONCATENATE("DO",REPLACE($AH2,1,3,""),"-",BS2)</f>
        <v>DO1-3B</v>
      </c>
      <c r="CL2" t="str">
        <f t="shared" ref="CL2:CL8" si="37">CONCATENATE("K",$U2,"-10")</f>
        <v>K1-10</v>
      </c>
      <c r="CM2" t="str">
        <f t="shared" ref="CM2:CM8" si="38">CONCATENATE("K",$U2,"-03")</f>
        <v>K1-03</v>
      </c>
      <c r="CN2" t="str">
        <f t="shared" ref="CN2:CN8" si="39">CONCATENATE("K",$U2,"-04")</f>
        <v>K1-04</v>
      </c>
      <c r="CO2" t="str">
        <f t="shared" ref="CO2:CO8" si="40">CONCATENATE("K",$U2,"-01")</f>
        <v>K1-01</v>
      </c>
      <c r="CP2" t="str">
        <f t="shared" ref="CP2:CP8" si="41">CONCATENATE("K",$U2,"-08")</f>
        <v>K1-08</v>
      </c>
      <c r="CQ2" t="str">
        <f t="shared" ref="CQ2:CQ8" si="42">CONCATENATE("K",$U2,"-02")</f>
        <v>K1-02</v>
      </c>
      <c r="CR2" t="str">
        <f t="shared" ref="CR2:CR8" si="43">CONCATENATE("K",$U2,"-09")</f>
        <v>K1-09</v>
      </c>
      <c r="CS2" t="str">
        <f t="shared" ref="CS2:CS8" si="44">CONCATENATE("K",$U2,"-05")</f>
        <v>K1-05</v>
      </c>
      <c r="CT2" t="str">
        <f t="shared" ref="CT2:CT8" si="45">CONCATENATE("K",$U2,"-11")</f>
        <v>K1-11</v>
      </c>
      <c r="CU2" t="str">
        <f t="shared" ref="CU2:CU8" si="46">CONCATENATE($T2,"-M",$U2,"-A9")</f>
        <v>N2-M1-A9</v>
      </c>
      <c r="CV2" t="str">
        <f t="shared" ref="CV2:CV8" si="47">CONCATENATE($T2,"-M",$U2,"-A7")</f>
        <v>N2-M1-A7</v>
      </c>
      <c r="CW2" t="str">
        <f t="shared" ref="CW2:CW8" si="48">CONCATENATE($T2,"-M",$U2,"-A8")</f>
        <v>N2-M1-A8</v>
      </c>
      <c r="CX2" t="str">
        <f t="shared" ref="CX2:CX8" si="49">CONCATENATE($T2,"-M",$U2,"-A6")</f>
        <v>N2-M1-A6</v>
      </c>
      <c r="CY2" t="str">
        <f t="shared" ref="CY2:CY8" si="50">CONCATENATE($T2,"-M",$U2,"-A30")</f>
        <v>N2-M1-A30</v>
      </c>
      <c r="CZ2" t="str">
        <f t="shared" ref="CZ2:CZ8" si="51">CONCATENATE($T2,"-M",$U2,"-N")</f>
        <v>N2-M1-N</v>
      </c>
      <c r="DA2" t="str">
        <f t="shared" ref="DA2" si="52">CONCATENATE($T2,"-A220-M",U2)</f>
        <v>N2-A220-M1</v>
      </c>
      <c r="DB2" t="str">
        <f t="shared" ref="DB2:DB8" si="53">CONCATENATE($T2,"-M",$U2,"-XM01")</f>
        <v>N2-M1-XM01</v>
      </c>
      <c r="DC2" t="str">
        <f t="shared" ref="DC2:DC8" si="54">CONCATENATE($T2,"-M",$U2,"-A1")</f>
        <v>N2-M1-A1</v>
      </c>
      <c r="DD2" t="str">
        <f t="shared" ref="DD2:DD8" si="55">CONCATENATE($T2,"-M",$U2,"-A5")</f>
        <v>N2-M1-A5</v>
      </c>
      <c r="DE2" t="str">
        <f t="shared" ref="DE2:DE8" si="56">CONCATENATE($T2,"-M",$U2,"-A11")</f>
        <v>N2-M1-A11</v>
      </c>
      <c r="DF2" t="str">
        <f t="shared" ref="DF2:DF8" si="57">CONCATENATE($T2,"-M",$U2,"-A12")</f>
        <v>N2-M1-A12</v>
      </c>
      <c r="DG2" t="str">
        <f>CONCATENATE($T2,"-M",$U2,"-A20")</f>
        <v>N2-M1-A20</v>
      </c>
      <c r="DH2" t="str">
        <f>CONCATENATE($T2,"-M",$U2,"-A19")</f>
        <v>N2-M1-A19</v>
      </c>
      <c r="DI2" t="s">
        <v>133</v>
      </c>
      <c r="DJ2" t="s">
        <v>134</v>
      </c>
      <c r="DK2">
        <v>11</v>
      </c>
      <c r="DL2">
        <v>14</v>
      </c>
      <c r="DM2">
        <v>12</v>
      </c>
      <c r="DN2" t="s">
        <v>135</v>
      </c>
      <c r="DO2" t="s">
        <v>136</v>
      </c>
      <c r="DP2">
        <v>1</v>
      </c>
      <c r="DQ2">
        <v>2</v>
      </c>
      <c r="DR2">
        <v>3</v>
      </c>
      <c r="DS2">
        <v>4</v>
      </c>
      <c r="DT2">
        <v>5</v>
      </c>
      <c r="DU2">
        <v>6</v>
      </c>
      <c r="DV2">
        <v>7</v>
      </c>
      <c r="DW2">
        <v>8</v>
      </c>
      <c r="DX2">
        <v>9</v>
      </c>
      <c r="DY2">
        <v>10</v>
      </c>
      <c r="DZ2">
        <v>11</v>
      </c>
      <c r="EA2">
        <v>12</v>
      </c>
      <c r="EB2">
        <v>13</v>
      </c>
      <c r="EC2">
        <v>14</v>
      </c>
      <c r="ED2">
        <v>1</v>
      </c>
      <c r="EE2">
        <v>3</v>
      </c>
      <c r="EF2">
        <v>4</v>
      </c>
      <c r="EG2">
        <v>7</v>
      </c>
      <c r="EH2">
        <v>8</v>
      </c>
      <c r="EI2">
        <v>9</v>
      </c>
      <c r="EJ2">
        <v>10</v>
      </c>
      <c r="EK2">
        <v>13</v>
      </c>
      <c r="EL2">
        <v>15</v>
      </c>
      <c r="EM2">
        <v>16</v>
      </c>
      <c r="EN2">
        <v>22</v>
      </c>
      <c r="EO2">
        <v>23</v>
      </c>
      <c r="EP2">
        <v>24</v>
      </c>
      <c r="EQ2" s="14"/>
    </row>
    <row r="3" spans="1:802" x14ac:dyDescent="0.25">
      <c r="A3" s="41" t="s">
        <v>671</v>
      </c>
      <c r="B3" t="s">
        <v>449</v>
      </c>
      <c r="C3" s="3"/>
      <c r="O3" s="2"/>
      <c r="P3" t="s">
        <v>442</v>
      </c>
      <c r="Q3" s="1"/>
      <c r="S3" s="1" t="s">
        <v>127</v>
      </c>
      <c r="T3" s="12" t="s">
        <v>444</v>
      </c>
      <c r="U3" s="38">
        <v>2</v>
      </c>
      <c r="V3" s="13" t="s">
        <v>448</v>
      </c>
      <c r="W3" s="13"/>
      <c r="AC3" t="str">
        <f>IF(AD2+AE2&gt;29,REPLACE(AC2,LEN(AC2),1,VALUE(RIGHT(AC2,1))+1),AC2)</f>
        <v>A5.1</v>
      </c>
      <c r="AD3" s="34" cm="1">
        <f t="array" ref="AD3">IF(COUNTIFS(AC$2:AC3,AC3)=1,"1",VALUE(SUBSTITUTE(INDEX(AD:AD,_xlfn.XMATCH(AC3,AC$1:AC2,0,-1)),"A",""))+INDEX(AE:AE,_xlfn.XMATCH(AC3,AC$1:AC2,0,-1))+1)</f>
        <v>7</v>
      </c>
      <c r="AE3" s="34" cm="1">
        <f t="array" ref="AE3">SUM(IF(ISNUMBER(FIND("TmDi",$BE$1:$AAL$1)),IF(IFERROR(ISNUMBER(VALUE(SUBSTITUTE($BE3:$AAL3,"B",""))),FALSE),IF(ISNUMBER(VALUE(SUBSTITUTE($BE3:$AAL3,"B",""))),1,0),0)))</f>
        <v>5</v>
      </c>
      <c r="AF3" t="str">
        <f t="shared" si="0"/>
        <v>C7</v>
      </c>
      <c r="AG3" t="str">
        <f t="shared" si="1"/>
        <v>B7</v>
      </c>
      <c r="AH3" t="str">
        <f t="shared" ref="AH3:AH5" si="58">IF(AI2+AJ2&gt;27,REPLACE(AH2,LEN(AH2),1,VALUE(RIGHT(AH2,1))+1),AH2)</f>
        <v>A6.1</v>
      </c>
      <c r="AI3" s="46" cm="1">
        <f t="array" ref="AI3">IF(COUNTIFS(AH$2:AH3,AH3)=1,"1",VALUE(SUBSTITUTE(INDEX(AI:AI,_xlfn.XMATCH(AH3,AH$1:AH2,0,-1)),"A",""))+INDEX(AJ:AJ,_xlfn.XMATCH(AH3,AH$1:AH2,0,-1))+1)</f>
        <v>4</v>
      </c>
      <c r="AJ3" s="39" cm="1">
        <f t="array" ref="AJ3">SUM(IF(ISNUMBER(FIND("TmDo",$BE$1:$AAL$1)),IF(IFERROR(ISNUMBER(VALUE(SUBSTITUTE($BE3:$AAL3,"B",""))),FALSE),IF(ISNUMBER(VALUE(SUBSTITUTE($BE3:$AAL3,"B",""))),1,0),0)))</f>
        <v>2</v>
      </c>
      <c r="AK3" t="str">
        <f t="shared" si="2"/>
        <v>4A</v>
      </c>
      <c r="AL3" t="str">
        <f t="shared" si="3"/>
        <v>4B</v>
      </c>
      <c r="AM3" t="s">
        <v>137</v>
      </c>
      <c r="AP3" t="s">
        <v>446</v>
      </c>
      <c r="AQ3" t="s">
        <v>447</v>
      </c>
      <c r="AT3" t="s">
        <v>130</v>
      </c>
      <c r="AU3" t="s">
        <v>131</v>
      </c>
      <c r="BD3" s="14"/>
      <c r="BE3" s="22" t="str">
        <f t="shared" ref="BE3" si="59">CONCATENATE("XT",U3)</f>
        <v>XT2</v>
      </c>
      <c r="BF3" t="str">
        <f t="shared" ref="BF3" si="60">CONCATENATE("C",REPLACE(AF3,1,1,"")+1)</f>
        <v>C8</v>
      </c>
      <c r="BG3" t="str">
        <f t="shared" ref="BG3" si="61">CONCATENATE("B",REPLACE(AG3,1,1,"")+1)</f>
        <v>B8</v>
      </c>
      <c r="BH3" t="str">
        <f t="shared" ref="BH3" si="62">CONCATENATE("C",REPLACE(BF3,1,1,"")+1)</f>
        <v>C9</v>
      </c>
      <c r="BI3" t="str">
        <f t="shared" ref="BI3" si="63">CONCATENATE("B",REPLACE(BG3,1,1,"")+1)</f>
        <v>B9</v>
      </c>
      <c r="BJ3" t="str">
        <f t="shared" ref="BJ3" si="64">CONCATENATE("C",REPLACE(BH3,1,1,"")+1)</f>
        <v>C10</v>
      </c>
      <c r="BK3" t="str">
        <f t="shared" ref="BK3" si="65">CONCATENATE("B",REPLACE(BI3,1,1,"")+1)</f>
        <v>B10</v>
      </c>
      <c r="BL3" t="str">
        <f t="shared" ref="BL3" si="66">CONCATENATE("C",REPLACE(BJ3,1,1,"")+1)</f>
        <v>C11</v>
      </c>
      <c r="BM3" t="str">
        <f t="shared" ref="BM3" si="67">CONCATENATE("B",REPLACE(BK3,1,1,"")+1)</f>
        <v>B11</v>
      </c>
      <c r="BN3" t="str">
        <f t="shared" ref="BN3" si="68">CONCATENATE("C",REPLACE(BL3,1,1,"")+1)</f>
        <v>C12</v>
      </c>
      <c r="BO3" t="str">
        <f t="shared" ref="BO3" si="69">CONCATENATE("B",REPLACE(BM3,1,1,"")+1)</f>
        <v>B12</v>
      </c>
      <c r="BP3" t="str">
        <f t="shared" si="15"/>
        <v>5A</v>
      </c>
      <c r="BQ3" t="str">
        <f t="shared" si="16"/>
        <v>5B</v>
      </c>
      <c r="BR3" t="str">
        <f t="shared" si="17"/>
        <v>6A</v>
      </c>
      <c r="BS3" t="str">
        <f t="shared" si="18"/>
        <v>6B</v>
      </c>
      <c r="BT3" t="str">
        <f t="shared" ref="BT3" si="70">CONCATENATE("DI",REPLACE($AC3,1,3,""),"-",AF3)</f>
        <v>DI1-C7</v>
      </c>
      <c r="BU3" t="str">
        <f t="shared" ref="BU3" si="71">CONCATENATE("DI",REPLACE($AC3,1,3,""),"-",AG3)</f>
        <v>DI1-B7</v>
      </c>
      <c r="BV3" t="str">
        <f t="shared" ref="BV3" si="72">CONCATENATE("DI",REPLACE($AC3,1,3,""),"-",BF3)</f>
        <v>DI1-C8</v>
      </c>
      <c r="BW3" t="str">
        <f t="shared" ref="BW3" si="73">CONCATENATE("DI",REPLACE($AC3,1,3,""),"-",BG3)</f>
        <v>DI1-B8</v>
      </c>
      <c r="BX3" t="str">
        <f t="shared" ref="BX3" si="74">CONCATENATE("DI",REPLACE($AC3,1,3,""),"-",BH3)</f>
        <v>DI1-C9</v>
      </c>
      <c r="BY3" t="str">
        <f t="shared" ref="BY3" si="75">CONCATENATE("DI",REPLACE($AC3,1,3,""),"-",BI3)</f>
        <v>DI1-B9</v>
      </c>
      <c r="BZ3" t="str">
        <f t="shared" ref="BZ3" si="76">CONCATENATE("DI",REPLACE($AC3,1,3,""),"-",BJ3)</f>
        <v>DI1-C10</v>
      </c>
      <c r="CA3" t="str">
        <f t="shared" ref="CA3" si="77">CONCATENATE("DI",REPLACE($AC3,1,3,""),"-",BK3)</f>
        <v>DI1-B10</v>
      </c>
      <c r="CB3" t="str">
        <f t="shared" ref="CB3" si="78">CONCATENATE("DI",REPLACE($AC3,1,3,""),"-",BL3)</f>
        <v>DI1-C11</v>
      </c>
      <c r="CC3" t="str">
        <f t="shared" ref="CC3" si="79">CONCATENATE("DI",REPLACE($AC3,1,3,""),"-",BM3)</f>
        <v>DI1-B11</v>
      </c>
      <c r="CD3" t="str">
        <f t="shared" ref="CD3" si="80">CONCATENATE("DI",REPLACE($AC3,1,3,""),"-",BN3)</f>
        <v>DI1-C12</v>
      </c>
      <c r="CE3" t="str">
        <f t="shared" ref="CE3" si="81">CONCATENATE("DI",REPLACE($AC3,1,3,""),"-",BO3)</f>
        <v>DI1-B12</v>
      </c>
      <c r="CF3" t="str">
        <f t="shared" ref="CF3" si="82">CONCATENATE("DO",REPLACE($AH3,1,3,""),"-",AK3)</f>
        <v>DO1-4A</v>
      </c>
      <c r="CG3" t="str">
        <f t="shared" ref="CG3" si="83">CONCATENATE("DO",REPLACE($AH3,1,3,""),"-",AL3)</f>
        <v>DO1-4B</v>
      </c>
      <c r="CH3" t="str">
        <f t="shared" ref="CH3" si="84">CONCATENATE("DO",REPLACE($AH3,1,3,""),"-",BP3)</f>
        <v>DO1-5A</v>
      </c>
      <c r="CI3" t="str">
        <f t="shared" ref="CI3" si="85">CONCATENATE("DO",REPLACE($AH3,1,3,""),"-",BQ3)</f>
        <v>DO1-5B</v>
      </c>
      <c r="CJ3" t="str">
        <f t="shared" ref="CJ3" si="86">CONCATENATE("DO",REPLACE($AH3,1,3,""),"-",BR3)</f>
        <v>DO1-6A</v>
      </c>
      <c r="CK3" t="str">
        <f t="shared" ref="CK3" si="87">CONCATENATE("DO",REPLACE($AH3,1,3,""),"-",BS3)</f>
        <v>DO1-6B</v>
      </c>
      <c r="CL3" t="str">
        <f t="shared" si="37"/>
        <v>K2-10</v>
      </c>
      <c r="CM3" t="str">
        <f t="shared" si="38"/>
        <v>K2-03</v>
      </c>
      <c r="CN3" t="str">
        <f t="shared" si="39"/>
        <v>K2-04</v>
      </c>
      <c r="CO3" t="str">
        <f t="shared" si="40"/>
        <v>K2-01</v>
      </c>
      <c r="CP3" t="str">
        <f t="shared" si="41"/>
        <v>K2-08</v>
      </c>
      <c r="CQ3" t="str">
        <f t="shared" si="42"/>
        <v>K2-02</v>
      </c>
      <c r="CR3" t="str">
        <f t="shared" si="43"/>
        <v>K2-09</v>
      </c>
      <c r="CS3" t="str">
        <f t="shared" si="44"/>
        <v>K2-05</v>
      </c>
      <c r="CT3" t="str">
        <f t="shared" si="45"/>
        <v>K2-11</v>
      </c>
      <c r="CU3" t="str">
        <f t="shared" si="46"/>
        <v>N2-M2-A9</v>
      </c>
      <c r="CV3" t="str">
        <f t="shared" si="47"/>
        <v>N2-M2-A7</v>
      </c>
      <c r="CW3" t="str">
        <f t="shared" si="48"/>
        <v>N2-M2-A8</v>
      </c>
      <c r="CX3" t="str">
        <f t="shared" si="49"/>
        <v>N2-M2-A6</v>
      </c>
      <c r="CY3" t="str">
        <f t="shared" si="50"/>
        <v>N2-M2-A30</v>
      </c>
      <c r="CZ3" t="str">
        <f t="shared" si="51"/>
        <v>N2-M2-N</v>
      </c>
      <c r="DA3" t="str">
        <f t="shared" ref="DA3" si="88">CONCATENATE($T3,"-A220-M",U3)</f>
        <v>N2-A220-M2</v>
      </c>
      <c r="DB3" t="str">
        <f t="shared" si="53"/>
        <v>N2-M2-XM01</v>
      </c>
      <c r="DC3" t="str">
        <f t="shared" si="54"/>
        <v>N2-M2-A1</v>
      </c>
      <c r="DD3" t="str">
        <f t="shared" si="55"/>
        <v>N2-M2-A5</v>
      </c>
      <c r="DE3" t="str">
        <f t="shared" si="56"/>
        <v>N2-M2-A11</v>
      </c>
      <c r="DF3" t="str">
        <f t="shared" si="57"/>
        <v>N2-M2-A12</v>
      </c>
      <c r="DG3" t="str">
        <f>CONCATENATE($T3,"-M",$U3,"-A20")</f>
        <v>N2-M2-A20</v>
      </c>
      <c r="DH3" t="str">
        <f>CONCATENATE($T3,"-M",$U3,"-A19")</f>
        <v>N2-M2-A19</v>
      </c>
      <c r="DI3" t="s">
        <v>133</v>
      </c>
      <c r="DJ3" t="s">
        <v>134</v>
      </c>
      <c r="DK3">
        <v>11</v>
      </c>
      <c r="DL3">
        <v>14</v>
      </c>
      <c r="DM3">
        <v>12</v>
      </c>
      <c r="DN3" t="s">
        <v>135</v>
      </c>
      <c r="DO3" t="s">
        <v>136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15</v>
      </c>
      <c r="EM3">
        <v>16</v>
      </c>
      <c r="EN3">
        <v>22</v>
      </c>
      <c r="EO3">
        <v>23</v>
      </c>
      <c r="EP3">
        <v>24</v>
      </c>
      <c r="EQ3" s="14"/>
    </row>
    <row r="4" spans="1:802" x14ac:dyDescent="0.25">
      <c r="A4" s="41" t="s">
        <v>672</v>
      </c>
      <c r="B4" t="s">
        <v>450</v>
      </c>
      <c r="C4" s="3"/>
      <c r="O4" s="2"/>
      <c r="P4" t="s">
        <v>442</v>
      </c>
      <c r="Q4" s="1"/>
      <c r="S4" s="1" t="s">
        <v>127</v>
      </c>
      <c r="T4" s="12" t="s">
        <v>444</v>
      </c>
      <c r="U4" s="38">
        <v>3</v>
      </c>
      <c r="V4" s="13" t="s">
        <v>451</v>
      </c>
      <c r="W4" s="13"/>
      <c r="AC4" t="str">
        <f t="shared" ref="AC4:AC8" si="89">IF(AD3+AE3&gt;29,REPLACE(AC3,LEN(AC3),1,VALUE(RIGHT(AC3,1))+1),AC3)</f>
        <v>A5.1</v>
      </c>
      <c r="AD4" s="34" cm="1">
        <f t="array" ref="AD4">IF(COUNTIFS(AC$2:AC4,AC4)=1,"1",VALUE(SUBSTITUTE(INDEX(AD:AD,_xlfn.XMATCH(AC4,AC$1:AC3,0,-1)),"A",""))+INDEX(AE:AE,_xlfn.XMATCH(AC4,AC$1:AC3,0,-1))+1)</f>
        <v>13</v>
      </c>
      <c r="AE4" s="34" cm="1">
        <f t="array" ref="AE4">SUM(IF(ISNUMBER(FIND("TmDi",$BE$1:$AAL$1)),IF(IFERROR(ISNUMBER(VALUE(SUBSTITUTE($BE4:$AAL4,"B",""))),FALSE),IF(ISNUMBER(VALUE(SUBSTITUTE($BE4:$AAL4,"B",""))),1,0),0)))</f>
        <v>5</v>
      </c>
      <c r="AF4" t="str">
        <f t="shared" si="0"/>
        <v>C13</v>
      </c>
      <c r="AG4" t="str">
        <f t="shared" si="1"/>
        <v>B13</v>
      </c>
      <c r="AH4" t="str">
        <f t="shared" si="58"/>
        <v>A6.1</v>
      </c>
      <c r="AI4" s="46" cm="1">
        <f t="array" ref="AI4">IF(COUNTIFS(AH$2:AH4,AH4)=1,"1",VALUE(SUBSTITUTE(INDEX(AI:AI,_xlfn.XMATCH(AH4,AH$1:AH3,0,-1)),"A",""))+INDEX(AJ:AJ,_xlfn.XMATCH(AH4,AH$1:AH3,0,-1))+1)</f>
        <v>7</v>
      </c>
      <c r="AJ4" s="39" cm="1">
        <f t="array" ref="AJ4">SUM(IF(ISNUMBER(FIND("TmDo",$BE$1:$AAL$1)),IF(IFERROR(ISNUMBER(VALUE(SUBSTITUTE($BE4:$AAL4,"B",""))),FALSE),IF(ISNUMBER(VALUE(SUBSTITUTE($BE4:$AAL4,"B",""))),1,0),0)))</f>
        <v>2</v>
      </c>
      <c r="AK4" t="str">
        <f t="shared" si="2"/>
        <v>7A</v>
      </c>
      <c r="AL4" t="str">
        <f t="shared" si="3"/>
        <v>7B</v>
      </c>
      <c r="AM4" t="s">
        <v>138</v>
      </c>
      <c r="AP4" t="s">
        <v>446</v>
      </c>
      <c r="AQ4" t="s">
        <v>447</v>
      </c>
      <c r="AT4" t="s">
        <v>130</v>
      </c>
      <c r="AU4" t="s">
        <v>131</v>
      </c>
      <c r="BD4" s="14"/>
      <c r="BE4" s="22" t="str">
        <f t="shared" ref="BE4" si="90">CONCATENATE("XT",U4)</f>
        <v>XT3</v>
      </c>
      <c r="BF4" t="str">
        <f t="shared" ref="BF4" si="91">CONCATENATE("C",REPLACE(AF4,1,1,"")+1)</f>
        <v>C14</v>
      </c>
      <c r="BG4" t="str">
        <f t="shared" ref="BG4" si="92">CONCATENATE("B",REPLACE(AG4,1,1,"")+1)</f>
        <v>B14</v>
      </c>
      <c r="BH4" t="str">
        <f t="shared" ref="BH4" si="93">CONCATENATE("C",REPLACE(BF4,1,1,"")+1)</f>
        <v>C15</v>
      </c>
      <c r="BI4" t="str">
        <f t="shared" ref="BI4" si="94">CONCATENATE("B",REPLACE(BG4,1,1,"")+1)</f>
        <v>B15</v>
      </c>
      <c r="BJ4" t="str">
        <f t="shared" ref="BJ4:BJ5" si="95">CONCATENATE("C",REPLACE(BH4,1,1,"")+1)</f>
        <v>C16</v>
      </c>
      <c r="BK4" t="str">
        <f t="shared" ref="BK4:BK5" si="96">CONCATENATE("B",REPLACE(BI4,1,1,"")+1)</f>
        <v>B16</v>
      </c>
      <c r="BL4" t="str">
        <f t="shared" ref="BL4" si="97">CONCATENATE("C",REPLACE(BJ4,1,1,"")+1)</f>
        <v>C17</v>
      </c>
      <c r="BM4" t="str">
        <f t="shared" ref="BM4" si="98">CONCATENATE("B",REPLACE(BK4,1,1,"")+1)</f>
        <v>B17</v>
      </c>
      <c r="BN4" t="str">
        <f t="shared" ref="BN4" si="99">CONCATENATE("C",REPLACE(BL4,1,1,"")+1)</f>
        <v>C18</v>
      </c>
      <c r="BO4" t="str">
        <f t="shared" ref="BO4" si="100">CONCATENATE("B",REPLACE(BM4,1,1,"")+1)</f>
        <v>B18</v>
      </c>
      <c r="BP4" t="str">
        <f t="shared" si="15"/>
        <v>8A</v>
      </c>
      <c r="BQ4" t="str">
        <f t="shared" si="16"/>
        <v>8B</v>
      </c>
      <c r="BR4" t="str">
        <f t="shared" si="17"/>
        <v>9A</v>
      </c>
      <c r="BS4" t="str">
        <f t="shared" si="18"/>
        <v>9B</v>
      </c>
      <c r="BT4" t="str">
        <f t="shared" ref="BT4" si="101">CONCATENATE("DI",REPLACE($AC4,1,3,""),"-",AF4)</f>
        <v>DI1-C13</v>
      </c>
      <c r="BU4" t="str">
        <f t="shared" ref="BU4" si="102">CONCATENATE("DI",REPLACE($AC4,1,3,""),"-",AG4)</f>
        <v>DI1-B13</v>
      </c>
      <c r="BV4" t="str">
        <f t="shared" ref="BV4" si="103">CONCATENATE("DI",REPLACE($AC4,1,3,""),"-",BF4)</f>
        <v>DI1-C14</v>
      </c>
      <c r="BW4" t="str">
        <f t="shared" ref="BW4" si="104">CONCATENATE("DI",REPLACE($AC4,1,3,""),"-",BG4)</f>
        <v>DI1-B14</v>
      </c>
      <c r="BX4" t="str">
        <f t="shared" ref="BX4" si="105">CONCATENATE("DI",REPLACE($AC4,1,3,""),"-",BH4)</f>
        <v>DI1-C15</v>
      </c>
      <c r="BY4" t="str">
        <f t="shared" ref="BY4" si="106">CONCATENATE("DI",REPLACE($AC4,1,3,""),"-",BI4)</f>
        <v>DI1-B15</v>
      </c>
      <c r="BZ4" t="str">
        <f t="shared" ref="BZ4" si="107">CONCATENATE("DI",REPLACE($AC4,1,3,""),"-",BJ4)</f>
        <v>DI1-C16</v>
      </c>
      <c r="CA4" t="str">
        <f t="shared" ref="CA4" si="108">CONCATENATE("DI",REPLACE($AC4,1,3,""),"-",BK4)</f>
        <v>DI1-B16</v>
      </c>
      <c r="CB4" t="str">
        <f t="shared" ref="CB4" si="109">CONCATENATE("DI",REPLACE($AC4,1,3,""),"-",BL4)</f>
        <v>DI1-C17</v>
      </c>
      <c r="CC4" t="str">
        <f t="shared" ref="CC4" si="110">CONCATENATE("DI",REPLACE($AC4,1,3,""),"-",BM4)</f>
        <v>DI1-B17</v>
      </c>
      <c r="CD4" t="str">
        <f t="shared" ref="CD4" si="111">CONCATENATE("DI",REPLACE($AC4,1,3,""),"-",BN4)</f>
        <v>DI1-C18</v>
      </c>
      <c r="CE4" t="str">
        <f t="shared" ref="CE4" si="112">CONCATENATE("DI",REPLACE($AC4,1,3,""),"-",BO4)</f>
        <v>DI1-B18</v>
      </c>
      <c r="CF4" t="str">
        <f t="shared" ref="CF4" si="113">CONCATENATE("DO",REPLACE($AH4,1,3,""),"-",AK4)</f>
        <v>DO1-7A</v>
      </c>
      <c r="CG4" t="str">
        <f t="shared" ref="CG4" si="114">CONCATENATE("DO",REPLACE($AH4,1,3,""),"-",AL4)</f>
        <v>DO1-7B</v>
      </c>
      <c r="CH4" t="str">
        <f t="shared" ref="CH4" si="115">CONCATENATE("DO",REPLACE($AH4,1,3,""),"-",BP4)</f>
        <v>DO1-8A</v>
      </c>
      <c r="CI4" t="str">
        <f t="shared" ref="CI4" si="116">CONCATENATE("DO",REPLACE($AH4,1,3,""),"-",BQ4)</f>
        <v>DO1-8B</v>
      </c>
      <c r="CJ4" t="str">
        <f t="shared" ref="CJ4" si="117">CONCATENATE("DO",REPLACE($AH4,1,3,""),"-",BR4)</f>
        <v>DO1-9A</v>
      </c>
      <c r="CK4" t="str">
        <f t="shared" ref="CK4" si="118">CONCATENATE("DO",REPLACE($AH4,1,3,""),"-",BS4)</f>
        <v>DO1-9B</v>
      </c>
      <c r="CL4" t="str">
        <f t="shared" si="37"/>
        <v>K3-10</v>
      </c>
      <c r="CM4" t="str">
        <f t="shared" si="38"/>
        <v>K3-03</v>
      </c>
      <c r="CN4" t="str">
        <f t="shared" si="39"/>
        <v>K3-04</v>
      </c>
      <c r="CO4" t="str">
        <f t="shared" si="40"/>
        <v>K3-01</v>
      </c>
      <c r="CP4" t="str">
        <f t="shared" si="41"/>
        <v>K3-08</v>
      </c>
      <c r="CQ4" t="str">
        <f t="shared" si="42"/>
        <v>K3-02</v>
      </c>
      <c r="CR4" t="str">
        <f t="shared" si="43"/>
        <v>K3-09</v>
      </c>
      <c r="CS4" t="str">
        <f t="shared" si="44"/>
        <v>K3-05</v>
      </c>
      <c r="CT4" t="str">
        <f t="shared" si="45"/>
        <v>K3-11</v>
      </c>
      <c r="CU4" t="str">
        <f t="shared" si="46"/>
        <v>N2-M3-A9</v>
      </c>
      <c r="CV4" t="str">
        <f t="shared" si="47"/>
        <v>N2-M3-A7</v>
      </c>
      <c r="CW4" t="str">
        <f t="shared" si="48"/>
        <v>N2-M3-A8</v>
      </c>
      <c r="CX4" t="str">
        <f t="shared" si="49"/>
        <v>N2-M3-A6</v>
      </c>
      <c r="CY4" t="str">
        <f t="shared" si="50"/>
        <v>N2-M3-A30</v>
      </c>
      <c r="CZ4" t="str">
        <f t="shared" si="51"/>
        <v>N2-M3-N</v>
      </c>
      <c r="DA4" t="str">
        <f t="shared" ref="DA4" si="119">CONCATENATE($T4,"-A220-M",U4)</f>
        <v>N2-A220-M3</v>
      </c>
      <c r="DB4" t="str">
        <f t="shared" si="53"/>
        <v>N2-M3-XM01</v>
      </c>
      <c r="DC4" t="str">
        <f t="shared" si="54"/>
        <v>N2-M3-A1</v>
      </c>
      <c r="DD4" t="str">
        <f t="shared" si="55"/>
        <v>N2-M3-A5</v>
      </c>
      <c r="DE4" t="str">
        <f t="shared" si="56"/>
        <v>N2-M3-A11</v>
      </c>
      <c r="DF4" t="str">
        <f t="shared" si="57"/>
        <v>N2-M3-A12</v>
      </c>
      <c r="DG4" t="str">
        <f>CONCATENATE($T4,"-M",$U4,"-A20")</f>
        <v>N2-M3-A20</v>
      </c>
      <c r="DH4" t="str">
        <f>CONCATENATE($T4,"-M",$U4,"-A19")</f>
        <v>N2-M3-A19</v>
      </c>
      <c r="DI4" t="s">
        <v>133</v>
      </c>
      <c r="DJ4" t="s">
        <v>134</v>
      </c>
      <c r="DK4">
        <v>11</v>
      </c>
      <c r="DL4">
        <v>14</v>
      </c>
      <c r="DM4">
        <v>12</v>
      </c>
      <c r="DN4" t="s">
        <v>135</v>
      </c>
      <c r="DO4" t="s">
        <v>136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15</v>
      </c>
      <c r="EM4">
        <v>16</v>
      </c>
      <c r="EN4">
        <v>22</v>
      </c>
      <c r="EO4">
        <v>23</v>
      </c>
      <c r="EP4">
        <v>24</v>
      </c>
      <c r="EQ4" s="14"/>
    </row>
    <row r="5" spans="1:802" x14ac:dyDescent="0.25">
      <c r="A5" s="41" t="s">
        <v>673</v>
      </c>
      <c r="B5" t="s">
        <v>453</v>
      </c>
      <c r="C5" s="3"/>
      <c r="O5" s="2"/>
      <c r="P5" t="s">
        <v>454</v>
      </c>
      <c r="Q5" s="1"/>
      <c r="S5" s="1" t="s">
        <v>127</v>
      </c>
      <c r="T5" s="12" t="s">
        <v>444</v>
      </c>
      <c r="U5" s="38">
        <v>4</v>
      </c>
      <c r="V5" s="13" t="s">
        <v>452</v>
      </c>
      <c r="W5" s="13"/>
      <c r="AC5" t="str">
        <f t="shared" si="89"/>
        <v>A5.1</v>
      </c>
      <c r="AD5" s="34" cm="1">
        <f t="array" ref="AD5">IF(COUNTIFS(AC$2:AC5,AC5)=1,"1",VALUE(SUBSTITUTE(INDEX(AD:AD,_xlfn.XMATCH(AC5,AC$1:AC4,0,-1)),"A",""))+INDEX(AE:AE,_xlfn.XMATCH(AC5,AC$1:AC4,0,-1))+1)</f>
        <v>19</v>
      </c>
      <c r="AE5" s="34" cm="1">
        <f t="array" ref="AE5">SUM(IF(ISNUMBER(FIND("TmDi",$BE$1:$AAL$1)),IF(IFERROR(ISNUMBER(VALUE(SUBSTITUTE($BE5:$AAL5,"B",""))),FALSE),IF(ISNUMBER(VALUE(SUBSTITUTE($BE5:$AAL5,"B",""))),1,0),0)))</f>
        <v>3</v>
      </c>
      <c r="AF5" t="str">
        <f t="shared" si="0"/>
        <v>C19</v>
      </c>
      <c r="AG5" t="str">
        <f t="shared" si="1"/>
        <v>B19</v>
      </c>
      <c r="AH5" t="str">
        <f t="shared" si="58"/>
        <v>A6.1</v>
      </c>
      <c r="AI5" s="46" cm="1">
        <f t="array" ref="AI5">IF(COUNTIFS(AH$2:AH5,AH5)=1,"1",VALUE(SUBSTITUTE(INDEX(AI:AI,_xlfn.XMATCH(AH5,AH$1:AH4,0,-1)),"A",""))+INDEX(AJ:AJ,_xlfn.XMATCH(AH5,AH$1:AH4,0,-1))+1)</f>
        <v>10</v>
      </c>
      <c r="AJ5" s="39" cm="1">
        <f t="array" ref="AJ5">SUM(IF(ISNUMBER(FIND("TmDo",$BE$1:$AAL$1)),IF(IFERROR(ISNUMBER(VALUE(SUBSTITUTE($BE5:$AAL5,"B",""))),FALSE),IF(ISNUMBER(VALUE(SUBSTITUTE($BE5:$AAL5,"B",""))),1,0),0)))</f>
        <v>2</v>
      </c>
      <c r="AK5" t="str">
        <f t="shared" si="2"/>
        <v>10A</v>
      </c>
      <c r="AL5" t="str">
        <f t="shared" si="3"/>
        <v>10B</v>
      </c>
      <c r="AM5" t="s">
        <v>139</v>
      </c>
      <c r="AP5" t="s">
        <v>446</v>
      </c>
      <c r="AQ5" t="s">
        <v>447</v>
      </c>
      <c r="AT5" t="s">
        <v>130</v>
      </c>
      <c r="AU5" t="s">
        <v>131</v>
      </c>
      <c r="BD5" s="14"/>
      <c r="BE5" s="22" t="str">
        <f t="shared" ref="BE5" si="120">CONCATENATE("XT",U5)</f>
        <v>XT4</v>
      </c>
      <c r="BF5" t="str">
        <f t="shared" ref="BF5" si="121">CONCATENATE("C",REPLACE(AF5,1,1,"")+1)</f>
        <v>C20</v>
      </c>
      <c r="BG5" t="str">
        <f t="shared" ref="BG5" si="122">CONCATENATE("B",REPLACE(AG5,1,1,"")+1)</f>
        <v>B20</v>
      </c>
      <c r="BH5" t="str">
        <f t="shared" ref="BH5" si="123">CONCATENATE("C",REPLACE(BF5,1,1,"")+1)</f>
        <v>C21</v>
      </c>
      <c r="BI5" t="str">
        <f t="shared" ref="BI5" si="124">CONCATENATE("B",REPLACE(BG5,1,1,"")+1)</f>
        <v>B21</v>
      </c>
      <c r="BJ5" t="str">
        <f t="shared" si="95"/>
        <v>C22</v>
      </c>
      <c r="BK5" t="str">
        <f t="shared" si="96"/>
        <v>B22</v>
      </c>
      <c r="BP5" t="str">
        <f t="shared" si="15"/>
        <v>11A</v>
      </c>
      <c r="BQ5" t="str">
        <f t="shared" si="16"/>
        <v>11B</v>
      </c>
      <c r="BR5" t="str">
        <f t="shared" si="17"/>
        <v>12A</v>
      </c>
      <c r="BS5" t="str">
        <f t="shared" si="18"/>
        <v>12B</v>
      </c>
      <c r="BT5" t="str">
        <f t="shared" ref="BT5" si="125">CONCATENATE("DI",REPLACE($AC5,1,3,""),"-",AF5)</f>
        <v>DI1-C19</v>
      </c>
      <c r="BU5" t="str">
        <f t="shared" ref="BU5" si="126">CONCATENATE("DI",REPLACE($AC5,1,3,""),"-",AG5)</f>
        <v>DI1-B19</v>
      </c>
      <c r="BV5" t="str">
        <f t="shared" ref="BV5" si="127">CONCATENATE("DI",REPLACE($AC5,1,3,""),"-",BF5)</f>
        <v>DI1-C20</v>
      </c>
      <c r="BW5" t="str">
        <f t="shared" ref="BW5" si="128">CONCATENATE("DI",REPLACE($AC5,1,3,""),"-",BG5)</f>
        <v>DI1-B20</v>
      </c>
      <c r="BX5" t="str">
        <f t="shared" ref="BX5" si="129">CONCATENATE("DI",REPLACE($AC5,1,3,""),"-",BH5)</f>
        <v>DI1-C21</v>
      </c>
      <c r="BY5" t="str">
        <f t="shared" ref="BY5" si="130">CONCATENATE("DI",REPLACE($AC5,1,3,""),"-",BI5)</f>
        <v>DI1-B21</v>
      </c>
      <c r="BZ5" t="str">
        <f t="shared" ref="BZ5" si="131">CONCATENATE("DI",REPLACE($AC5,1,3,""),"-",BJ5)</f>
        <v>DI1-C22</v>
      </c>
      <c r="CA5" t="str">
        <f t="shared" ref="CA5" si="132">CONCATENATE("DI",REPLACE($AC5,1,3,""),"-",BK5)</f>
        <v>DI1-B22</v>
      </c>
      <c r="CB5" t="str">
        <f t="shared" ref="CB5" si="133">CONCATENATE("DI",REPLACE($AC5,1,3,""),"-",BL5)</f>
        <v>DI1-</v>
      </c>
      <c r="CC5" t="str">
        <f t="shared" ref="CC5" si="134">CONCATENATE("DI",REPLACE($AC5,1,3,""),"-",BM5)</f>
        <v>DI1-</v>
      </c>
      <c r="CD5" t="str">
        <f t="shared" ref="CD5" si="135">CONCATENATE("DI",REPLACE($AC5,1,3,""),"-",BN5)</f>
        <v>DI1-</v>
      </c>
      <c r="CE5" t="str">
        <f t="shared" ref="CE5" si="136">CONCATENATE("DI",REPLACE($AC5,1,3,""),"-",BO5)</f>
        <v>DI1-</v>
      </c>
      <c r="CF5" t="str">
        <f t="shared" ref="CF5" si="137">CONCATENATE("DO",REPLACE($AH5,1,3,""),"-",AK5)</f>
        <v>DO1-10A</v>
      </c>
      <c r="CG5" t="str">
        <f t="shared" ref="CG5" si="138">CONCATENATE("DO",REPLACE($AH5,1,3,""),"-",AL5)</f>
        <v>DO1-10B</v>
      </c>
      <c r="CH5" t="str">
        <f t="shared" ref="CH5" si="139">CONCATENATE("DO",REPLACE($AH5,1,3,""),"-",BP5)</f>
        <v>DO1-11A</v>
      </c>
      <c r="CI5" t="str">
        <f t="shared" ref="CI5" si="140">CONCATENATE("DO",REPLACE($AH5,1,3,""),"-",BQ5)</f>
        <v>DO1-11B</v>
      </c>
      <c r="CJ5" t="str">
        <f t="shared" ref="CJ5" si="141">CONCATENATE("DO",REPLACE($AH5,1,3,""),"-",BR5)</f>
        <v>DO1-12A</v>
      </c>
      <c r="CK5" t="str">
        <f t="shared" ref="CK5" si="142">CONCATENATE("DO",REPLACE($AH5,1,3,""),"-",BS5)</f>
        <v>DO1-12B</v>
      </c>
      <c r="CL5" t="str">
        <f t="shared" si="37"/>
        <v>K4-10</v>
      </c>
      <c r="CM5" t="str">
        <f t="shared" si="38"/>
        <v>K4-03</v>
      </c>
      <c r="CN5" t="str">
        <f t="shared" si="39"/>
        <v>K4-04</v>
      </c>
      <c r="CO5" t="str">
        <f t="shared" si="40"/>
        <v>K4-01</v>
      </c>
      <c r="CP5" t="str">
        <f t="shared" si="41"/>
        <v>K4-08</v>
      </c>
      <c r="CQ5" t="str">
        <f t="shared" si="42"/>
        <v>K4-02</v>
      </c>
      <c r="CR5" t="str">
        <f t="shared" si="43"/>
        <v>K4-09</v>
      </c>
      <c r="CS5" t="str">
        <f t="shared" si="44"/>
        <v>K4-05</v>
      </c>
      <c r="CT5" t="str">
        <f t="shared" si="45"/>
        <v>K4-11</v>
      </c>
      <c r="CU5" t="str">
        <f t="shared" si="46"/>
        <v>N2-M4-A9</v>
      </c>
      <c r="CV5" t="str">
        <f t="shared" si="47"/>
        <v>N2-M4-A7</v>
      </c>
      <c r="CW5" t="str">
        <f t="shared" si="48"/>
        <v>N2-M4-A8</v>
      </c>
      <c r="CX5" t="str">
        <f t="shared" si="49"/>
        <v>N2-M4-A6</v>
      </c>
      <c r="CY5" t="str">
        <f t="shared" si="50"/>
        <v>N2-M4-A30</v>
      </c>
      <c r="CZ5" t="str">
        <f t="shared" si="51"/>
        <v>N2-M4-N</v>
      </c>
      <c r="DA5" t="str">
        <f t="shared" ref="DA5" si="143">CONCATENATE($T5,"-A220-M",U5)</f>
        <v>N2-A220-M4</v>
      </c>
      <c r="DB5" t="str">
        <f t="shared" si="53"/>
        <v>N2-M4-XM01</v>
      </c>
      <c r="DC5" t="str">
        <f t="shared" si="54"/>
        <v>N2-M4-A1</v>
      </c>
      <c r="DD5" t="str">
        <f t="shared" si="55"/>
        <v>N2-M4-A5</v>
      </c>
      <c r="DE5" t="str">
        <f t="shared" si="56"/>
        <v>N2-M4-A11</v>
      </c>
      <c r="DF5" t="str">
        <f t="shared" si="57"/>
        <v>N2-M4-A12</v>
      </c>
      <c r="DG5" t="str">
        <f>CONCATENATE($T5,"-M",$U5,"-A19")</f>
        <v>N2-M4-A19</v>
      </c>
      <c r="DH5" t="str">
        <f>CONCATENATE($T5,"-M",$U5,"-A20")</f>
        <v>N2-M4-A20</v>
      </c>
      <c r="DI5" t="s">
        <v>133</v>
      </c>
      <c r="DJ5" t="s">
        <v>134</v>
      </c>
      <c r="DK5">
        <v>11</v>
      </c>
      <c r="DL5">
        <v>14</v>
      </c>
      <c r="DM5">
        <v>12</v>
      </c>
      <c r="DN5" t="s">
        <v>135</v>
      </c>
      <c r="DO5" t="s">
        <v>136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15</v>
      </c>
      <c r="EM5">
        <v>16</v>
      </c>
      <c r="EN5">
        <v>16</v>
      </c>
      <c r="EO5">
        <v>22</v>
      </c>
      <c r="EP5">
        <v>23</v>
      </c>
      <c r="EQ5" s="14">
        <v>24</v>
      </c>
    </row>
    <row r="6" spans="1:802" x14ac:dyDescent="0.25">
      <c r="A6" s="41" t="s">
        <v>674</v>
      </c>
      <c r="B6" t="s">
        <v>455</v>
      </c>
      <c r="C6" s="3"/>
      <c r="O6" s="2"/>
      <c r="P6" t="s">
        <v>454</v>
      </c>
      <c r="Q6" s="1"/>
      <c r="S6" s="1" t="s">
        <v>127</v>
      </c>
      <c r="T6" s="12" t="s">
        <v>444</v>
      </c>
      <c r="U6" s="38">
        <v>5</v>
      </c>
      <c r="V6" s="13" t="s">
        <v>456</v>
      </c>
      <c r="W6" s="13"/>
      <c r="AC6" t="str">
        <f t="shared" si="89"/>
        <v>A5.1</v>
      </c>
      <c r="AD6" s="34" cm="1">
        <f t="array" ref="AD6">IF(COUNTIFS(AC$2:AC6,AC6)=1,"1",VALUE(SUBSTITUTE(INDEX(AD:AD,_xlfn.XMATCH(AC6,AC$1:AC5,0,-1)),"A",""))+INDEX(AE:AE,_xlfn.XMATCH(AC6,AC$1:AC5,0,-1))+1)</f>
        <v>23</v>
      </c>
      <c r="AE6" s="34" cm="1">
        <f t="array" ref="AE6">SUM(IF(ISNUMBER(FIND("TmDi",$BE$1:$AAL$1)),IF(IFERROR(ISNUMBER(VALUE(SUBSTITUTE($BE6:$AAL6,"B",""))),FALSE),IF(ISNUMBER(VALUE(SUBSTITUTE($BE6:$AAL6,"B",""))),1,0),0)))</f>
        <v>3</v>
      </c>
      <c r="AF6" t="str">
        <f t="shared" si="0"/>
        <v>C23</v>
      </c>
      <c r="AG6" t="str">
        <f t="shared" si="1"/>
        <v>B23</v>
      </c>
      <c r="AH6" t="str">
        <f>IF(AI5+AJ5&gt;27,REPLACE(AH5,LEN(AH5),1,VALUE(RIGHT(AH5,1))+1),AH5)</f>
        <v>A6.1</v>
      </c>
      <c r="AI6" s="46" cm="1">
        <f t="array" ref="AI6">IF(COUNTIFS(AH$2:AH6,AH6)=1,"1",VALUE(SUBSTITUTE(INDEX(AI:AI,_xlfn.XMATCH(AH6,AH$1:AH5,0,-1)),"A",""))+INDEX(AJ:AJ,_xlfn.XMATCH(AH6,AH$1:AH5,0,-1))+1)</f>
        <v>13</v>
      </c>
      <c r="AJ6" s="39" cm="1">
        <f t="array" ref="AJ6">SUM(IF(ISNUMBER(FIND("TmDo",$BE$1:$AAL$1)),IF(IFERROR(ISNUMBER(VALUE(SUBSTITUTE($BE6:$AAL6,"B",""))),FALSE),IF(ISNUMBER(VALUE(SUBSTITUTE($BE6:$AAL6,"B",""))),1,0),0)))</f>
        <v>2</v>
      </c>
      <c r="AK6" t="str">
        <f t="shared" si="2"/>
        <v>13A</v>
      </c>
      <c r="AL6" t="str">
        <f t="shared" si="3"/>
        <v>13B</v>
      </c>
      <c r="AM6" t="s">
        <v>140</v>
      </c>
      <c r="AP6" t="s">
        <v>446</v>
      </c>
      <c r="AQ6" t="s">
        <v>447</v>
      </c>
      <c r="AT6" t="s">
        <v>130</v>
      </c>
      <c r="AU6" t="s">
        <v>131</v>
      </c>
      <c r="BD6" s="14"/>
      <c r="BE6" s="22" t="str">
        <f t="shared" ref="BE6:BE8" si="144">CONCATENATE("XT",U6)</f>
        <v>XT5</v>
      </c>
      <c r="BF6" t="str">
        <f t="shared" ref="BF6:BF8" si="145">CONCATENATE("C",REPLACE(AF6,1,1,"")+1)</f>
        <v>C24</v>
      </c>
      <c r="BG6" t="str">
        <f t="shared" ref="BG6:BG8" si="146">CONCATENATE("B",REPLACE(AG6,1,1,"")+1)</f>
        <v>B24</v>
      </c>
      <c r="BH6" t="str">
        <f t="shared" ref="BH6:BH8" si="147">CONCATENATE("C",REPLACE(BF6,1,1,"")+1)</f>
        <v>C25</v>
      </c>
      <c r="BI6" t="str">
        <f t="shared" ref="BI6:BI8" si="148">CONCATENATE("B",REPLACE(BG6,1,1,"")+1)</f>
        <v>B25</v>
      </c>
      <c r="BJ6" t="str">
        <f t="shared" ref="BJ6:BJ8" si="149">CONCATENATE("C",REPLACE(BH6,1,1,"")+1)</f>
        <v>C26</v>
      </c>
      <c r="BK6" t="str">
        <f t="shared" ref="BK6:BK8" si="150">CONCATENATE("B",REPLACE(BI6,1,1,"")+1)</f>
        <v>B26</v>
      </c>
      <c r="BP6" t="str">
        <f t="shared" si="15"/>
        <v>14A</v>
      </c>
      <c r="BQ6" t="str">
        <f t="shared" si="16"/>
        <v>14B</v>
      </c>
      <c r="BR6" t="str">
        <f t="shared" si="17"/>
        <v>15A</v>
      </c>
      <c r="BS6" t="str">
        <f t="shared" si="18"/>
        <v>15B</v>
      </c>
      <c r="BT6" t="str">
        <f t="shared" ref="BT6:BT8" si="151">CONCATENATE("DI",REPLACE($AC6,1,3,""),"-",AF6)</f>
        <v>DI1-C23</v>
      </c>
      <c r="BU6" t="str">
        <f t="shared" ref="BU6:BU8" si="152">CONCATENATE("DI",REPLACE($AC6,1,3,""),"-",AG6)</f>
        <v>DI1-B23</v>
      </c>
      <c r="BV6" t="str">
        <f t="shared" ref="BV6:BV8" si="153">CONCATENATE("DI",REPLACE($AC6,1,3,""),"-",BF6)</f>
        <v>DI1-C24</v>
      </c>
      <c r="BW6" t="str">
        <f t="shared" ref="BW6:BW8" si="154">CONCATENATE("DI",REPLACE($AC6,1,3,""),"-",BG6)</f>
        <v>DI1-B24</v>
      </c>
      <c r="BX6" t="str">
        <f t="shared" ref="BX6:BX8" si="155">CONCATENATE("DI",REPLACE($AC6,1,3,""),"-",BH6)</f>
        <v>DI1-C25</v>
      </c>
      <c r="BY6" t="str">
        <f t="shared" ref="BY6:BY8" si="156">CONCATENATE("DI",REPLACE($AC6,1,3,""),"-",BI6)</f>
        <v>DI1-B25</v>
      </c>
      <c r="BZ6" t="str">
        <f t="shared" ref="BZ6:BZ8" si="157">CONCATENATE("DI",REPLACE($AC6,1,3,""),"-",BJ6)</f>
        <v>DI1-C26</v>
      </c>
      <c r="CA6" t="str">
        <f t="shared" ref="CA6:CA8" si="158">CONCATENATE("DI",REPLACE($AC6,1,3,""),"-",BK6)</f>
        <v>DI1-B26</v>
      </c>
      <c r="CB6" t="str">
        <f t="shared" ref="CB6:CB8" si="159">CONCATENATE("DI",REPLACE($AC6,1,3,""),"-",BL6)</f>
        <v>DI1-</v>
      </c>
      <c r="CC6" t="str">
        <f t="shared" ref="CC6:CC8" si="160">CONCATENATE("DI",REPLACE($AC6,1,3,""),"-",BM6)</f>
        <v>DI1-</v>
      </c>
      <c r="CD6" t="str">
        <f t="shared" ref="CD6:CD8" si="161">CONCATENATE("DI",REPLACE($AC6,1,3,""),"-",BN6)</f>
        <v>DI1-</v>
      </c>
      <c r="CE6" t="str">
        <f t="shared" ref="CE6:CE8" si="162">CONCATENATE("DI",REPLACE($AC6,1,3,""),"-",BO6)</f>
        <v>DI1-</v>
      </c>
      <c r="CF6" t="str">
        <f t="shared" ref="CF6:CF8" si="163">CONCATENATE("DO",REPLACE($AH6,1,3,""),"-",AK6)</f>
        <v>DO1-13A</v>
      </c>
      <c r="CG6" t="str">
        <f t="shared" ref="CG6:CG8" si="164">CONCATENATE("DO",REPLACE($AH6,1,3,""),"-",AL6)</f>
        <v>DO1-13B</v>
      </c>
      <c r="CH6" t="str">
        <f t="shared" ref="CH6:CH8" si="165">CONCATENATE("DO",REPLACE($AH6,1,3,""),"-",BP6)</f>
        <v>DO1-14A</v>
      </c>
      <c r="CI6" t="str">
        <f t="shared" ref="CI6:CI8" si="166">CONCATENATE("DO",REPLACE($AH6,1,3,""),"-",BQ6)</f>
        <v>DO1-14B</v>
      </c>
      <c r="CJ6" t="str">
        <f t="shared" ref="CJ6:CJ8" si="167">CONCATENATE("DO",REPLACE($AH6,1,3,""),"-",BR6)</f>
        <v>DO1-15A</v>
      </c>
      <c r="CK6" t="str">
        <f t="shared" ref="CK6:CK8" si="168">CONCATENATE("DO",REPLACE($AH6,1,3,""),"-",BS6)</f>
        <v>DO1-15B</v>
      </c>
      <c r="CL6" t="str">
        <f t="shared" si="37"/>
        <v>K5-10</v>
      </c>
      <c r="CM6" t="str">
        <f t="shared" si="38"/>
        <v>K5-03</v>
      </c>
      <c r="CN6" t="str">
        <f t="shared" si="39"/>
        <v>K5-04</v>
      </c>
      <c r="CO6" t="str">
        <f t="shared" si="40"/>
        <v>K5-01</v>
      </c>
      <c r="CP6" t="str">
        <f t="shared" si="41"/>
        <v>K5-08</v>
      </c>
      <c r="CQ6" t="str">
        <f t="shared" si="42"/>
        <v>K5-02</v>
      </c>
      <c r="CR6" t="str">
        <f t="shared" si="43"/>
        <v>K5-09</v>
      </c>
      <c r="CS6" t="str">
        <f t="shared" si="44"/>
        <v>K5-05</v>
      </c>
      <c r="CT6" t="str">
        <f t="shared" si="45"/>
        <v>K5-11</v>
      </c>
      <c r="CU6" t="str">
        <f t="shared" si="46"/>
        <v>N2-M5-A9</v>
      </c>
      <c r="CV6" t="str">
        <f t="shared" si="47"/>
        <v>N2-M5-A7</v>
      </c>
      <c r="CW6" t="str">
        <f t="shared" si="48"/>
        <v>N2-M5-A8</v>
      </c>
      <c r="CX6" t="str">
        <f t="shared" si="49"/>
        <v>N2-M5-A6</v>
      </c>
      <c r="CY6" t="str">
        <f t="shared" si="50"/>
        <v>N2-M5-A30</v>
      </c>
      <c r="CZ6" t="str">
        <f t="shared" si="51"/>
        <v>N2-M5-N</v>
      </c>
      <c r="DA6" t="str">
        <f t="shared" ref="DA6:DA8" si="169">CONCATENATE($T6,"-A220-M",U6)</f>
        <v>N2-A220-M5</v>
      </c>
      <c r="DB6" t="str">
        <f t="shared" si="53"/>
        <v>N2-M5-XM01</v>
      </c>
      <c r="DC6" t="str">
        <f t="shared" si="54"/>
        <v>N2-M5-A1</v>
      </c>
      <c r="DD6" t="str">
        <f t="shared" si="55"/>
        <v>N2-M5-A5</v>
      </c>
      <c r="DE6" t="str">
        <f t="shared" si="56"/>
        <v>N2-M5-A11</v>
      </c>
      <c r="DF6" t="str">
        <f t="shared" si="57"/>
        <v>N2-M5-A12</v>
      </c>
      <c r="DG6" t="str">
        <f>CONCATENATE($T6,"-M",$U6,"-A19")</f>
        <v>N2-M5-A19</v>
      </c>
      <c r="DH6" t="str">
        <f>CONCATENATE($T6,"-M",$U6,"-A20")</f>
        <v>N2-M5-A20</v>
      </c>
      <c r="DI6" t="s">
        <v>133</v>
      </c>
      <c r="DJ6" t="s">
        <v>134</v>
      </c>
      <c r="DK6">
        <v>11</v>
      </c>
      <c r="DL6">
        <v>14</v>
      </c>
      <c r="DM6">
        <v>12</v>
      </c>
      <c r="DN6" t="s">
        <v>135</v>
      </c>
      <c r="DO6" t="s">
        <v>136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15</v>
      </c>
      <c r="EM6">
        <v>16</v>
      </c>
      <c r="EN6">
        <v>16</v>
      </c>
      <c r="EO6">
        <v>22</v>
      </c>
      <c r="EP6">
        <v>23</v>
      </c>
      <c r="EQ6" s="14">
        <v>24</v>
      </c>
    </row>
    <row r="7" spans="1:802" x14ac:dyDescent="0.25">
      <c r="A7" s="41" t="s">
        <v>675</v>
      </c>
      <c r="B7" t="s">
        <v>457</v>
      </c>
      <c r="C7" s="3"/>
      <c r="O7" s="2"/>
      <c r="P7" t="s">
        <v>454</v>
      </c>
      <c r="Q7" s="1"/>
      <c r="S7" s="1" t="s">
        <v>127</v>
      </c>
      <c r="T7" s="12" t="s">
        <v>444</v>
      </c>
      <c r="U7" s="38">
        <v>6</v>
      </c>
      <c r="V7" s="13" t="s">
        <v>458</v>
      </c>
      <c r="W7" s="13"/>
      <c r="AC7" t="str">
        <f t="shared" si="89"/>
        <v>A5.1</v>
      </c>
      <c r="AD7" s="34" cm="1">
        <f t="array" ref="AD7">IF(COUNTIFS(AC$2:AC7,AC7)=1,"1",VALUE(SUBSTITUTE(INDEX(AD:AD,_xlfn.XMATCH(AC7,AC$1:AC6,0,-1)),"A",""))+INDEX(AE:AE,_xlfn.XMATCH(AC7,AC$1:AC6,0,-1))+1)</f>
        <v>27</v>
      </c>
      <c r="AE7" s="34" cm="1">
        <f t="array" ref="AE7">SUM(IF(ISNUMBER(FIND("TmDi",$BE$1:$AAL$1)),IF(IFERROR(ISNUMBER(VALUE(SUBSTITUTE($BE7:$AAL7,"B",""))),FALSE),IF(ISNUMBER(VALUE(SUBSTITUTE($BE7:$AAL7,"B",""))),1,0),0)))</f>
        <v>3</v>
      </c>
      <c r="AF7" t="str">
        <f t="shared" si="0"/>
        <v>C27</v>
      </c>
      <c r="AG7" t="str">
        <f t="shared" si="1"/>
        <v>B27</v>
      </c>
      <c r="AH7" t="str">
        <f t="shared" ref="AH7:AH8" si="170">IF(AI6+AJ6&gt;27,REPLACE(AH6,LEN(AH6),1,VALUE(RIGHT(AH6,1))+1),AH6)</f>
        <v>A6.1</v>
      </c>
      <c r="AI7" s="46" cm="1">
        <f t="array" ref="AI7">IF(COUNTIFS(AH$2:AH7,AH7)=1,"1",VALUE(SUBSTITUTE(INDEX(AI:AI,_xlfn.XMATCH(AH7,AH$1:AH6,0,-1)),"A",""))+INDEX(AJ:AJ,_xlfn.XMATCH(AH7,AH$1:AH6,0,-1))+1)</f>
        <v>16</v>
      </c>
      <c r="AJ7" s="39" cm="1">
        <f t="array" ref="AJ7">SUM(IF(ISNUMBER(FIND("TmDo",$BE$1:$AAL$1)),IF(IFERROR(ISNUMBER(VALUE(SUBSTITUTE($BE7:$AAL7,"B",""))),FALSE),IF(ISNUMBER(VALUE(SUBSTITUTE($BE7:$AAL7,"B",""))),1,0),0)))</f>
        <v>2</v>
      </c>
      <c r="AK7" t="str">
        <f t="shared" si="2"/>
        <v>16A</v>
      </c>
      <c r="AL7" t="str">
        <f t="shared" si="3"/>
        <v>16B</v>
      </c>
      <c r="AM7" t="s">
        <v>141</v>
      </c>
      <c r="AP7" t="s">
        <v>446</v>
      </c>
      <c r="AQ7" t="s">
        <v>447</v>
      </c>
      <c r="AT7" t="s">
        <v>130</v>
      </c>
      <c r="AU7" t="s">
        <v>131</v>
      </c>
      <c r="BD7" s="14"/>
      <c r="BE7" s="22" t="str">
        <f t="shared" si="144"/>
        <v>XT6</v>
      </c>
      <c r="BF7" t="str">
        <f t="shared" si="145"/>
        <v>C28</v>
      </c>
      <c r="BG7" t="str">
        <f t="shared" si="146"/>
        <v>B28</v>
      </c>
      <c r="BH7" t="str">
        <f t="shared" si="147"/>
        <v>C29</v>
      </c>
      <c r="BI7" t="str">
        <f t="shared" si="148"/>
        <v>B29</v>
      </c>
      <c r="BJ7" t="str">
        <f t="shared" si="149"/>
        <v>C30</v>
      </c>
      <c r="BK7" t="str">
        <f t="shared" si="150"/>
        <v>B30</v>
      </c>
      <c r="BP7" t="str">
        <f t="shared" si="15"/>
        <v>17A</v>
      </c>
      <c r="BQ7" t="str">
        <f t="shared" si="16"/>
        <v>17B</v>
      </c>
      <c r="BR7" t="str">
        <f t="shared" si="17"/>
        <v>18A</v>
      </c>
      <c r="BS7" t="str">
        <f t="shared" si="18"/>
        <v>18B</v>
      </c>
      <c r="BT7" t="str">
        <f t="shared" si="151"/>
        <v>DI1-C27</v>
      </c>
      <c r="BU7" t="str">
        <f t="shared" si="152"/>
        <v>DI1-B27</v>
      </c>
      <c r="BV7" t="str">
        <f t="shared" si="153"/>
        <v>DI1-C28</v>
      </c>
      <c r="BW7" t="str">
        <f t="shared" si="154"/>
        <v>DI1-B28</v>
      </c>
      <c r="BX7" t="str">
        <f t="shared" si="155"/>
        <v>DI1-C29</v>
      </c>
      <c r="BY7" t="str">
        <f t="shared" si="156"/>
        <v>DI1-B29</v>
      </c>
      <c r="BZ7" t="str">
        <f t="shared" si="157"/>
        <v>DI1-C30</v>
      </c>
      <c r="CA7" t="str">
        <f t="shared" si="158"/>
        <v>DI1-B30</v>
      </c>
      <c r="CB7" t="str">
        <f t="shared" si="159"/>
        <v>DI1-</v>
      </c>
      <c r="CC7" t="str">
        <f t="shared" si="160"/>
        <v>DI1-</v>
      </c>
      <c r="CD7" t="str">
        <f t="shared" si="161"/>
        <v>DI1-</v>
      </c>
      <c r="CE7" t="str">
        <f t="shared" si="162"/>
        <v>DI1-</v>
      </c>
      <c r="CF7" t="str">
        <f t="shared" si="163"/>
        <v>DO1-16A</v>
      </c>
      <c r="CG7" t="str">
        <f t="shared" si="164"/>
        <v>DO1-16B</v>
      </c>
      <c r="CH7" t="str">
        <f t="shared" si="165"/>
        <v>DO1-17A</v>
      </c>
      <c r="CI7" t="str">
        <f t="shared" si="166"/>
        <v>DO1-17B</v>
      </c>
      <c r="CJ7" t="str">
        <f t="shared" si="167"/>
        <v>DO1-18A</v>
      </c>
      <c r="CK7" t="str">
        <f t="shared" si="168"/>
        <v>DO1-18B</v>
      </c>
      <c r="CL7" t="str">
        <f t="shared" si="37"/>
        <v>K6-10</v>
      </c>
      <c r="CM7" t="str">
        <f t="shared" si="38"/>
        <v>K6-03</v>
      </c>
      <c r="CN7" t="str">
        <f t="shared" si="39"/>
        <v>K6-04</v>
      </c>
      <c r="CO7" t="str">
        <f t="shared" si="40"/>
        <v>K6-01</v>
      </c>
      <c r="CP7" t="str">
        <f t="shared" si="41"/>
        <v>K6-08</v>
      </c>
      <c r="CQ7" t="str">
        <f t="shared" si="42"/>
        <v>K6-02</v>
      </c>
      <c r="CR7" t="str">
        <f t="shared" si="43"/>
        <v>K6-09</v>
      </c>
      <c r="CS7" t="str">
        <f t="shared" si="44"/>
        <v>K6-05</v>
      </c>
      <c r="CT7" t="str">
        <f t="shared" si="45"/>
        <v>K6-11</v>
      </c>
      <c r="CU7" t="str">
        <f t="shared" si="46"/>
        <v>N2-M6-A9</v>
      </c>
      <c r="CV7" t="str">
        <f t="shared" si="47"/>
        <v>N2-M6-A7</v>
      </c>
      <c r="CW7" t="str">
        <f t="shared" si="48"/>
        <v>N2-M6-A8</v>
      </c>
      <c r="CX7" t="str">
        <f t="shared" si="49"/>
        <v>N2-M6-A6</v>
      </c>
      <c r="CY7" t="str">
        <f t="shared" si="50"/>
        <v>N2-M6-A30</v>
      </c>
      <c r="CZ7" t="str">
        <f t="shared" si="51"/>
        <v>N2-M6-N</v>
      </c>
      <c r="DA7" t="str">
        <f t="shared" si="169"/>
        <v>N2-A220-M6</v>
      </c>
      <c r="DB7" t="str">
        <f t="shared" si="53"/>
        <v>N2-M6-XM01</v>
      </c>
      <c r="DC7" t="str">
        <f t="shared" si="54"/>
        <v>N2-M6-A1</v>
      </c>
      <c r="DD7" t="str">
        <f t="shared" si="55"/>
        <v>N2-M6-A5</v>
      </c>
      <c r="DE7" t="str">
        <f t="shared" si="56"/>
        <v>N2-M6-A11</v>
      </c>
      <c r="DF7" t="str">
        <f t="shared" si="57"/>
        <v>N2-M6-A12</v>
      </c>
      <c r="DG7" t="str">
        <f>CONCATENATE($T7,"-M",$U7,"-A19")</f>
        <v>N2-M6-A19</v>
      </c>
      <c r="DH7" t="str">
        <f>CONCATENATE($T7,"-M",$U7,"-A20")</f>
        <v>N2-M6-A20</v>
      </c>
      <c r="DI7" t="s">
        <v>133</v>
      </c>
      <c r="DJ7" t="s">
        <v>134</v>
      </c>
      <c r="DK7">
        <v>11</v>
      </c>
      <c r="DL7">
        <v>14</v>
      </c>
      <c r="DM7">
        <v>12</v>
      </c>
      <c r="DN7" t="s">
        <v>135</v>
      </c>
      <c r="DO7" t="s">
        <v>136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15</v>
      </c>
      <c r="EM7">
        <v>16</v>
      </c>
      <c r="EN7">
        <v>16</v>
      </c>
      <c r="EO7">
        <v>22</v>
      </c>
      <c r="EP7">
        <v>23</v>
      </c>
      <c r="EQ7" s="14">
        <v>24</v>
      </c>
    </row>
    <row r="8" spans="1:802" x14ac:dyDescent="0.25">
      <c r="A8" s="41" t="s">
        <v>676</v>
      </c>
      <c r="B8" t="s">
        <v>460</v>
      </c>
      <c r="C8" s="3"/>
      <c r="O8" s="2"/>
      <c r="P8" t="s">
        <v>454</v>
      </c>
      <c r="Q8" s="1"/>
      <c r="S8" s="1" t="s">
        <v>127</v>
      </c>
      <c r="T8" s="12" t="s">
        <v>444</v>
      </c>
      <c r="U8" s="38">
        <v>7</v>
      </c>
      <c r="V8" s="13" t="s">
        <v>459</v>
      </c>
      <c r="W8" s="13"/>
      <c r="AC8" t="str">
        <f t="shared" si="89"/>
        <v>A5.2</v>
      </c>
      <c r="AD8" s="34" t="str" cm="1">
        <f t="array" ref="AD8">IF(COUNTIFS(AC$2:AC8,AC8)=1,"1",VALUE(SUBSTITUTE(INDEX(AD:AD,_xlfn.XMATCH(AC8,AC$1:AC7,0,-1)),"A",""))+INDEX(AE:AE,_xlfn.XMATCH(AC8,AC$1:AC7,0,-1))+1)</f>
        <v>1</v>
      </c>
      <c r="AE8" s="34" cm="1">
        <f t="array" ref="AE8">SUM(IF(ISNUMBER(FIND("TmDi",$BE$1:$AAL$1)),IF(IFERROR(ISNUMBER(VALUE(SUBSTITUTE($BE8:$AAL8,"B",""))),FALSE),IF(ISNUMBER(VALUE(SUBSTITUTE($BE8:$AAL8,"B",""))),1,0),0)))</f>
        <v>3</v>
      </c>
      <c r="AF8" t="str">
        <f t="shared" si="0"/>
        <v>C1</v>
      </c>
      <c r="AG8" t="str">
        <f t="shared" si="1"/>
        <v>B1</v>
      </c>
      <c r="AH8" t="str">
        <f t="shared" si="170"/>
        <v>A6.1</v>
      </c>
      <c r="AI8" s="46" cm="1">
        <f t="array" ref="AI8">IF(COUNTIFS(AH$2:AH8,AH8)=1,"1",VALUE(SUBSTITUTE(INDEX(AI:AI,_xlfn.XMATCH(AH8,AH$1:AH7,0,-1)),"A",""))+INDEX(AJ:AJ,_xlfn.XMATCH(AH8,AH$1:AH7,0,-1))+1)</f>
        <v>19</v>
      </c>
      <c r="AJ8" s="39" cm="1">
        <f t="array" ref="AJ8">SUM(IF(ISNUMBER(FIND("TmDo",$BE$1:$AAL$1)),IF(IFERROR(ISNUMBER(VALUE(SUBSTITUTE($BE8:$AAL8,"B",""))),FALSE),IF(ISNUMBER(VALUE(SUBSTITUTE($BE8:$AAL8,"B",""))),1,0),0)))</f>
        <v>2</v>
      </c>
      <c r="AK8" t="str">
        <f t="shared" si="2"/>
        <v>19A</v>
      </c>
      <c r="AL8" t="str">
        <f t="shared" si="3"/>
        <v>19B</v>
      </c>
      <c r="AM8" t="s">
        <v>142</v>
      </c>
      <c r="AP8" t="s">
        <v>446</v>
      </c>
      <c r="AQ8" t="s">
        <v>447</v>
      </c>
      <c r="AT8" t="s">
        <v>130</v>
      </c>
      <c r="AU8" t="s">
        <v>131</v>
      </c>
      <c r="BD8" s="14"/>
      <c r="BE8" s="22" t="str">
        <f t="shared" si="144"/>
        <v>XT7</v>
      </c>
      <c r="BF8" t="str">
        <f t="shared" si="145"/>
        <v>C2</v>
      </c>
      <c r="BG8" t="str">
        <f t="shared" si="146"/>
        <v>B2</v>
      </c>
      <c r="BH8" t="str">
        <f t="shared" si="147"/>
        <v>C3</v>
      </c>
      <c r="BI8" t="str">
        <f t="shared" si="148"/>
        <v>B3</v>
      </c>
      <c r="BJ8" t="str">
        <f t="shared" si="149"/>
        <v>C4</v>
      </c>
      <c r="BK8" t="str">
        <f t="shared" si="150"/>
        <v>B4</v>
      </c>
      <c r="BP8" t="str">
        <f t="shared" si="15"/>
        <v>20A</v>
      </c>
      <c r="BQ8" t="str">
        <f t="shared" si="16"/>
        <v>20B</v>
      </c>
      <c r="BR8" t="str">
        <f t="shared" si="17"/>
        <v>21A</v>
      </c>
      <c r="BS8" t="str">
        <f t="shared" si="18"/>
        <v>21B</v>
      </c>
      <c r="BT8" t="str">
        <f t="shared" si="151"/>
        <v>DI2-C1</v>
      </c>
      <c r="BU8" t="str">
        <f t="shared" si="152"/>
        <v>DI2-B1</v>
      </c>
      <c r="BV8" t="str">
        <f t="shared" si="153"/>
        <v>DI2-C2</v>
      </c>
      <c r="BW8" t="str">
        <f t="shared" si="154"/>
        <v>DI2-B2</v>
      </c>
      <c r="BX8" t="str">
        <f t="shared" si="155"/>
        <v>DI2-C3</v>
      </c>
      <c r="BY8" t="str">
        <f t="shared" si="156"/>
        <v>DI2-B3</v>
      </c>
      <c r="BZ8" t="str">
        <f t="shared" si="157"/>
        <v>DI2-C4</v>
      </c>
      <c r="CA8" t="str">
        <f t="shared" si="158"/>
        <v>DI2-B4</v>
      </c>
      <c r="CB8" t="str">
        <f t="shared" si="159"/>
        <v>DI2-</v>
      </c>
      <c r="CC8" t="str">
        <f t="shared" si="160"/>
        <v>DI2-</v>
      </c>
      <c r="CD8" t="str">
        <f t="shared" si="161"/>
        <v>DI2-</v>
      </c>
      <c r="CE8" t="str">
        <f t="shared" si="162"/>
        <v>DI2-</v>
      </c>
      <c r="CF8" t="str">
        <f t="shared" si="163"/>
        <v>DO1-19A</v>
      </c>
      <c r="CG8" t="str">
        <f t="shared" si="164"/>
        <v>DO1-19B</v>
      </c>
      <c r="CH8" t="str">
        <f t="shared" si="165"/>
        <v>DO1-20A</v>
      </c>
      <c r="CI8" t="str">
        <f t="shared" si="166"/>
        <v>DO1-20B</v>
      </c>
      <c r="CJ8" t="str">
        <f t="shared" si="167"/>
        <v>DO1-21A</v>
      </c>
      <c r="CK8" t="str">
        <f t="shared" si="168"/>
        <v>DO1-21B</v>
      </c>
      <c r="CL8" t="str">
        <f t="shared" si="37"/>
        <v>K7-10</v>
      </c>
      <c r="CM8" t="str">
        <f t="shared" si="38"/>
        <v>K7-03</v>
      </c>
      <c r="CN8" t="str">
        <f t="shared" si="39"/>
        <v>K7-04</v>
      </c>
      <c r="CO8" t="str">
        <f t="shared" si="40"/>
        <v>K7-01</v>
      </c>
      <c r="CP8" t="str">
        <f t="shared" si="41"/>
        <v>K7-08</v>
      </c>
      <c r="CQ8" t="str">
        <f t="shared" si="42"/>
        <v>K7-02</v>
      </c>
      <c r="CR8" t="str">
        <f t="shared" si="43"/>
        <v>K7-09</v>
      </c>
      <c r="CS8" t="str">
        <f t="shared" si="44"/>
        <v>K7-05</v>
      </c>
      <c r="CT8" t="str">
        <f t="shared" si="45"/>
        <v>K7-11</v>
      </c>
      <c r="CU8" t="str">
        <f t="shared" si="46"/>
        <v>N2-M7-A9</v>
      </c>
      <c r="CV8" t="str">
        <f t="shared" si="47"/>
        <v>N2-M7-A7</v>
      </c>
      <c r="CW8" t="str">
        <f t="shared" si="48"/>
        <v>N2-M7-A8</v>
      </c>
      <c r="CX8" t="str">
        <f t="shared" si="49"/>
        <v>N2-M7-A6</v>
      </c>
      <c r="CY8" t="str">
        <f t="shared" si="50"/>
        <v>N2-M7-A30</v>
      </c>
      <c r="CZ8" t="str">
        <f t="shared" si="51"/>
        <v>N2-M7-N</v>
      </c>
      <c r="DA8" t="str">
        <f t="shared" si="169"/>
        <v>N2-A220-M7</v>
      </c>
      <c r="DB8" t="str">
        <f t="shared" si="53"/>
        <v>N2-M7-XM01</v>
      </c>
      <c r="DC8" t="str">
        <f t="shared" si="54"/>
        <v>N2-M7-A1</v>
      </c>
      <c r="DD8" t="str">
        <f t="shared" si="55"/>
        <v>N2-M7-A5</v>
      </c>
      <c r="DE8" t="str">
        <f t="shared" si="56"/>
        <v>N2-M7-A11</v>
      </c>
      <c r="DF8" t="str">
        <f t="shared" si="57"/>
        <v>N2-M7-A12</v>
      </c>
      <c r="DG8" t="str">
        <f>CONCATENATE($T8,"-M",$U8,"-A19")</f>
        <v>N2-M7-A19</v>
      </c>
      <c r="DH8" t="str">
        <f>CONCATENATE($T8,"-M",$U8,"-A20")</f>
        <v>N2-M7-A20</v>
      </c>
      <c r="DI8" t="s">
        <v>133</v>
      </c>
      <c r="DJ8" t="s">
        <v>134</v>
      </c>
      <c r="DK8">
        <v>11</v>
      </c>
      <c r="DL8">
        <v>14</v>
      </c>
      <c r="DM8">
        <v>12</v>
      </c>
      <c r="DN8" t="s">
        <v>135</v>
      </c>
      <c r="DO8" t="s">
        <v>136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15</v>
      </c>
      <c r="EM8">
        <v>16</v>
      </c>
      <c r="EN8">
        <v>16</v>
      </c>
      <c r="EO8">
        <v>22</v>
      </c>
      <c r="EP8">
        <v>23</v>
      </c>
      <c r="EQ8" s="14">
        <v>24</v>
      </c>
    </row>
    <row r="9" spans="1:802" x14ac:dyDescent="0.25">
      <c r="A9" t="s">
        <v>677</v>
      </c>
      <c r="B9" t="s">
        <v>463</v>
      </c>
      <c r="P9" t="s">
        <v>167</v>
      </c>
      <c r="T9" s="12" t="s">
        <v>444</v>
      </c>
      <c r="U9" s="38">
        <f t="shared" ref="U9" si="171">U8+1</f>
        <v>8</v>
      </c>
      <c r="V9" s="13" t="s">
        <v>462</v>
      </c>
      <c r="W9" s="13" t="s">
        <v>461</v>
      </c>
      <c r="X9" t="s">
        <v>173</v>
      </c>
      <c r="Y9" s="34" t="str" cm="1">
        <f t="array" ref="Y9">IF(COUNTIFS($X$2:$X9,$X9)=1,"1",VALUE(SUBSTITUTE(INDEX(Y:Y,_xlfn.XMATCH($X9,$X$1:$X8,0,-1)),"A",""))+INDEX(Z:Z,_xlfn.XMATCH($X9,$X$1:$X8,0,-1))+1)</f>
        <v>1</v>
      </c>
      <c r="Z9" s="34" cm="1">
        <f t="array" ref="Z9">SUM(IF(ISNUMBER(FIND("TmAi",$BE$1:$AAL$1)),IF(IFERROR(ISODD(SUBSTITUTE($BE9:$AAL9,"A","")),FALSE),IF(ISODD(SUBSTITUTE($BE9:$AAL9,"A","")),1,0),0)))</f>
        <v>0</v>
      </c>
      <c r="AA9" t="str">
        <f t="shared" ref="AA9:AA10" si="172">CONCATENATE($Y9*2-1,"A")</f>
        <v>1A</v>
      </c>
      <c r="AB9" t="str">
        <f t="shared" ref="AB9:AB10" si="173">CONCATENATE($Y9*2-1,"B")</f>
        <v>1B</v>
      </c>
      <c r="AC9" t="str">
        <f t="shared" ref="AC9" si="174">IF(AD8+AE8&gt;25,REPLACE(AC8,LEN(AC8),1,VALUE(RIGHT(AC8,1))+1),AC8)</f>
        <v>A5.2</v>
      </c>
      <c r="AD9" s="34" cm="1">
        <f t="array" ref="AD9">IF(COUNTIFS(AC$2:AC9,AC9)=1,"1",VALUE(SUBSTITUTE(INDEX(AD:AD,_xlfn.XMATCH(AC9,AC$1:AC8,0,-1)),"A",""))+INDEX(AE:AE,_xlfn.XMATCH(AC9,AC$1:AC8,0,-1))+1)</f>
        <v>5</v>
      </c>
      <c r="AE9" s="34" cm="1">
        <f t="array" ref="AE9">SUM(IF(ISNUMBER(FIND("TmDi",$BE$1:$AAL$1)),IF(IFERROR(ISNUMBER(VALUE(SUBSTITUTE($BE9:$AAL9,"B",""))),FALSE),IF(ISNUMBER(VALUE(SUBSTITUTE($BE9:$AAL9,"B",""))),1,0),0)))</f>
        <v>5</v>
      </c>
      <c r="AF9" t="str">
        <f t="shared" si="0"/>
        <v>C5</v>
      </c>
      <c r="AG9" t="str">
        <f t="shared" si="1"/>
        <v>B5</v>
      </c>
      <c r="AH9" t="str">
        <f t="shared" ref="AH9" si="175">IF(AI8+AJ8&gt;25,REPLACE(AH8,LEN(AH8),1,VALUE(RIGHT(AH8,1))+1),AH8)</f>
        <v>A6.1</v>
      </c>
      <c r="AI9" s="46" cm="1">
        <f t="array" ref="AI9">IF(COUNTIFS(AH$2:AH9,AH9)=1,"1",VALUE(SUBSTITUTE(INDEX(AI:AI,_xlfn.XMATCH(AH9,AH$1:AH8,0,-1)),"A",""))+INDEX(AJ:AJ,_xlfn.XMATCH(AH9,AH$1:AH8,0,-1))+1)</f>
        <v>22</v>
      </c>
      <c r="AJ9" s="39" cm="1">
        <f t="array" ref="AJ9">SUM(IF(ISNUMBER(FIND("TmDo",$BE$1:$AAL$1)),IF(IFERROR(ISNUMBER(VALUE(SUBSTITUTE($BE9:$AAL9,"B",""))),FALSE),IF(ISNUMBER(VALUE(SUBSTITUTE($BE9:$AAL9,"B",""))),1,0),0)))</f>
        <v>1</v>
      </c>
      <c r="AK9" t="str">
        <f t="shared" si="2"/>
        <v>22A</v>
      </c>
      <c r="AL9" t="str">
        <f t="shared" si="3"/>
        <v>22B</v>
      </c>
      <c r="AM9" t="s">
        <v>143</v>
      </c>
      <c r="AP9" t="s">
        <v>446</v>
      </c>
      <c r="AQ9" t="s">
        <v>447</v>
      </c>
      <c r="AS9" t="s">
        <v>169</v>
      </c>
      <c r="AT9" t="s">
        <v>130</v>
      </c>
      <c r="AU9" t="s">
        <v>131</v>
      </c>
      <c r="BD9" s="14"/>
      <c r="GT9" s="22" t="str">
        <f t="shared" ref="GT9" si="176">CONCATENATE("XT",U9)</f>
        <v>XT8</v>
      </c>
      <c r="GU9" t="str">
        <f t="shared" ref="GU9" si="177">CONCATENATE("C",REPLACE(AF9,1,1,"")+1)</f>
        <v>C6</v>
      </c>
      <c r="GV9" t="str">
        <f>CONCATENATE("B",REPLACE(AG9,1,1,"")+1)</f>
        <v>B6</v>
      </c>
      <c r="GW9" t="str">
        <f>CONCATENATE("C",REPLACE(GU9,1,1,"")+1)</f>
        <v>C7</v>
      </c>
      <c r="GX9" t="str">
        <f>CONCATENATE("B",REPLACE(GV9,1,1,"")+1)</f>
        <v>B7</v>
      </c>
      <c r="GY9" t="str">
        <f>CONCATENATE("C",REPLACE(GW9,1,1,"")+1)</f>
        <v>C8</v>
      </c>
      <c r="GZ9" t="str">
        <f>CONCATENATE("B",REPLACE(GX9,1,1,"")+1)</f>
        <v>B8</v>
      </c>
      <c r="HA9" t="str">
        <f>CONCATENATE("C",REPLACE(GY9,1,1,"")+1)</f>
        <v>C9</v>
      </c>
      <c r="HB9" t="str">
        <f>CONCATENATE("B",REPLACE(GZ9,1,1,"")+1)</f>
        <v>B9</v>
      </c>
      <c r="HC9" t="str">
        <f>CONCATENATE("C",REPLACE(HA9,1,1,"")+1)</f>
        <v>C10</v>
      </c>
      <c r="HD9" t="str">
        <f>CONCATENATE("B",REPLACE(HB9,1,1,"")+1)</f>
        <v>B10</v>
      </c>
      <c r="HE9" t="str">
        <f>CONCATENATE(REPLACE($AK9,LEN($AK9),1,"")+1,"A")</f>
        <v>23A</v>
      </c>
      <c r="HF9" t="str">
        <f>CONCATENATE(REPLACE($AL9,LEN($AL9),1,"")+1,"B")</f>
        <v>23B</v>
      </c>
      <c r="HG9" t="str">
        <f t="shared" ref="HG9" si="178">CONCATENATE("AI",REPLACE($X9,1,3,""),"-",AA9)</f>
        <v>AI1-1A</v>
      </c>
      <c r="HH9" t="str">
        <f t="shared" ref="HH9" si="179">CONCATENATE("AI",REPLACE($X9,1,3,""),"-",AB9)</f>
        <v>AI1-1B</v>
      </c>
      <c r="HI9" t="str">
        <f t="shared" ref="HI9" si="180">CONCATENATE("DI",REPLACE($AC9,1,3,""),"-",AF9)</f>
        <v>DI2-C5</v>
      </c>
      <c r="HJ9" t="str">
        <f t="shared" ref="HJ9" si="181">CONCATENATE("DI",REPLACE($AC9,1,3,""),"-",AG9)</f>
        <v>DI2-B5</v>
      </c>
      <c r="HK9" t="str">
        <f t="shared" ref="HK9" si="182">CONCATENATE("DI",REPLACE($AC9,1,3,""),"-",GU9)</f>
        <v>DI2-C6</v>
      </c>
      <c r="HL9" t="str">
        <f t="shared" ref="HL9" si="183">CONCATENATE("DI",REPLACE($AC9,1,3,""),"-",GV9)</f>
        <v>DI2-B6</v>
      </c>
      <c r="HM9" t="str">
        <f t="shared" ref="HM9" si="184">CONCATENATE("DI",REPLACE($AC9,1,3,""),"-",GW9)</f>
        <v>DI2-C7</v>
      </c>
      <c r="HN9" t="str">
        <f t="shared" ref="HN9" si="185">CONCATENATE("DI",REPLACE($AC9,1,3,""),"-",GX9)</f>
        <v>DI2-B7</v>
      </c>
      <c r="HO9" t="str">
        <f t="shared" ref="HO9" si="186">CONCATENATE("DI",REPLACE($AC9,1,3,""),"-",GY9)</f>
        <v>DI2-C8</v>
      </c>
      <c r="HP9" t="str">
        <f t="shared" ref="HP9" si="187">CONCATENATE("DI",REPLACE($AC9,1,3,""),"-",GZ9)</f>
        <v>DI2-B8</v>
      </c>
      <c r="HQ9" t="str">
        <f t="shared" ref="HQ9" si="188">CONCATENATE("DI",REPLACE($AC9,1,3,""),"-",HA9)</f>
        <v>DI2-C9</v>
      </c>
      <c r="HR9" t="str">
        <f t="shared" ref="HR9" si="189">CONCATENATE("DI",REPLACE($AC9,1,3,""),"-",HB9)</f>
        <v>DI2-B9</v>
      </c>
      <c r="HS9" t="str">
        <f t="shared" ref="HS9" si="190">CONCATENATE("DI",REPLACE($AC9,1,3,""),"-",HC9)</f>
        <v>DI2-C10</v>
      </c>
      <c r="HT9" t="str">
        <f t="shared" ref="HT9" si="191">CONCATENATE("DI",REPLACE($AC9,1,3,""),"-",HD9)</f>
        <v>DI2-B10</v>
      </c>
      <c r="HU9" t="str">
        <f t="shared" ref="HU9" si="192">CONCATENATE("DO",REPLACE($AH9,1,3,""),"-",AK9)</f>
        <v>DO1-22A</v>
      </c>
      <c r="HV9" t="str">
        <f t="shared" ref="HV9" si="193">CONCATENATE("DO",REPLACE($AH9,1,3,""),"-",AL9)</f>
        <v>DO1-22B</v>
      </c>
      <c r="HW9" t="str">
        <f t="shared" ref="HW9" si="194">CONCATENATE("DO",REPLACE($AH9,1,3,""),"-",HE9)</f>
        <v>DO1-23A</v>
      </c>
      <c r="HX9" t="str">
        <f t="shared" ref="HX9" si="195">CONCATENATE("DO",REPLACE($AH9,1,3,""),"-",HF9)</f>
        <v>DO1-23B</v>
      </c>
      <c r="HY9" t="str">
        <f>CONCATENATE("K",$U9,"-01")</f>
        <v>K8-01</v>
      </c>
      <c r="HZ9" t="str">
        <f>CONCATENATE("K",$U9,"-02")</f>
        <v>K8-02</v>
      </c>
      <c r="IA9" t="str">
        <f>CONCATENATE("K",$U9,"-03")</f>
        <v>K8-03</v>
      </c>
      <c r="IB9" t="str">
        <f>CONCATENATE("K",$U9,"-04")</f>
        <v>K8-04</v>
      </c>
      <c r="IC9" t="str">
        <f>CONCATENATE("K",$U9,"-05")</f>
        <v>K8-05</v>
      </c>
      <c r="ID9" t="str">
        <f>CONCATENATE("K",$U9,"-06")</f>
        <v>K8-06</v>
      </c>
      <c r="IE9" t="str">
        <f>CONCATENATE("K",$U9,"-07")</f>
        <v>K8-07</v>
      </c>
      <c r="IF9" t="str">
        <f>CONCATENATE("K",$U9,"-08")</f>
        <v>K8-08</v>
      </c>
      <c r="IG9" t="str">
        <f>CONCATENATE($T9,"-M",$U9,"-AMS-12")</f>
        <v>N2-M8-AMS-12</v>
      </c>
      <c r="IH9" t="str">
        <f>CONCATENATE($T9,"-M",$U9,"-AMS-10")</f>
        <v>N2-M8-AMS-10</v>
      </c>
      <c r="II9" t="str">
        <f>CONCATENATE($T9,"-M",$U9,"-AMS-11")</f>
        <v>N2-M8-AMS-11</v>
      </c>
      <c r="IJ9" t="str">
        <f>CONCATENATE($T9,"-M",$U9,"-AMS-13")</f>
        <v>N2-M8-AMS-13</v>
      </c>
      <c r="IK9" t="str">
        <f>CONCATENATE($T9,"-M",$U9,"-AMS-9")</f>
        <v>N2-M8-AMS-9</v>
      </c>
      <c r="IL9" t="str">
        <f>CONCATENATE($T9,"-M",$U9,"-AMS-7")</f>
        <v>N2-M8-AMS-7</v>
      </c>
      <c r="IM9" t="str">
        <f>CONCATENATE($T9,"-M",$U9,"-AMS-18")</f>
        <v>N2-M8-AMS-18</v>
      </c>
      <c r="IN9" t="str">
        <f>CONCATENATE($T9,"-M",$U9,"-AMS-20")</f>
        <v>N2-M8-AMS-20</v>
      </c>
      <c r="IO9" t="str">
        <f>CONCATENATE($T9,"-M",$U9,"-AMS-17")</f>
        <v>N2-M8-AMS-17</v>
      </c>
      <c r="IP9" t="str">
        <f>CONCATENATE($T9,"-+24-M",$U9,)</f>
        <v>N2-+24-M8</v>
      </c>
      <c r="IQ9" t="str">
        <f>CONCATENATE($T9,"-M",$U9,"-XM01")</f>
        <v>N2-M8-XM01</v>
      </c>
      <c r="IR9" t="s">
        <v>133</v>
      </c>
      <c r="IS9" t="s">
        <v>134</v>
      </c>
      <c r="IT9">
        <v>11</v>
      </c>
      <c r="IU9">
        <v>14</v>
      </c>
      <c r="IV9" t="s">
        <v>186</v>
      </c>
      <c r="IW9" t="s">
        <v>187</v>
      </c>
      <c r="IX9">
        <v>1</v>
      </c>
      <c r="IY9">
        <v>2</v>
      </c>
      <c r="IZ9">
        <v>3</v>
      </c>
      <c r="JA9">
        <v>4</v>
      </c>
      <c r="JB9">
        <v>5</v>
      </c>
      <c r="JC9">
        <v>6</v>
      </c>
      <c r="JD9">
        <v>7</v>
      </c>
      <c r="JE9">
        <v>8</v>
      </c>
      <c r="JF9">
        <v>9</v>
      </c>
      <c r="JG9">
        <v>10</v>
      </c>
      <c r="JH9">
        <v>11</v>
      </c>
      <c r="JI9">
        <v>12</v>
      </c>
      <c r="JJ9">
        <v>13</v>
      </c>
      <c r="JK9">
        <v>14</v>
      </c>
      <c r="JL9">
        <v>17</v>
      </c>
      <c r="JM9">
        <v>15</v>
      </c>
      <c r="JN9">
        <v>18</v>
      </c>
      <c r="JO9">
        <v>11</v>
      </c>
      <c r="JP9">
        <v>9</v>
      </c>
      <c r="JQ9">
        <v>6</v>
      </c>
      <c r="JR9">
        <v>20</v>
      </c>
      <c r="JS9">
        <v>7</v>
      </c>
      <c r="JT9">
        <v>10</v>
      </c>
      <c r="JU9">
        <v>22</v>
      </c>
      <c r="JV9">
        <v>23</v>
      </c>
      <c r="JW9">
        <v>26</v>
      </c>
      <c r="JX9">
        <v>27</v>
      </c>
      <c r="JY9" s="14">
        <v>30</v>
      </c>
    </row>
    <row r="10" spans="1:802" x14ac:dyDescent="0.25">
      <c r="A10" t="s">
        <v>678</v>
      </c>
      <c r="B10" t="s">
        <v>464</v>
      </c>
      <c r="P10" t="s">
        <v>167</v>
      </c>
      <c r="T10" s="12" t="s">
        <v>444</v>
      </c>
      <c r="U10" s="38">
        <f t="shared" ref="U10" si="196">U9+1</f>
        <v>9</v>
      </c>
      <c r="V10" s="13" t="s">
        <v>465</v>
      </c>
      <c r="W10" s="13" t="s">
        <v>466</v>
      </c>
      <c r="X10" t="str">
        <f>IF(COUNTIF(X$2:X9,X9)&gt;7,REPLACE(X9,LEN(X9),1,VALUE(RIGHT(X9,1))+1),X9)</f>
        <v>A3.1</v>
      </c>
      <c r="Y10" s="34" cm="1">
        <f t="array" ref="Y10">IF(COUNTIFS($X$2:$X10,$X10)=1,"1",VALUE(SUBSTITUTE(INDEX(Y:Y,_xlfn.XMATCH($X10,$X$1:$X9,0,-1)),"A",""))+INDEX(Z:Z,_xlfn.XMATCH($X10,$X$1:$X9,0,-1))+1)</f>
        <v>2</v>
      </c>
      <c r="Z10" s="34" cm="1">
        <f t="array" ref="Z10">SUM(IF(ISNUMBER(FIND("TmAi",$BE$1:$AAL$1)),IF(IFERROR(ISODD(SUBSTITUTE($BE10:$AAL10,"A","")),FALSE),IF(ISODD(SUBSTITUTE($BE10:$AAL10,"A","")),1,0),0)))</f>
        <v>0</v>
      </c>
      <c r="AA10" t="str">
        <f t="shared" si="172"/>
        <v>3A</v>
      </c>
      <c r="AB10" t="str">
        <f t="shared" si="173"/>
        <v>3B</v>
      </c>
      <c r="AC10" t="str">
        <f t="shared" ref="AC10" si="197">IF(AD9+AE9&gt;25,REPLACE(AC9,LEN(AC9),1,VALUE(RIGHT(AC9,1))+1),AC9)</f>
        <v>A5.2</v>
      </c>
      <c r="AD10" s="34" cm="1">
        <f t="array" ref="AD10">IF(COUNTIFS(AC$2:AC10,AC10)=1,"1",VALUE(SUBSTITUTE(INDEX(AD:AD,_xlfn.XMATCH(AC10,AC$1:AC9,0,-1)),"A",""))+INDEX(AE:AE,_xlfn.XMATCH(AC10,AC$1:AC9,0,-1))+1)</f>
        <v>11</v>
      </c>
      <c r="AE10" s="34" cm="1">
        <f t="array" ref="AE10">SUM(IF(ISNUMBER(FIND("TmDi",$BE$1:$AAL$1)),IF(IFERROR(ISNUMBER(VALUE(SUBSTITUTE($BE10:$AAL10,"B",""))),FALSE),IF(ISNUMBER(VALUE(SUBSTITUTE($BE10:$AAL10,"B",""))),1,0),0)))</f>
        <v>5</v>
      </c>
      <c r="AF10" t="str">
        <f t="shared" si="0"/>
        <v>C11</v>
      </c>
      <c r="AG10" t="str">
        <f t="shared" si="1"/>
        <v>B11</v>
      </c>
      <c r="AH10" t="str">
        <f t="shared" ref="AH10" si="198">IF(AI9+AJ9&gt;25,REPLACE(AH9,LEN(AH9),1,VALUE(RIGHT(AH9,1))+1),AH9)</f>
        <v>A6.1</v>
      </c>
      <c r="AI10" s="46" cm="1">
        <f t="array" ref="AI10">IF(COUNTIFS(AH$2:AH10,AH10)=1,"1",VALUE(SUBSTITUTE(INDEX(AI:AI,_xlfn.XMATCH(AH10,AH$1:AH9,0,-1)),"A",""))+INDEX(AJ:AJ,_xlfn.XMATCH(AH10,AH$1:AH9,0,-1))+1)</f>
        <v>24</v>
      </c>
      <c r="AJ10" s="39" cm="1">
        <f t="array" ref="AJ10">SUM(IF(ISNUMBER(FIND("TmDo",$BE$1:$AAL$1)),IF(IFERROR(ISNUMBER(VALUE(SUBSTITUTE($BE10:$AAL10,"B",""))),FALSE),IF(ISNUMBER(VALUE(SUBSTITUTE($BE10:$AAL10,"B",""))),1,0),0)))</f>
        <v>1</v>
      </c>
      <c r="AK10" t="str">
        <f t="shared" si="2"/>
        <v>24A</v>
      </c>
      <c r="AL10" t="str">
        <f t="shared" si="3"/>
        <v>24B</v>
      </c>
      <c r="AM10" t="s">
        <v>144</v>
      </c>
      <c r="AP10" t="s">
        <v>446</v>
      </c>
      <c r="AQ10" t="s">
        <v>447</v>
      </c>
      <c r="AS10" t="s">
        <v>169</v>
      </c>
      <c r="AT10" t="s">
        <v>130</v>
      </c>
      <c r="AU10" t="s">
        <v>131</v>
      </c>
      <c r="BD10" s="14"/>
      <c r="GT10" s="22" t="str">
        <f t="shared" ref="GT10" si="199">CONCATENATE("XT",U10)</f>
        <v>XT9</v>
      </c>
      <c r="GU10" t="str">
        <f t="shared" ref="GU10" si="200">CONCATENATE("C",REPLACE(AF10,1,1,"")+1)</f>
        <v>C12</v>
      </c>
      <c r="GV10" t="str">
        <f>CONCATENATE("B",REPLACE(AG10,1,1,"")+1)</f>
        <v>B12</v>
      </c>
      <c r="GW10" t="str">
        <f>CONCATENATE("C",REPLACE(GU10,1,1,"")+1)</f>
        <v>C13</v>
      </c>
      <c r="GX10" t="str">
        <f>CONCATENATE("B",REPLACE(GV10,1,1,"")+1)</f>
        <v>B13</v>
      </c>
      <c r="GY10" t="str">
        <f>CONCATENATE("C",REPLACE(GW10,1,1,"")+1)</f>
        <v>C14</v>
      </c>
      <c r="GZ10" t="str">
        <f>CONCATENATE("B",REPLACE(GX10,1,1,"")+1)</f>
        <v>B14</v>
      </c>
      <c r="HA10" t="str">
        <f>CONCATENATE("C",REPLACE(GY10,1,1,"")+1)</f>
        <v>C15</v>
      </c>
      <c r="HB10" t="str">
        <f>CONCATENATE("B",REPLACE(GZ10,1,1,"")+1)</f>
        <v>B15</v>
      </c>
      <c r="HC10" t="str">
        <f>CONCATENATE("C",REPLACE(HA10,1,1,"")+1)</f>
        <v>C16</v>
      </c>
      <c r="HD10" t="str">
        <f>CONCATENATE("B",REPLACE(HB10,1,1,"")+1)</f>
        <v>B16</v>
      </c>
      <c r="HE10" t="str">
        <f>CONCATENATE(REPLACE(AK10,LEN(AK10),1,"")+1,"A")</f>
        <v>25A</v>
      </c>
      <c r="HF10" t="str">
        <f>CONCATENATE(REPLACE(AL10,LEN(AL10),1,"")+1,"B")</f>
        <v>25B</v>
      </c>
      <c r="HG10" t="str">
        <f t="shared" ref="HG10" si="201">CONCATENATE("AI",REPLACE($X10,1,3,""),"-",AA10)</f>
        <v>AI1-3A</v>
      </c>
      <c r="HH10" t="str">
        <f t="shared" ref="HH10" si="202">CONCATENATE("AI",REPLACE($X10,1,3,""),"-",AB10)</f>
        <v>AI1-3B</v>
      </c>
      <c r="HI10" t="str">
        <f t="shared" ref="HI10" si="203">CONCATENATE("DI",REPLACE($AC10,1,3,""),"-",AF10)</f>
        <v>DI2-C11</v>
      </c>
      <c r="HJ10" t="str">
        <f t="shared" ref="HJ10" si="204">CONCATENATE("DI",REPLACE($AC10,1,3,""),"-",AG10)</f>
        <v>DI2-B11</v>
      </c>
      <c r="HK10" t="str">
        <f t="shared" ref="HK10" si="205">CONCATENATE("DI",REPLACE($AC10,1,3,""),"-",GU10)</f>
        <v>DI2-C12</v>
      </c>
      <c r="HL10" t="str">
        <f t="shared" ref="HL10" si="206">CONCATENATE("DI",REPLACE($AC10,1,3,""),"-",GV10)</f>
        <v>DI2-B12</v>
      </c>
      <c r="HM10" t="str">
        <f t="shared" ref="HM10" si="207">CONCATENATE("DI",REPLACE($AC10,1,3,""),"-",GW10)</f>
        <v>DI2-C13</v>
      </c>
      <c r="HN10" t="str">
        <f t="shared" ref="HN10" si="208">CONCATENATE("DI",REPLACE($AC10,1,3,""),"-",GX10)</f>
        <v>DI2-B13</v>
      </c>
      <c r="HO10" t="str">
        <f t="shared" ref="HO10" si="209">CONCATENATE("DI",REPLACE($AC10,1,3,""),"-",GY10)</f>
        <v>DI2-C14</v>
      </c>
      <c r="HP10" t="str">
        <f t="shared" ref="HP10" si="210">CONCATENATE("DI",REPLACE($AC10,1,3,""),"-",GZ10)</f>
        <v>DI2-B14</v>
      </c>
      <c r="HQ10" t="str">
        <f t="shared" ref="HQ10" si="211">CONCATENATE("DI",REPLACE($AC10,1,3,""),"-",HA10)</f>
        <v>DI2-C15</v>
      </c>
      <c r="HR10" t="str">
        <f t="shared" ref="HR10" si="212">CONCATENATE("DI",REPLACE($AC10,1,3,""),"-",HB10)</f>
        <v>DI2-B15</v>
      </c>
      <c r="HS10" t="str">
        <f t="shared" ref="HS10" si="213">CONCATENATE("DI",REPLACE($AC10,1,3,""),"-",HC10)</f>
        <v>DI2-C16</v>
      </c>
      <c r="HT10" t="str">
        <f t="shared" ref="HT10" si="214">CONCATENATE("DI",REPLACE($AC10,1,3,""),"-",HD10)</f>
        <v>DI2-B16</v>
      </c>
      <c r="HU10" t="str">
        <f t="shared" ref="HU10" si="215">CONCATENATE("DO",REPLACE($AH10,1,3,""),"-",AK10)</f>
        <v>DO1-24A</v>
      </c>
      <c r="HV10" t="str">
        <f t="shared" ref="HV10" si="216">CONCATENATE("DO",REPLACE($AH10,1,3,""),"-",AL10)</f>
        <v>DO1-24B</v>
      </c>
      <c r="HW10" t="str">
        <f t="shared" ref="HW10" si="217">CONCATENATE("DO",REPLACE($AH10,1,3,""),"-",HE10)</f>
        <v>DO1-25A</v>
      </c>
      <c r="HX10" t="str">
        <f t="shared" ref="HX10" si="218">CONCATENATE("DO",REPLACE($AH10,1,3,""),"-",HF10)</f>
        <v>DO1-25B</v>
      </c>
      <c r="HY10" t="str">
        <f>CONCATENATE("K",$U10,"-01")</f>
        <v>K9-01</v>
      </c>
      <c r="HZ10" t="str">
        <f>CONCATENATE("K",$U10,"-02")</f>
        <v>K9-02</v>
      </c>
      <c r="IA10" t="str">
        <f>CONCATENATE("K",$U10,"-03")</f>
        <v>K9-03</v>
      </c>
      <c r="IB10" t="str">
        <f>CONCATENATE("K",$U10,"-04")</f>
        <v>K9-04</v>
      </c>
      <c r="IC10" t="str">
        <f>CONCATENATE("K",$U10,"-05")</f>
        <v>K9-05</v>
      </c>
      <c r="ID10" t="str">
        <f>CONCATENATE("K",$U10,"-06")</f>
        <v>K9-06</v>
      </c>
      <c r="IE10" t="str">
        <f>CONCATENATE("K",$U10,"-07")</f>
        <v>K9-07</v>
      </c>
      <c r="IF10" t="str">
        <f>CONCATENATE("K",$U10,"-08")</f>
        <v>K9-08</v>
      </c>
      <c r="IG10" t="str">
        <f>CONCATENATE($T10,"-M",$U10,"-AMS-12")</f>
        <v>N2-M9-AMS-12</v>
      </c>
      <c r="IH10" t="str">
        <f>CONCATENATE($T10,"-M",$U10,"-AMS-10")</f>
        <v>N2-M9-AMS-10</v>
      </c>
      <c r="II10" t="str">
        <f>CONCATENATE($T10,"-M",$U10,"-AMS-11")</f>
        <v>N2-M9-AMS-11</v>
      </c>
      <c r="IJ10" t="str">
        <f>CONCATENATE($T10,"-M",$U10,"-AMS-13")</f>
        <v>N2-M9-AMS-13</v>
      </c>
      <c r="IK10" t="str">
        <f>CONCATENATE($T10,"-M",$U10,"-AMS-9")</f>
        <v>N2-M9-AMS-9</v>
      </c>
      <c r="IL10" t="str">
        <f>CONCATENATE($T10,"-M",$U10,"-AMS-7")</f>
        <v>N2-M9-AMS-7</v>
      </c>
      <c r="IM10" t="str">
        <f>CONCATENATE($T10,"-M",$U10,"-AMS-18")</f>
        <v>N2-M9-AMS-18</v>
      </c>
      <c r="IN10" t="str">
        <f>CONCATENATE($T10,"-M",$U10,"-AMS-20")</f>
        <v>N2-M9-AMS-20</v>
      </c>
      <c r="IO10" t="str">
        <f>CONCATENATE($T10,"-M",$U10,"-AMS-17")</f>
        <v>N2-M9-AMS-17</v>
      </c>
      <c r="IP10" t="str">
        <f>CONCATENATE($T10,"-+24-M",$U10,)</f>
        <v>N2-+24-M9</v>
      </c>
      <c r="IQ10" t="str">
        <f>CONCATENATE($T10,"-M",$U10,"-XM01")</f>
        <v>N2-M9-XM01</v>
      </c>
      <c r="IR10" t="s">
        <v>133</v>
      </c>
      <c r="IS10" t="s">
        <v>134</v>
      </c>
      <c r="IT10">
        <v>11</v>
      </c>
      <c r="IU10">
        <v>14</v>
      </c>
      <c r="IV10" t="s">
        <v>186</v>
      </c>
      <c r="IW10" t="s">
        <v>187</v>
      </c>
      <c r="IX10">
        <v>1</v>
      </c>
      <c r="IY10">
        <v>2</v>
      </c>
      <c r="IZ10">
        <v>3</v>
      </c>
      <c r="JA10">
        <v>4</v>
      </c>
      <c r="JB10">
        <v>5</v>
      </c>
      <c r="JC10">
        <v>6</v>
      </c>
      <c r="JD10">
        <v>7</v>
      </c>
      <c r="JE10">
        <v>8</v>
      </c>
      <c r="JF10">
        <v>9</v>
      </c>
      <c r="JG10">
        <v>10</v>
      </c>
      <c r="JH10">
        <v>11</v>
      </c>
      <c r="JI10">
        <v>12</v>
      </c>
      <c r="JJ10">
        <v>13</v>
      </c>
      <c r="JK10">
        <v>14</v>
      </c>
      <c r="JL10">
        <v>17</v>
      </c>
      <c r="JM10">
        <v>15</v>
      </c>
      <c r="JN10">
        <v>18</v>
      </c>
      <c r="JO10">
        <v>11</v>
      </c>
      <c r="JP10">
        <v>9</v>
      </c>
      <c r="JQ10">
        <v>6</v>
      </c>
      <c r="JR10">
        <v>20</v>
      </c>
      <c r="JS10">
        <v>7</v>
      </c>
      <c r="JT10">
        <v>10</v>
      </c>
      <c r="JU10">
        <v>22</v>
      </c>
      <c r="JV10">
        <v>23</v>
      </c>
      <c r="JW10">
        <v>26</v>
      </c>
      <c r="JX10">
        <v>27</v>
      </c>
      <c r="JY10" s="14">
        <v>30</v>
      </c>
    </row>
    <row r="11" spans="1:802" x14ac:dyDescent="0.25">
      <c r="A11" s="41" t="s">
        <v>679</v>
      </c>
      <c r="B11" t="s">
        <v>468</v>
      </c>
      <c r="C11" s="3"/>
      <c r="O11" s="2"/>
      <c r="P11" t="s">
        <v>442</v>
      </c>
      <c r="Q11" s="1"/>
      <c r="S11" s="1" t="s">
        <v>127</v>
      </c>
      <c r="T11" s="12" t="s">
        <v>444</v>
      </c>
      <c r="U11" s="38">
        <v>10</v>
      </c>
      <c r="V11" s="13" t="s">
        <v>469</v>
      </c>
      <c r="W11" s="13"/>
      <c r="AC11" t="str">
        <f>IF(AD10+AE10&gt;29,REPLACE(AC10,LEN(AC10),1,VALUE(RIGHT(AC10,1))+1),AC10)</f>
        <v>A5.2</v>
      </c>
      <c r="AD11" s="34" cm="1">
        <f t="array" ref="AD11">IF(COUNTIFS(AC$2:AC11,AC11)=1,"1",VALUE(SUBSTITUTE(INDEX(AD:AD,_xlfn.XMATCH(AC11,AC$1:AC10,0,-1)),"A",""))+INDEX(AE:AE,_xlfn.XMATCH(AC11,AC$1:AC10,0,-1))+1)</f>
        <v>17</v>
      </c>
      <c r="AE11" s="34" cm="1">
        <f t="array" ref="AE11">SUM(IF(ISNUMBER(FIND("TmDi",$BE$1:$AAL$1)),IF(IFERROR(ISNUMBER(VALUE(SUBSTITUTE($BE11:$AAL11,"B",""))),FALSE),IF(ISNUMBER(VALUE(SUBSTITUTE($BE11:$AAL11,"B",""))),1,0),0)))</f>
        <v>5</v>
      </c>
      <c r="AF11" t="str">
        <f t="shared" si="0"/>
        <v>C17</v>
      </c>
      <c r="AG11" t="str">
        <f t="shared" si="1"/>
        <v>B17</v>
      </c>
      <c r="AH11" t="str">
        <f t="shared" ref="AH11" si="219">IF(AI10+AJ10&gt;27,REPLACE(AH10,LEN(AH10),1,VALUE(RIGHT(AH10,1))+1),AH10)</f>
        <v>A6.1</v>
      </c>
      <c r="AI11" s="46" cm="1">
        <f t="array" ref="AI11">IF(COUNTIFS(AH$2:AH11,AH11)=1,"1",VALUE(SUBSTITUTE(INDEX(AI:AI,_xlfn.XMATCH(AH11,AH$1:AH10,0,-1)),"A",""))+INDEX(AJ:AJ,_xlfn.XMATCH(AH11,AH$1:AH10,0,-1))+1)</f>
        <v>26</v>
      </c>
      <c r="AJ11" s="39" cm="1">
        <f t="array" ref="AJ11">SUM(IF(ISNUMBER(FIND("TmDo",$BE$1:$AAL$1)),IF(IFERROR(ISNUMBER(VALUE(SUBSTITUTE($BE11:$AAL11,"B",""))),FALSE),IF(ISNUMBER(VALUE(SUBSTITUTE($BE11:$AAL11,"B",""))),1,0),0)))</f>
        <v>2</v>
      </c>
      <c r="AK11" t="str">
        <f t="shared" si="2"/>
        <v>26A</v>
      </c>
      <c r="AL11" t="str">
        <f t="shared" si="3"/>
        <v>26B</v>
      </c>
      <c r="AM11" t="s">
        <v>132</v>
      </c>
      <c r="AP11" t="s">
        <v>446</v>
      </c>
      <c r="AQ11" t="s">
        <v>467</v>
      </c>
      <c r="AT11" t="s">
        <v>130</v>
      </c>
      <c r="AU11" t="s">
        <v>131</v>
      </c>
      <c r="BD11" s="14"/>
      <c r="BE11" s="22" t="str">
        <f t="shared" ref="BE11" si="220">CONCATENATE("XT",U11)</f>
        <v>XT10</v>
      </c>
      <c r="BF11" t="str">
        <f t="shared" ref="BF11" si="221">CONCATENATE("C",REPLACE(AF11,1,1,"")+1)</f>
        <v>C18</v>
      </c>
      <c r="BG11" t="str">
        <f t="shared" ref="BG11" si="222">CONCATENATE("B",REPLACE(AG11,1,1,"")+1)</f>
        <v>B18</v>
      </c>
      <c r="BH11" t="str">
        <f t="shared" ref="BH11" si="223">CONCATENATE("C",REPLACE(BF11,1,1,"")+1)</f>
        <v>C19</v>
      </c>
      <c r="BI11" t="str">
        <f t="shared" ref="BI11" si="224">CONCATENATE("B",REPLACE(BG11,1,1,"")+1)</f>
        <v>B19</v>
      </c>
      <c r="BJ11" t="str">
        <f t="shared" ref="BJ11" si="225">CONCATENATE("C",REPLACE(BH11,1,1,"")+1)</f>
        <v>C20</v>
      </c>
      <c r="BK11" t="str">
        <f t="shared" ref="BK11" si="226">CONCATENATE("B",REPLACE(BI11,1,1,"")+1)</f>
        <v>B20</v>
      </c>
      <c r="BL11" t="str">
        <f t="shared" ref="BL11" si="227">CONCATENATE("C",REPLACE(BJ11,1,1,"")+1)</f>
        <v>C21</v>
      </c>
      <c r="BM11" t="str">
        <f t="shared" ref="BM11" si="228">CONCATENATE("B",REPLACE(BK11,1,1,"")+1)</f>
        <v>B21</v>
      </c>
      <c r="BN11" t="str">
        <f t="shared" ref="BN11" si="229">CONCATENATE("C",REPLACE(BL11,1,1,"")+1)</f>
        <v>C22</v>
      </c>
      <c r="BO11" t="str">
        <f t="shared" ref="BO11" si="230">CONCATENATE("B",REPLACE(BM11,1,1,"")+1)</f>
        <v>B22</v>
      </c>
      <c r="BP11" t="str">
        <f t="shared" ref="BP11:BP17" si="231">CONCATENATE(REPLACE(AK11,LEN(AK11),1,"")+1,"A")</f>
        <v>27A</v>
      </c>
      <c r="BQ11" t="str">
        <f t="shared" ref="BQ11:BQ17" si="232">CONCATENATE(REPLACE(AL11,LEN(AL11),1,"")+1,"B")</f>
        <v>27B</v>
      </c>
      <c r="BR11" t="str">
        <f t="shared" ref="BR11:BR18" si="233">CONCATENATE(REPLACE(BP11,LEN(BP11),1,"")+1,"A")</f>
        <v>28A</v>
      </c>
      <c r="BS11" t="str">
        <f t="shared" ref="BS11:BS18" si="234">CONCATENATE(REPLACE(BQ11,LEN(BQ11),1,"")+1,"B")</f>
        <v>28B</v>
      </c>
      <c r="BT11" t="str">
        <f t="shared" ref="BT11" si="235">CONCATENATE("DI",REPLACE($AC11,1,3,""),"-",AF11)</f>
        <v>DI2-C17</v>
      </c>
      <c r="BU11" t="str">
        <f t="shared" ref="BU11" si="236">CONCATENATE("DI",REPLACE($AC11,1,3,""),"-",AG11)</f>
        <v>DI2-B17</v>
      </c>
      <c r="BV11" t="str">
        <f t="shared" ref="BV11" si="237">CONCATENATE("DI",REPLACE($AC11,1,3,""),"-",BF11)</f>
        <v>DI2-C18</v>
      </c>
      <c r="BW11" t="str">
        <f t="shared" ref="BW11" si="238">CONCATENATE("DI",REPLACE($AC11,1,3,""),"-",BG11)</f>
        <v>DI2-B18</v>
      </c>
      <c r="BX11" t="str">
        <f t="shared" ref="BX11" si="239">CONCATENATE("DI",REPLACE($AC11,1,3,""),"-",BH11)</f>
        <v>DI2-C19</v>
      </c>
      <c r="BY11" t="str">
        <f t="shared" ref="BY11" si="240">CONCATENATE("DI",REPLACE($AC11,1,3,""),"-",BI11)</f>
        <v>DI2-B19</v>
      </c>
      <c r="BZ11" t="str">
        <f t="shared" ref="BZ11" si="241">CONCATENATE("DI",REPLACE($AC11,1,3,""),"-",BJ11)</f>
        <v>DI2-C20</v>
      </c>
      <c r="CA11" t="str">
        <f t="shared" ref="CA11" si="242">CONCATENATE("DI",REPLACE($AC11,1,3,""),"-",BK11)</f>
        <v>DI2-B20</v>
      </c>
      <c r="CB11" t="str">
        <f t="shared" ref="CB11" si="243">CONCATENATE("DI",REPLACE($AC11,1,3,""),"-",BL11)</f>
        <v>DI2-C21</v>
      </c>
      <c r="CC11" t="str">
        <f t="shared" ref="CC11" si="244">CONCATENATE("DI",REPLACE($AC11,1,3,""),"-",BM11)</f>
        <v>DI2-B21</v>
      </c>
      <c r="CD11" t="str">
        <f t="shared" ref="CD11" si="245">CONCATENATE("DI",REPLACE($AC11,1,3,""),"-",BN11)</f>
        <v>DI2-C22</v>
      </c>
      <c r="CE11" t="str">
        <f t="shared" ref="CE11" si="246">CONCATENATE("DI",REPLACE($AC11,1,3,""),"-",BO11)</f>
        <v>DI2-B22</v>
      </c>
      <c r="CF11" t="str">
        <f t="shared" ref="CF11" si="247">CONCATENATE("DO",REPLACE($AH11,1,3,""),"-",AK11)</f>
        <v>DO1-26A</v>
      </c>
      <c r="CG11" t="str">
        <f t="shared" ref="CG11" si="248">CONCATENATE("DO",REPLACE($AH11,1,3,""),"-",AL11)</f>
        <v>DO1-26B</v>
      </c>
      <c r="CH11" t="str">
        <f t="shared" ref="CH11" si="249">CONCATENATE("DO",REPLACE($AH11,1,3,""),"-",BP11)</f>
        <v>DO1-27A</v>
      </c>
      <c r="CI11" t="str">
        <f t="shared" ref="CI11" si="250">CONCATENATE("DO",REPLACE($AH11,1,3,""),"-",BQ11)</f>
        <v>DO1-27B</v>
      </c>
      <c r="CJ11" t="str">
        <f t="shared" ref="CJ11" si="251">CONCATENATE("DO",REPLACE($AH11,1,3,""),"-",BR11)</f>
        <v>DO1-28A</v>
      </c>
      <c r="CK11" t="str">
        <f t="shared" ref="CK11" si="252">CONCATENATE("DO",REPLACE($AH11,1,3,""),"-",BS11)</f>
        <v>DO1-28B</v>
      </c>
      <c r="CL11" t="str">
        <f t="shared" ref="CL11:CL18" si="253">CONCATENATE("K",$U11,"-10")</f>
        <v>K10-10</v>
      </c>
      <c r="CM11" t="str">
        <f t="shared" ref="CM11:CM18" si="254">CONCATENATE("K",$U11,"-03")</f>
        <v>K10-03</v>
      </c>
      <c r="CN11" t="str">
        <f t="shared" ref="CN11:CN18" si="255">CONCATENATE("K",$U11,"-04")</f>
        <v>K10-04</v>
      </c>
      <c r="CO11" t="str">
        <f t="shared" ref="CO11:CO18" si="256">CONCATENATE("K",$U11,"-01")</f>
        <v>K10-01</v>
      </c>
      <c r="CP11" t="str">
        <f t="shared" ref="CP11:CP18" si="257">CONCATENATE("K",$U11,"-08")</f>
        <v>K10-08</v>
      </c>
      <c r="CQ11" t="str">
        <f t="shared" ref="CQ11:CQ18" si="258">CONCATENATE("K",$U11,"-02")</f>
        <v>K10-02</v>
      </c>
      <c r="CR11" t="str">
        <f t="shared" ref="CR11:CR18" si="259">CONCATENATE("K",$U11,"-09")</f>
        <v>K10-09</v>
      </c>
      <c r="CS11" t="str">
        <f t="shared" ref="CS11:CS18" si="260">CONCATENATE("K",$U11,"-05")</f>
        <v>K10-05</v>
      </c>
      <c r="CT11" t="str">
        <f t="shared" ref="CT11:CT18" si="261">CONCATENATE("K",$U11,"-11")</f>
        <v>K10-11</v>
      </c>
      <c r="CU11" t="str">
        <f t="shared" ref="CU11:CU18" si="262">CONCATENATE($T11,"-M",$U11,"-A9")</f>
        <v>N2-M10-A9</v>
      </c>
      <c r="CV11" t="str">
        <f t="shared" ref="CV11:CV18" si="263">CONCATENATE($T11,"-M",$U11,"-A7")</f>
        <v>N2-M10-A7</v>
      </c>
      <c r="CW11" t="str">
        <f t="shared" ref="CW11:CW18" si="264">CONCATENATE($T11,"-M",$U11,"-A8")</f>
        <v>N2-M10-A8</v>
      </c>
      <c r="CX11" t="str">
        <f t="shared" ref="CX11:CX18" si="265">CONCATENATE($T11,"-M",$U11,"-A6")</f>
        <v>N2-M10-A6</v>
      </c>
      <c r="CY11" t="str">
        <f t="shared" ref="CY11:CY18" si="266">CONCATENATE($T11,"-M",$U11,"-A30")</f>
        <v>N2-M10-A30</v>
      </c>
      <c r="CZ11" t="str">
        <f t="shared" ref="CZ11:CZ18" si="267">CONCATENATE($T11,"-M",$U11,"-N")</f>
        <v>N2-M10-N</v>
      </c>
      <c r="DA11" t="str">
        <f t="shared" ref="DA11" si="268">CONCATENATE($T11,"-A220-M",U11)</f>
        <v>N2-A220-M10</v>
      </c>
      <c r="DB11" t="str">
        <f t="shared" ref="DB11:DB18" si="269">CONCATENATE($T11,"-M",$U11,"-XM01")</f>
        <v>N2-M10-XM01</v>
      </c>
      <c r="DC11" t="str">
        <f t="shared" ref="DC11:DC18" si="270">CONCATENATE($T11,"-M",$U11,"-A1")</f>
        <v>N2-M10-A1</v>
      </c>
      <c r="DD11" t="str">
        <f t="shared" ref="DD11:DD18" si="271">CONCATENATE($T11,"-M",$U11,"-A5")</f>
        <v>N2-M10-A5</v>
      </c>
      <c r="DE11" t="str">
        <f t="shared" ref="DE11:DE18" si="272">CONCATENATE($T11,"-M",$U11,"-A11")</f>
        <v>N2-M10-A11</v>
      </c>
      <c r="DF11" t="str">
        <f t="shared" ref="DF11:DF18" si="273">CONCATENATE($T11,"-M",$U11,"-A12")</f>
        <v>N2-M10-A12</v>
      </c>
      <c r="DG11" t="str">
        <f>CONCATENATE($T11,"-M",$U11,"-A20")</f>
        <v>N2-M10-A20</v>
      </c>
      <c r="DH11" t="str">
        <f>CONCATENATE($T11,"-M",$U11,"-A19")</f>
        <v>N2-M10-A19</v>
      </c>
      <c r="DI11" t="s">
        <v>133</v>
      </c>
      <c r="DJ11" t="s">
        <v>134</v>
      </c>
      <c r="DK11">
        <v>11</v>
      </c>
      <c r="DL11">
        <v>14</v>
      </c>
      <c r="DM11">
        <v>12</v>
      </c>
      <c r="DN11" t="s">
        <v>135</v>
      </c>
      <c r="DO11" t="s">
        <v>136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15</v>
      </c>
      <c r="EM11">
        <v>16</v>
      </c>
      <c r="EN11">
        <v>22</v>
      </c>
      <c r="EO11">
        <v>23</v>
      </c>
      <c r="EP11">
        <v>24</v>
      </c>
      <c r="EQ11" s="14"/>
    </row>
    <row r="12" spans="1:802" x14ac:dyDescent="0.25">
      <c r="A12" s="41" t="s">
        <v>680</v>
      </c>
      <c r="B12" t="s">
        <v>470</v>
      </c>
      <c r="C12" s="3"/>
      <c r="O12" s="2"/>
      <c r="P12" t="s">
        <v>442</v>
      </c>
      <c r="Q12" s="1"/>
      <c r="S12" s="1" t="s">
        <v>127</v>
      </c>
      <c r="T12" s="12" t="s">
        <v>444</v>
      </c>
      <c r="U12" s="38">
        <v>11</v>
      </c>
      <c r="V12" s="13" t="s">
        <v>471</v>
      </c>
      <c r="W12" s="13"/>
      <c r="AC12" t="str">
        <f>IF(AD11+AE11&gt;29,REPLACE(AC11,LEN(AC11),1,VALUE(RIGHT(AC11,1))+1),AC11)</f>
        <v>A5.2</v>
      </c>
      <c r="AD12" s="34" cm="1">
        <f t="array" ref="AD12">IF(COUNTIFS(AC$2:AC12,AC12)=1,"1",VALUE(SUBSTITUTE(INDEX(AD:AD,_xlfn.XMATCH(AC12,AC$1:AC11,0,-1)),"A",""))+INDEX(AE:AE,_xlfn.XMATCH(AC12,AC$1:AC11,0,-1))+1)</f>
        <v>23</v>
      </c>
      <c r="AE12" s="34" cm="1">
        <f t="array" ref="AE12">SUM(IF(ISNUMBER(FIND("TmDi",$BE$1:$AAL$1)),IF(IFERROR(ISNUMBER(VALUE(SUBSTITUTE($BE12:$AAL12,"B",""))),FALSE),IF(ISNUMBER(VALUE(SUBSTITUTE($BE12:$AAL12,"B",""))),1,0),0)))</f>
        <v>5</v>
      </c>
      <c r="AF12" t="str">
        <f t="shared" si="0"/>
        <v>C23</v>
      </c>
      <c r="AG12" t="str">
        <f t="shared" si="1"/>
        <v>B23</v>
      </c>
      <c r="AH12" t="str">
        <f t="shared" ref="AH12" si="274">IF(AI11+AJ11&gt;27,REPLACE(AH11,LEN(AH11),1,VALUE(RIGHT(AH11,1))+1),AH11)</f>
        <v>A6.2</v>
      </c>
      <c r="AI12" s="46" t="str" cm="1">
        <f t="array" ref="AI12">IF(COUNTIFS(AH$2:AH12,AH12)=1,"1",VALUE(SUBSTITUTE(INDEX(AI:AI,_xlfn.XMATCH(AH12,AH$1:AH11,0,-1)),"A",""))+INDEX(AJ:AJ,_xlfn.XMATCH(AH12,AH$1:AH11,0,-1))+1)</f>
        <v>1</v>
      </c>
      <c r="AJ12" s="39" cm="1">
        <f t="array" ref="AJ12">SUM(IF(ISNUMBER(FIND("TmDo",$BE$1:$AAL$1)),IF(IFERROR(ISNUMBER(VALUE(SUBSTITUTE($BE12:$AAL12,"B",""))),FALSE),IF(ISNUMBER(VALUE(SUBSTITUTE($BE12:$AAL12,"B",""))),1,0),0)))</f>
        <v>2</v>
      </c>
      <c r="AK12" t="str">
        <f t="shared" si="2"/>
        <v>1A</v>
      </c>
      <c r="AL12" t="str">
        <f t="shared" si="3"/>
        <v>1B</v>
      </c>
      <c r="AM12" t="s">
        <v>137</v>
      </c>
      <c r="AP12" t="s">
        <v>446</v>
      </c>
      <c r="AQ12" t="s">
        <v>467</v>
      </c>
      <c r="AT12" t="s">
        <v>130</v>
      </c>
      <c r="AU12" t="s">
        <v>131</v>
      </c>
      <c r="BD12" s="14"/>
      <c r="BE12" s="22" t="str">
        <f t="shared" ref="BE12:BE13" si="275">CONCATENATE("XT",U12)</f>
        <v>XT11</v>
      </c>
      <c r="BF12" t="str">
        <f t="shared" ref="BF12:BF13" si="276">CONCATENATE("C",REPLACE(AF12,1,1,"")+1)</f>
        <v>C24</v>
      </c>
      <c r="BG12" t="str">
        <f t="shared" ref="BG12:BG13" si="277">CONCATENATE("B",REPLACE(AG12,1,1,"")+1)</f>
        <v>B24</v>
      </c>
      <c r="BH12" t="str">
        <f t="shared" ref="BH12:BH13" si="278">CONCATENATE("C",REPLACE(BF12,1,1,"")+1)</f>
        <v>C25</v>
      </c>
      <c r="BI12" t="str">
        <f t="shared" ref="BI12:BI13" si="279">CONCATENATE("B",REPLACE(BG12,1,1,"")+1)</f>
        <v>B25</v>
      </c>
      <c r="BJ12" t="str">
        <f t="shared" ref="BJ12:BJ13" si="280">CONCATENATE("C",REPLACE(BH12,1,1,"")+1)</f>
        <v>C26</v>
      </c>
      <c r="BK12" t="str">
        <f t="shared" ref="BK12:BK13" si="281">CONCATENATE("B",REPLACE(BI12,1,1,"")+1)</f>
        <v>B26</v>
      </c>
      <c r="BL12" t="str">
        <f t="shared" ref="BL12:BL13" si="282">CONCATENATE("C",REPLACE(BJ12,1,1,"")+1)</f>
        <v>C27</v>
      </c>
      <c r="BM12" t="str">
        <f t="shared" ref="BM12:BM13" si="283">CONCATENATE("B",REPLACE(BK12,1,1,"")+1)</f>
        <v>B27</v>
      </c>
      <c r="BN12" t="str">
        <f t="shared" ref="BN12:BN13" si="284">CONCATENATE("C",REPLACE(BL12,1,1,"")+1)</f>
        <v>C28</v>
      </c>
      <c r="BO12" t="str">
        <f t="shared" ref="BO12:BO13" si="285">CONCATENATE("B",REPLACE(BM12,1,1,"")+1)</f>
        <v>B28</v>
      </c>
      <c r="BP12" t="str">
        <f t="shared" si="231"/>
        <v>2A</v>
      </c>
      <c r="BQ12" t="str">
        <f t="shared" si="232"/>
        <v>2B</v>
      </c>
      <c r="BR12" t="str">
        <f t="shared" si="233"/>
        <v>3A</v>
      </c>
      <c r="BS12" t="str">
        <f t="shared" si="234"/>
        <v>3B</v>
      </c>
      <c r="BT12" t="str">
        <f t="shared" ref="BT12:BT13" si="286">CONCATENATE("DI",REPLACE($AC12,1,3,""),"-",AF12)</f>
        <v>DI2-C23</v>
      </c>
      <c r="BU12" t="str">
        <f t="shared" ref="BU12:BU13" si="287">CONCATENATE("DI",REPLACE($AC12,1,3,""),"-",AG12)</f>
        <v>DI2-B23</v>
      </c>
      <c r="BV12" t="str">
        <f t="shared" ref="BV12:BV13" si="288">CONCATENATE("DI",REPLACE($AC12,1,3,""),"-",BF12)</f>
        <v>DI2-C24</v>
      </c>
      <c r="BW12" t="str">
        <f t="shared" ref="BW12:BW13" si="289">CONCATENATE("DI",REPLACE($AC12,1,3,""),"-",BG12)</f>
        <v>DI2-B24</v>
      </c>
      <c r="BX12" t="str">
        <f t="shared" ref="BX12:BX13" si="290">CONCATENATE("DI",REPLACE($AC12,1,3,""),"-",BH12)</f>
        <v>DI2-C25</v>
      </c>
      <c r="BY12" t="str">
        <f t="shared" ref="BY12:BY13" si="291">CONCATENATE("DI",REPLACE($AC12,1,3,""),"-",BI12)</f>
        <v>DI2-B25</v>
      </c>
      <c r="BZ12" t="str">
        <f t="shared" ref="BZ12:BZ13" si="292">CONCATENATE("DI",REPLACE($AC12,1,3,""),"-",BJ12)</f>
        <v>DI2-C26</v>
      </c>
      <c r="CA12" t="str">
        <f t="shared" ref="CA12:CA13" si="293">CONCATENATE("DI",REPLACE($AC12,1,3,""),"-",BK12)</f>
        <v>DI2-B26</v>
      </c>
      <c r="CB12" t="str">
        <f t="shared" ref="CB12:CB13" si="294">CONCATENATE("DI",REPLACE($AC12,1,3,""),"-",BL12)</f>
        <v>DI2-C27</v>
      </c>
      <c r="CC12" t="str">
        <f t="shared" ref="CC12:CC13" si="295">CONCATENATE("DI",REPLACE($AC12,1,3,""),"-",BM12)</f>
        <v>DI2-B27</v>
      </c>
      <c r="CD12" t="str">
        <f t="shared" ref="CD12:CD13" si="296">CONCATENATE("DI",REPLACE($AC12,1,3,""),"-",BN12)</f>
        <v>DI2-C28</v>
      </c>
      <c r="CE12" t="str">
        <f t="shared" ref="CE12:CE13" si="297">CONCATENATE("DI",REPLACE($AC12,1,3,""),"-",BO12)</f>
        <v>DI2-B28</v>
      </c>
      <c r="CF12" t="str">
        <f t="shared" ref="CF12:CF13" si="298">CONCATENATE("DO",REPLACE($AH12,1,3,""),"-",AK12)</f>
        <v>DO2-1A</v>
      </c>
      <c r="CG12" t="str">
        <f t="shared" ref="CG12:CG13" si="299">CONCATENATE("DO",REPLACE($AH12,1,3,""),"-",AL12)</f>
        <v>DO2-1B</v>
      </c>
      <c r="CH12" t="str">
        <f t="shared" ref="CH12:CH13" si="300">CONCATENATE("DO",REPLACE($AH12,1,3,""),"-",BP12)</f>
        <v>DO2-2A</v>
      </c>
      <c r="CI12" t="str">
        <f t="shared" ref="CI12:CI13" si="301">CONCATENATE("DO",REPLACE($AH12,1,3,""),"-",BQ12)</f>
        <v>DO2-2B</v>
      </c>
      <c r="CJ12" t="str">
        <f t="shared" ref="CJ12:CJ13" si="302">CONCATENATE("DO",REPLACE($AH12,1,3,""),"-",BR12)</f>
        <v>DO2-3A</v>
      </c>
      <c r="CK12" t="str">
        <f t="shared" ref="CK12:CK13" si="303">CONCATENATE("DO",REPLACE($AH12,1,3,""),"-",BS12)</f>
        <v>DO2-3B</v>
      </c>
      <c r="CL12" t="str">
        <f t="shared" si="253"/>
        <v>K11-10</v>
      </c>
      <c r="CM12" t="str">
        <f t="shared" si="254"/>
        <v>K11-03</v>
      </c>
      <c r="CN12" t="str">
        <f t="shared" si="255"/>
        <v>K11-04</v>
      </c>
      <c r="CO12" t="str">
        <f t="shared" si="256"/>
        <v>K11-01</v>
      </c>
      <c r="CP12" t="str">
        <f t="shared" si="257"/>
        <v>K11-08</v>
      </c>
      <c r="CQ12" t="str">
        <f t="shared" si="258"/>
        <v>K11-02</v>
      </c>
      <c r="CR12" t="str">
        <f t="shared" si="259"/>
        <v>K11-09</v>
      </c>
      <c r="CS12" t="str">
        <f t="shared" si="260"/>
        <v>K11-05</v>
      </c>
      <c r="CT12" t="str">
        <f t="shared" si="261"/>
        <v>K11-11</v>
      </c>
      <c r="CU12" t="str">
        <f t="shared" si="262"/>
        <v>N2-M11-A9</v>
      </c>
      <c r="CV12" t="str">
        <f t="shared" si="263"/>
        <v>N2-M11-A7</v>
      </c>
      <c r="CW12" t="str">
        <f t="shared" si="264"/>
        <v>N2-M11-A8</v>
      </c>
      <c r="CX12" t="str">
        <f t="shared" si="265"/>
        <v>N2-M11-A6</v>
      </c>
      <c r="CY12" t="str">
        <f t="shared" si="266"/>
        <v>N2-M11-A30</v>
      </c>
      <c r="CZ12" t="str">
        <f t="shared" si="267"/>
        <v>N2-M11-N</v>
      </c>
      <c r="DA12" t="str">
        <f t="shared" ref="DA12:DA13" si="304">CONCATENATE($T12,"-A220-M",U12)</f>
        <v>N2-A220-M11</v>
      </c>
      <c r="DB12" t="str">
        <f t="shared" si="269"/>
        <v>N2-M11-XM01</v>
      </c>
      <c r="DC12" t="str">
        <f t="shared" si="270"/>
        <v>N2-M11-A1</v>
      </c>
      <c r="DD12" t="str">
        <f t="shared" si="271"/>
        <v>N2-M11-A5</v>
      </c>
      <c r="DE12" t="str">
        <f t="shared" si="272"/>
        <v>N2-M11-A11</v>
      </c>
      <c r="DF12" t="str">
        <f t="shared" si="273"/>
        <v>N2-M11-A12</v>
      </c>
      <c r="DG12" t="str">
        <f>CONCATENATE($T12,"-M",$U12,"-A20")</f>
        <v>N2-M11-A20</v>
      </c>
      <c r="DH12" t="str">
        <f>CONCATENATE($T12,"-M",$U12,"-A19")</f>
        <v>N2-M11-A19</v>
      </c>
      <c r="DI12" t="s">
        <v>133</v>
      </c>
      <c r="DJ12" t="s">
        <v>134</v>
      </c>
      <c r="DK12">
        <v>11</v>
      </c>
      <c r="DL12">
        <v>14</v>
      </c>
      <c r="DM12">
        <v>12</v>
      </c>
      <c r="DN12" t="s">
        <v>135</v>
      </c>
      <c r="DO12" t="s">
        <v>136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15</v>
      </c>
      <c r="EM12">
        <v>16</v>
      </c>
      <c r="EN12">
        <v>22</v>
      </c>
      <c r="EO12">
        <v>23</v>
      </c>
      <c r="EP12">
        <v>24</v>
      </c>
      <c r="EQ12" s="14"/>
    </row>
    <row r="13" spans="1:802" ht="15.75" thickBot="1" x14ac:dyDescent="0.3">
      <c r="A13" s="41" t="s">
        <v>681</v>
      </c>
      <c r="B13" t="s">
        <v>473</v>
      </c>
      <c r="C13" s="3"/>
      <c r="O13" s="2"/>
      <c r="P13" t="s">
        <v>126</v>
      </c>
      <c r="Q13" s="1"/>
      <c r="S13" s="1" t="s">
        <v>127</v>
      </c>
      <c r="T13" s="12" t="s">
        <v>444</v>
      </c>
      <c r="U13" s="38">
        <f t="shared" ref="U13" si="305">U12+1</f>
        <v>12</v>
      </c>
      <c r="V13" s="13" t="s">
        <v>472</v>
      </c>
      <c r="W13" s="13"/>
      <c r="AC13" t="str">
        <f t="shared" ref="AC13" si="306">IF(AD12+AE12&gt;25,REPLACE(AC12,LEN(AC12),1,VALUE(RIGHT(AC12,1))+1),AC12)</f>
        <v>A5.3</v>
      </c>
      <c r="AD13" s="34" t="str" cm="1">
        <f t="array" ref="AD13">IF(COUNTIFS(AC$2:AC13,AC13)=1,"1",VALUE(SUBSTITUTE(INDEX(AD:AD,_xlfn.XMATCH(AC13,AC$1:AC12,0,-1)),"A",""))+INDEX(AE:AE,_xlfn.XMATCH(AC13,AC$1:AC12,0,-1))+1)</f>
        <v>1</v>
      </c>
      <c r="AE13" s="34" cm="1">
        <f t="array" ref="AE13">SUM(IF(ISNUMBER(FIND("TmDi",$BE$1:$AAL$1)),IF(IFERROR(ISNUMBER(VALUE(SUBSTITUTE($BE13:$AAL13,"B",""))),FALSE),IF(ISNUMBER(VALUE(SUBSTITUTE($BE13:$AAL13,"B",""))),1,0),0)))</f>
        <v>5</v>
      </c>
      <c r="AF13" t="str">
        <f t="shared" si="0"/>
        <v>C1</v>
      </c>
      <c r="AG13" t="str">
        <f t="shared" si="1"/>
        <v>B1</v>
      </c>
      <c r="AH13" t="str">
        <f t="shared" ref="AH13" si="307">IF(AI12+AJ12&gt;25,REPLACE(AH12,LEN(AH12),1,VALUE(RIGHT(AH12,1))+1),AH12)</f>
        <v>A6.2</v>
      </c>
      <c r="AI13" s="46" cm="1">
        <f t="array" ref="AI13">IF(COUNTIFS(AH$2:AH13,AH13)=1,"1",VALUE(SUBSTITUTE(INDEX(AI:AI,_xlfn.XMATCH(AH13,AH$1:AH12,0,-1)),"A",""))+INDEX(AJ:AJ,_xlfn.XMATCH(AH13,AH$1:AH12,0,-1))+1)</f>
        <v>4</v>
      </c>
      <c r="AJ13" s="39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si="2"/>
        <v>4A</v>
      </c>
      <c r="AL13" t="str">
        <f t="shared" si="3"/>
        <v>4B</v>
      </c>
      <c r="AM13" t="s">
        <v>138</v>
      </c>
      <c r="AP13" t="s">
        <v>446</v>
      </c>
      <c r="AQ13" t="s">
        <v>467</v>
      </c>
      <c r="AT13" t="s">
        <v>130</v>
      </c>
      <c r="AU13" t="s">
        <v>131</v>
      </c>
      <c r="BD13" s="14"/>
      <c r="BE13" s="23" t="str">
        <f t="shared" si="275"/>
        <v>XT12</v>
      </c>
      <c r="BF13" s="16" t="str">
        <f t="shared" si="276"/>
        <v>C2</v>
      </c>
      <c r="BG13" s="16" t="str">
        <f t="shared" si="277"/>
        <v>B2</v>
      </c>
      <c r="BH13" s="16" t="str">
        <f t="shared" si="278"/>
        <v>C3</v>
      </c>
      <c r="BI13" s="16" t="str">
        <f t="shared" si="279"/>
        <v>B3</v>
      </c>
      <c r="BJ13" s="16" t="str">
        <f t="shared" si="280"/>
        <v>C4</v>
      </c>
      <c r="BK13" s="16" t="str">
        <f t="shared" si="281"/>
        <v>B4</v>
      </c>
      <c r="BL13" s="16" t="str">
        <f t="shared" si="282"/>
        <v>C5</v>
      </c>
      <c r="BM13" s="16" t="str">
        <f t="shared" si="283"/>
        <v>B5</v>
      </c>
      <c r="BN13" s="16" t="str">
        <f t="shared" si="284"/>
        <v>C6</v>
      </c>
      <c r="BO13" s="16" t="str">
        <f t="shared" si="285"/>
        <v>B6</v>
      </c>
      <c r="BP13" s="16" t="str">
        <f t="shared" si="231"/>
        <v>5A</v>
      </c>
      <c r="BQ13" s="16" t="str">
        <f t="shared" si="232"/>
        <v>5B</v>
      </c>
      <c r="BR13" s="16" t="str">
        <f t="shared" si="233"/>
        <v>6A</v>
      </c>
      <c r="BS13" s="16" t="str">
        <f t="shared" si="234"/>
        <v>6B</v>
      </c>
      <c r="BT13" s="16" t="str">
        <f t="shared" si="286"/>
        <v>DI3-C1</v>
      </c>
      <c r="BU13" s="16" t="str">
        <f t="shared" si="287"/>
        <v>DI3-B1</v>
      </c>
      <c r="BV13" s="16" t="str">
        <f t="shared" si="288"/>
        <v>DI3-C2</v>
      </c>
      <c r="BW13" s="16" t="str">
        <f t="shared" si="289"/>
        <v>DI3-B2</v>
      </c>
      <c r="BX13" s="16" t="str">
        <f t="shared" si="290"/>
        <v>DI3-C3</v>
      </c>
      <c r="BY13" s="16" t="str">
        <f t="shared" si="291"/>
        <v>DI3-B3</v>
      </c>
      <c r="BZ13" s="16" t="str">
        <f t="shared" si="292"/>
        <v>DI3-C4</v>
      </c>
      <c r="CA13" s="16" t="str">
        <f t="shared" si="293"/>
        <v>DI3-B4</v>
      </c>
      <c r="CB13" s="16" t="str">
        <f t="shared" si="294"/>
        <v>DI3-C5</v>
      </c>
      <c r="CC13" s="16" t="str">
        <f t="shared" si="295"/>
        <v>DI3-B5</v>
      </c>
      <c r="CD13" s="16" t="str">
        <f t="shared" si="296"/>
        <v>DI3-C6</v>
      </c>
      <c r="CE13" s="16" t="str">
        <f t="shared" si="297"/>
        <v>DI3-B6</v>
      </c>
      <c r="CF13" s="16" t="str">
        <f t="shared" si="298"/>
        <v>DO2-4A</v>
      </c>
      <c r="CG13" s="16" t="str">
        <f t="shared" si="299"/>
        <v>DO2-4B</v>
      </c>
      <c r="CH13" s="16" t="str">
        <f t="shared" si="300"/>
        <v>DO2-5A</v>
      </c>
      <c r="CI13" s="16" t="str">
        <f t="shared" si="301"/>
        <v>DO2-5B</v>
      </c>
      <c r="CJ13" s="16" t="str">
        <f t="shared" si="302"/>
        <v>DO2-6A</v>
      </c>
      <c r="CK13" s="16" t="str">
        <f t="shared" si="303"/>
        <v>DO2-6B</v>
      </c>
      <c r="CL13" s="16" t="str">
        <f t="shared" si="253"/>
        <v>K12-10</v>
      </c>
      <c r="CM13" s="16" t="str">
        <f t="shared" si="254"/>
        <v>K12-03</v>
      </c>
      <c r="CN13" s="16" t="str">
        <f t="shared" si="255"/>
        <v>K12-04</v>
      </c>
      <c r="CO13" s="16" t="str">
        <f t="shared" si="256"/>
        <v>K12-01</v>
      </c>
      <c r="CP13" s="16" t="str">
        <f t="shared" si="257"/>
        <v>K12-08</v>
      </c>
      <c r="CQ13" s="16" t="str">
        <f t="shared" si="258"/>
        <v>K12-02</v>
      </c>
      <c r="CR13" s="16" t="str">
        <f t="shared" si="259"/>
        <v>K12-09</v>
      </c>
      <c r="CS13" s="16" t="str">
        <f t="shared" si="260"/>
        <v>K12-05</v>
      </c>
      <c r="CT13" s="16" t="str">
        <f t="shared" si="261"/>
        <v>K12-11</v>
      </c>
      <c r="CU13" s="16" t="str">
        <f t="shared" si="262"/>
        <v>N2-M12-A9</v>
      </c>
      <c r="CV13" s="16" t="str">
        <f t="shared" si="263"/>
        <v>N2-M12-A7</v>
      </c>
      <c r="CW13" s="16" t="str">
        <f t="shared" si="264"/>
        <v>N2-M12-A8</v>
      </c>
      <c r="CX13" s="16" t="str">
        <f t="shared" si="265"/>
        <v>N2-M12-A6</v>
      </c>
      <c r="CY13" s="16" t="str">
        <f t="shared" si="266"/>
        <v>N2-M12-A30</v>
      </c>
      <c r="CZ13" s="16" t="str">
        <f t="shared" si="267"/>
        <v>N2-M12-N</v>
      </c>
      <c r="DA13" s="16" t="str">
        <f t="shared" si="304"/>
        <v>N2-A220-M12</v>
      </c>
      <c r="DB13" s="16" t="str">
        <f t="shared" si="269"/>
        <v>N2-M12-XM01</v>
      </c>
      <c r="DC13" s="16" t="str">
        <f t="shared" si="270"/>
        <v>N2-M12-A1</v>
      </c>
      <c r="DD13" s="16" t="str">
        <f t="shared" si="271"/>
        <v>N2-M12-A5</v>
      </c>
      <c r="DE13" s="16" t="str">
        <f t="shared" si="272"/>
        <v>N2-M12-A11</v>
      </c>
      <c r="DF13" s="16" t="str">
        <f t="shared" si="273"/>
        <v>N2-M12-A12</v>
      </c>
      <c r="DG13" s="16" t="str">
        <f t="shared" ref="DG13:DG14" si="308">CONCATENATE($T13,"-M",$U13,"-A19")</f>
        <v>N2-M12-A19</v>
      </c>
      <c r="DH13" s="16" t="str">
        <f t="shared" ref="DH13:DH14" si="309">CONCATENATE($T13,"-M",$U13,"-A20")</f>
        <v>N2-M12-A20</v>
      </c>
      <c r="DI13" s="16" t="s">
        <v>133</v>
      </c>
      <c r="DJ13" s="16" t="s">
        <v>134</v>
      </c>
      <c r="DK13" s="16">
        <v>11</v>
      </c>
      <c r="DL13" s="16">
        <v>14</v>
      </c>
      <c r="DM13" s="16">
        <v>12</v>
      </c>
      <c r="DN13" s="16" t="s">
        <v>135</v>
      </c>
      <c r="DO13" s="16" t="s">
        <v>136</v>
      </c>
      <c r="DP13" s="16">
        <v>1</v>
      </c>
      <c r="DQ13" s="16">
        <v>2</v>
      </c>
      <c r="DR13" s="16">
        <v>3</v>
      </c>
      <c r="DS13" s="16">
        <v>4</v>
      </c>
      <c r="DT13" s="16">
        <v>5</v>
      </c>
      <c r="DU13" s="16">
        <v>6</v>
      </c>
      <c r="DV13" s="16">
        <v>7</v>
      </c>
      <c r="DW13" s="16">
        <v>8</v>
      </c>
      <c r="DX13" s="16">
        <v>9</v>
      </c>
      <c r="DY13" s="16">
        <v>10</v>
      </c>
      <c r="DZ13" s="16">
        <v>11</v>
      </c>
      <c r="EA13" s="16">
        <v>12</v>
      </c>
      <c r="EB13" s="16">
        <v>13</v>
      </c>
      <c r="EC13" s="16">
        <v>14</v>
      </c>
      <c r="ED13" s="16">
        <v>1</v>
      </c>
      <c r="EE13" s="16">
        <v>3</v>
      </c>
      <c r="EF13" s="16">
        <v>4</v>
      </c>
      <c r="EG13" s="16">
        <v>7</v>
      </c>
      <c r="EH13" s="16">
        <v>8</v>
      </c>
      <c r="EI13" s="16">
        <v>9</v>
      </c>
      <c r="EJ13" s="16">
        <v>10</v>
      </c>
      <c r="EK13" s="16">
        <v>13</v>
      </c>
      <c r="EL13" s="16">
        <v>14</v>
      </c>
      <c r="EM13" s="16">
        <v>15</v>
      </c>
      <c r="EN13" s="16">
        <v>16</v>
      </c>
      <c r="EO13" s="16">
        <v>22</v>
      </c>
      <c r="EP13" s="16">
        <v>23</v>
      </c>
      <c r="EQ13" s="17">
        <v>24</v>
      </c>
    </row>
    <row r="14" spans="1:802" ht="15.75" thickBot="1" x14ac:dyDescent="0.3">
      <c r="A14" s="41" t="s">
        <v>682</v>
      </c>
      <c r="B14" t="s">
        <v>475</v>
      </c>
      <c r="C14" s="3"/>
      <c r="O14" s="2"/>
      <c r="P14" t="s">
        <v>126</v>
      </c>
      <c r="Q14" s="1"/>
      <c r="S14" s="1" t="s">
        <v>127</v>
      </c>
      <c r="T14" s="12" t="s">
        <v>444</v>
      </c>
      <c r="U14" s="38">
        <f t="shared" ref="U14:U18" si="310">U13+1</f>
        <v>13</v>
      </c>
      <c r="V14" s="13" t="s">
        <v>474</v>
      </c>
      <c r="W14" s="13"/>
      <c r="AC14" t="str">
        <f t="shared" ref="AC14" si="311">IF(AD13+AE13&gt;25,REPLACE(AC13,LEN(AC13),1,VALUE(RIGHT(AC13,1))+1),AC13)</f>
        <v>A5.3</v>
      </c>
      <c r="AD14" s="34" cm="1">
        <f t="array" ref="AD14">IF(COUNTIFS(AC$2:AC14,AC14)=1,"1",VALUE(SUBSTITUTE(INDEX(AD:AD,_xlfn.XMATCH(AC14,AC$1:AC13,0,-1)),"A",""))+INDEX(AE:AE,_xlfn.XMATCH(AC14,AC$1:AC13,0,-1))+1)</f>
        <v>7</v>
      </c>
      <c r="AE14" s="34" cm="1">
        <f t="array" ref="AE14">SUM(IF(ISNUMBER(FIND("TmDi",$BE$1:$AAL$1)),IF(IFERROR(ISNUMBER(VALUE(SUBSTITUTE($BE14:$AAL14,"B",""))),FALSE),IF(ISNUMBER(VALUE(SUBSTITUTE($BE14:$AAL14,"B",""))),1,0),0)))</f>
        <v>5</v>
      </c>
      <c r="AF14" t="str">
        <f t="shared" si="0"/>
        <v>C7</v>
      </c>
      <c r="AG14" t="str">
        <f t="shared" si="1"/>
        <v>B7</v>
      </c>
      <c r="AH14" t="str">
        <f t="shared" ref="AH14" si="312">IF(AI13+AJ13&gt;25,REPLACE(AH13,LEN(AH13),1,VALUE(RIGHT(AH13,1))+1),AH13)</f>
        <v>A6.2</v>
      </c>
      <c r="AI14" s="46" cm="1">
        <f t="array" ref="AI14">IF(COUNTIFS(AH$2:AH14,AH14)=1,"1",VALUE(SUBSTITUTE(INDEX(AI:AI,_xlfn.XMATCH(AH14,AH$1:AH13,0,-1)),"A",""))+INDEX(AJ:AJ,_xlfn.XMATCH(AH14,AH$1:AH13,0,-1))+1)</f>
        <v>7</v>
      </c>
      <c r="AJ14" s="39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2"/>
        <v>7A</v>
      </c>
      <c r="AL14" t="str">
        <f t="shared" si="3"/>
        <v>7B</v>
      </c>
      <c r="AM14" t="s">
        <v>139</v>
      </c>
      <c r="AP14" t="s">
        <v>446</v>
      </c>
      <c r="AQ14" t="s">
        <v>467</v>
      </c>
      <c r="AT14" t="s">
        <v>130</v>
      </c>
      <c r="AU14" t="s">
        <v>131</v>
      </c>
      <c r="BD14" s="14"/>
      <c r="BE14" s="23" t="str">
        <f t="shared" ref="BE14:BE18" si="313">CONCATENATE("XT",U14)</f>
        <v>XT13</v>
      </c>
      <c r="BF14" s="16" t="str">
        <f t="shared" ref="BF14:BF17" si="314">CONCATENATE("C",REPLACE(AF14,1,1,"")+1)</f>
        <v>C8</v>
      </c>
      <c r="BG14" s="16" t="str">
        <f t="shared" ref="BG14:BG17" si="315">CONCATENATE("B",REPLACE(AG14,1,1,"")+1)</f>
        <v>B8</v>
      </c>
      <c r="BH14" s="16" t="str">
        <f t="shared" ref="BH14:BH18" si="316">CONCATENATE("C",REPLACE(BF14,1,1,"")+1)</f>
        <v>C9</v>
      </c>
      <c r="BI14" s="16" t="str">
        <f t="shared" ref="BI14:BI18" si="317">CONCATENATE("B",REPLACE(BG14,1,1,"")+1)</f>
        <v>B9</v>
      </c>
      <c r="BJ14" s="16" t="str">
        <f t="shared" ref="BJ14:BJ18" si="318">CONCATENATE("C",REPLACE(BH14,1,1,"")+1)</f>
        <v>C10</v>
      </c>
      <c r="BK14" s="16" t="str">
        <f t="shared" ref="BK14:BK18" si="319">CONCATENATE("B",REPLACE(BI14,1,1,"")+1)</f>
        <v>B10</v>
      </c>
      <c r="BL14" s="16" t="str">
        <f t="shared" ref="BL14" si="320">CONCATENATE("C",REPLACE(BJ14,1,1,"")+1)</f>
        <v>C11</v>
      </c>
      <c r="BM14" s="16" t="str">
        <f t="shared" ref="BM14" si="321">CONCATENATE("B",REPLACE(BK14,1,1,"")+1)</f>
        <v>B11</v>
      </c>
      <c r="BN14" s="16" t="str">
        <f t="shared" ref="BN14" si="322">CONCATENATE("C",REPLACE(BL14,1,1,"")+1)</f>
        <v>C12</v>
      </c>
      <c r="BO14" s="16" t="str">
        <f t="shared" ref="BO14" si="323">CONCATENATE("B",REPLACE(BM14,1,1,"")+1)</f>
        <v>B12</v>
      </c>
      <c r="BP14" s="16" t="str">
        <f t="shared" si="231"/>
        <v>8A</v>
      </c>
      <c r="BQ14" s="16" t="str">
        <f t="shared" si="232"/>
        <v>8B</v>
      </c>
      <c r="BR14" s="16" t="str">
        <f t="shared" si="233"/>
        <v>9A</v>
      </c>
      <c r="BS14" s="16" t="str">
        <f t="shared" si="234"/>
        <v>9B</v>
      </c>
      <c r="BT14" s="16" t="str">
        <f t="shared" ref="BT14:BT17" si="324">CONCATENATE("DI",REPLACE($AC14,1,3,""),"-",AF14)</f>
        <v>DI3-C7</v>
      </c>
      <c r="BU14" s="16" t="str">
        <f t="shared" ref="BU14:BU17" si="325">CONCATENATE("DI",REPLACE($AC14,1,3,""),"-",AG14)</f>
        <v>DI3-B7</v>
      </c>
      <c r="BV14" s="16" t="str">
        <f t="shared" ref="BV14:BV18" si="326">CONCATENATE("DI",REPLACE($AC14,1,3,""),"-",BF14)</f>
        <v>DI3-C8</v>
      </c>
      <c r="BW14" s="16" t="str">
        <f t="shared" ref="BW14:BW18" si="327">CONCATENATE("DI",REPLACE($AC14,1,3,""),"-",BG14)</f>
        <v>DI3-B8</v>
      </c>
      <c r="BX14" s="16" t="str">
        <f t="shared" ref="BX14:BX18" si="328">CONCATENATE("DI",REPLACE($AC14,1,3,""),"-",BH14)</f>
        <v>DI3-C9</v>
      </c>
      <c r="BY14" s="16" t="str">
        <f t="shared" ref="BY14:BY18" si="329">CONCATENATE("DI",REPLACE($AC14,1,3,""),"-",BI14)</f>
        <v>DI3-B9</v>
      </c>
      <c r="BZ14" s="16" t="str">
        <f t="shared" ref="BZ14:BZ18" si="330">CONCATENATE("DI",REPLACE($AC14,1,3,""),"-",BJ14)</f>
        <v>DI3-C10</v>
      </c>
      <c r="CA14" s="16" t="str">
        <f t="shared" ref="CA14:CA18" si="331">CONCATENATE("DI",REPLACE($AC14,1,3,""),"-",BK14)</f>
        <v>DI3-B10</v>
      </c>
      <c r="CB14" s="16" t="str">
        <f t="shared" ref="CB14:CB18" si="332">CONCATENATE("DI",REPLACE($AC14,1,3,""),"-",BL14)</f>
        <v>DI3-C11</v>
      </c>
      <c r="CC14" s="16" t="str">
        <f t="shared" ref="CC14:CC18" si="333">CONCATENATE("DI",REPLACE($AC14,1,3,""),"-",BM14)</f>
        <v>DI3-B11</v>
      </c>
      <c r="CD14" s="16" t="str">
        <f t="shared" ref="CD14:CD18" si="334">CONCATENATE("DI",REPLACE($AC14,1,3,""),"-",BN14)</f>
        <v>DI3-C12</v>
      </c>
      <c r="CE14" s="16" t="str">
        <f t="shared" ref="CE14:CE18" si="335">CONCATENATE("DI",REPLACE($AC14,1,3,""),"-",BO14)</f>
        <v>DI3-B12</v>
      </c>
      <c r="CF14" s="16" t="str">
        <f t="shared" ref="CF14:CF18" si="336">CONCATENATE("DO",REPLACE($AH14,1,3,""),"-",AK14)</f>
        <v>DO2-7A</v>
      </c>
      <c r="CG14" s="16" t="str">
        <f t="shared" ref="CG14:CG18" si="337">CONCATENATE("DO",REPLACE($AH14,1,3,""),"-",AL14)</f>
        <v>DO2-7B</v>
      </c>
      <c r="CH14" s="16" t="str">
        <f t="shared" ref="CH14:CH18" si="338">CONCATENATE("DO",REPLACE($AH14,1,3,""),"-",BP14)</f>
        <v>DO2-8A</v>
      </c>
      <c r="CI14" s="16" t="str">
        <f t="shared" ref="CI14:CI18" si="339">CONCATENATE("DO",REPLACE($AH14,1,3,""),"-",BQ14)</f>
        <v>DO2-8B</v>
      </c>
      <c r="CJ14" s="16" t="str">
        <f t="shared" ref="CJ14:CJ18" si="340">CONCATENATE("DO",REPLACE($AH14,1,3,""),"-",BR14)</f>
        <v>DO2-9A</v>
      </c>
      <c r="CK14" s="16" t="str">
        <f t="shared" ref="CK14:CK18" si="341">CONCATENATE("DO",REPLACE($AH14,1,3,""),"-",BS14)</f>
        <v>DO2-9B</v>
      </c>
      <c r="CL14" s="16" t="str">
        <f t="shared" si="253"/>
        <v>K13-10</v>
      </c>
      <c r="CM14" s="16" t="str">
        <f t="shared" si="254"/>
        <v>K13-03</v>
      </c>
      <c r="CN14" s="16" t="str">
        <f t="shared" si="255"/>
        <v>K13-04</v>
      </c>
      <c r="CO14" s="16" t="str">
        <f t="shared" si="256"/>
        <v>K13-01</v>
      </c>
      <c r="CP14" s="16" t="str">
        <f t="shared" si="257"/>
        <v>K13-08</v>
      </c>
      <c r="CQ14" s="16" t="str">
        <f t="shared" si="258"/>
        <v>K13-02</v>
      </c>
      <c r="CR14" s="16" t="str">
        <f t="shared" si="259"/>
        <v>K13-09</v>
      </c>
      <c r="CS14" s="16" t="str">
        <f t="shared" si="260"/>
        <v>K13-05</v>
      </c>
      <c r="CT14" s="16" t="str">
        <f t="shared" si="261"/>
        <v>K13-11</v>
      </c>
      <c r="CU14" s="16" t="str">
        <f t="shared" si="262"/>
        <v>N2-M13-A9</v>
      </c>
      <c r="CV14" s="16" t="str">
        <f t="shared" si="263"/>
        <v>N2-M13-A7</v>
      </c>
      <c r="CW14" s="16" t="str">
        <f t="shared" si="264"/>
        <v>N2-M13-A8</v>
      </c>
      <c r="CX14" s="16" t="str">
        <f t="shared" si="265"/>
        <v>N2-M13-A6</v>
      </c>
      <c r="CY14" s="16" t="str">
        <f t="shared" si="266"/>
        <v>N2-M13-A30</v>
      </c>
      <c r="CZ14" s="16" t="str">
        <f t="shared" si="267"/>
        <v>N2-M13-N</v>
      </c>
      <c r="DA14" s="16" t="str">
        <f t="shared" ref="DA14:DA18" si="342">CONCATENATE($T14,"-A220-M",U14)</f>
        <v>N2-A220-M13</v>
      </c>
      <c r="DB14" s="16" t="str">
        <f t="shared" si="269"/>
        <v>N2-M13-XM01</v>
      </c>
      <c r="DC14" s="16" t="str">
        <f t="shared" si="270"/>
        <v>N2-M13-A1</v>
      </c>
      <c r="DD14" s="16" t="str">
        <f t="shared" si="271"/>
        <v>N2-M13-A5</v>
      </c>
      <c r="DE14" s="16" t="str">
        <f t="shared" si="272"/>
        <v>N2-M13-A11</v>
      </c>
      <c r="DF14" s="16" t="str">
        <f t="shared" si="273"/>
        <v>N2-M13-A12</v>
      </c>
      <c r="DG14" s="16" t="str">
        <f t="shared" si="308"/>
        <v>N2-M13-A19</v>
      </c>
      <c r="DH14" s="16" t="str">
        <f t="shared" si="309"/>
        <v>N2-M13-A20</v>
      </c>
      <c r="DI14" s="16" t="s">
        <v>133</v>
      </c>
      <c r="DJ14" s="16" t="s">
        <v>134</v>
      </c>
      <c r="DK14" s="16">
        <v>11</v>
      </c>
      <c r="DL14" s="16">
        <v>14</v>
      </c>
      <c r="DM14" s="16">
        <v>12</v>
      </c>
      <c r="DN14" s="16" t="s">
        <v>135</v>
      </c>
      <c r="DO14" s="16" t="s">
        <v>136</v>
      </c>
      <c r="DP14" s="16">
        <v>1</v>
      </c>
      <c r="DQ14" s="16">
        <v>2</v>
      </c>
      <c r="DR14" s="16">
        <v>3</v>
      </c>
      <c r="DS14" s="16">
        <v>4</v>
      </c>
      <c r="DT14" s="16">
        <v>5</v>
      </c>
      <c r="DU14" s="16">
        <v>6</v>
      </c>
      <c r="DV14" s="16">
        <v>7</v>
      </c>
      <c r="DW14" s="16">
        <v>8</v>
      </c>
      <c r="DX14" s="16">
        <v>9</v>
      </c>
      <c r="DY14" s="16">
        <v>10</v>
      </c>
      <c r="DZ14" s="16">
        <v>11</v>
      </c>
      <c r="EA14" s="16">
        <v>12</v>
      </c>
      <c r="EB14" s="16">
        <v>13</v>
      </c>
      <c r="EC14" s="16">
        <v>14</v>
      </c>
      <c r="ED14" s="16">
        <v>1</v>
      </c>
      <c r="EE14" s="16">
        <v>3</v>
      </c>
      <c r="EF14" s="16">
        <v>4</v>
      </c>
      <c r="EG14" s="16">
        <v>7</v>
      </c>
      <c r="EH14" s="16">
        <v>8</v>
      </c>
      <c r="EI14" s="16">
        <v>9</v>
      </c>
      <c r="EJ14" s="16">
        <v>10</v>
      </c>
      <c r="EK14" s="16">
        <v>13</v>
      </c>
      <c r="EL14" s="16">
        <v>14</v>
      </c>
      <c r="EM14" s="16">
        <v>15</v>
      </c>
      <c r="EN14" s="16">
        <v>16</v>
      </c>
      <c r="EO14" s="16">
        <v>22</v>
      </c>
      <c r="EP14" s="16">
        <v>23</v>
      </c>
      <c r="EQ14" s="17">
        <v>24</v>
      </c>
    </row>
    <row r="15" spans="1:802" x14ac:dyDescent="0.25">
      <c r="A15" s="41" t="s">
        <v>683</v>
      </c>
      <c r="B15" t="s">
        <v>480</v>
      </c>
      <c r="C15" s="3"/>
      <c r="O15" s="2"/>
      <c r="P15" t="s">
        <v>454</v>
      </c>
      <c r="Q15" s="1"/>
      <c r="S15" s="1" t="s">
        <v>127</v>
      </c>
      <c r="T15" s="12" t="s">
        <v>444</v>
      </c>
      <c r="U15" s="38">
        <f t="shared" si="310"/>
        <v>14</v>
      </c>
      <c r="V15" s="13" t="s">
        <v>476</v>
      </c>
      <c r="W15" s="13"/>
      <c r="AC15" t="str">
        <f t="shared" ref="AC15:AC18" si="343">IF(AD14+AE14&gt;29,REPLACE(AC14,LEN(AC14),1,VALUE(RIGHT(AC14,1))+1),AC14)</f>
        <v>A5.3</v>
      </c>
      <c r="AD15" s="34" cm="1">
        <f t="array" ref="AD15">IF(COUNTIFS(AC$2:AC15,AC15)=1,"1",VALUE(SUBSTITUTE(INDEX(AD:AD,_xlfn.XMATCH(AC15,AC$1:AC14,0,-1)),"A",""))+INDEX(AE:AE,_xlfn.XMATCH(AC15,AC$1:AC14,0,-1))+1)</f>
        <v>13</v>
      </c>
      <c r="AE15" s="34" cm="1">
        <f t="array" ref="AE15">SUM(IF(ISNUMBER(FIND("TmDi",$BE$1:$AAL$1)),IF(IFERROR(ISNUMBER(VALUE(SUBSTITUTE($BE15:$AAL15,"B",""))),FALSE),IF(ISNUMBER(VALUE(SUBSTITUTE($BE15:$AAL15,"B",""))),1,0),0)))</f>
        <v>3</v>
      </c>
      <c r="AF15" t="str">
        <f t="shared" si="0"/>
        <v>C13</v>
      </c>
      <c r="AG15" t="str">
        <f t="shared" si="1"/>
        <v>B13</v>
      </c>
      <c r="AH15" t="str">
        <f t="shared" ref="AH15" si="344">IF(AI14+AJ14&gt;27,REPLACE(AH14,LEN(AH14),1,VALUE(RIGHT(AH14,1))+1),AH14)</f>
        <v>A6.2</v>
      </c>
      <c r="AI15" s="46" cm="1">
        <f t="array" ref="AI15">IF(COUNTIFS(AH$2:AH15,AH15)=1,"1",VALUE(SUBSTITUTE(INDEX(AI:AI,_xlfn.XMATCH(AH15,AH$1:AH14,0,-1)),"A",""))+INDEX(AJ:AJ,_xlfn.XMATCH(AH15,AH$1:AH14,0,-1))+1)</f>
        <v>10</v>
      </c>
      <c r="AJ15" s="39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2"/>
        <v>10A</v>
      </c>
      <c r="AL15" t="str">
        <f t="shared" si="3"/>
        <v>10B</v>
      </c>
      <c r="AM15" t="s">
        <v>140</v>
      </c>
      <c r="AP15" t="s">
        <v>446</v>
      </c>
      <c r="AQ15" t="s">
        <v>467</v>
      </c>
      <c r="AT15" t="s">
        <v>130</v>
      </c>
      <c r="AU15" t="s">
        <v>131</v>
      </c>
      <c r="BD15" s="14"/>
      <c r="BE15" s="22" t="str">
        <f t="shared" si="313"/>
        <v>XT14</v>
      </c>
      <c r="BF15" t="str">
        <f t="shared" si="314"/>
        <v>C14</v>
      </c>
      <c r="BG15" t="str">
        <f t="shared" si="315"/>
        <v>B14</v>
      </c>
      <c r="BH15" t="str">
        <f t="shared" si="316"/>
        <v>C15</v>
      </c>
      <c r="BI15" t="str">
        <f t="shared" si="317"/>
        <v>B15</v>
      </c>
      <c r="BJ15" t="str">
        <f t="shared" si="318"/>
        <v>C16</v>
      </c>
      <c r="BK15" t="str">
        <f t="shared" si="319"/>
        <v>B16</v>
      </c>
      <c r="BP15" t="str">
        <f t="shared" si="231"/>
        <v>11A</v>
      </c>
      <c r="BQ15" t="str">
        <f t="shared" si="232"/>
        <v>11B</v>
      </c>
      <c r="BR15" t="str">
        <f t="shared" si="233"/>
        <v>12A</v>
      </c>
      <c r="BS15" t="str">
        <f t="shared" si="234"/>
        <v>12B</v>
      </c>
      <c r="BT15" t="str">
        <f t="shared" si="324"/>
        <v>DI3-C13</v>
      </c>
      <c r="BU15" t="str">
        <f t="shared" si="325"/>
        <v>DI3-B13</v>
      </c>
      <c r="BV15" t="str">
        <f t="shared" si="326"/>
        <v>DI3-C14</v>
      </c>
      <c r="BW15" t="str">
        <f t="shared" si="327"/>
        <v>DI3-B14</v>
      </c>
      <c r="BX15" t="str">
        <f t="shared" si="328"/>
        <v>DI3-C15</v>
      </c>
      <c r="BY15" t="str">
        <f t="shared" si="329"/>
        <v>DI3-B15</v>
      </c>
      <c r="BZ15" t="str">
        <f t="shared" si="330"/>
        <v>DI3-C16</v>
      </c>
      <c r="CA15" t="str">
        <f t="shared" si="331"/>
        <v>DI3-B16</v>
      </c>
      <c r="CB15" t="str">
        <f t="shared" si="332"/>
        <v>DI3-</v>
      </c>
      <c r="CC15" t="str">
        <f t="shared" si="333"/>
        <v>DI3-</v>
      </c>
      <c r="CD15" t="str">
        <f t="shared" si="334"/>
        <v>DI3-</v>
      </c>
      <c r="CE15" t="str">
        <f t="shared" si="335"/>
        <v>DI3-</v>
      </c>
      <c r="CF15" t="str">
        <f>CONCATENATE("DO",REPLACE($AH15,1,3,""),"-",$AK15)</f>
        <v>DO2-10A</v>
      </c>
      <c r="CG15" t="str">
        <f>CONCATENATE("DO",REPLACE($AH15,1,3,""),"-",$AL15)</f>
        <v>DO2-10B</v>
      </c>
      <c r="CH15" t="str">
        <f t="shared" si="338"/>
        <v>DO2-11A</v>
      </c>
      <c r="CI15" t="str">
        <f t="shared" si="339"/>
        <v>DO2-11B</v>
      </c>
      <c r="CJ15" t="str">
        <f t="shared" si="340"/>
        <v>DO2-12A</v>
      </c>
      <c r="CK15" t="str">
        <f t="shared" si="341"/>
        <v>DO2-12B</v>
      </c>
      <c r="CL15" t="str">
        <f t="shared" si="253"/>
        <v>K14-10</v>
      </c>
      <c r="CM15" t="str">
        <f t="shared" si="254"/>
        <v>K14-03</v>
      </c>
      <c r="CN15" t="str">
        <f t="shared" si="255"/>
        <v>K14-04</v>
      </c>
      <c r="CO15" t="str">
        <f t="shared" si="256"/>
        <v>K14-01</v>
      </c>
      <c r="CP15" t="str">
        <f t="shared" si="257"/>
        <v>K14-08</v>
      </c>
      <c r="CQ15" t="str">
        <f t="shared" si="258"/>
        <v>K14-02</v>
      </c>
      <c r="CR15" t="str">
        <f t="shared" si="259"/>
        <v>K14-09</v>
      </c>
      <c r="CS15" t="str">
        <f t="shared" si="260"/>
        <v>K14-05</v>
      </c>
      <c r="CT15" t="str">
        <f t="shared" si="261"/>
        <v>K14-11</v>
      </c>
      <c r="CU15" t="str">
        <f t="shared" si="262"/>
        <v>N2-M14-A9</v>
      </c>
      <c r="CV15" t="str">
        <f t="shared" si="263"/>
        <v>N2-M14-A7</v>
      </c>
      <c r="CW15" t="str">
        <f t="shared" si="264"/>
        <v>N2-M14-A8</v>
      </c>
      <c r="CX15" t="str">
        <f t="shared" si="265"/>
        <v>N2-M14-A6</v>
      </c>
      <c r="CY15" t="str">
        <f t="shared" si="266"/>
        <v>N2-M14-A30</v>
      </c>
      <c r="CZ15" t="str">
        <f t="shared" si="267"/>
        <v>N2-M14-N</v>
      </c>
      <c r="DA15" t="str">
        <f t="shared" si="342"/>
        <v>N2-A220-M14</v>
      </c>
      <c r="DB15" t="str">
        <f t="shared" si="269"/>
        <v>N2-M14-XM01</v>
      </c>
      <c r="DC15" t="str">
        <f t="shared" si="270"/>
        <v>N2-M14-A1</v>
      </c>
      <c r="DD15" t="str">
        <f t="shared" si="271"/>
        <v>N2-M14-A5</v>
      </c>
      <c r="DE15" t="str">
        <f t="shared" si="272"/>
        <v>N2-M14-A11</v>
      </c>
      <c r="DF15" t="str">
        <f t="shared" si="273"/>
        <v>N2-M14-A12</v>
      </c>
      <c r="DG15" t="str">
        <f>CONCATENATE($T15,"-M",$U15,"-A19")</f>
        <v>N2-M14-A19</v>
      </c>
      <c r="DH15" t="str">
        <f>CONCATENATE($T15,"-M",$U15,"-A20")</f>
        <v>N2-M14-A20</v>
      </c>
      <c r="DI15" t="s">
        <v>133</v>
      </c>
      <c r="DJ15" t="s">
        <v>134</v>
      </c>
      <c r="DK15">
        <v>11</v>
      </c>
      <c r="DL15">
        <v>14</v>
      </c>
      <c r="DM15">
        <v>12</v>
      </c>
      <c r="DN15" t="s">
        <v>135</v>
      </c>
      <c r="DO15" t="s">
        <v>136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4">
        <v>24</v>
      </c>
    </row>
    <row r="16" spans="1:802" x14ac:dyDescent="0.25">
      <c r="A16" s="41" t="s">
        <v>684</v>
      </c>
      <c r="B16" t="s">
        <v>481</v>
      </c>
      <c r="C16" s="3"/>
      <c r="O16" s="2"/>
      <c r="P16" t="s">
        <v>454</v>
      </c>
      <c r="Q16" s="1"/>
      <c r="S16" s="1" t="s">
        <v>127</v>
      </c>
      <c r="T16" s="12" t="s">
        <v>444</v>
      </c>
      <c r="U16" s="38">
        <f t="shared" si="310"/>
        <v>15</v>
      </c>
      <c r="V16" s="13" t="s">
        <v>477</v>
      </c>
      <c r="W16" s="13"/>
      <c r="AC16" t="str">
        <f t="shared" si="343"/>
        <v>A5.3</v>
      </c>
      <c r="AD16" s="34" cm="1">
        <f t="array" ref="AD16">IF(COUNTIFS(AC$2:AC16,AC16)=1,"1",VALUE(SUBSTITUTE(INDEX(AD:AD,_xlfn.XMATCH(AC16,AC$1:AC15,0,-1)),"A",""))+INDEX(AE:AE,_xlfn.XMATCH(AC16,AC$1:AC15,0,-1))+1)</f>
        <v>17</v>
      </c>
      <c r="AE16" s="34" cm="1">
        <f t="array" ref="AE16">SUM(IF(ISNUMBER(FIND("TmDi",$BE$1:$AAL$1)),IF(IFERROR(ISNUMBER(VALUE(SUBSTITUTE($BE16:$AAL16,"B",""))),FALSE),IF(ISNUMBER(VALUE(SUBSTITUTE($BE16:$AAL16,"B",""))),1,0),0)))</f>
        <v>3</v>
      </c>
      <c r="AF16" t="str">
        <f t="shared" si="0"/>
        <v>C17</v>
      </c>
      <c r="AG16" t="str">
        <f t="shared" si="1"/>
        <v>B17</v>
      </c>
      <c r="AH16" t="str">
        <f>IF(AI15+AJ15&gt;27,REPLACE(AH15,LEN(AH15),1,VALUE(RIGHT(AH15,1))+1),AH15)</f>
        <v>A6.2</v>
      </c>
      <c r="AI16" s="46" cm="1">
        <f t="array" ref="AI16">IF(COUNTIFS(AH$2:AH16,AH16)=1,"1",VALUE(SUBSTITUTE(INDEX(AI:AI,_xlfn.XMATCH(AH16,AH$1:AH15,0,-1)),"A",""))+INDEX(AJ:AJ,_xlfn.XMATCH(AH16,AH$1:AH15,0,-1))+1)</f>
        <v>13</v>
      </c>
      <c r="AJ16" s="39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2"/>
        <v>13A</v>
      </c>
      <c r="AL16" t="str">
        <f t="shared" si="3"/>
        <v>13B</v>
      </c>
      <c r="AM16" t="s">
        <v>141</v>
      </c>
      <c r="AP16" t="s">
        <v>446</v>
      </c>
      <c r="AQ16" t="s">
        <v>467</v>
      </c>
      <c r="AT16" t="s">
        <v>130</v>
      </c>
      <c r="AU16" t="s">
        <v>131</v>
      </c>
      <c r="BD16" s="14"/>
      <c r="BE16" s="22" t="str">
        <f t="shared" si="313"/>
        <v>XT15</v>
      </c>
      <c r="BF16" t="str">
        <f t="shared" si="314"/>
        <v>C18</v>
      </c>
      <c r="BG16" t="str">
        <f t="shared" si="315"/>
        <v>B18</v>
      </c>
      <c r="BH16" t="str">
        <f t="shared" si="316"/>
        <v>C19</v>
      </c>
      <c r="BI16" t="str">
        <f t="shared" si="317"/>
        <v>B19</v>
      </c>
      <c r="BJ16" t="str">
        <f t="shared" si="318"/>
        <v>C20</v>
      </c>
      <c r="BK16" t="str">
        <f t="shared" si="319"/>
        <v>B20</v>
      </c>
      <c r="BP16" t="str">
        <f t="shared" si="231"/>
        <v>14A</v>
      </c>
      <c r="BQ16" t="str">
        <f t="shared" si="232"/>
        <v>14B</v>
      </c>
      <c r="BR16" t="str">
        <f t="shared" si="233"/>
        <v>15A</v>
      </c>
      <c r="BS16" t="str">
        <f t="shared" si="234"/>
        <v>15B</v>
      </c>
      <c r="BT16" t="str">
        <f t="shared" si="324"/>
        <v>DI3-C17</v>
      </c>
      <c r="BU16" t="str">
        <f t="shared" si="325"/>
        <v>DI3-B17</v>
      </c>
      <c r="BV16" t="str">
        <f t="shared" si="326"/>
        <v>DI3-C18</v>
      </c>
      <c r="BW16" t="str">
        <f t="shared" si="327"/>
        <v>DI3-B18</v>
      </c>
      <c r="BX16" t="str">
        <f t="shared" si="328"/>
        <v>DI3-C19</v>
      </c>
      <c r="BY16" t="str">
        <f t="shared" si="329"/>
        <v>DI3-B19</v>
      </c>
      <c r="BZ16" t="str">
        <f t="shared" si="330"/>
        <v>DI3-C20</v>
      </c>
      <c r="CA16" t="str">
        <f t="shared" si="331"/>
        <v>DI3-B20</v>
      </c>
      <c r="CB16" t="str">
        <f t="shared" si="332"/>
        <v>DI3-</v>
      </c>
      <c r="CC16" t="str">
        <f t="shared" si="333"/>
        <v>DI3-</v>
      </c>
      <c r="CD16" t="str">
        <f t="shared" si="334"/>
        <v>DI3-</v>
      </c>
      <c r="CE16" t="str">
        <f t="shared" si="335"/>
        <v>DI3-</v>
      </c>
      <c r="CF16" t="str">
        <f t="shared" si="336"/>
        <v>DO2-13A</v>
      </c>
      <c r="CG16" t="str">
        <f t="shared" si="337"/>
        <v>DO2-13B</v>
      </c>
      <c r="CH16" t="str">
        <f t="shared" si="338"/>
        <v>DO2-14A</v>
      </c>
      <c r="CI16" t="str">
        <f t="shared" si="339"/>
        <v>DO2-14B</v>
      </c>
      <c r="CJ16" t="str">
        <f t="shared" si="340"/>
        <v>DO2-15A</v>
      </c>
      <c r="CK16" t="str">
        <f t="shared" si="341"/>
        <v>DO2-15B</v>
      </c>
      <c r="CL16" t="str">
        <f t="shared" si="253"/>
        <v>K15-10</v>
      </c>
      <c r="CM16" t="str">
        <f t="shared" si="254"/>
        <v>K15-03</v>
      </c>
      <c r="CN16" t="str">
        <f t="shared" si="255"/>
        <v>K15-04</v>
      </c>
      <c r="CO16" t="str">
        <f t="shared" si="256"/>
        <v>K15-01</v>
      </c>
      <c r="CP16" t="str">
        <f t="shared" si="257"/>
        <v>K15-08</v>
      </c>
      <c r="CQ16" t="str">
        <f t="shared" si="258"/>
        <v>K15-02</v>
      </c>
      <c r="CR16" t="str">
        <f t="shared" si="259"/>
        <v>K15-09</v>
      </c>
      <c r="CS16" t="str">
        <f t="shared" si="260"/>
        <v>K15-05</v>
      </c>
      <c r="CT16" t="str">
        <f t="shared" si="261"/>
        <v>K15-11</v>
      </c>
      <c r="CU16" t="str">
        <f t="shared" si="262"/>
        <v>N2-M15-A9</v>
      </c>
      <c r="CV16" t="str">
        <f t="shared" si="263"/>
        <v>N2-M15-A7</v>
      </c>
      <c r="CW16" t="str">
        <f t="shared" si="264"/>
        <v>N2-M15-A8</v>
      </c>
      <c r="CX16" t="str">
        <f t="shared" si="265"/>
        <v>N2-M15-A6</v>
      </c>
      <c r="CY16" t="str">
        <f t="shared" si="266"/>
        <v>N2-M15-A30</v>
      </c>
      <c r="CZ16" t="str">
        <f t="shared" si="267"/>
        <v>N2-M15-N</v>
      </c>
      <c r="DA16" t="str">
        <f t="shared" si="342"/>
        <v>N2-A220-M15</v>
      </c>
      <c r="DB16" t="str">
        <f t="shared" si="269"/>
        <v>N2-M15-XM01</v>
      </c>
      <c r="DC16" t="str">
        <f t="shared" si="270"/>
        <v>N2-M15-A1</v>
      </c>
      <c r="DD16" t="str">
        <f t="shared" si="271"/>
        <v>N2-M15-A5</v>
      </c>
      <c r="DE16" t="str">
        <f t="shared" si="272"/>
        <v>N2-M15-A11</v>
      </c>
      <c r="DF16" t="str">
        <f t="shared" si="273"/>
        <v>N2-M15-A12</v>
      </c>
      <c r="DG16" t="str">
        <f>CONCATENATE($T16,"-M",$U16,"-A19")</f>
        <v>N2-M15-A19</v>
      </c>
      <c r="DH16" t="str">
        <f>CONCATENATE($T16,"-M",$U16,"-A20")</f>
        <v>N2-M15-A20</v>
      </c>
      <c r="DI16" t="s">
        <v>133</v>
      </c>
      <c r="DJ16" t="s">
        <v>134</v>
      </c>
      <c r="DK16">
        <v>11</v>
      </c>
      <c r="DL16">
        <v>14</v>
      </c>
      <c r="DM16">
        <v>12</v>
      </c>
      <c r="DN16" t="s">
        <v>135</v>
      </c>
      <c r="DO16" t="s">
        <v>136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4">
        <v>24</v>
      </c>
    </row>
    <row r="17" spans="1:773" x14ac:dyDescent="0.25">
      <c r="A17" s="41" t="s">
        <v>685</v>
      </c>
      <c r="B17" t="s">
        <v>482</v>
      </c>
      <c r="C17" s="3"/>
      <c r="O17" s="2"/>
      <c r="P17" t="s">
        <v>454</v>
      </c>
      <c r="Q17" s="1"/>
      <c r="S17" s="1" t="s">
        <v>127</v>
      </c>
      <c r="T17" s="12" t="s">
        <v>444</v>
      </c>
      <c r="U17" s="38">
        <f t="shared" si="310"/>
        <v>16</v>
      </c>
      <c r="V17" s="13" t="s">
        <v>478</v>
      </c>
      <c r="W17" s="13"/>
      <c r="AC17" t="str">
        <f t="shared" si="343"/>
        <v>A5.3</v>
      </c>
      <c r="AD17" s="34" cm="1">
        <f t="array" ref="AD17">IF(COUNTIFS(AC$2:AC17,AC17)=1,"1",VALUE(SUBSTITUTE(INDEX(AD:AD,_xlfn.XMATCH(AC17,AC$1:AC16,0,-1)),"A",""))+INDEX(AE:AE,_xlfn.XMATCH(AC17,AC$1:AC16,0,-1))+1)</f>
        <v>21</v>
      </c>
      <c r="AE17" s="34" cm="1">
        <f t="array" ref="AE17">SUM(IF(ISNUMBER(FIND("TmDi",$BE$1:$AAL$1)),IF(IFERROR(ISNUMBER(VALUE(SUBSTITUTE($BE17:$AAL17,"B",""))),FALSE),IF(ISNUMBER(VALUE(SUBSTITUTE($BE17:$AAL17,"B",""))),1,0),0)))</f>
        <v>3</v>
      </c>
      <c r="AF17" t="str">
        <f t="shared" si="0"/>
        <v>C21</v>
      </c>
      <c r="AG17" t="str">
        <f t="shared" si="1"/>
        <v>B21</v>
      </c>
      <c r="AH17" t="str">
        <f t="shared" ref="AH17:AH18" si="345">IF(AI16+AJ16&gt;27,REPLACE(AH16,LEN(AH16),1,VALUE(RIGHT(AH16,1))+1),AH16)</f>
        <v>A6.2</v>
      </c>
      <c r="AI17" s="46" cm="1">
        <f t="array" ref="AI17">IF(COUNTIFS(AH$2:AH17,AH17)=1,"1",VALUE(SUBSTITUTE(INDEX(AI:AI,_xlfn.XMATCH(AH17,AH$1:AH16,0,-1)),"A",""))+INDEX(AJ:AJ,_xlfn.XMATCH(AH17,AH$1:AH16,0,-1))+1)</f>
        <v>16</v>
      </c>
      <c r="AJ17" s="39" cm="1">
        <f t="array" ref="AJ17">SUM(IF(ISNUMBER(FIND("TmDo",$BE$1:$AAL$1)),IF(IFERROR(ISNUMBER(VALUE(SUBSTITUTE($BE17:$AAL17,"B",""))),FALSE),IF(ISNUMBER(VALUE(SUBSTITUTE($BE17:$AAL17,"B",""))),1,0),0)))</f>
        <v>2</v>
      </c>
      <c r="AK17" t="str">
        <f t="shared" si="2"/>
        <v>16A</v>
      </c>
      <c r="AL17" t="str">
        <f t="shared" si="3"/>
        <v>16B</v>
      </c>
      <c r="AM17" t="s">
        <v>142</v>
      </c>
      <c r="AP17" t="s">
        <v>446</v>
      </c>
      <c r="AQ17" t="s">
        <v>467</v>
      </c>
      <c r="AT17" t="s">
        <v>130</v>
      </c>
      <c r="AU17" t="s">
        <v>131</v>
      </c>
      <c r="BD17" s="14"/>
      <c r="BE17" s="22" t="str">
        <f t="shared" si="313"/>
        <v>XT16</v>
      </c>
      <c r="BF17" t="str">
        <f t="shared" si="314"/>
        <v>C22</v>
      </c>
      <c r="BG17" t="str">
        <f t="shared" si="315"/>
        <v>B22</v>
      </c>
      <c r="BH17" t="str">
        <f t="shared" si="316"/>
        <v>C23</v>
      </c>
      <c r="BI17" t="str">
        <f t="shared" si="317"/>
        <v>B23</v>
      </c>
      <c r="BJ17" t="str">
        <f t="shared" si="318"/>
        <v>C24</v>
      </c>
      <c r="BK17" t="str">
        <f t="shared" si="319"/>
        <v>B24</v>
      </c>
      <c r="BP17" t="str">
        <f t="shared" si="231"/>
        <v>17A</v>
      </c>
      <c r="BQ17" t="str">
        <f t="shared" si="232"/>
        <v>17B</v>
      </c>
      <c r="BR17" t="str">
        <f t="shared" si="233"/>
        <v>18A</v>
      </c>
      <c r="BS17" t="str">
        <f t="shared" si="234"/>
        <v>18B</v>
      </c>
      <c r="BT17" t="str">
        <f t="shared" si="324"/>
        <v>DI3-C21</v>
      </c>
      <c r="BU17" t="str">
        <f t="shared" si="325"/>
        <v>DI3-B21</v>
      </c>
      <c r="BV17" t="str">
        <f t="shared" si="326"/>
        <v>DI3-C22</v>
      </c>
      <c r="BW17" t="str">
        <f t="shared" si="327"/>
        <v>DI3-B22</v>
      </c>
      <c r="BX17" t="str">
        <f t="shared" si="328"/>
        <v>DI3-C23</v>
      </c>
      <c r="BY17" t="str">
        <f t="shared" si="329"/>
        <v>DI3-B23</v>
      </c>
      <c r="BZ17" t="str">
        <f t="shared" si="330"/>
        <v>DI3-C24</v>
      </c>
      <c r="CA17" t="str">
        <f t="shared" si="331"/>
        <v>DI3-B24</v>
      </c>
      <c r="CB17" t="str">
        <f t="shared" si="332"/>
        <v>DI3-</v>
      </c>
      <c r="CC17" t="str">
        <f t="shared" si="333"/>
        <v>DI3-</v>
      </c>
      <c r="CD17" t="str">
        <f t="shared" si="334"/>
        <v>DI3-</v>
      </c>
      <c r="CE17" t="str">
        <f t="shared" si="335"/>
        <v>DI3-</v>
      </c>
      <c r="CF17" t="str">
        <f t="shared" si="336"/>
        <v>DO2-16A</v>
      </c>
      <c r="CG17" t="str">
        <f t="shared" si="337"/>
        <v>DO2-16B</v>
      </c>
      <c r="CH17" t="str">
        <f t="shared" si="338"/>
        <v>DO2-17A</v>
      </c>
      <c r="CI17" t="str">
        <f t="shared" si="339"/>
        <v>DO2-17B</v>
      </c>
      <c r="CJ17" t="str">
        <f t="shared" si="340"/>
        <v>DO2-18A</v>
      </c>
      <c r="CK17" t="str">
        <f t="shared" si="341"/>
        <v>DO2-18B</v>
      </c>
      <c r="CL17" t="str">
        <f t="shared" si="253"/>
        <v>K16-10</v>
      </c>
      <c r="CM17" t="str">
        <f t="shared" si="254"/>
        <v>K16-03</v>
      </c>
      <c r="CN17" t="str">
        <f t="shared" si="255"/>
        <v>K16-04</v>
      </c>
      <c r="CO17" t="str">
        <f t="shared" si="256"/>
        <v>K16-01</v>
      </c>
      <c r="CP17" t="str">
        <f t="shared" si="257"/>
        <v>K16-08</v>
      </c>
      <c r="CQ17" t="str">
        <f t="shared" si="258"/>
        <v>K16-02</v>
      </c>
      <c r="CR17" t="str">
        <f t="shared" si="259"/>
        <v>K16-09</v>
      </c>
      <c r="CS17" t="str">
        <f t="shared" si="260"/>
        <v>K16-05</v>
      </c>
      <c r="CT17" t="str">
        <f t="shared" si="261"/>
        <v>K16-11</v>
      </c>
      <c r="CU17" t="str">
        <f t="shared" si="262"/>
        <v>N2-M16-A9</v>
      </c>
      <c r="CV17" t="str">
        <f t="shared" si="263"/>
        <v>N2-M16-A7</v>
      </c>
      <c r="CW17" t="str">
        <f t="shared" si="264"/>
        <v>N2-M16-A8</v>
      </c>
      <c r="CX17" t="str">
        <f t="shared" si="265"/>
        <v>N2-M16-A6</v>
      </c>
      <c r="CY17" t="str">
        <f t="shared" si="266"/>
        <v>N2-M16-A30</v>
      </c>
      <c r="CZ17" t="str">
        <f t="shared" si="267"/>
        <v>N2-M16-N</v>
      </c>
      <c r="DA17" t="str">
        <f t="shared" si="342"/>
        <v>N2-A220-M16</v>
      </c>
      <c r="DB17" t="str">
        <f t="shared" si="269"/>
        <v>N2-M16-XM01</v>
      </c>
      <c r="DC17" t="str">
        <f t="shared" si="270"/>
        <v>N2-M16-A1</v>
      </c>
      <c r="DD17" t="str">
        <f t="shared" si="271"/>
        <v>N2-M16-A5</v>
      </c>
      <c r="DE17" t="str">
        <f t="shared" si="272"/>
        <v>N2-M16-A11</v>
      </c>
      <c r="DF17" t="str">
        <f t="shared" si="273"/>
        <v>N2-M16-A12</v>
      </c>
      <c r="DG17" t="str">
        <f>CONCATENATE($T17,"-M",$U17,"-A19")</f>
        <v>N2-M16-A19</v>
      </c>
      <c r="DH17" t="str">
        <f>CONCATENATE($T17,"-M",$U17,"-A20")</f>
        <v>N2-M16-A20</v>
      </c>
      <c r="DI17" t="s">
        <v>133</v>
      </c>
      <c r="DJ17" t="s">
        <v>134</v>
      </c>
      <c r="DK17">
        <v>11</v>
      </c>
      <c r="DL17">
        <v>14</v>
      </c>
      <c r="DM17">
        <v>12</v>
      </c>
      <c r="DN17" t="s">
        <v>135</v>
      </c>
      <c r="DO17" t="s">
        <v>136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15</v>
      </c>
      <c r="EM17">
        <v>16</v>
      </c>
      <c r="EN17">
        <v>16</v>
      </c>
      <c r="EO17">
        <v>22</v>
      </c>
      <c r="EP17">
        <v>23</v>
      </c>
      <c r="EQ17" s="14">
        <v>24</v>
      </c>
    </row>
    <row r="18" spans="1:773" ht="15.75" thickBot="1" x14ac:dyDescent="0.3">
      <c r="A18" s="41" t="s">
        <v>686</v>
      </c>
      <c r="B18" t="s">
        <v>483</v>
      </c>
      <c r="C18" s="3"/>
      <c r="O18" s="2"/>
      <c r="P18" t="s">
        <v>454</v>
      </c>
      <c r="Q18" s="1"/>
      <c r="S18" s="1" t="s">
        <v>127</v>
      </c>
      <c r="T18" s="12" t="s">
        <v>444</v>
      </c>
      <c r="U18" s="38">
        <f t="shared" si="310"/>
        <v>17</v>
      </c>
      <c r="V18" s="13" t="s">
        <v>479</v>
      </c>
      <c r="W18" s="13"/>
      <c r="AC18" t="str">
        <f t="shared" si="343"/>
        <v>A5.3</v>
      </c>
      <c r="AD18" s="34" cm="1">
        <f t="array" ref="AD18">IF(COUNTIFS(AC$2:AC18,AC18)=1,"1",VALUE(SUBSTITUTE(INDEX(AD:AD,_xlfn.XMATCH(AC18,AC$1:AC17,0,-1)),"A",""))+INDEX(AE:AE,_xlfn.XMATCH(AC18,AC$1:AC17,0,-1))+1)</f>
        <v>25</v>
      </c>
      <c r="AE18" s="34" cm="1">
        <f t="array" ref="AE18">SUM(IF(ISNUMBER(FIND("TmDi",$BE$1:$AAL$1)),IF(IFERROR(ISNUMBER(VALUE(SUBSTITUTE($BE18:$AAL18,"B",""))),FALSE),IF(ISNUMBER(VALUE(SUBSTITUTE($BE18:$AAL18,"B",""))),1,0),0)))</f>
        <v>3</v>
      </c>
      <c r="AF18" t="str">
        <f t="shared" si="0"/>
        <v>C25</v>
      </c>
      <c r="AG18" t="str">
        <f t="shared" si="1"/>
        <v>B25</v>
      </c>
      <c r="AH18" t="str">
        <f t="shared" si="345"/>
        <v>A6.2</v>
      </c>
      <c r="AI18" s="46" cm="1">
        <f t="array" ref="AI18">IF(COUNTIFS(AH$2:AH18,AH18)=1,"1",VALUE(SUBSTITUTE(INDEX(AI:AI,_xlfn.XMATCH(AH18,AH$1:AH17,0,-1)),"A",""))+INDEX(AJ:AJ,_xlfn.XMATCH(AH18,AH$1:AH17,0,-1))+1)</f>
        <v>19</v>
      </c>
      <c r="AJ18" s="39" cm="1">
        <f t="array" ref="AJ18">SUM(IF(ISNUMBER(FIND("TmDo",$BE$1:$AAL$1)),IF(IFERROR(ISNUMBER(VALUE(SUBSTITUTE($BE18:$AAL18,"B",""))),FALSE),IF(ISNUMBER(VALUE(SUBSTITUTE($BE18:$AAL18,"B",""))),1,0),0)))</f>
        <v>2</v>
      </c>
      <c r="AK18" t="str">
        <f t="shared" si="2"/>
        <v>19A</v>
      </c>
      <c r="AL18" t="str">
        <f t="shared" si="3"/>
        <v>19B</v>
      </c>
      <c r="AM18" t="s">
        <v>143</v>
      </c>
      <c r="AP18" t="s">
        <v>446</v>
      </c>
      <c r="AQ18" t="s">
        <v>467</v>
      </c>
      <c r="AT18" t="s">
        <v>130</v>
      </c>
      <c r="AU18" t="s">
        <v>131</v>
      </c>
      <c r="BD18" s="14"/>
      <c r="BE18" s="22" t="str">
        <f t="shared" si="313"/>
        <v>XT17</v>
      </c>
      <c r="BF18" t="str">
        <f>CONCATENATE("C",REPLACE($AF18,1,1,"")+1)</f>
        <v>C26</v>
      </c>
      <c r="BG18" t="str">
        <f>CONCATENATE("B",REPLACE($AG18,1,1,"")+1)</f>
        <v>B26</v>
      </c>
      <c r="BH18" t="str">
        <f t="shared" si="316"/>
        <v>C27</v>
      </c>
      <c r="BI18" t="str">
        <f t="shared" si="317"/>
        <v>B27</v>
      </c>
      <c r="BJ18" t="str">
        <f t="shared" si="318"/>
        <v>C28</v>
      </c>
      <c r="BK18" t="str">
        <f t="shared" si="319"/>
        <v>B28</v>
      </c>
      <c r="BP18" t="str">
        <f>CONCATENATE(REPLACE($AK18,LEN($AK18),1,"")+1,"A")</f>
        <v>20A</v>
      </c>
      <c r="BQ18" t="str">
        <f>CONCATENATE(REPLACE($AL18,LEN($AL18),1,"")+1,"B")</f>
        <v>20B</v>
      </c>
      <c r="BR18" t="str">
        <f t="shared" si="233"/>
        <v>21A</v>
      </c>
      <c r="BS18" t="str">
        <f t="shared" si="234"/>
        <v>21B</v>
      </c>
      <c r="BT18" t="str">
        <f>CONCATENATE("DI",REPLACE($AC18,1,3,""),"-",$AF18)</f>
        <v>DI3-C25</v>
      </c>
      <c r="BU18" t="str">
        <f>CONCATENATE("DI",REPLACE($AC18,1,3,""),"-",$AG18)</f>
        <v>DI3-B25</v>
      </c>
      <c r="BV18" t="str">
        <f t="shared" si="326"/>
        <v>DI3-C26</v>
      </c>
      <c r="BW18" t="str">
        <f t="shared" si="327"/>
        <v>DI3-B26</v>
      </c>
      <c r="BX18" t="str">
        <f t="shared" si="328"/>
        <v>DI3-C27</v>
      </c>
      <c r="BY18" t="str">
        <f t="shared" si="329"/>
        <v>DI3-B27</v>
      </c>
      <c r="BZ18" t="str">
        <f t="shared" si="330"/>
        <v>DI3-C28</v>
      </c>
      <c r="CA18" t="str">
        <f t="shared" si="331"/>
        <v>DI3-B28</v>
      </c>
      <c r="CB18" t="str">
        <f t="shared" si="332"/>
        <v>DI3-</v>
      </c>
      <c r="CC18" t="str">
        <f t="shared" si="333"/>
        <v>DI3-</v>
      </c>
      <c r="CD18" t="str">
        <f t="shared" si="334"/>
        <v>DI3-</v>
      </c>
      <c r="CE18" t="str">
        <f t="shared" si="335"/>
        <v>DI3-</v>
      </c>
      <c r="CF18" t="str">
        <f t="shared" si="336"/>
        <v>DO2-19A</v>
      </c>
      <c r="CG18" t="str">
        <f t="shared" si="337"/>
        <v>DO2-19B</v>
      </c>
      <c r="CH18" t="str">
        <f t="shared" si="338"/>
        <v>DO2-20A</v>
      </c>
      <c r="CI18" t="str">
        <f t="shared" si="339"/>
        <v>DO2-20B</v>
      </c>
      <c r="CJ18" t="str">
        <f t="shared" si="340"/>
        <v>DO2-21A</v>
      </c>
      <c r="CK18" t="str">
        <f t="shared" si="341"/>
        <v>DO2-21B</v>
      </c>
      <c r="CL18" t="str">
        <f t="shared" si="253"/>
        <v>K17-10</v>
      </c>
      <c r="CM18" t="str">
        <f t="shared" si="254"/>
        <v>K17-03</v>
      </c>
      <c r="CN18" t="str">
        <f t="shared" si="255"/>
        <v>K17-04</v>
      </c>
      <c r="CO18" t="str">
        <f t="shared" si="256"/>
        <v>K17-01</v>
      </c>
      <c r="CP18" t="str">
        <f t="shared" si="257"/>
        <v>K17-08</v>
      </c>
      <c r="CQ18" t="str">
        <f t="shared" si="258"/>
        <v>K17-02</v>
      </c>
      <c r="CR18" t="str">
        <f t="shared" si="259"/>
        <v>K17-09</v>
      </c>
      <c r="CS18" t="str">
        <f t="shared" si="260"/>
        <v>K17-05</v>
      </c>
      <c r="CT18" t="str">
        <f t="shared" si="261"/>
        <v>K17-11</v>
      </c>
      <c r="CU18" t="str">
        <f t="shared" si="262"/>
        <v>N2-M17-A9</v>
      </c>
      <c r="CV18" t="str">
        <f t="shared" si="263"/>
        <v>N2-M17-A7</v>
      </c>
      <c r="CW18" t="str">
        <f t="shared" si="264"/>
        <v>N2-M17-A8</v>
      </c>
      <c r="CX18" t="str">
        <f t="shared" si="265"/>
        <v>N2-M17-A6</v>
      </c>
      <c r="CY18" t="str">
        <f t="shared" si="266"/>
        <v>N2-M17-A30</v>
      </c>
      <c r="CZ18" t="str">
        <f t="shared" si="267"/>
        <v>N2-M17-N</v>
      </c>
      <c r="DA18" t="str">
        <f t="shared" si="342"/>
        <v>N2-A220-M17</v>
      </c>
      <c r="DB18" t="str">
        <f t="shared" si="269"/>
        <v>N2-M17-XM01</v>
      </c>
      <c r="DC18" t="str">
        <f t="shared" si="270"/>
        <v>N2-M17-A1</v>
      </c>
      <c r="DD18" t="str">
        <f t="shared" si="271"/>
        <v>N2-M17-A5</v>
      </c>
      <c r="DE18" t="str">
        <f t="shared" si="272"/>
        <v>N2-M17-A11</v>
      </c>
      <c r="DF18" t="str">
        <f t="shared" si="273"/>
        <v>N2-M17-A12</v>
      </c>
      <c r="DG18" t="str">
        <f>CONCATENATE($T18,"-M",$U18,"-A19")</f>
        <v>N2-M17-A19</v>
      </c>
      <c r="DH18" t="str">
        <f>CONCATENATE($T18,"-M",$U18,"-A20")</f>
        <v>N2-M17-A20</v>
      </c>
      <c r="DI18" t="s">
        <v>133</v>
      </c>
      <c r="DJ18" t="s">
        <v>134</v>
      </c>
      <c r="DK18">
        <v>11</v>
      </c>
      <c r="DL18">
        <v>14</v>
      </c>
      <c r="DM18">
        <v>12</v>
      </c>
      <c r="DN18" t="s">
        <v>135</v>
      </c>
      <c r="DO18" t="s">
        <v>136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15</v>
      </c>
      <c r="EM18">
        <v>16</v>
      </c>
      <c r="EN18">
        <v>16</v>
      </c>
      <c r="EO18">
        <v>22</v>
      </c>
      <c r="EP18">
        <v>23</v>
      </c>
      <c r="EQ18" s="14">
        <v>24</v>
      </c>
    </row>
    <row r="19" spans="1:773" x14ac:dyDescent="0.25">
      <c r="A19" t="s">
        <v>690</v>
      </c>
      <c r="B19" t="s">
        <v>485</v>
      </c>
      <c r="C19" t="s">
        <v>196</v>
      </c>
      <c r="P19" t="s">
        <v>189</v>
      </c>
      <c r="T19" s="12" t="s">
        <v>444</v>
      </c>
      <c r="U19">
        <v>18</v>
      </c>
      <c r="V19" s="13" t="s">
        <v>484</v>
      </c>
      <c r="X19" t="s">
        <v>424</v>
      </c>
      <c r="Y19" s="34" t="str" cm="1">
        <f t="array" ref="Y19">IF(COUNTIFS($X$2:$X19,$X19)=1,"1",VALUE(SUBSTITUTE(INDEX(Y:Y,_xlfn.XMATCH($X19,$X$1:$X18,0,-1)),"A",""))+INDEX(Z:Z,_xlfn.XMATCH($X19,$X$1:$X18,0,-1))+1)</f>
        <v>1</v>
      </c>
      <c r="Z19" s="34" cm="1">
        <f t="array" ref="Z19">SUM(IF(ISNUMBER(FIND("TmAi",$BE$1:$AAL$1)),IF(IFERROR(ISODD(SUBSTITUTE($BE19:$AAL19,"A","")),FALSE),IF(ISODD(SUBSTITUTE($BE19:$AAL19,"A","")),1,0),0)))</f>
        <v>0</v>
      </c>
      <c r="AA19" t="str">
        <f t="shared" ref="AA19:AA31" si="346">CONCATENATE($Y19*2-1,"B")</f>
        <v>1B</v>
      </c>
      <c r="AB19" t="str">
        <f t="shared" ref="AB19:AB31" si="347">CONCATENATE($Y19*2,"B")</f>
        <v>2B</v>
      </c>
      <c r="AP19" t="s">
        <v>446</v>
      </c>
      <c r="AS19" t="s">
        <v>169</v>
      </c>
      <c r="JZ19" s="20" t="str">
        <f t="shared" ref="JZ19" si="348">CONCATENATE("XT",U19)</f>
        <v>XT18</v>
      </c>
      <c r="KA19" s="10"/>
      <c r="KB19" s="10"/>
      <c r="KC19" s="10" t="str">
        <f t="shared" ref="KC19" si="349">CONCATENATE(T19,"-AI",REPLACE($X19,1,3,""),"-",AA19)</f>
        <v>N2-AI2-1B</v>
      </c>
      <c r="KD19" s="10" t="str">
        <f t="shared" ref="KD19" si="350">CONCATENATE(T19,"-AI",REPLACE($X19,1,3,""),"-",AB19)</f>
        <v>N2-AI2-2B</v>
      </c>
      <c r="KE19" s="10"/>
      <c r="KF19" s="10"/>
      <c r="KG19" s="10"/>
      <c r="KH19" s="10"/>
      <c r="KI19" s="10" cm="1">
        <f t="array" ref="KI19">IF(COUNTIFS($U$2:$U19,$U19)=1,1,INDEX(KI:KI,_xlfn.XMATCH(U19,U$1:U18,0,-1))+COUNT(KI18:KM18))</f>
        <v>1</v>
      </c>
      <c r="KJ19" s="10">
        <f t="shared" ref="KJ19" si="351">KI19+1</f>
        <v>2</v>
      </c>
      <c r="KK19" s="10">
        <f t="shared" ref="KK19" si="352">KJ19+1</f>
        <v>3</v>
      </c>
      <c r="KL19" s="10"/>
      <c r="KM19" s="10"/>
      <c r="KN19" s="10">
        <v>1</v>
      </c>
      <c r="KO19" s="10">
        <v>2</v>
      </c>
      <c r="KP19" s="10"/>
      <c r="KQ19" s="10"/>
      <c r="KR19" s="10"/>
      <c r="KS19" s="11"/>
    </row>
    <row r="20" spans="1:773" x14ac:dyDescent="0.25">
      <c r="A20" t="s">
        <v>691</v>
      </c>
      <c r="B20" t="s">
        <v>486</v>
      </c>
      <c r="C20" t="s">
        <v>196</v>
      </c>
      <c r="P20" t="s">
        <v>189</v>
      </c>
      <c r="T20" s="12" t="s">
        <v>444</v>
      </c>
      <c r="U20">
        <v>18</v>
      </c>
      <c r="V20" s="13" t="s">
        <v>487</v>
      </c>
      <c r="X20" t="str">
        <f>IF(COUNTIF(X$2:X19,X19)&gt;7,REPLACE(X19,LEN(X19),1,VALUE(RIGHT(X19,1))+1),X19)</f>
        <v>A3.2</v>
      </c>
      <c r="Y20" s="34" cm="1">
        <f t="array" ref="Y20">IF(COUNTIFS($X$2:$X20,$X20)=1,"1",VALUE(SUBSTITUTE(INDEX(Y:Y,_xlfn.XMATCH($X20,$X$1:$X19,0,-1)),"A",""))+INDEX(Z:Z,_xlfn.XMATCH($X20,$X$1:$X19,0,-1))+1)</f>
        <v>2</v>
      </c>
      <c r="Z20" s="34" cm="1">
        <f t="array" ref="Z20">SUM(IF(ISNUMBER(FIND("TmAi",$BE$1:$AAL$1)),IF(IFERROR(ISODD(SUBSTITUTE($BE20:$AAL20,"A","")),FALSE),IF(ISODD(SUBSTITUTE($BE20:$AAL20,"A","")),1,0),0)))</f>
        <v>0</v>
      </c>
      <c r="AA20" t="str">
        <f t="shared" si="346"/>
        <v>3B</v>
      </c>
      <c r="AB20" t="str">
        <f t="shared" si="347"/>
        <v>4B</v>
      </c>
      <c r="AP20" t="s">
        <v>446</v>
      </c>
      <c r="AS20" t="s">
        <v>169</v>
      </c>
      <c r="JZ20" s="22" t="str">
        <f t="shared" ref="JZ20:JZ29" si="353">CONCATENATE("XT",U20)</f>
        <v>XT18</v>
      </c>
      <c r="KC20" t="str">
        <f t="shared" ref="KC20:KC29" si="354">CONCATENATE(T20,"-AI",REPLACE($X20,1,3,""),"-",AA20)</f>
        <v>N2-AI2-3B</v>
      </c>
      <c r="KD20" t="str">
        <f t="shared" ref="KD20:KD29" si="355">CONCATENATE(T20,"-AI",REPLACE($X20,1,3,""),"-",AB20)</f>
        <v>N2-AI2-4B</v>
      </c>
      <c r="KI20" cm="1">
        <f t="array" ref="KI20">IF(COUNTIFS($U$2:$U20,$U20)=1,1,INDEX(KI:KI,_xlfn.XMATCH(U20,U$1:U19,0,-1))+COUNT(KI19:KM19))</f>
        <v>4</v>
      </c>
      <c r="KJ20">
        <f t="shared" ref="KJ20:KJ29" si="356">KI20+1</f>
        <v>5</v>
      </c>
      <c r="KK20">
        <f t="shared" ref="KK20:KK29" si="357">KJ20+1</f>
        <v>6</v>
      </c>
      <c r="KN20">
        <v>1</v>
      </c>
      <c r="KO20">
        <v>2</v>
      </c>
      <c r="KS20" s="14"/>
    </row>
    <row r="21" spans="1:773" x14ac:dyDescent="0.25">
      <c r="A21" t="s">
        <v>692</v>
      </c>
      <c r="B21" t="s">
        <v>488</v>
      </c>
      <c r="C21" t="s">
        <v>196</v>
      </c>
      <c r="P21" t="s">
        <v>189</v>
      </c>
      <c r="T21" s="12" t="s">
        <v>444</v>
      </c>
      <c r="U21">
        <v>18</v>
      </c>
      <c r="V21" s="13" t="s">
        <v>490</v>
      </c>
      <c r="X21" t="str">
        <f>IF(COUNTIF(X$2:X20,X20)&gt;7,REPLACE(X20,LEN(X20),1,VALUE(RIGHT(X20,1))+1),X20)</f>
        <v>A3.2</v>
      </c>
      <c r="Y21" s="34" cm="1">
        <f t="array" ref="Y21">IF(COUNTIFS($X$2:$X21,$X21)=1,"1",VALUE(SUBSTITUTE(INDEX(Y:Y,_xlfn.XMATCH($X21,$X$1:$X20,0,-1)),"A",""))+INDEX(Z:Z,_xlfn.XMATCH($X21,$X$1:$X20,0,-1))+1)</f>
        <v>3</v>
      </c>
      <c r="Z21" s="34" cm="1">
        <f t="array" ref="Z21">SUM(IF(ISNUMBER(FIND("TmAi",$BE$1:$AAL$1)),IF(IFERROR(ISODD(SUBSTITUTE($BE21:$AAL21,"A","")),FALSE),IF(ISODD(SUBSTITUTE($BE21:$AAL21,"A","")),1,0),0)))</f>
        <v>0</v>
      </c>
      <c r="AA21" t="str">
        <f t="shared" si="346"/>
        <v>5B</v>
      </c>
      <c r="AB21" t="str">
        <f t="shared" si="347"/>
        <v>6B</v>
      </c>
      <c r="AP21" t="s">
        <v>446</v>
      </c>
      <c r="AS21" t="s">
        <v>169</v>
      </c>
      <c r="JZ21" s="22" t="str">
        <f t="shared" si="353"/>
        <v>XT18</v>
      </c>
      <c r="KC21" t="str">
        <f t="shared" si="354"/>
        <v>N2-AI2-5B</v>
      </c>
      <c r="KD21" t="str">
        <f t="shared" si="355"/>
        <v>N2-AI2-6B</v>
      </c>
      <c r="KI21" cm="1">
        <f t="array" ref="KI21">IF(COUNTIFS($U$2:$U21,$U21)=1,1,INDEX(KI:KI,_xlfn.XMATCH(U21,U$1:U20,0,-1))+COUNT(KI20:KM20))</f>
        <v>7</v>
      </c>
      <c r="KJ21">
        <f t="shared" si="356"/>
        <v>8</v>
      </c>
      <c r="KK21">
        <f t="shared" si="357"/>
        <v>9</v>
      </c>
      <c r="KN21">
        <v>1</v>
      </c>
      <c r="KO21">
        <v>2</v>
      </c>
      <c r="KS21" s="14"/>
    </row>
    <row r="22" spans="1:773" x14ac:dyDescent="0.25">
      <c r="A22" t="s">
        <v>693</v>
      </c>
      <c r="B22" t="s">
        <v>489</v>
      </c>
      <c r="C22" t="s">
        <v>196</v>
      </c>
      <c r="P22" t="s">
        <v>189</v>
      </c>
      <c r="T22" s="12" t="s">
        <v>444</v>
      </c>
      <c r="U22">
        <v>18</v>
      </c>
      <c r="V22" s="13" t="s">
        <v>491</v>
      </c>
      <c r="X22" t="str">
        <f>IF(COUNTIF(X$2:X21,X21)&gt;7,REPLACE(X21,LEN(X21),1,VALUE(RIGHT(X21,1))+1),X21)</f>
        <v>A3.2</v>
      </c>
      <c r="Y22" s="34" cm="1">
        <f t="array" ref="Y22">IF(COUNTIFS($X$2:$X22,$X22)=1,"1",VALUE(SUBSTITUTE(INDEX(Y:Y,_xlfn.XMATCH($X22,$X$1:$X21,0,-1)),"A",""))+INDEX(Z:Z,_xlfn.XMATCH($X22,$X$1:$X21,0,-1))+1)</f>
        <v>4</v>
      </c>
      <c r="Z22" s="34" cm="1">
        <f t="array" ref="Z22">SUM(IF(ISNUMBER(FIND("TmAi",$BE$1:$AAL$1)),IF(IFERROR(ISODD(SUBSTITUTE($BE22:$AAL22,"A","")),FALSE),IF(ISODD(SUBSTITUTE($BE22:$AAL22,"A","")),1,0),0)))</f>
        <v>0</v>
      </c>
      <c r="AA22" t="str">
        <f t="shared" si="346"/>
        <v>7B</v>
      </c>
      <c r="AB22" t="str">
        <f t="shared" si="347"/>
        <v>8B</v>
      </c>
      <c r="AP22" t="s">
        <v>446</v>
      </c>
      <c r="AS22" t="s">
        <v>169</v>
      </c>
      <c r="JZ22" s="22" t="str">
        <f t="shared" si="353"/>
        <v>XT18</v>
      </c>
      <c r="KC22" t="str">
        <f t="shared" si="354"/>
        <v>N2-AI2-7B</v>
      </c>
      <c r="KD22" t="str">
        <f t="shared" si="355"/>
        <v>N2-AI2-8B</v>
      </c>
      <c r="KI22" cm="1">
        <f t="array" ref="KI22">IF(COUNTIFS($U$2:$U22,$U22)=1,1,INDEX(KI:KI,_xlfn.XMATCH(U22,U$1:U21,0,-1))+COUNT(KI21:KM21))</f>
        <v>10</v>
      </c>
      <c r="KJ22">
        <f t="shared" si="356"/>
        <v>11</v>
      </c>
      <c r="KK22">
        <f t="shared" si="357"/>
        <v>12</v>
      </c>
      <c r="KN22">
        <v>1</v>
      </c>
      <c r="KO22">
        <v>2</v>
      </c>
      <c r="KS22" s="14"/>
    </row>
    <row r="23" spans="1:773" x14ac:dyDescent="0.25">
      <c r="A23" t="s">
        <v>694</v>
      </c>
      <c r="B23" t="s">
        <v>494</v>
      </c>
      <c r="C23" t="s">
        <v>196</v>
      </c>
      <c r="P23" t="s">
        <v>189</v>
      </c>
      <c r="T23" s="12" t="s">
        <v>444</v>
      </c>
      <c r="U23">
        <v>18</v>
      </c>
      <c r="V23" s="13" t="s">
        <v>492</v>
      </c>
      <c r="X23" t="str">
        <f>IF(COUNTIF(X$2:X22,X22)&gt;7,REPLACE(X22,LEN(X22),1,VALUE(RIGHT(X22,1))+1),X22)</f>
        <v>A3.2</v>
      </c>
      <c r="Y23" s="34" cm="1">
        <f t="array" ref="Y23">IF(COUNTIFS($X$2:$X23,$X23)=1,"1",VALUE(SUBSTITUTE(INDEX(Y:Y,_xlfn.XMATCH($X23,$X$1:$X22,0,-1)),"A",""))+INDEX(Z:Z,_xlfn.XMATCH($X23,$X$1:$X22,0,-1))+1)</f>
        <v>5</v>
      </c>
      <c r="Z23" s="34" cm="1">
        <f t="array" ref="Z23">SUM(IF(ISNUMBER(FIND("TmAi",$BE$1:$AAL$1)),IF(IFERROR(ISODD(SUBSTITUTE($BE23:$AAL23,"A","")),FALSE),IF(ISODD(SUBSTITUTE($BE23:$AAL23,"A","")),1,0),0)))</f>
        <v>0</v>
      </c>
      <c r="AA23" t="str">
        <f t="shared" si="346"/>
        <v>9B</v>
      </c>
      <c r="AB23" t="str">
        <f t="shared" si="347"/>
        <v>10B</v>
      </c>
      <c r="AP23" t="s">
        <v>446</v>
      </c>
      <c r="AS23" t="s">
        <v>169</v>
      </c>
      <c r="JZ23" s="22" t="str">
        <f t="shared" si="353"/>
        <v>XT18</v>
      </c>
      <c r="KC23" t="str">
        <f t="shared" si="354"/>
        <v>N2-AI2-9B</v>
      </c>
      <c r="KD23" t="str">
        <f t="shared" si="355"/>
        <v>N2-AI2-10B</v>
      </c>
      <c r="KI23" cm="1">
        <f t="array" ref="KI23">IF(COUNTIFS($U$2:$U23,$U23)=1,1,INDEX(KI:KI,_xlfn.XMATCH(U23,U$1:U22,0,-1))+COUNT(KI22:KM22))</f>
        <v>13</v>
      </c>
      <c r="KJ23">
        <f t="shared" si="356"/>
        <v>14</v>
      </c>
      <c r="KK23">
        <f t="shared" si="357"/>
        <v>15</v>
      </c>
      <c r="KN23">
        <v>1</v>
      </c>
      <c r="KO23">
        <v>2</v>
      </c>
      <c r="KS23" s="14"/>
    </row>
    <row r="24" spans="1:773" x14ac:dyDescent="0.25">
      <c r="A24" t="s">
        <v>695</v>
      </c>
      <c r="B24" t="s">
        <v>495</v>
      </c>
      <c r="C24" t="s">
        <v>196</v>
      </c>
      <c r="P24" t="s">
        <v>189</v>
      </c>
      <c r="T24" s="12" t="s">
        <v>444</v>
      </c>
      <c r="U24">
        <v>18</v>
      </c>
      <c r="V24" s="13" t="s">
        <v>493</v>
      </c>
      <c r="X24" t="str">
        <f>IF(COUNTIF(X$2:X23,X23)&gt;7,REPLACE(X23,LEN(X23),1,VALUE(RIGHT(X23,1))+1),X23)</f>
        <v>A3.2</v>
      </c>
      <c r="Y24" s="34" cm="1">
        <f t="array" ref="Y24">IF(COUNTIFS($X$2:$X24,$X24)=1,"1",VALUE(SUBSTITUTE(INDEX(Y:Y,_xlfn.XMATCH($X24,$X$1:$X23,0,-1)),"A",""))+INDEX(Z:Z,_xlfn.XMATCH($X24,$X$1:$X23,0,-1))+1)</f>
        <v>6</v>
      </c>
      <c r="Z24" s="34" cm="1">
        <f t="array" ref="Z24">SUM(IF(ISNUMBER(FIND("TmAi",$BE$1:$AAL$1)),IF(IFERROR(ISODD(SUBSTITUTE($BE24:$AAL24,"A","")),FALSE),IF(ISODD(SUBSTITUTE($BE24:$AAL24,"A","")),1,0),0)))</f>
        <v>0</v>
      </c>
      <c r="AA24" t="str">
        <f t="shared" si="346"/>
        <v>11B</v>
      </c>
      <c r="AB24" t="str">
        <f t="shared" si="347"/>
        <v>12B</v>
      </c>
      <c r="AP24" t="s">
        <v>446</v>
      </c>
      <c r="AS24" t="s">
        <v>169</v>
      </c>
      <c r="JZ24" s="22" t="str">
        <f t="shared" si="353"/>
        <v>XT18</v>
      </c>
      <c r="KC24" t="str">
        <f t="shared" si="354"/>
        <v>N2-AI2-11B</v>
      </c>
      <c r="KD24" t="str">
        <f t="shared" si="355"/>
        <v>N2-AI2-12B</v>
      </c>
      <c r="KI24" cm="1">
        <f t="array" ref="KI24">IF(COUNTIFS($U$2:$U24,$U24)=1,1,INDEX(KI:KI,_xlfn.XMATCH(U24,U$1:U23,0,-1))+COUNT(KI23:KM23))</f>
        <v>16</v>
      </c>
      <c r="KJ24">
        <f t="shared" si="356"/>
        <v>17</v>
      </c>
      <c r="KK24">
        <f t="shared" si="357"/>
        <v>18</v>
      </c>
      <c r="KN24">
        <v>1</v>
      </c>
      <c r="KO24">
        <v>2</v>
      </c>
      <c r="KS24" s="14"/>
    </row>
    <row r="25" spans="1:773" x14ac:dyDescent="0.25">
      <c r="A25" t="s">
        <v>696</v>
      </c>
      <c r="B25" t="s">
        <v>496</v>
      </c>
      <c r="C25" t="s">
        <v>196</v>
      </c>
      <c r="P25" t="s">
        <v>189</v>
      </c>
      <c r="T25" s="12" t="s">
        <v>444</v>
      </c>
      <c r="U25">
        <v>18</v>
      </c>
      <c r="V25" s="13" t="s">
        <v>500</v>
      </c>
      <c r="X25" t="str">
        <f>IF(COUNTIF(X$2:X24,X24)&gt;7,REPLACE(X24,LEN(X24),1,VALUE(RIGHT(X24,1))+1),X24)</f>
        <v>A3.2</v>
      </c>
      <c r="Y25" s="34" cm="1">
        <f t="array" ref="Y25">IF(COUNTIFS($X$2:$X25,$X25)=1,"1",VALUE(SUBSTITUTE(INDEX(Y:Y,_xlfn.XMATCH($X25,$X$1:$X24,0,-1)),"A",""))+INDEX(Z:Z,_xlfn.XMATCH($X25,$X$1:$X24,0,-1))+1)</f>
        <v>7</v>
      </c>
      <c r="Z25" s="34" cm="1">
        <f t="array" ref="Z25">SUM(IF(ISNUMBER(FIND("TmAi",$BE$1:$AAL$1)),IF(IFERROR(ISODD(SUBSTITUTE($BE25:$AAL25,"A","")),FALSE),IF(ISODD(SUBSTITUTE($BE25:$AAL25,"A","")),1,0),0)))</f>
        <v>0</v>
      </c>
      <c r="AA25" t="str">
        <f t="shared" si="346"/>
        <v>13B</v>
      </c>
      <c r="AB25" t="str">
        <f t="shared" si="347"/>
        <v>14B</v>
      </c>
      <c r="AP25" t="s">
        <v>446</v>
      </c>
      <c r="AS25" t="s">
        <v>169</v>
      </c>
      <c r="JZ25" s="22" t="str">
        <f t="shared" si="353"/>
        <v>XT18</v>
      </c>
      <c r="KC25" t="str">
        <f t="shared" si="354"/>
        <v>N2-AI2-13B</v>
      </c>
      <c r="KD25" t="str">
        <f t="shared" si="355"/>
        <v>N2-AI2-14B</v>
      </c>
      <c r="KI25" cm="1">
        <f t="array" ref="KI25">IF(COUNTIFS($U$2:$U25,$U25)=1,1,INDEX(KI:KI,_xlfn.XMATCH(U25,U$1:U24,0,-1))+COUNT(KI24:KM24))</f>
        <v>19</v>
      </c>
      <c r="KJ25">
        <f t="shared" si="356"/>
        <v>20</v>
      </c>
      <c r="KK25">
        <f t="shared" si="357"/>
        <v>21</v>
      </c>
      <c r="KN25">
        <v>1</v>
      </c>
      <c r="KO25">
        <v>2</v>
      </c>
      <c r="KS25" s="14"/>
    </row>
    <row r="26" spans="1:773" x14ac:dyDescent="0.25">
      <c r="A26" t="s">
        <v>697</v>
      </c>
      <c r="B26" t="s">
        <v>497</v>
      </c>
      <c r="C26" t="s">
        <v>196</v>
      </c>
      <c r="P26" t="s">
        <v>189</v>
      </c>
      <c r="T26" s="12" t="s">
        <v>444</v>
      </c>
      <c r="U26">
        <v>18</v>
      </c>
      <c r="V26" s="13" t="s">
        <v>501</v>
      </c>
      <c r="X26" t="str">
        <f>IF(COUNTIF(X$2:X25,X25)&gt;7,REPLACE(X25,LEN(X25),1,VALUE(RIGHT(X25,1))+1),X25)</f>
        <v>A3.2</v>
      </c>
      <c r="Y26" s="34" cm="1">
        <f t="array" ref="Y26">IF(COUNTIFS($X$2:$X26,$X26)=1,"1",VALUE(SUBSTITUTE(INDEX(Y:Y,_xlfn.XMATCH($X26,$X$1:$X25,0,-1)),"A",""))+INDEX(Z:Z,_xlfn.XMATCH($X26,$X$1:$X25,0,-1))+1)</f>
        <v>8</v>
      </c>
      <c r="Z26" s="34" cm="1">
        <f t="array" ref="Z26">SUM(IF(ISNUMBER(FIND("TmAi",$BE$1:$AAL$1)),IF(IFERROR(ISODD(SUBSTITUTE($BE26:$AAL26,"A","")),FALSE),IF(ISODD(SUBSTITUTE($BE26:$AAL26,"A","")),1,0),0)))</f>
        <v>0</v>
      </c>
      <c r="AA26" t="str">
        <f t="shared" si="346"/>
        <v>15B</v>
      </c>
      <c r="AB26" t="str">
        <f t="shared" si="347"/>
        <v>16B</v>
      </c>
      <c r="AP26" t="s">
        <v>446</v>
      </c>
      <c r="AS26" t="s">
        <v>169</v>
      </c>
      <c r="JZ26" s="22" t="str">
        <f t="shared" si="353"/>
        <v>XT18</v>
      </c>
      <c r="KC26" t="str">
        <f t="shared" si="354"/>
        <v>N2-AI2-15B</v>
      </c>
      <c r="KD26" t="str">
        <f t="shared" si="355"/>
        <v>N2-AI2-16B</v>
      </c>
      <c r="KI26" cm="1">
        <f t="array" ref="KI26">IF(COUNTIFS($U$2:$U26,$U26)=1,1,INDEX(KI:KI,_xlfn.XMATCH(U26,U$1:U25,0,-1))+COUNT(KI25:KM25))</f>
        <v>22</v>
      </c>
      <c r="KJ26">
        <f t="shared" si="356"/>
        <v>23</v>
      </c>
      <c r="KK26">
        <f t="shared" si="357"/>
        <v>24</v>
      </c>
      <c r="KN26">
        <v>1</v>
      </c>
      <c r="KO26">
        <v>2</v>
      </c>
      <c r="KS26" s="14"/>
    </row>
    <row r="27" spans="1:773" x14ac:dyDescent="0.25">
      <c r="A27" t="s">
        <v>698</v>
      </c>
      <c r="B27" t="s">
        <v>498</v>
      </c>
      <c r="C27" t="s">
        <v>196</v>
      </c>
      <c r="P27" t="s">
        <v>189</v>
      </c>
      <c r="T27" s="12" t="s">
        <v>444</v>
      </c>
      <c r="U27">
        <v>18</v>
      </c>
      <c r="V27" s="13" t="s">
        <v>502</v>
      </c>
      <c r="X27" t="str">
        <f>IF(COUNTIF(X$2:X26,X26)&gt;7,REPLACE(X26,LEN(X26),1,VALUE(RIGHT(X26,1))+1),X26)</f>
        <v>A3.3</v>
      </c>
      <c r="Y27" s="34" t="str" cm="1">
        <f t="array" ref="Y27">IF(COUNTIFS($X$2:$X27,$X27)=1,"1",VALUE(SUBSTITUTE(INDEX(Y:Y,_xlfn.XMATCH($X27,$X$1:$X26,0,-1)),"A",""))+INDEX(Z:Z,_xlfn.XMATCH($X27,$X$1:$X26,0,-1))+1)</f>
        <v>1</v>
      </c>
      <c r="Z27" s="34" cm="1">
        <f t="array" ref="Z27">SUM(IF(ISNUMBER(FIND("TmAi",$BE$1:$AAL$1)),IF(IFERROR(ISODD(SUBSTITUTE($BE27:$AAL27,"A","")),FALSE),IF(ISODD(SUBSTITUTE($BE27:$AAL27,"A","")),1,0),0)))</f>
        <v>0</v>
      </c>
      <c r="AA27" t="str">
        <f t="shared" si="346"/>
        <v>1B</v>
      </c>
      <c r="AB27" t="str">
        <f t="shared" si="347"/>
        <v>2B</v>
      </c>
      <c r="AP27" t="s">
        <v>446</v>
      </c>
      <c r="AS27" t="s">
        <v>169</v>
      </c>
      <c r="JZ27" s="22" t="str">
        <f t="shared" si="353"/>
        <v>XT18</v>
      </c>
      <c r="KC27" t="str">
        <f t="shared" si="354"/>
        <v>N2-AI3-1B</v>
      </c>
      <c r="KD27" t="str">
        <f t="shared" si="355"/>
        <v>N2-AI3-2B</v>
      </c>
      <c r="KI27" cm="1">
        <f t="array" ref="KI27">IF(COUNTIFS($U$2:$U27,$U27)=1,1,INDEX(KI:KI,_xlfn.XMATCH(U27,U$1:U26,0,-1))+COUNT(KI26:KM26))</f>
        <v>25</v>
      </c>
      <c r="KJ27">
        <f t="shared" si="356"/>
        <v>26</v>
      </c>
      <c r="KK27">
        <f t="shared" si="357"/>
        <v>27</v>
      </c>
      <c r="KN27">
        <v>1</v>
      </c>
      <c r="KO27">
        <v>2</v>
      </c>
      <c r="KS27" s="14"/>
    </row>
    <row r="28" spans="1:773" x14ac:dyDescent="0.25">
      <c r="A28" t="s">
        <v>699</v>
      </c>
      <c r="B28" t="s">
        <v>499</v>
      </c>
      <c r="C28" t="s">
        <v>196</v>
      </c>
      <c r="P28" t="s">
        <v>189</v>
      </c>
      <c r="T28" s="12" t="s">
        <v>444</v>
      </c>
      <c r="U28">
        <v>18</v>
      </c>
      <c r="V28" s="13" t="s">
        <v>503</v>
      </c>
      <c r="X28" t="str">
        <f>IF(COUNTIF(X$2:X27,X27)&gt;7,REPLACE(X27,LEN(X27),1,VALUE(RIGHT(X27,1))+1),X27)</f>
        <v>A3.3</v>
      </c>
      <c r="Y28" s="34" cm="1">
        <f t="array" ref="Y28">IF(COUNTIFS($X$2:$X28,$X28)=1,"1",VALUE(SUBSTITUTE(INDEX(Y:Y,_xlfn.XMATCH($X28,$X$1:$X27,0,-1)),"A",""))+INDEX(Z:Z,_xlfn.XMATCH($X28,$X$1:$X27,0,-1))+1)</f>
        <v>2</v>
      </c>
      <c r="Z28" s="34" cm="1">
        <f t="array" ref="Z28">SUM(IF(ISNUMBER(FIND("TmAi",$BE$1:$AAL$1)),IF(IFERROR(ISODD(SUBSTITUTE($BE28:$AAL28,"A","")),FALSE),IF(ISODD(SUBSTITUTE($BE28:$AAL28,"A","")),1,0),0)))</f>
        <v>0</v>
      </c>
      <c r="AA28" t="str">
        <f t="shared" si="346"/>
        <v>3B</v>
      </c>
      <c r="AB28" t="str">
        <f t="shared" si="347"/>
        <v>4B</v>
      </c>
      <c r="AP28" t="s">
        <v>446</v>
      </c>
      <c r="AS28" t="s">
        <v>169</v>
      </c>
      <c r="JZ28" s="22" t="str">
        <f t="shared" si="353"/>
        <v>XT18</v>
      </c>
      <c r="KC28" t="str">
        <f t="shared" si="354"/>
        <v>N2-AI3-3B</v>
      </c>
      <c r="KD28" t="str">
        <f t="shared" si="355"/>
        <v>N2-AI3-4B</v>
      </c>
      <c r="KI28" cm="1">
        <f t="array" ref="KI28">IF(COUNTIFS($U$2:$U28,$U28)=1,1,INDEX(KI:KI,_xlfn.XMATCH(U28,U$1:U27,0,-1))+COUNT(KI27:KM27))</f>
        <v>28</v>
      </c>
      <c r="KJ28">
        <f t="shared" si="356"/>
        <v>29</v>
      </c>
      <c r="KK28">
        <f t="shared" si="357"/>
        <v>30</v>
      </c>
      <c r="KN28">
        <v>1</v>
      </c>
      <c r="KO28">
        <v>2</v>
      </c>
      <c r="KS28" s="14"/>
    </row>
    <row r="29" spans="1:773" x14ac:dyDescent="0.25">
      <c r="A29" t="s">
        <v>687</v>
      </c>
      <c r="B29" t="s">
        <v>507</v>
      </c>
      <c r="C29" t="s">
        <v>195</v>
      </c>
      <c r="P29" t="s">
        <v>189</v>
      </c>
      <c r="T29" s="12" t="s">
        <v>444</v>
      </c>
      <c r="U29">
        <v>18</v>
      </c>
      <c r="V29" s="13" t="s">
        <v>504</v>
      </c>
      <c r="X29" t="str">
        <f>IF(COUNTIF(X$2:X28,X28)&gt;7,REPLACE(X28,LEN(X28),1,VALUE(RIGHT(X28,1))+1),X28)</f>
        <v>A3.3</v>
      </c>
      <c r="Y29" s="34" cm="1">
        <f t="array" ref="Y29">IF(COUNTIFS($X$2:$X29,$X29)=1,"1",VALUE(SUBSTITUTE(INDEX(Y:Y,_xlfn.XMATCH($X29,$X$1:$X28,0,-1)),"A",""))+INDEX(Z:Z,_xlfn.XMATCH($X29,$X$1:$X28,0,-1))+1)</f>
        <v>3</v>
      </c>
      <c r="Z29" s="34" cm="1">
        <f t="array" ref="Z29">SUM(IF(ISNUMBER(FIND("TmAi",$BE$1:$AAL$1)),IF(IFERROR(ISODD(SUBSTITUTE($BE29:$AAL29,"A","")),FALSE),IF(ISODD(SUBSTITUTE($BE29:$AAL29,"A","")),1,0),0)))</f>
        <v>0</v>
      </c>
      <c r="AA29" t="str">
        <f t="shared" si="346"/>
        <v>5B</v>
      </c>
      <c r="AB29" t="str">
        <f t="shared" si="347"/>
        <v>6B</v>
      </c>
      <c r="AP29" t="s">
        <v>446</v>
      </c>
      <c r="AS29" t="s">
        <v>169</v>
      </c>
      <c r="JZ29" s="22" t="str">
        <f t="shared" si="353"/>
        <v>XT18</v>
      </c>
      <c r="KC29" t="str">
        <f t="shared" si="354"/>
        <v>N2-AI3-5B</v>
      </c>
      <c r="KD29" t="str">
        <f t="shared" si="355"/>
        <v>N2-AI3-6B</v>
      </c>
      <c r="KI29" cm="1">
        <f t="array" ref="KI29">IF(COUNTIFS($U$2:$U29,$U29)=1,1,INDEX(KI:KI,_xlfn.XMATCH(U29,U$1:U28,0,-1))+COUNT(KI28:KM28))</f>
        <v>31</v>
      </c>
      <c r="KJ29">
        <f t="shared" si="356"/>
        <v>32</v>
      </c>
      <c r="KK29">
        <f t="shared" si="357"/>
        <v>33</v>
      </c>
      <c r="KN29">
        <v>1</v>
      </c>
      <c r="KO29">
        <v>2</v>
      </c>
      <c r="KS29" s="14"/>
    </row>
    <row r="30" spans="1:773" x14ac:dyDescent="0.25">
      <c r="A30" t="s">
        <v>688</v>
      </c>
      <c r="B30" t="s">
        <v>508</v>
      </c>
      <c r="C30" t="s">
        <v>195</v>
      </c>
      <c r="P30" t="s">
        <v>189</v>
      </c>
      <c r="T30" s="12" t="s">
        <v>444</v>
      </c>
      <c r="U30">
        <v>18</v>
      </c>
      <c r="V30" s="13" t="s">
        <v>505</v>
      </c>
      <c r="X30" t="str">
        <f>IF(COUNTIF(X$2:X29,X29)&gt;7,REPLACE(X29,LEN(X29),1,VALUE(RIGHT(X29,1))+1),X29)</f>
        <v>A3.3</v>
      </c>
      <c r="Y30" s="34" cm="1">
        <f t="array" ref="Y30">IF(COUNTIFS($X$2:$X30,$X30)=1,"1",VALUE(SUBSTITUTE(INDEX(Y:Y,_xlfn.XMATCH($X30,$X$1:$X29,0,-1)),"A",""))+INDEX(Z:Z,_xlfn.XMATCH($X30,$X$1:$X29,0,-1))+1)</f>
        <v>4</v>
      </c>
      <c r="Z30" s="34" cm="1">
        <f t="array" ref="Z30">SUM(IF(ISNUMBER(FIND("TmAi",$BE$1:$AAL$1)),IF(IFERROR(ISODD(SUBSTITUTE($BE30:$AAL30,"A","")),FALSE),IF(ISODD(SUBSTITUTE($BE30:$AAL30,"A","")),1,0),0)))</f>
        <v>0</v>
      </c>
      <c r="AA30" t="str">
        <f t="shared" si="346"/>
        <v>7B</v>
      </c>
      <c r="AB30" t="str">
        <f t="shared" si="347"/>
        <v>8B</v>
      </c>
      <c r="AP30" t="s">
        <v>446</v>
      </c>
      <c r="AS30" t="s">
        <v>169</v>
      </c>
      <c r="JZ30" s="22" t="str">
        <f t="shared" ref="JZ30" si="358">CONCATENATE("XT",U30)</f>
        <v>XT18</v>
      </c>
      <c r="KC30" t="str">
        <f t="shared" ref="KC30" si="359">CONCATENATE(T30,"-AI",REPLACE($X30,1,3,""),"-",AA30)</f>
        <v>N2-AI3-7B</v>
      </c>
      <c r="KD30" t="str">
        <f t="shared" ref="KD30" si="360">CONCATENATE(T30,"-AI",REPLACE($X30,1,3,""),"-",AB30)</f>
        <v>N2-AI3-8B</v>
      </c>
      <c r="KI30" cm="1">
        <f t="array" ref="KI30">IF(COUNTIFS($U$2:$U30,$U30)=1,1,INDEX(KI:KI,_xlfn.XMATCH(U30,U$1:U29,0,-1))+COUNT(KI29:KM29))</f>
        <v>34</v>
      </c>
      <c r="KJ30">
        <f t="shared" ref="KJ30:KJ31" si="361">KI30+1</f>
        <v>35</v>
      </c>
      <c r="KK30">
        <f t="shared" ref="KK30:KK31" si="362">KJ30+1</f>
        <v>36</v>
      </c>
      <c r="KN30">
        <v>1</v>
      </c>
      <c r="KO30">
        <v>2</v>
      </c>
      <c r="KS30" s="14"/>
    </row>
    <row r="31" spans="1:773" ht="15.75" thickBot="1" x14ac:dyDescent="0.3">
      <c r="A31" t="s">
        <v>689</v>
      </c>
      <c r="B31" t="s">
        <v>509</v>
      </c>
      <c r="C31" t="s">
        <v>195</v>
      </c>
      <c r="P31" t="s">
        <v>189</v>
      </c>
      <c r="T31" s="12" t="s">
        <v>444</v>
      </c>
      <c r="U31">
        <v>18</v>
      </c>
      <c r="V31" s="13" t="s">
        <v>506</v>
      </c>
      <c r="X31" t="str">
        <f>IF(COUNTIF(X$2:X30,X30)&gt;7,REPLACE(X30,LEN(X30),1,VALUE(RIGHT(X30,1))+1),X30)</f>
        <v>A3.3</v>
      </c>
      <c r="Y31" s="34" cm="1">
        <f t="array" ref="Y31">IF(COUNTIFS($X$2:$X31,$X31)=1,"1",VALUE(SUBSTITUTE(INDEX(Y:Y,_xlfn.XMATCH($X31,$X$1:$X30,0,-1)),"A",""))+INDEX(Z:Z,_xlfn.XMATCH($X31,$X$1:$X30,0,-1))+1)</f>
        <v>5</v>
      </c>
      <c r="Z31" s="34" cm="1">
        <f t="array" ref="Z31">SUM(IF(ISNUMBER(FIND("TmAi",$BE$1:$AAL$1)),IF(IFERROR(ISODD(SUBSTITUTE($BE31:$AAL31,"A","")),FALSE),IF(ISODD(SUBSTITUTE($BE31:$AAL31,"A","")),1,0),0)))</f>
        <v>0</v>
      </c>
      <c r="AA31" t="str">
        <f t="shared" si="346"/>
        <v>9B</v>
      </c>
      <c r="AB31" t="str">
        <f t="shared" si="347"/>
        <v>10B</v>
      </c>
      <c r="AP31" t="s">
        <v>446</v>
      </c>
      <c r="AS31" t="s">
        <v>169</v>
      </c>
      <c r="JZ31" s="22" t="str">
        <f>CONCATENATE("XT",$U31)</f>
        <v>XT18</v>
      </c>
      <c r="KC31" t="str">
        <f>CONCATENATE($T31,"-AI",REPLACE($X31,1,3,""),"-",$AA31)</f>
        <v>N2-AI3-9B</v>
      </c>
      <c r="KD31" t="str">
        <f>CONCATENATE($T31,"-AI",REPLACE($X31,1,3,""),"-",$AB31)</f>
        <v>N2-AI3-10B</v>
      </c>
      <c r="KI31" cm="1">
        <f t="array" ref="KI31">IF(COUNTIFS($U$2:$U31,$U31)=1,1,INDEX(KI:KI,_xlfn.XMATCH(U31,U$1:U30,0,-1))+COUNT(KI30:KM30))</f>
        <v>37</v>
      </c>
      <c r="KJ31">
        <f t="shared" si="361"/>
        <v>38</v>
      </c>
      <c r="KK31">
        <f t="shared" si="362"/>
        <v>39</v>
      </c>
      <c r="KN31">
        <v>1</v>
      </c>
      <c r="KO31">
        <v>2</v>
      </c>
      <c r="KS31" s="14"/>
    </row>
    <row r="32" spans="1:773" ht="15.75" thickBot="1" x14ac:dyDescent="0.3">
      <c r="A32" t="s">
        <v>510</v>
      </c>
      <c r="B32" t="s">
        <v>511</v>
      </c>
      <c r="P32" t="s">
        <v>512</v>
      </c>
      <c r="T32" s="12" t="s">
        <v>444</v>
      </c>
      <c r="U32">
        <v>19</v>
      </c>
      <c r="V32" s="13" t="s">
        <v>513</v>
      </c>
      <c r="AH32" t="s">
        <v>146</v>
      </c>
      <c r="AI32" s="46" t="str" cm="1">
        <f t="array" ref="AI32">IF(COUNTIFS(AH$2:AH32,AH32)=1,"1",VALUE(SUBSTITUTE(INDEX(AI:AI,_xlfn.XMATCH(AH32,AH$1:AH31,0,-1)),"A",""))+INDEX(AJ:AJ,_xlfn.XMATCH(AH32,AH$1:AH31,0,-1))+1)</f>
        <v>1</v>
      </c>
      <c r="AJ32" s="39" cm="1">
        <f t="array" ref="AJ32">SUM(IF(ISNUMBER(FIND("TmDo",$BE$1:$AAL$1)),IF(IFERROR(ISNUMBER(VALUE(SUBSTITUTE($BE32:$AAL32,"B",""))),FALSE),IF(ISNUMBER(VALUE(SUBSTITUTE($BE32:$AAL32,"B",""))),1,0),0)))</f>
        <v>9</v>
      </c>
      <c r="AK32" t="str">
        <f>CONCATENATE($AI32,"A")</f>
        <v>1A</v>
      </c>
      <c r="AL32" t="str">
        <f>CONCATENATE($AI32,"B")</f>
        <v>1B</v>
      </c>
      <c r="AM32" t="s">
        <v>423</v>
      </c>
      <c r="AP32" t="s">
        <v>446</v>
      </c>
      <c r="AQ32" t="s">
        <v>514</v>
      </c>
      <c r="AU32" t="s">
        <v>131</v>
      </c>
      <c r="JZ32" s="22"/>
      <c r="KS32" s="14"/>
      <c r="WM32" s="20" t="str">
        <f>CONCATENATE("XT",$U32)</f>
        <v>XT19</v>
      </c>
      <c r="WN32" s="10">
        <v>1</v>
      </c>
      <c r="WO32" s="10">
        <f>WN32+1</f>
        <v>2</v>
      </c>
      <c r="WP32" s="10">
        <f t="shared" ref="WP32:XG32" si="363">WO32+1</f>
        <v>3</v>
      </c>
      <c r="WQ32" s="10">
        <f t="shared" si="363"/>
        <v>4</v>
      </c>
      <c r="WR32" s="10">
        <f t="shared" si="363"/>
        <v>5</v>
      </c>
      <c r="WS32" s="10">
        <f t="shared" si="363"/>
        <v>6</v>
      </c>
      <c r="WT32" s="10">
        <f t="shared" si="363"/>
        <v>7</v>
      </c>
      <c r="WU32" s="10">
        <f t="shared" si="363"/>
        <v>8</v>
      </c>
      <c r="WV32" s="10">
        <f t="shared" si="363"/>
        <v>9</v>
      </c>
      <c r="WW32" s="10">
        <f t="shared" si="363"/>
        <v>10</v>
      </c>
      <c r="WX32" s="10">
        <f t="shared" si="363"/>
        <v>11</v>
      </c>
      <c r="WY32" s="10">
        <f t="shared" si="363"/>
        <v>12</v>
      </c>
      <c r="WZ32" s="10">
        <f t="shared" si="363"/>
        <v>13</v>
      </c>
      <c r="XA32" s="10">
        <f t="shared" si="363"/>
        <v>14</v>
      </c>
      <c r="XB32" s="10">
        <f t="shared" si="363"/>
        <v>15</v>
      </c>
      <c r="XC32" s="10">
        <f t="shared" si="363"/>
        <v>16</v>
      </c>
      <c r="XD32" s="10">
        <f t="shared" si="363"/>
        <v>17</v>
      </c>
      <c r="XE32" s="10">
        <f t="shared" si="363"/>
        <v>18</v>
      </c>
      <c r="XF32" s="10">
        <f t="shared" si="363"/>
        <v>19</v>
      </c>
      <c r="XG32" s="10">
        <f t="shared" si="363"/>
        <v>20</v>
      </c>
      <c r="XH32" s="10" t="str">
        <f>CONCATENATE(REPLACE($AK32,LEN($AK32),1,"")+1,"A")</f>
        <v>2A</v>
      </c>
      <c r="XI32" s="10" t="str">
        <f>CONCATENATE(REPLACE($AL32,LEN($AL32),1,"")+1,"B")</f>
        <v>2B</v>
      </c>
      <c r="XJ32" s="10" t="str">
        <f>CONCATENATE(REPLACE(XH32,LEN(XH32),1,"")+1,"A")</f>
        <v>3A</v>
      </c>
      <c r="XK32" s="10" t="str">
        <f>CONCATENATE(REPLACE(XI32,LEN(XI32),1,"")+1,"B")</f>
        <v>3B</v>
      </c>
      <c r="XL32" s="10" t="str">
        <f>CONCATENATE(REPLACE(XJ32,LEN(XJ32),1,"")+1,"A")</f>
        <v>4A</v>
      </c>
      <c r="XM32" s="10" t="str">
        <f>CONCATENATE(REPLACE(XK32,LEN(XK32),1,"")+1,"B")</f>
        <v>4B</v>
      </c>
      <c r="XN32" s="10" t="str">
        <f>CONCATENATE(REPLACE(XL32,LEN(XL32),1,"")+1,"A")</f>
        <v>5A</v>
      </c>
      <c r="XO32" s="10" t="str">
        <f>CONCATENATE(REPLACE(XM32,LEN(XM32),1,"")+1,"B")</f>
        <v>5B</v>
      </c>
      <c r="XP32" s="10" t="str">
        <f>CONCATENATE(REPLACE(XN32,LEN(XN32),1,"")+1,"A")</f>
        <v>6A</v>
      </c>
      <c r="XQ32" s="10" t="str">
        <f>CONCATENATE(REPLACE(XO32,LEN(XO32),1,"")+1,"B")</f>
        <v>6B</v>
      </c>
      <c r="XR32" s="10" t="str">
        <f>CONCATENATE(REPLACE(XP32,LEN(XP32),1,"")+1,"A")</f>
        <v>7A</v>
      </c>
      <c r="XS32" s="10" t="str">
        <f>CONCATENATE(REPLACE(XQ32,LEN(XQ32),1,"")+1,"B")</f>
        <v>7B</v>
      </c>
      <c r="XT32" s="10" t="str">
        <f>CONCATENATE(REPLACE(XR32,LEN(XR32),1,"")+1,"A")</f>
        <v>8A</v>
      </c>
      <c r="XU32" s="10" t="str">
        <f>CONCATENATE(REPLACE(XS32,LEN(XS32),1,"")+1,"B")</f>
        <v>8B</v>
      </c>
      <c r="XV32" s="10" t="str">
        <f>CONCATENATE(REPLACE(XT32,LEN(XT32),1,"")+1,"A")</f>
        <v>9A</v>
      </c>
      <c r="XW32" s="10" t="str">
        <f>CONCATENATE(REPLACE(XU32,LEN(XU32),1,"")+1,"B")</f>
        <v>9B</v>
      </c>
      <c r="XX32" s="10" t="str">
        <f>CONCATENATE(REPLACE(XV32,LEN(XV32),1,"")+1,"A")</f>
        <v>10A</v>
      </c>
      <c r="XY32" s="10" t="str">
        <f>CONCATENATE(REPLACE(XW32,LEN(XW32),1,"")+1,"B")</f>
        <v>10B</v>
      </c>
      <c r="XZ32" s="10" t="str">
        <f>CONCATENATE("DO",REPLACE($AH32,1,3,""),"-",$AK32)</f>
        <v>DO3-1A</v>
      </c>
      <c r="YA32" s="10" t="str">
        <f>CONCATENATE("DO",REPLACE($AH32,1,3,""),"-",$AL32)</f>
        <v>DO3-1B</v>
      </c>
      <c r="YB32" s="10" t="str">
        <f>CONCATENATE("DO",REPLACE($AH32,1,3,""),"-",XH32)</f>
        <v>DO3-2A</v>
      </c>
      <c r="YC32" s="10" t="str">
        <f>CONCATENATE("DO",REPLACE($AH32,1,3,""),"-",XI32)</f>
        <v>DO3-2B</v>
      </c>
      <c r="YD32" s="10" t="str">
        <f t="shared" ref="YD32:YS32" si="364">CONCATENATE("DO",REPLACE($AH32,1,3,""),"-",XJ32)</f>
        <v>DO3-3A</v>
      </c>
      <c r="YE32" s="10" t="str">
        <f t="shared" si="364"/>
        <v>DO3-3B</v>
      </c>
      <c r="YF32" s="10" t="str">
        <f t="shared" si="364"/>
        <v>DO3-4A</v>
      </c>
      <c r="YG32" s="10" t="str">
        <f t="shared" si="364"/>
        <v>DO3-4B</v>
      </c>
      <c r="YH32" s="10" t="str">
        <f t="shared" si="364"/>
        <v>DO3-5A</v>
      </c>
      <c r="YI32" s="10" t="str">
        <f t="shared" si="364"/>
        <v>DO3-5B</v>
      </c>
      <c r="YJ32" s="10" t="str">
        <f t="shared" si="364"/>
        <v>DO3-6A</v>
      </c>
      <c r="YK32" s="10" t="str">
        <f t="shared" si="364"/>
        <v>DO3-6B</v>
      </c>
      <c r="YL32" s="10" t="str">
        <f t="shared" si="364"/>
        <v>DO3-7A</v>
      </c>
      <c r="YM32" s="10" t="str">
        <f t="shared" si="364"/>
        <v>DO3-7B</v>
      </c>
      <c r="YN32" s="10" t="str">
        <f t="shared" si="364"/>
        <v>DO3-8A</v>
      </c>
      <c r="YO32" s="10" t="str">
        <f t="shared" si="364"/>
        <v>DO3-8B</v>
      </c>
      <c r="YP32" s="10" t="str">
        <f t="shared" si="364"/>
        <v>DO3-9A</v>
      </c>
      <c r="YQ32" s="10" t="str">
        <f t="shared" si="364"/>
        <v>DO3-9B</v>
      </c>
      <c r="YR32" s="10" t="str">
        <f t="shared" si="364"/>
        <v>DO3-10A</v>
      </c>
      <c r="YS32" s="10" t="str">
        <f t="shared" si="364"/>
        <v>DO3-10B</v>
      </c>
      <c r="YT32" s="10" t="str">
        <f>CONCATENATE("K",$U32,"-01")</f>
        <v>K19-01</v>
      </c>
      <c r="YU32" s="10" t="str">
        <f>CONCATENATE("K",$U32,"-02")</f>
        <v>K19-02</v>
      </c>
      <c r="YV32" s="10" t="str">
        <f>CONCATENATE("K",$U32,"-03")</f>
        <v>K19-03</v>
      </c>
      <c r="YW32" s="10" t="str">
        <f>CONCATENATE("K",$U32,"-04")</f>
        <v>K19-04</v>
      </c>
      <c r="YX32" s="10" t="str">
        <f>CONCATENATE("K",$U32,"-05")</f>
        <v>K19-05</v>
      </c>
      <c r="YY32" s="10" t="str">
        <f>CONCATENATE("K",$U32,"-06")</f>
        <v>K19-06</v>
      </c>
      <c r="YZ32" s="10" t="str">
        <f>CONCATENATE("K",$U32,"-07")</f>
        <v>K19-07</v>
      </c>
      <c r="ZA32" s="10" t="str">
        <f>CONCATENATE("K",$U32,"-08")</f>
        <v>K19-08</v>
      </c>
      <c r="ZB32" s="10" t="str">
        <f>CONCATENATE("K",$U32,"-09")</f>
        <v>K19-09</v>
      </c>
      <c r="ZC32" s="10" t="str">
        <f>CONCATENATE("K",$U32,"-10")</f>
        <v>K19-10</v>
      </c>
      <c r="ZD32" s="43" t="s">
        <v>550</v>
      </c>
      <c r="ZE32" s="43" t="s">
        <v>551</v>
      </c>
      <c r="ZF32" s="43" t="s">
        <v>552</v>
      </c>
      <c r="ZG32" s="43" t="s">
        <v>553</v>
      </c>
      <c r="ZH32" s="43" t="s">
        <v>554</v>
      </c>
      <c r="ZI32" s="43" t="s">
        <v>555</v>
      </c>
      <c r="ZJ32" s="43" t="s">
        <v>556</v>
      </c>
      <c r="ZK32" s="43" t="s">
        <v>557</v>
      </c>
      <c r="ZL32" s="43" t="s">
        <v>558</v>
      </c>
      <c r="ZM32" s="43" t="s">
        <v>559</v>
      </c>
      <c r="ZN32" s="43" t="s">
        <v>560</v>
      </c>
      <c r="ZO32" s="43" t="s">
        <v>561</v>
      </c>
      <c r="ZP32" s="43" t="s">
        <v>562</v>
      </c>
      <c r="ZQ32" s="43" t="s">
        <v>563</v>
      </c>
      <c r="ZR32" s="43" t="s">
        <v>564</v>
      </c>
      <c r="ZS32" s="43" t="s">
        <v>565</v>
      </c>
      <c r="ZT32" s="43" t="s">
        <v>566</v>
      </c>
      <c r="ZU32" s="43" t="s">
        <v>567</v>
      </c>
      <c r="ZV32" s="43" t="s">
        <v>568</v>
      </c>
      <c r="ZW32" s="43" t="s">
        <v>569</v>
      </c>
      <c r="ZX32" s="10" t="s">
        <v>578</v>
      </c>
      <c r="ZY32" s="10" t="s">
        <v>579</v>
      </c>
      <c r="ZZ32" s="10" t="s">
        <v>580</v>
      </c>
      <c r="AAA32" s="10" t="s">
        <v>581</v>
      </c>
      <c r="AAB32" s="10" t="s">
        <v>582</v>
      </c>
      <c r="AAC32" s="10" t="s">
        <v>583</v>
      </c>
      <c r="AAD32" s="10" t="s">
        <v>584</v>
      </c>
      <c r="AAE32" s="10" t="s">
        <v>585</v>
      </c>
      <c r="AAF32" s="10" t="s">
        <v>586</v>
      </c>
      <c r="AAG32" s="10" t="s">
        <v>587</v>
      </c>
      <c r="AAH32" s="10" t="s">
        <v>423</v>
      </c>
      <c r="AAI32" s="10">
        <v>1</v>
      </c>
      <c r="AAJ32" s="10">
        <f>AAI32+1</f>
        <v>2</v>
      </c>
      <c r="AAK32" s="10">
        <f t="shared" ref="AAK32:ABB32" si="365">AAJ32+1</f>
        <v>3</v>
      </c>
      <c r="AAL32" s="10">
        <f t="shared" si="365"/>
        <v>4</v>
      </c>
      <c r="AAM32" s="10">
        <f t="shared" si="365"/>
        <v>5</v>
      </c>
      <c r="AAN32" s="10">
        <f t="shared" si="365"/>
        <v>6</v>
      </c>
      <c r="AAO32" s="10">
        <f t="shared" si="365"/>
        <v>7</v>
      </c>
      <c r="AAP32" s="10">
        <f t="shared" si="365"/>
        <v>8</v>
      </c>
      <c r="AAQ32" s="10">
        <f t="shared" si="365"/>
        <v>9</v>
      </c>
      <c r="AAR32" s="10">
        <f t="shared" si="365"/>
        <v>10</v>
      </c>
      <c r="AAS32" s="10">
        <f t="shared" si="365"/>
        <v>11</v>
      </c>
      <c r="AAT32" s="10">
        <f t="shared" si="365"/>
        <v>12</v>
      </c>
      <c r="AAU32" s="10">
        <f t="shared" si="365"/>
        <v>13</v>
      </c>
      <c r="AAV32" s="10">
        <f t="shared" si="365"/>
        <v>14</v>
      </c>
      <c r="AAW32" s="10">
        <f t="shared" si="365"/>
        <v>15</v>
      </c>
      <c r="AAX32" s="10">
        <f t="shared" si="365"/>
        <v>16</v>
      </c>
      <c r="AAY32" s="10">
        <f t="shared" si="365"/>
        <v>17</v>
      </c>
      <c r="AAZ32" s="10">
        <f t="shared" si="365"/>
        <v>18</v>
      </c>
      <c r="ABA32" s="10">
        <f t="shared" si="365"/>
        <v>19</v>
      </c>
      <c r="ABB32" s="11">
        <f t="shared" si="365"/>
        <v>20</v>
      </c>
      <c r="ACP32" s="30" t="s">
        <v>133</v>
      </c>
      <c r="ACQ32" s="18" t="s">
        <v>134</v>
      </c>
      <c r="ACR32" s="18">
        <v>11</v>
      </c>
      <c r="ACS32" s="19">
        <v>14</v>
      </c>
    </row>
    <row r="33" spans="1:802" ht="15.75" thickBot="1" x14ac:dyDescent="0.3">
      <c r="A33" t="s">
        <v>594</v>
      </c>
      <c r="B33" t="s">
        <v>595</v>
      </c>
      <c r="P33" t="s">
        <v>596</v>
      </c>
      <c r="T33" s="12" t="s">
        <v>444</v>
      </c>
      <c r="U33">
        <v>19</v>
      </c>
      <c r="V33" s="13" t="s">
        <v>597</v>
      </c>
      <c r="AC33" t="s">
        <v>145</v>
      </c>
      <c r="AD33" s="34" t="str" cm="1">
        <f t="array" ref="AD33">IF(COUNTIFS(AC$2:AC33,AC33)=1,"1",VALUE(SUBSTITUTE(INDEX(AD:AD,_xlfn.XMATCH(AC33,AC$1:AC32,0,-1)),"A",""))+INDEX(AE:AE,_xlfn.XMATCH(AC33,AC$1:AC32,0,-1))+1)</f>
        <v>1</v>
      </c>
      <c r="AE33" s="34" cm="1">
        <f t="array" ref="AE33">SUM(IF(ISNUMBER(FIND("TmDi",$BE$1:$ADD$1)),IF(IFERROR(ISNUMBER(VALUE(SUBSTITUTE($BE33:$ADD33,"B",""))),FALSE),IF(ISNUMBER(VALUE(SUBSTITUTE($BE33:$ADD33,"B",""))),1,0),0)))</f>
        <v>3</v>
      </c>
      <c r="AF33" t="str">
        <f t="shared" ref="AF33" si="366">CONCATENATE("C",$AD33)</f>
        <v>C1</v>
      </c>
      <c r="AG33" t="str">
        <f t="shared" ref="AG33" si="367">CONCATENATE("B",$AD33)</f>
        <v>B1</v>
      </c>
      <c r="AP33" t="s">
        <v>446</v>
      </c>
      <c r="AQ33" t="s">
        <v>514</v>
      </c>
      <c r="AT33" t="s">
        <v>130</v>
      </c>
      <c r="JZ33" s="22"/>
      <c r="KS33" s="14"/>
      <c r="ABC33" s="30" t="s">
        <v>598</v>
      </c>
      <c r="ABD33" s="18" t="s">
        <v>600</v>
      </c>
      <c r="ABE33" s="18" t="s">
        <v>599</v>
      </c>
      <c r="ABF33" s="18" t="s">
        <v>601</v>
      </c>
      <c r="ABG33" s="18" t="str">
        <f>CONCATENATE("XT",$U33)</f>
        <v>XT19</v>
      </c>
      <c r="ABH33" s="18">
        <v>21</v>
      </c>
      <c r="ABI33" s="18">
        <f t="shared" ref="ABI33" si="368">ABH33+1</f>
        <v>22</v>
      </c>
      <c r="ABJ33" s="18">
        <f t="shared" ref="ABJ33" si="369">ABI33+1</f>
        <v>23</v>
      </c>
      <c r="ABK33" s="18">
        <f t="shared" ref="ABK33" si="370">ABJ33+1</f>
        <v>24</v>
      </c>
      <c r="ABL33" s="18">
        <f t="shared" ref="ABL33" si="371">ABK33+1</f>
        <v>25</v>
      </c>
      <c r="ABM33" s="18">
        <f t="shared" ref="ABM33" si="372">ABL33+1</f>
        <v>26</v>
      </c>
      <c r="ABN33" s="18">
        <f t="shared" ref="ABN33" si="373">ABM33+1</f>
        <v>27</v>
      </c>
      <c r="ABO33" s="18">
        <f t="shared" ref="ABO33" si="374">ABN33+1</f>
        <v>28</v>
      </c>
      <c r="ABP33" s="18" t="str">
        <f>CONCATENATE("C",REPLACE($AF33,1,1,"")+1)</f>
        <v>C2</v>
      </c>
      <c r="ABQ33" s="18" t="str">
        <f>CONCATENATE("B",REPLACE($AG33,1,1,"")+1)</f>
        <v>B2</v>
      </c>
      <c r="ABR33" s="18" t="str">
        <f t="shared" ref="ABR33" si="375">CONCATENATE("C",REPLACE(ABP33,1,1,"")+1)</f>
        <v>C3</v>
      </c>
      <c r="ABS33" s="18" t="str">
        <f t="shared" ref="ABS33" si="376">CONCATENATE("B",REPLACE(ABQ33,1,1,"")+1)</f>
        <v>B3</v>
      </c>
      <c r="ABT33" s="18" t="str">
        <f t="shared" ref="ABT33" si="377">CONCATENATE("C",REPLACE(ABR33,1,1,"")+1)</f>
        <v>C4</v>
      </c>
      <c r="ABU33" s="18" t="str">
        <f t="shared" ref="ABU33" si="378">CONCATENATE("B",REPLACE(ABS33,1,1,"")+1)</f>
        <v>B4</v>
      </c>
      <c r="ABV33" s="18" t="str">
        <f>CONCATENATE("DI",REPLACE($AC33,1,3,""),"-",$AF33)</f>
        <v>DI4-C1</v>
      </c>
      <c r="ABW33" s="18" t="str">
        <f>CONCATENATE("DI",REPLACE($AC33,1,3,""),"-",$AG33)</f>
        <v>DI4-B1</v>
      </c>
      <c r="ABX33" s="18" t="str">
        <f>CONCATENATE("DI",REPLACE($AC33,1,3,""),"-",ABP33)</f>
        <v>DI4-C2</v>
      </c>
      <c r="ABY33" s="18" t="str">
        <f>CONCATENATE("DI",REPLACE($AC33,1,3,""),"-",ABQ33)</f>
        <v>DI4-B2</v>
      </c>
      <c r="ABZ33" s="18" t="str">
        <f t="shared" ref="ABZ33:ACC33" si="379">CONCATENATE("DI",REPLACE($AC33,1,3,""),"-",ABR33)</f>
        <v>DI4-C3</v>
      </c>
      <c r="ACA33" s="18" t="str">
        <f t="shared" si="379"/>
        <v>DI4-B3</v>
      </c>
      <c r="ACB33" s="18" t="str">
        <f t="shared" si="379"/>
        <v>DI4-C4</v>
      </c>
      <c r="ACC33" s="18" t="str">
        <f t="shared" si="379"/>
        <v>DI4-B4</v>
      </c>
      <c r="ACD33" s="44" t="s">
        <v>602</v>
      </c>
      <c r="ACE33" s="44" t="s">
        <v>603</v>
      </c>
      <c r="ACF33" s="44" t="s">
        <v>604</v>
      </c>
      <c r="ACG33" s="44" t="s">
        <v>605</v>
      </c>
      <c r="ACH33" s="44" t="s">
        <v>607</v>
      </c>
      <c r="ACI33" s="44" t="s">
        <v>608</v>
      </c>
      <c r="ACJ33" s="44" t="s">
        <v>609</v>
      </c>
      <c r="ACK33" s="44" t="s">
        <v>610</v>
      </c>
      <c r="ACL33" s="18" t="str">
        <f>CONCATENATE("K",$U33,"-11")</f>
        <v>K19-11</v>
      </c>
      <c r="ACM33" s="18" t="str">
        <f>CONCATENATE("K",$U33,"-12")</f>
        <v>K19-12</v>
      </c>
      <c r="ACN33" s="18" t="str">
        <f>CONCATENATE("K",$U33,"-13")</f>
        <v>K19-13</v>
      </c>
      <c r="ACO33" s="18" t="str">
        <f>CONCATENATE("K",$U33,"-14")</f>
        <v>K19-14</v>
      </c>
      <c r="ACP33" s="18" t="s">
        <v>133</v>
      </c>
      <c r="ACQ33" s="18" t="s">
        <v>134</v>
      </c>
      <c r="ACR33" s="18">
        <v>11</v>
      </c>
      <c r="ACS33" s="18">
        <v>14</v>
      </c>
      <c r="ACT33" s="18" t="s">
        <v>187</v>
      </c>
      <c r="ACU33" s="18" t="s">
        <v>186</v>
      </c>
      <c r="ACV33" s="18" t="s">
        <v>423</v>
      </c>
      <c r="ACW33" s="18">
        <v>21</v>
      </c>
      <c r="ACX33" s="18">
        <v>22</v>
      </c>
      <c r="ACY33" s="18">
        <v>23</v>
      </c>
      <c r="ACZ33" s="18">
        <v>24</v>
      </c>
      <c r="ADA33" s="18">
        <v>25</v>
      </c>
      <c r="ADB33" s="18">
        <v>26</v>
      </c>
      <c r="ADC33" s="18">
        <v>27</v>
      </c>
      <c r="ADD33" s="19">
        <v>28</v>
      </c>
    </row>
    <row r="34" spans="1:802" ht="30.75" thickBot="1" x14ac:dyDescent="0.3">
      <c r="A34" t="s">
        <v>612</v>
      </c>
      <c r="B34" t="s">
        <v>611</v>
      </c>
      <c r="P34" t="s">
        <v>404</v>
      </c>
      <c r="T34" s="12" t="s">
        <v>444</v>
      </c>
      <c r="U34">
        <v>19</v>
      </c>
      <c r="V34" t="s">
        <v>629</v>
      </c>
      <c r="AP34" t="s">
        <v>446</v>
      </c>
      <c r="AQ34" t="s">
        <v>514</v>
      </c>
      <c r="JZ34" s="22"/>
      <c r="KS34" s="14"/>
      <c r="TS34" s="40" t="s">
        <v>412</v>
      </c>
      <c r="TT34" s="18" t="s">
        <v>413</v>
      </c>
      <c r="TU34" s="18" t="s">
        <v>414</v>
      </c>
      <c r="TV34" s="18" t="s">
        <v>415</v>
      </c>
      <c r="TW34" s="18" t="s">
        <v>416</v>
      </c>
      <c r="TX34" s="18" t="s">
        <v>613</v>
      </c>
      <c r="TY34" s="18" t="s">
        <v>614</v>
      </c>
      <c r="TZ34" s="18" t="s">
        <v>615</v>
      </c>
      <c r="UA34" s="18" t="str">
        <f>CONCATENATE("XT",$U34)</f>
        <v>XT19</v>
      </c>
      <c r="UB34" s="18">
        <v>29</v>
      </c>
      <c r="UC34" s="18">
        <f>UB34+1</f>
        <v>30</v>
      </c>
      <c r="UD34" s="18">
        <f>UC34+1</f>
        <v>31</v>
      </c>
      <c r="UE34" s="18" t="s">
        <v>616</v>
      </c>
      <c r="UF34" s="18" t="s">
        <v>617</v>
      </c>
      <c r="UG34" s="18" t="s">
        <v>618</v>
      </c>
      <c r="UH34" s="19" t="s">
        <v>619</v>
      </c>
    </row>
    <row r="35" spans="1:802" ht="15.75" thickBot="1" x14ac:dyDescent="0.3">
      <c r="A35" t="s">
        <v>623</v>
      </c>
      <c r="B35" t="s">
        <v>620</v>
      </c>
      <c r="P35" t="s">
        <v>512</v>
      </c>
      <c r="T35" s="12" t="s">
        <v>444</v>
      </c>
      <c r="U35">
        <v>20</v>
      </c>
      <c r="V35" s="13" t="s">
        <v>626</v>
      </c>
      <c r="AH35" t="s">
        <v>146</v>
      </c>
      <c r="AI35" s="46" cm="1">
        <f t="array" ref="AI35">IF(COUNTIFS(AH$2:AH35,AH35)=1,"1",VALUE(SUBSTITUTE(INDEX(AI:AI,_xlfn.XMATCH(AH35,AH$1:AH34,0,-1)),"A",""))+INDEX(AJ:AJ,_xlfn.XMATCH(AH35,AH$1:AH34,0,-1))+1)</f>
        <v>11</v>
      </c>
      <c r="AJ35" s="39" cm="1">
        <f t="array" ref="AJ35">SUM(IF(ISNUMBER(FIND("TmDo",$BE$1:$AAL$1)),IF(IFERROR(ISNUMBER(VALUE(SUBSTITUTE($BE35:$AAL35,"B",""))),FALSE),IF(ISNUMBER(VALUE(SUBSTITUTE($BE35:$AAL35,"B",""))),1,0),0)))</f>
        <v>9</v>
      </c>
      <c r="AK35" t="str">
        <f>CONCATENATE($AI35,"A")</f>
        <v>11A</v>
      </c>
      <c r="AL35" t="str">
        <f>CONCATENATE($AI35,"B")</f>
        <v>11B</v>
      </c>
      <c r="AM35" t="s">
        <v>423</v>
      </c>
      <c r="AP35" t="s">
        <v>446</v>
      </c>
      <c r="AQ35" t="s">
        <v>632</v>
      </c>
      <c r="AU35" t="s">
        <v>131</v>
      </c>
      <c r="JZ35" s="22"/>
      <c r="KS35" s="14"/>
      <c r="WM35" s="20" t="str">
        <f>CONCATENATE("XT",$U35)</f>
        <v>XT20</v>
      </c>
      <c r="WN35" s="10">
        <v>1</v>
      </c>
      <c r="WO35" s="10">
        <f>WN35+1</f>
        <v>2</v>
      </c>
      <c r="WP35" s="10">
        <f t="shared" ref="WP35:XG35" si="380">WO35+1</f>
        <v>3</v>
      </c>
      <c r="WQ35" s="10">
        <f t="shared" si="380"/>
        <v>4</v>
      </c>
      <c r="WR35" s="10">
        <f t="shared" si="380"/>
        <v>5</v>
      </c>
      <c r="WS35" s="10">
        <f t="shared" si="380"/>
        <v>6</v>
      </c>
      <c r="WT35" s="10">
        <f t="shared" si="380"/>
        <v>7</v>
      </c>
      <c r="WU35" s="10">
        <f t="shared" si="380"/>
        <v>8</v>
      </c>
      <c r="WV35" s="10">
        <f t="shared" si="380"/>
        <v>9</v>
      </c>
      <c r="WW35" s="10">
        <f t="shared" si="380"/>
        <v>10</v>
      </c>
      <c r="WX35" s="10">
        <f t="shared" si="380"/>
        <v>11</v>
      </c>
      <c r="WY35" s="10">
        <f t="shared" si="380"/>
        <v>12</v>
      </c>
      <c r="WZ35" s="10">
        <f t="shared" si="380"/>
        <v>13</v>
      </c>
      <c r="XA35" s="10">
        <f t="shared" si="380"/>
        <v>14</v>
      </c>
      <c r="XB35" s="10">
        <f t="shared" si="380"/>
        <v>15</v>
      </c>
      <c r="XC35" s="10">
        <f t="shared" si="380"/>
        <v>16</v>
      </c>
      <c r="XD35" s="10">
        <f t="shared" si="380"/>
        <v>17</v>
      </c>
      <c r="XE35" s="10">
        <f t="shared" si="380"/>
        <v>18</v>
      </c>
      <c r="XF35" s="10">
        <f t="shared" si="380"/>
        <v>19</v>
      </c>
      <c r="XG35" s="10">
        <f t="shared" si="380"/>
        <v>20</v>
      </c>
      <c r="XH35" s="10" t="str">
        <f>CONCATENATE(REPLACE($AK35,LEN($AK35),1,"")+1,"A")</f>
        <v>12A</v>
      </c>
      <c r="XI35" s="10" t="str">
        <f>CONCATENATE(REPLACE($AL35,LEN($AL35),1,"")+1,"B")</f>
        <v>12B</v>
      </c>
      <c r="XJ35" s="10" t="str">
        <f>CONCATENATE(REPLACE(XH35,LEN(XH35),1,"")+1,"A")</f>
        <v>13A</v>
      </c>
      <c r="XK35" s="10" t="str">
        <f>CONCATENATE(REPLACE(XI35,LEN(XI35),1,"")+1,"B")</f>
        <v>13B</v>
      </c>
      <c r="XL35" s="10" t="str">
        <f>CONCATENATE(REPLACE(XJ35,LEN(XJ35),1,"")+1,"A")</f>
        <v>14A</v>
      </c>
      <c r="XM35" s="10" t="str">
        <f>CONCATENATE(REPLACE(XK35,LEN(XK35),1,"")+1,"B")</f>
        <v>14B</v>
      </c>
      <c r="XN35" s="10" t="str">
        <f>CONCATENATE(REPLACE(XL35,LEN(XL35),1,"")+1,"A")</f>
        <v>15A</v>
      </c>
      <c r="XO35" s="10" t="str">
        <f>CONCATENATE(REPLACE(XM35,LEN(XM35),1,"")+1,"B")</f>
        <v>15B</v>
      </c>
      <c r="XP35" s="10" t="str">
        <f>CONCATENATE(REPLACE(XN35,LEN(XN35),1,"")+1,"A")</f>
        <v>16A</v>
      </c>
      <c r="XQ35" s="10" t="str">
        <f>CONCATENATE(REPLACE(XO35,LEN(XO35),1,"")+1,"B")</f>
        <v>16B</v>
      </c>
      <c r="XR35" s="10" t="str">
        <f>CONCATENATE(REPLACE(XP35,LEN(XP35),1,"")+1,"A")</f>
        <v>17A</v>
      </c>
      <c r="XS35" s="10" t="str">
        <f>CONCATENATE(REPLACE(XQ35,LEN(XQ35),1,"")+1,"B")</f>
        <v>17B</v>
      </c>
      <c r="XT35" s="10" t="str">
        <f>CONCATENATE(REPLACE(XR35,LEN(XR35),1,"")+1,"A")</f>
        <v>18A</v>
      </c>
      <c r="XU35" s="10" t="str">
        <f>CONCATENATE(REPLACE(XS35,LEN(XS35),1,"")+1,"B")</f>
        <v>18B</v>
      </c>
      <c r="XV35" s="10" t="str">
        <f>CONCATENATE(REPLACE(XT35,LEN(XT35),1,"")+1,"A")</f>
        <v>19A</v>
      </c>
      <c r="XW35" s="10" t="str">
        <f>CONCATENATE(REPLACE(XU35,LEN(XU35),1,"")+1,"B")</f>
        <v>19B</v>
      </c>
      <c r="XX35" s="10" t="str">
        <f>CONCATENATE(REPLACE(XV35,LEN(XV35),1,"")+1,"A")</f>
        <v>20A</v>
      </c>
      <c r="XY35" s="10" t="str">
        <f>CONCATENATE(REPLACE(XW35,LEN(XW35),1,"")+1,"B")</f>
        <v>20B</v>
      </c>
      <c r="XZ35" s="10" t="str">
        <f>CONCATENATE("DO",REPLACE($AH35,1,3,""),"-",$AK35)</f>
        <v>DO3-11A</v>
      </c>
      <c r="YA35" s="10" t="str">
        <f>CONCATENATE("DO",REPLACE($AH35,1,3,""),"-",$AL35)</f>
        <v>DO3-11B</v>
      </c>
      <c r="YB35" s="10" t="str">
        <f>CONCATENATE("DO",REPLACE($AH35,1,3,""),"-",XH35)</f>
        <v>DO3-12A</v>
      </c>
      <c r="YC35" s="10" t="str">
        <f>CONCATENATE("DO",REPLACE($AH35,1,3,""),"-",XI35)</f>
        <v>DO3-12B</v>
      </c>
      <c r="YD35" s="10" t="str">
        <f t="shared" ref="YD35" si="381">CONCATENATE("DO",REPLACE($AH35,1,3,""),"-",XJ35)</f>
        <v>DO3-13A</v>
      </c>
      <c r="YE35" s="10" t="str">
        <f t="shared" ref="YE35" si="382">CONCATENATE("DO",REPLACE($AH35,1,3,""),"-",XK35)</f>
        <v>DO3-13B</v>
      </c>
      <c r="YF35" s="10" t="str">
        <f t="shared" ref="YF35" si="383">CONCATENATE("DO",REPLACE($AH35,1,3,""),"-",XL35)</f>
        <v>DO3-14A</v>
      </c>
      <c r="YG35" s="10" t="str">
        <f t="shared" ref="YG35" si="384">CONCATENATE("DO",REPLACE($AH35,1,3,""),"-",XM35)</f>
        <v>DO3-14B</v>
      </c>
      <c r="YH35" s="10" t="str">
        <f t="shared" ref="YH35" si="385">CONCATENATE("DO",REPLACE($AH35,1,3,""),"-",XN35)</f>
        <v>DO3-15A</v>
      </c>
      <c r="YI35" s="10" t="str">
        <f t="shared" ref="YI35" si="386">CONCATENATE("DO",REPLACE($AH35,1,3,""),"-",XO35)</f>
        <v>DO3-15B</v>
      </c>
      <c r="YJ35" s="10" t="str">
        <f t="shared" ref="YJ35" si="387">CONCATENATE("DO",REPLACE($AH35,1,3,""),"-",XP35)</f>
        <v>DO3-16A</v>
      </c>
      <c r="YK35" s="10" t="str">
        <f t="shared" ref="YK35" si="388">CONCATENATE("DO",REPLACE($AH35,1,3,""),"-",XQ35)</f>
        <v>DO3-16B</v>
      </c>
      <c r="YL35" s="10" t="str">
        <f t="shared" ref="YL35" si="389">CONCATENATE("DO",REPLACE($AH35,1,3,""),"-",XR35)</f>
        <v>DO3-17A</v>
      </c>
      <c r="YM35" s="10" t="str">
        <f t="shared" ref="YM35" si="390">CONCATENATE("DO",REPLACE($AH35,1,3,""),"-",XS35)</f>
        <v>DO3-17B</v>
      </c>
      <c r="YN35" s="10" t="str">
        <f t="shared" ref="YN35" si="391">CONCATENATE("DO",REPLACE($AH35,1,3,""),"-",XT35)</f>
        <v>DO3-18A</v>
      </c>
      <c r="YO35" s="10" t="str">
        <f t="shared" ref="YO35" si="392">CONCATENATE("DO",REPLACE($AH35,1,3,""),"-",XU35)</f>
        <v>DO3-18B</v>
      </c>
      <c r="YP35" s="10" t="str">
        <f t="shared" ref="YP35" si="393">CONCATENATE("DO",REPLACE($AH35,1,3,""),"-",XV35)</f>
        <v>DO3-19A</v>
      </c>
      <c r="YQ35" s="10" t="str">
        <f t="shared" ref="YQ35" si="394">CONCATENATE("DO",REPLACE($AH35,1,3,""),"-",XW35)</f>
        <v>DO3-19B</v>
      </c>
      <c r="YR35" s="10" t="str">
        <f t="shared" ref="YR35" si="395">CONCATENATE("DO",REPLACE($AH35,1,3,""),"-",XX35)</f>
        <v>DO3-20A</v>
      </c>
      <c r="YS35" s="10" t="str">
        <f t="shared" ref="YS35" si="396">CONCATENATE("DO",REPLACE($AH35,1,3,""),"-",XY35)</f>
        <v>DO3-20B</v>
      </c>
      <c r="YT35" s="10" t="str">
        <f>CONCATENATE("K",$U35,"-01")</f>
        <v>K20-01</v>
      </c>
      <c r="YU35" s="10" t="str">
        <f>CONCATENATE("K",$U35,"-02")</f>
        <v>K20-02</v>
      </c>
      <c r="YV35" s="10" t="str">
        <f>CONCATENATE("K",$U35,"-03")</f>
        <v>K20-03</v>
      </c>
      <c r="YW35" s="10" t="str">
        <f>CONCATENATE("K",$U35,"-04")</f>
        <v>K20-04</v>
      </c>
      <c r="YX35" s="10" t="str">
        <f>CONCATENATE("K",$U35,"-05")</f>
        <v>K20-05</v>
      </c>
      <c r="YY35" s="10" t="str">
        <f>CONCATENATE("K",$U35,"-06")</f>
        <v>K20-06</v>
      </c>
      <c r="YZ35" s="10" t="str">
        <f>CONCATENATE("K",$U35,"-07")</f>
        <v>K20-07</v>
      </c>
      <c r="ZA35" s="10" t="str">
        <f>CONCATENATE("K",$U35,"-08")</f>
        <v>K20-08</v>
      </c>
      <c r="ZB35" s="10" t="str">
        <f>CONCATENATE("K",$U35,"-09")</f>
        <v>K20-09</v>
      </c>
      <c r="ZC35" s="10" t="str">
        <f>CONCATENATE("K",$U35,"-10")</f>
        <v>K20-10</v>
      </c>
      <c r="ZD35" s="43" t="s">
        <v>550</v>
      </c>
      <c r="ZE35" s="43" t="s">
        <v>551</v>
      </c>
      <c r="ZF35" s="43" t="s">
        <v>552</v>
      </c>
      <c r="ZG35" s="43" t="s">
        <v>553</v>
      </c>
      <c r="ZH35" s="43" t="s">
        <v>554</v>
      </c>
      <c r="ZI35" s="43" t="s">
        <v>555</v>
      </c>
      <c r="ZJ35" s="43" t="s">
        <v>556</v>
      </c>
      <c r="ZK35" s="43" t="s">
        <v>557</v>
      </c>
      <c r="ZL35" s="43" t="s">
        <v>558</v>
      </c>
      <c r="ZM35" s="43" t="s">
        <v>559</v>
      </c>
      <c r="ZN35" s="43" t="s">
        <v>560</v>
      </c>
      <c r="ZO35" s="43" t="s">
        <v>561</v>
      </c>
      <c r="ZP35" s="43" t="s">
        <v>562</v>
      </c>
      <c r="ZQ35" s="43" t="s">
        <v>563</v>
      </c>
      <c r="ZR35" s="43" t="s">
        <v>564</v>
      </c>
      <c r="ZS35" s="43" t="s">
        <v>565</v>
      </c>
      <c r="ZT35" s="43" t="s">
        <v>566</v>
      </c>
      <c r="ZU35" s="43" t="s">
        <v>567</v>
      </c>
      <c r="ZV35" s="43" t="s">
        <v>568</v>
      </c>
      <c r="ZW35" s="43" t="s">
        <v>569</v>
      </c>
      <c r="ZX35" s="10" t="s">
        <v>638</v>
      </c>
      <c r="ZY35" s="10" t="s">
        <v>639</v>
      </c>
      <c r="ZZ35" s="10" t="s">
        <v>640</v>
      </c>
      <c r="AAA35" s="10" t="s">
        <v>641</v>
      </c>
      <c r="AAB35" s="10" t="s">
        <v>635</v>
      </c>
      <c r="AAC35" s="10" t="s">
        <v>636</v>
      </c>
      <c r="AAD35" s="10" t="s">
        <v>584</v>
      </c>
      <c r="AAE35" s="10" t="s">
        <v>585</v>
      </c>
      <c r="AAF35" s="10" t="s">
        <v>642</v>
      </c>
      <c r="AAG35" s="10" t="s">
        <v>637</v>
      </c>
      <c r="AAH35" s="10" t="s">
        <v>423</v>
      </c>
      <c r="AAI35" s="10">
        <v>1</v>
      </c>
      <c r="AAJ35" s="10">
        <f>AAI35+1</f>
        <v>2</v>
      </c>
      <c r="AAK35" s="10">
        <f t="shared" ref="AAK35:ABB35" si="397">AAJ35+1</f>
        <v>3</v>
      </c>
      <c r="AAL35" s="10">
        <f t="shared" si="397"/>
        <v>4</v>
      </c>
      <c r="AAM35" s="10">
        <f t="shared" si="397"/>
        <v>5</v>
      </c>
      <c r="AAN35" s="10">
        <f t="shared" si="397"/>
        <v>6</v>
      </c>
      <c r="AAO35" s="10">
        <f t="shared" si="397"/>
        <v>7</v>
      </c>
      <c r="AAP35" s="10">
        <f t="shared" si="397"/>
        <v>8</v>
      </c>
      <c r="AAQ35" s="10">
        <f t="shared" si="397"/>
        <v>9</v>
      </c>
      <c r="AAR35" s="10">
        <f t="shared" si="397"/>
        <v>10</v>
      </c>
      <c r="AAS35" s="10">
        <f t="shared" si="397"/>
        <v>11</v>
      </c>
      <c r="AAT35" s="10">
        <f t="shared" si="397"/>
        <v>12</v>
      </c>
      <c r="AAU35" s="10">
        <f t="shared" si="397"/>
        <v>13</v>
      </c>
      <c r="AAV35" s="10">
        <f t="shared" si="397"/>
        <v>14</v>
      </c>
      <c r="AAW35" s="10">
        <f t="shared" si="397"/>
        <v>15</v>
      </c>
      <c r="AAX35" s="10">
        <f t="shared" si="397"/>
        <v>16</v>
      </c>
      <c r="AAY35" s="10">
        <f t="shared" si="397"/>
        <v>17</v>
      </c>
      <c r="AAZ35" s="10">
        <f t="shared" si="397"/>
        <v>18</v>
      </c>
      <c r="ABA35" s="10">
        <f t="shared" si="397"/>
        <v>19</v>
      </c>
      <c r="ABB35" s="11">
        <f t="shared" si="397"/>
        <v>20</v>
      </c>
      <c r="ACP35" s="30" t="s">
        <v>133</v>
      </c>
      <c r="ACQ35" s="18" t="s">
        <v>134</v>
      </c>
      <c r="ACR35" s="18">
        <v>11</v>
      </c>
      <c r="ACS35" s="19">
        <v>14</v>
      </c>
    </row>
    <row r="36" spans="1:802" ht="15.75" thickBot="1" x14ac:dyDescent="0.3">
      <c r="A36" t="s">
        <v>624</v>
      </c>
      <c r="B36" t="s">
        <v>621</v>
      </c>
      <c r="P36" t="s">
        <v>596</v>
      </c>
      <c r="T36" s="12" t="s">
        <v>444</v>
      </c>
      <c r="U36">
        <v>20</v>
      </c>
      <c r="V36" s="13" t="s">
        <v>627</v>
      </c>
      <c r="AC36" t="s">
        <v>145</v>
      </c>
      <c r="AD36" s="34" cm="1">
        <f t="array" ref="AD36">IF(COUNTIFS(AC$2:AC36,AC36)=1,"1",VALUE(SUBSTITUTE(INDEX(AD:AD,_xlfn.XMATCH(AC36,AC$1:AC35,0,-1)),"A",""))+INDEX(AE:AE,_xlfn.XMATCH(AC36,AC$1:AC35,0,-1))+1)</f>
        <v>5</v>
      </c>
      <c r="AE36" s="34" cm="1">
        <f t="array" ref="AE36">SUM(IF(ISNUMBER(FIND("TmDi",$BE$1:$ADD$1)),IF(IFERROR(ISNUMBER(VALUE(SUBSTITUTE($BE36:$ADD36,"B",""))),FALSE),IF(ISNUMBER(VALUE(SUBSTITUTE($BE36:$ADD36,"B",""))),1,0),0)))</f>
        <v>3</v>
      </c>
      <c r="AF36" t="str">
        <f t="shared" ref="AF36" si="398">CONCATENATE("C",$AD36)</f>
        <v>C5</v>
      </c>
      <c r="AG36" t="str">
        <f t="shared" ref="AG36" si="399">CONCATENATE("B",$AD36)</f>
        <v>B5</v>
      </c>
      <c r="AP36" t="s">
        <v>446</v>
      </c>
      <c r="AQ36" t="s">
        <v>632</v>
      </c>
      <c r="AT36" t="s">
        <v>130</v>
      </c>
      <c r="JZ36" s="22"/>
      <c r="KS36" s="14"/>
      <c r="ABC36" s="30" t="s">
        <v>630</v>
      </c>
      <c r="ABD36" s="18" t="s">
        <v>631</v>
      </c>
      <c r="ABE36" s="18" t="s">
        <v>633</v>
      </c>
      <c r="ABF36" s="18" t="s">
        <v>634</v>
      </c>
      <c r="ABG36" s="18" t="str">
        <f>CONCATENATE("XT",$U36)</f>
        <v>XT20</v>
      </c>
      <c r="ABH36" s="18">
        <v>21</v>
      </c>
      <c r="ABI36" s="18">
        <f t="shared" ref="ABI36" si="400">ABH36+1</f>
        <v>22</v>
      </c>
      <c r="ABJ36" s="18">
        <f t="shared" ref="ABJ36" si="401">ABI36+1</f>
        <v>23</v>
      </c>
      <c r="ABK36" s="18">
        <f t="shared" ref="ABK36" si="402">ABJ36+1</f>
        <v>24</v>
      </c>
      <c r="ABL36" s="18">
        <f t="shared" ref="ABL36" si="403">ABK36+1</f>
        <v>25</v>
      </c>
      <c r="ABM36" s="18">
        <f t="shared" ref="ABM36" si="404">ABL36+1</f>
        <v>26</v>
      </c>
      <c r="ABN36" s="18">
        <f t="shared" ref="ABN36" si="405">ABM36+1</f>
        <v>27</v>
      </c>
      <c r="ABO36" s="18">
        <f t="shared" ref="ABO36" si="406">ABN36+1</f>
        <v>28</v>
      </c>
      <c r="ABP36" s="18" t="str">
        <f>CONCATENATE("C",REPLACE($AF36,1,1,"")+1)</f>
        <v>C6</v>
      </c>
      <c r="ABQ36" s="18" t="str">
        <f>CONCATENATE("B",REPLACE($AG36,1,1,"")+1)</f>
        <v>B6</v>
      </c>
      <c r="ABR36" s="18" t="str">
        <f t="shared" ref="ABR36" si="407">CONCATENATE("C",REPLACE(ABP36,1,1,"")+1)</f>
        <v>C7</v>
      </c>
      <c r="ABS36" s="18" t="str">
        <f t="shared" ref="ABS36" si="408">CONCATENATE("B",REPLACE(ABQ36,1,1,"")+1)</f>
        <v>B7</v>
      </c>
      <c r="ABT36" s="18" t="str">
        <f t="shared" ref="ABT36" si="409">CONCATENATE("C",REPLACE(ABR36,1,1,"")+1)</f>
        <v>C8</v>
      </c>
      <c r="ABU36" s="18" t="str">
        <f t="shared" ref="ABU36" si="410">CONCATENATE("B",REPLACE(ABS36,1,1,"")+1)</f>
        <v>B8</v>
      </c>
      <c r="ABV36" s="18" t="str">
        <f>CONCATENATE("DI",REPLACE($AC36,1,3,""),"-",$AF36)</f>
        <v>DI4-C5</v>
      </c>
      <c r="ABW36" s="18" t="str">
        <f>CONCATENATE("DI",REPLACE($AC36,1,3,""),"-",$AG36)</f>
        <v>DI4-B5</v>
      </c>
      <c r="ABX36" s="18" t="str">
        <f>CONCATENATE("DI",REPLACE($AC36,1,3,""),"-",ABP36)</f>
        <v>DI4-C6</v>
      </c>
      <c r="ABY36" s="18" t="str">
        <f>CONCATENATE("DI",REPLACE($AC36,1,3,""),"-",ABQ36)</f>
        <v>DI4-B6</v>
      </c>
      <c r="ABZ36" s="18" t="str">
        <f t="shared" ref="ABZ36" si="411">CONCATENATE("DI",REPLACE($AC36,1,3,""),"-",ABR36)</f>
        <v>DI4-C7</v>
      </c>
      <c r="ACA36" s="18" t="str">
        <f t="shared" ref="ACA36" si="412">CONCATENATE("DI",REPLACE($AC36,1,3,""),"-",ABS36)</f>
        <v>DI4-B7</v>
      </c>
      <c r="ACB36" s="18" t="str">
        <f t="shared" ref="ACB36" si="413">CONCATENATE("DI",REPLACE($AC36,1,3,""),"-",ABT36)</f>
        <v>DI4-C8</v>
      </c>
      <c r="ACC36" s="18" t="str">
        <f t="shared" ref="ACC36" si="414">CONCATENATE("DI",REPLACE($AC36,1,3,""),"-",ABU36)</f>
        <v>DI4-B8</v>
      </c>
      <c r="ACD36" s="44" t="s">
        <v>602</v>
      </c>
      <c r="ACE36" s="44" t="s">
        <v>603</v>
      </c>
      <c r="ACF36" s="44" t="s">
        <v>604</v>
      </c>
      <c r="ACG36" s="44" t="s">
        <v>605</v>
      </c>
      <c r="ACH36" s="44" t="s">
        <v>607</v>
      </c>
      <c r="ACI36" s="44" t="s">
        <v>608</v>
      </c>
      <c r="ACJ36" s="44" t="s">
        <v>609</v>
      </c>
      <c r="ACK36" s="44" t="s">
        <v>610</v>
      </c>
      <c r="ACL36" s="18" t="str">
        <f>CONCATENATE("K",$U36,"-11")</f>
        <v>K20-11</v>
      </c>
      <c r="ACM36" s="18" t="str">
        <f>CONCATENATE("K",$U36,"-12")</f>
        <v>K20-12</v>
      </c>
      <c r="ACN36" s="18" t="str">
        <f>CONCATENATE("K",$U36,"-13")</f>
        <v>K20-13</v>
      </c>
      <c r="ACO36" s="18" t="str">
        <f>CONCATENATE("K",$U36,"-14")</f>
        <v>K20-14</v>
      </c>
      <c r="ACP36" s="18" t="s">
        <v>133</v>
      </c>
      <c r="ACQ36" s="18" t="s">
        <v>134</v>
      </c>
      <c r="ACR36" s="18">
        <v>11</v>
      </c>
      <c r="ACS36" s="18">
        <v>14</v>
      </c>
      <c r="ACT36" s="18" t="s">
        <v>187</v>
      </c>
      <c r="ACU36" s="18" t="s">
        <v>186</v>
      </c>
      <c r="ACV36" s="18" t="s">
        <v>423</v>
      </c>
      <c r="ACW36" s="18">
        <v>21</v>
      </c>
      <c r="ACX36" s="18">
        <v>22</v>
      </c>
      <c r="ACY36" s="18">
        <v>23</v>
      </c>
      <c r="ACZ36" s="18">
        <v>24</v>
      </c>
      <c r="ADA36" s="18">
        <v>25</v>
      </c>
      <c r="ADB36" s="18">
        <v>26</v>
      </c>
      <c r="ADC36" s="18">
        <v>27</v>
      </c>
      <c r="ADD36" s="19">
        <v>28</v>
      </c>
    </row>
    <row r="37" spans="1:802" ht="30.75" thickBot="1" x14ac:dyDescent="0.3">
      <c r="A37" t="s">
        <v>625</v>
      </c>
      <c r="B37" t="s">
        <v>622</v>
      </c>
      <c r="P37" t="s">
        <v>404</v>
      </c>
      <c r="T37" s="12" t="s">
        <v>444</v>
      </c>
      <c r="U37">
        <v>20</v>
      </c>
      <c r="V37" t="s">
        <v>628</v>
      </c>
      <c r="AP37" t="s">
        <v>446</v>
      </c>
      <c r="AQ37" t="s">
        <v>514</v>
      </c>
      <c r="JZ37" s="22"/>
      <c r="KS37" s="14"/>
      <c r="TS37" s="40" t="s">
        <v>417</v>
      </c>
      <c r="TT37" s="18" t="s">
        <v>413</v>
      </c>
      <c r="TU37" s="18" t="s">
        <v>414</v>
      </c>
      <c r="TV37" s="18" t="s">
        <v>415</v>
      </c>
      <c r="TW37" s="18" t="s">
        <v>416</v>
      </c>
      <c r="TX37" s="18" t="s">
        <v>613</v>
      </c>
      <c r="TY37" s="18" t="s">
        <v>614</v>
      </c>
      <c r="TZ37" s="18" t="s">
        <v>615</v>
      </c>
      <c r="UA37" s="18" t="str">
        <f>CONCATENATE("XT",$U37)</f>
        <v>XT20</v>
      </c>
      <c r="UB37" s="18">
        <v>29</v>
      </c>
      <c r="UC37" s="18">
        <f>UB37+1</f>
        <v>30</v>
      </c>
      <c r="UD37" s="18">
        <f>UC37+1</f>
        <v>31</v>
      </c>
      <c r="UE37" s="18" t="s">
        <v>616</v>
      </c>
      <c r="UF37" s="18" t="s">
        <v>617</v>
      </c>
      <c r="UG37" s="18" t="s">
        <v>618</v>
      </c>
      <c r="UH37" s="19" t="s">
        <v>619</v>
      </c>
    </row>
    <row r="38" spans="1:802" x14ac:dyDescent="0.25">
      <c r="A38" t="s">
        <v>700</v>
      </c>
      <c r="B38" t="s">
        <v>643</v>
      </c>
      <c r="C38" t="s">
        <v>196</v>
      </c>
      <c r="P38" t="s">
        <v>189</v>
      </c>
      <c r="T38" s="12" t="s">
        <v>444</v>
      </c>
      <c r="U38">
        <v>18</v>
      </c>
      <c r="V38" s="13" t="s">
        <v>644</v>
      </c>
      <c r="X38" t="s">
        <v>198</v>
      </c>
      <c r="Y38" s="34" t="str" cm="1">
        <f t="array" ref="Y38">IF(COUNTIFS($X$2:$X38,$X38)=1,"1",VALUE(SUBSTITUTE(INDEX(Y:Y,_xlfn.XMATCH($X38,$X$1:$X37,0,-1)),"A",""))+INDEX(Z:Z,_xlfn.XMATCH($X38,$X$1:$X37,0,-1))+1)</f>
        <v>1</v>
      </c>
      <c r="Z38" s="34" cm="1">
        <f t="array" ref="Z38">SUM(IF(ISNUMBER(FIND("TmAi",$BE$1:$AAL$1)),IF(IFERROR(ISODD(SUBSTITUTE($BE38:$AAL38,"A","")),FALSE),IF(ISODD(SUBSTITUTE($BE38:$AAL38,"A","")),1,0),0)))</f>
        <v>0</v>
      </c>
      <c r="AA38" t="str">
        <f t="shared" ref="AA38:AA39" si="415">CONCATENATE($Y38*2-1,"B")</f>
        <v>1B</v>
      </c>
      <c r="AB38" t="str">
        <f t="shared" ref="AB38:AB39" si="416">CONCATENATE($Y38*2,"B")</f>
        <v>2B</v>
      </c>
      <c r="AP38" t="s">
        <v>446</v>
      </c>
      <c r="AS38" t="s">
        <v>169</v>
      </c>
      <c r="JZ38" s="22" t="str">
        <f t="shared" ref="JZ38:JZ39" si="417">CONCATENATE("XT",U38)</f>
        <v>XT18</v>
      </c>
      <c r="KC38" t="str">
        <f>CONCATENATE($A38,"-1")</f>
        <v>N2NDE11 CL001-1</v>
      </c>
      <c r="KD38" t="str">
        <f>CONCATENATE($A38,"-2")</f>
        <v>N2NDE11 CL001-2</v>
      </c>
      <c r="KI38" cm="1">
        <f t="array" ref="KI38">IF(COUNTIFS($U$2:$U38,$U38)=1,1,INDEX(KI:KI,_xlfn.XMATCH(U38,U$1:U37,0,-1))+COUNT(KI31:KM31))</f>
        <v>40</v>
      </c>
      <c r="KJ38">
        <f t="shared" ref="KJ38:KJ40" si="418">KI38+1</f>
        <v>41</v>
      </c>
      <c r="KK38">
        <f t="shared" ref="KK38:KK40" si="419">KJ38+1</f>
        <v>42</v>
      </c>
      <c r="KN38">
        <v>1</v>
      </c>
      <c r="KO38">
        <v>2</v>
      </c>
      <c r="KS38" s="14"/>
    </row>
    <row r="39" spans="1:802" x14ac:dyDescent="0.25">
      <c r="A39" t="s">
        <v>701</v>
      </c>
      <c r="B39" t="s">
        <v>645</v>
      </c>
      <c r="C39" t="s">
        <v>196</v>
      </c>
      <c r="P39" t="s">
        <v>189</v>
      </c>
      <c r="T39" s="12" t="s">
        <v>444</v>
      </c>
      <c r="U39">
        <v>18</v>
      </c>
      <c r="V39" s="13" t="s">
        <v>646</v>
      </c>
      <c r="X39" t="str">
        <f>IF(COUNTIF(X$2:X38,X38)&gt;7,REPLACE(X38,LEN(X38),1,VALUE(RIGHT(X38,1))+1),X38)</f>
        <v>A3.4</v>
      </c>
      <c r="Y39" s="34" cm="1">
        <f t="array" ref="Y39">IF(COUNTIFS($X$2:$X39,$X39)=1,"1",VALUE(SUBSTITUTE(INDEX(Y:Y,_xlfn.XMATCH($X39,$X$1:$X38,0,-1)),"A",""))+INDEX(Z:Z,_xlfn.XMATCH($X39,$X$1:$X38,0,-1))+1)</f>
        <v>2</v>
      </c>
      <c r="Z39" s="34" cm="1">
        <f t="array" ref="Z39">SUM(IF(ISNUMBER(FIND("TmAi",$BE$1:$AAL$1)),IF(IFERROR(ISODD(SUBSTITUTE($BE39:$AAL39,"A","")),FALSE),IF(ISODD(SUBSTITUTE($BE39:$AAL39,"A","")),1,0),0)))</f>
        <v>0</v>
      </c>
      <c r="AA39" t="str">
        <f t="shared" si="415"/>
        <v>3B</v>
      </c>
      <c r="AB39" t="str">
        <f t="shared" si="416"/>
        <v>4B</v>
      </c>
      <c r="AP39" t="s">
        <v>446</v>
      </c>
      <c r="AS39" t="s">
        <v>169</v>
      </c>
      <c r="JZ39" s="22" t="str">
        <f t="shared" si="417"/>
        <v>XT18</v>
      </c>
      <c r="KC39" t="str">
        <f>CONCATENATE($A39,"-1")</f>
        <v>N2NDE12 CL001-1</v>
      </c>
      <c r="KD39" t="str">
        <f>CONCATENATE($A39,"-2")</f>
        <v>N2NDE12 CL001-2</v>
      </c>
      <c r="KI39" cm="1">
        <f t="array" ref="KI39">IF(COUNTIFS($U$2:$U39,$U39)=1,1,INDEX(KI:KI,_xlfn.XMATCH(U39,U$1:U38,0,-1))+COUNT(KI38:KM38))</f>
        <v>43</v>
      </c>
      <c r="KJ39">
        <f t="shared" si="418"/>
        <v>44</v>
      </c>
      <c r="KK39">
        <f t="shared" si="419"/>
        <v>45</v>
      </c>
      <c r="KN39">
        <v>1</v>
      </c>
      <c r="KO39">
        <v>2</v>
      </c>
      <c r="KS39" s="14"/>
    </row>
    <row r="40" spans="1:802" ht="15.75" thickBot="1" x14ac:dyDescent="0.3">
      <c r="A40" t="s">
        <v>702</v>
      </c>
      <c r="B40" t="s">
        <v>647</v>
      </c>
      <c r="C40" t="s">
        <v>199</v>
      </c>
      <c r="P40" t="s">
        <v>197</v>
      </c>
      <c r="T40" s="12" t="s">
        <v>444</v>
      </c>
      <c r="U40">
        <v>18</v>
      </c>
      <c r="V40" t="s">
        <v>648</v>
      </c>
      <c r="X40" t="str">
        <f>IF(COUNTIF(X$2:X39,X39)&gt;7,REPLACE(X39,LEN(X39),1,VALUE(RIGHT(X39,1))+1),X39)</f>
        <v>A3.4</v>
      </c>
      <c r="Y40" s="34" cm="1">
        <f t="array" ref="Y40">IF(COUNTIFS($X$2:$X40,$X40)=1,"1",VALUE(SUBSTITUTE(INDEX(Y:Y,_xlfn.XMATCH($X40,$X$1:$X39,0,-1)),"A",""))+INDEX(Z:Z,_xlfn.XMATCH($X40,$X$1:$X39,0,-1))+1)</f>
        <v>3</v>
      </c>
      <c r="Z40" s="35" cm="1">
        <f t="array" ref="Z40">SUM(IF(ISNUMBER(FIND("TmAi",$BE$1:$AAL$1)),IF(IFERROR(ISODD(SUBSTITUTE($BE40:$AAL40,"A","")),FALSE),IF(ISODD(SUBSTITUTE($BE40:$AAL40,"A","")),1,0),0)))</f>
        <v>0</v>
      </c>
      <c r="AA40" t="str">
        <f t="shared" ref="AA40:AA41" si="420">CONCATENATE($Y40*2-1,"A")</f>
        <v>5A</v>
      </c>
      <c r="AB40" t="str">
        <f t="shared" ref="AB40:AB41" si="421">CONCATENATE($Y40*2-1,"B")</f>
        <v>5B</v>
      </c>
      <c r="AP40" t="s">
        <v>446</v>
      </c>
      <c r="AS40" t="s">
        <v>169</v>
      </c>
      <c r="JZ40" s="23" t="str">
        <f>CONCATENATE("XT",U40)</f>
        <v>XT18</v>
      </c>
      <c r="KA40" s="16"/>
      <c r="KB40" s="16"/>
      <c r="KC40" s="16" t="str">
        <f>CONCATENATE($A40,"-1")</f>
        <v>N2NDV10 CL001-1</v>
      </c>
      <c r="KD40" s="16" t="str">
        <f>CONCATENATE($A40,"-2")</f>
        <v>N2NDV10 CL001-2</v>
      </c>
      <c r="KE40" s="16"/>
      <c r="KF40" s="16"/>
      <c r="KG40" s="16" t="s">
        <v>191</v>
      </c>
      <c r="KH40" s="16" t="s">
        <v>190</v>
      </c>
      <c r="KI40" s="16" cm="1">
        <f t="array" ref="KI40">IF(COUNTIFS($U$2:$U40,$U40)=1,1,INDEX(KI:KI,_xlfn.XMATCH(U40,U$1:U39,0,-1))+COUNT(KI27:KM27))</f>
        <v>46</v>
      </c>
      <c r="KJ40" s="16">
        <f t="shared" si="418"/>
        <v>47</v>
      </c>
      <c r="KK40" s="16">
        <f t="shared" si="419"/>
        <v>48</v>
      </c>
      <c r="KL40" s="16">
        <f t="shared" ref="KL40" si="422">KK40+1</f>
        <v>49</v>
      </c>
      <c r="KM40" s="16">
        <f t="shared" ref="KM40" si="423">KL40+1</f>
        <v>50</v>
      </c>
      <c r="KN40" s="16" t="s">
        <v>200</v>
      </c>
      <c r="KO40" s="16" t="s">
        <v>201</v>
      </c>
      <c r="KP40" s="16" t="s">
        <v>200</v>
      </c>
      <c r="KQ40" s="16" t="s">
        <v>201</v>
      </c>
      <c r="KR40" s="16" t="s">
        <v>204</v>
      </c>
      <c r="KS40" s="17" t="s">
        <v>205</v>
      </c>
    </row>
    <row r="41" spans="1:802" ht="15.75" thickBot="1" x14ac:dyDescent="0.3">
      <c r="A41" t="s">
        <v>703</v>
      </c>
      <c r="B41" t="s">
        <v>649</v>
      </c>
      <c r="C41" t="s">
        <v>650</v>
      </c>
      <c r="P41" t="s">
        <v>651</v>
      </c>
      <c r="T41" s="12" t="s">
        <v>444</v>
      </c>
      <c r="U41">
        <v>18</v>
      </c>
      <c r="V41" t="s">
        <v>652</v>
      </c>
      <c r="X41" t="str">
        <f>IF(COUNTIF(X$2:X40,X40)&gt;7,REPLACE(X40,LEN(X40),1,VALUE(RIGHT(X40,1))+1),X40)</f>
        <v>A3.4</v>
      </c>
      <c r="Y41" s="34" cm="1">
        <f t="array" ref="Y41">IF(COUNTIFS($X$2:$X41,$X41)=1,"1",VALUE(SUBSTITUTE(INDEX(Y:Y,_xlfn.XMATCH($X41,$X$1:$X40,0,-1)),"A",""))+INDEX(Z:Z,_xlfn.XMATCH($X41,$X$1:$X40,0,-1))+1)</f>
        <v>4</v>
      </c>
      <c r="Z41" s="35" cm="1">
        <f t="array" ref="Z41">SUM(IF(ISNUMBER(FIND("TmAi",$BE$1:$AAL$1)),IF(IFERROR(ISODD(SUBSTITUTE($BE41:$AAL41,"A","")),FALSE),IF(ISODD(SUBSTITUTE($BE41:$AAL41,"A","")),1,0),0)))</f>
        <v>0</v>
      </c>
      <c r="AA41" t="str">
        <f t="shared" si="420"/>
        <v>7A</v>
      </c>
      <c r="AB41" t="str">
        <f t="shared" si="421"/>
        <v>7B</v>
      </c>
      <c r="AM41" t="s">
        <v>654</v>
      </c>
      <c r="AP41" t="s">
        <v>446</v>
      </c>
      <c r="AQ41" t="s">
        <v>653</v>
      </c>
      <c r="AS41" t="s">
        <v>169</v>
      </c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ADE41" s="20" t="str">
        <f>CONCATENATE("XT",$U41)</f>
        <v>XT18</v>
      </c>
      <c r="ADF41" s="10">
        <f>KM40+1</f>
        <v>51</v>
      </c>
      <c r="ADG41" s="10">
        <f>ADF41+1</f>
        <v>52</v>
      </c>
      <c r="ADH41" s="10">
        <f t="shared" ref="ADH41:ADI41" si="424">ADG41+1</f>
        <v>53</v>
      </c>
      <c r="ADI41" s="10">
        <f t="shared" si="424"/>
        <v>54</v>
      </c>
      <c r="ADJ41" s="10" t="str">
        <f>REPLACE($AA41,1,1,LEFT($AA41,1)+1)</f>
        <v>8A</v>
      </c>
      <c r="ADK41" s="10" t="str">
        <f>REPLACE($AB41,1,1,LEFT($AB41,1)+1)</f>
        <v>8B</v>
      </c>
      <c r="ADL41" s="10" t="str">
        <f>CONCATENATE($T41,"-AI",REPLACE($X41,1,3,""),"-",$AB41)</f>
        <v>N2-AI4-7B</v>
      </c>
      <c r="ADM41" s="10" t="str">
        <f>CONCATENATE($T41,"-AI",REPLACE($X41,1,3,""),"-",ADK41)</f>
        <v>N2-AI4-8B</v>
      </c>
      <c r="ADN41" s="10" t="str">
        <f>CONCATENATE($T41,"-AI",REPLACE($X41,1,3,""),"-",$AA41)</f>
        <v>N2-AI4-7A</v>
      </c>
      <c r="ADO41" s="10">
        <v>8</v>
      </c>
      <c r="ADP41" s="10">
        <v>9</v>
      </c>
      <c r="ADQ41" s="10">
        <v>10</v>
      </c>
      <c r="ADR41" s="10" t="str">
        <f>"+канал 1"</f>
        <v>+канал 1</v>
      </c>
      <c r="ADS41" s="10" t="str">
        <f>"-общий"</f>
        <v>-общий</v>
      </c>
      <c r="ADT41" s="10" t="str">
        <f>"+канал 2"</f>
        <v>+канал 2</v>
      </c>
      <c r="ADU41" s="10" t="s">
        <v>658</v>
      </c>
      <c r="ADV41" s="11" t="s">
        <v>659</v>
      </c>
    </row>
    <row r="42" spans="1:802" x14ac:dyDescent="0.25">
      <c r="A42" t="s">
        <v>704</v>
      </c>
      <c r="B42" s="37" t="s">
        <v>660</v>
      </c>
      <c r="P42" t="s">
        <v>361</v>
      </c>
      <c r="T42" s="12" t="s">
        <v>444</v>
      </c>
      <c r="U42">
        <v>21</v>
      </c>
      <c r="V42" t="s">
        <v>661</v>
      </c>
      <c r="AC42" t="s">
        <v>145</v>
      </c>
      <c r="AD42" s="34">
        <v>17</v>
      </c>
      <c r="AE42" s="34" cm="1">
        <f t="array" ref="AE42">SUM(IF(ISNUMBER(FIND("TmDi",$BE$1:$AAL$1)),IF(IFERROR(ISNUMBER(VALUE(SUBSTITUTE($BE42:$AAL42,"B",""))),FALSE),IF(ISNUMBER(VALUE(SUBSTITUTE($BE42:$AAL42,"B",""))),1,0),0)))</f>
        <v>0</v>
      </c>
      <c r="AF42" t="str">
        <f t="shared" ref="AF42:AF49" si="425">CONCATENATE("C",$AD42)</f>
        <v>C17</v>
      </c>
      <c r="AG42" t="str">
        <f t="shared" ref="AG42:AG49" si="426">CONCATENATE("B",$AD42)</f>
        <v>B17</v>
      </c>
      <c r="AP42" t="s">
        <v>446</v>
      </c>
      <c r="AQ42" t="s">
        <v>662</v>
      </c>
      <c r="AT42" t="s">
        <v>211</v>
      </c>
      <c r="LT42" s="20" t="s">
        <v>427</v>
      </c>
      <c r="LU42" s="10">
        <v>5</v>
      </c>
      <c r="LV42" s="10">
        <v>11</v>
      </c>
      <c r="LW42" s="10"/>
      <c r="LX42" s="10" t="str">
        <f>CONCATENATE("XT",U42)</f>
        <v>XT21</v>
      </c>
      <c r="LY42" s="10" t="str">
        <f>CONCATENATE("DI",REPLACE($AC42,1,3,""),"-",$AG42)</f>
        <v>DI4-B17</v>
      </c>
      <c r="LZ42" s="10" t="str">
        <f>CONCATENATE("DI",REPLACE($AC42,1,3,""),"-",$AF42)</f>
        <v>DI4-C17</v>
      </c>
      <c r="MA42" s="10" t="s">
        <v>429</v>
      </c>
      <c r="MB42" s="10" t="s">
        <v>428</v>
      </c>
      <c r="MC42" s="10">
        <v>11</v>
      </c>
      <c r="MD42" s="10">
        <v>14</v>
      </c>
      <c r="ME42" s="10" t="s">
        <v>133</v>
      </c>
      <c r="MF42" s="10" t="s">
        <v>134</v>
      </c>
      <c r="MG42" s="10" t="s">
        <v>191</v>
      </c>
      <c r="MH42" s="10" t="s">
        <v>190</v>
      </c>
      <c r="MI42" s="10" t="s">
        <v>187</v>
      </c>
      <c r="MJ42" s="10" t="s">
        <v>186</v>
      </c>
      <c r="MK42" s="10">
        <v>1</v>
      </c>
      <c r="ML42" s="10">
        <f>MK42+1</f>
        <v>2</v>
      </c>
      <c r="MM42" s="10"/>
      <c r="MN42" s="10"/>
      <c r="MO42" s="10"/>
      <c r="MP42" s="10"/>
      <c r="MQ42" s="10">
        <v>3</v>
      </c>
      <c r="MR42" s="10">
        <v>7</v>
      </c>
      <c r="MS42" s="11"/>
    </row>
    <row r="43" spans="1:802" x14ac:dyDescent="0.25">
      <c r="A43" t="s">
        <v>705</v>
      </c>
      <c r="B43" t="s">
        <v>663</v>
      </c>
      <c r="P43" t="s">
        <v>373</v>
      </c>
      <c r="T43" s="12" t="s">
        <v>444</v>
      </c>
      <c r="U43">
        <v>21</v>
      </c>
      <c r="AC43" t="str">
        <f t="shared" ref="AC43:AC49" si="427">IF(AD42+AE42&gt;31,REPLACE(AC42,LEN(AC42),1,VALUE(RIGHT(AC42,1))+1),AC42)</f>
        <v>A5.4</v>
      </c>
      <c r="AD43" s="35" cm="1">
        <f t="array" ref="AD43">IF(COUNTIFS(AC$2:AC43,AC43)=1,"1",VALUE(SUBSTITUTE(INDEX(AD:AD,_xlfn.XMATCH(AC43,AC$1:AC42,0,-1)),"A",""))+INDEX(AE:AE,_xlfn.XMATCH(AC43,AC$1:AC42,0,-1))+1)</f>
        <v>18</v>
      </c>
      <c r="AE43" s="35" cm="1">
        <f t="array" ref="AE43">SUM(IF(ISNUMBER(FIND("TmDi",$BE$1:$AAL$1)),IF(IFERROR(ISNUMBER(VALUE(SUBSTITUTE($BE43:$AAL43,"B",""))),FALSE),IF(ISNUMBER(VALUE(SUBSTITUTE($BE43:$AAL43,"B",""))),1,0),0)))</f>
        <v>0</v>
      </c>
      <c r="AF43" t="str">
        <f t="shared" si="425"/>
        <v>C18</v>
      </c>
      <c r="AG43" t="str">
        <f t="shared" si="426"/>
        <v>B18</v>
      </c>
      <c r="AP43" t="s">
        <v>446</v>
      </c>
      <c r="AT43" t="s">
        <v>211</v>
      </c>
      <c r="AU43" t="s">
        <v>362</v>
      </c>
      <c r="LT43" s="22"/>
      <c r="LY43" t="str">
        <f>CONCATENATE("DI",REPLACE($AC43,1,3,""),"-",$AF43)</f>
        <v>DI4-C18</v>
      </c>
      <c r="MA43" t="s">
        <v>375</v>
      </c>
      <c r="MB43" t="s">
        <v>374</v>
      </c>
      <c r="MC43">
        <v>11</v>
      </c>
      <c r="MD43">
        <v>14</v>
      </c>
      <c r="ME43" t="s">
        <v>133</v>
      </c>
      <c r="MF43" t="s">
        <v>134</v>
      </c>
      <c r="MG43" t="s">
        <v>191</v>
      </c>
      <c r="MH43" t="s">
        <v>190</v>
      </c>
      <c r="MI43" t="s">
        <v>187</v>
      </c>
      <c r="MJ43" t="s">
        <v>186</v>
      </c>
      <c r="MQ43">
        <v>1</v>
      </c>
      <c r="MR43">
        <v>2</v>
      </c>
      <c r="MS43" s="14"/>
    </row>
    <row r="44" spans="1:802" x14ac:dyDescent="0.25">
      <c r="A44" t="s">
        <v>706</v>
      </c>
      <c r="B44" t="s">
        <v>664</v>
      </c>
      <c r="P44" t="s">
        <v>373</v>
      </c>
      <c r="T44" s="12" t="s">
        <v>444</v>
      </c>
      <c r="U44">
        <v>21</v>
      </c>
      <c r="AC44" t="str">
        <f t="shared" si="427"/>
        <v>A5.4</v>
      </c>
      <c r="AD44" s="35" cm="1">
        <f t="array" ref="AD44">IF(COUNTIFS(AC$2:AC44,AC44)=1,"1",VALUE(SUBSTITUTE(INDEX(AD:AD,_xlfn.XMATCH(AC44,AC$1:AC43,0,-1)),"A",""))+INDEX(AE:AE,_xlfn.XMATCH(AC44,AC$1:AC43,0,-1))+1)</f>
        <v>19</v>
      </c>
      <c r="AE44" s="35" cm="1">
        <f t="array" ref="AE44">SUM(IF(ISNUMBER(FIND("TmDi",$BE$1:$AAL$1)),IF(IFERROR(ISNUMBER(VALUE(SUBSTITUTE($BE44:$AAL44,"B",""))),FALSE),IF(ISNUMBER(VALUE(SUBSTITUTE($BE44:$AAL44,"B",""))),1,0),0)))</f>
        <v>0</v>
      </c>
      <c r="AF44" t="str">
        <f t="shared" si="425"/>
        <v>C19</v>
      </c>
      <c r="AG44" t="str">
        <f t="shared" si="426"/>
        <v>B19</v>
      </c>
      <c r="AP44" t="s">
        <v>446</v>
      </c>
      <c r="AT44" t="s">
        <v>211</v>
      </c>
      <c r="AU44" t="s">
        <v>362</v>
      </c>
      <c r="LT44" s="22"/>
      <c r="LY44" t="str">
        <f t="shared" ref="LY44:LY49" si="428">CONCATENATE("DI",REPLACE($AC44,1,3,""),"-",$AF44)</f>
        <v>DI4-C19</v>
      </c>
      <c r="MA44" t="s">
        <v>376</v>
      </c>
      <c r="MB44" t="s">
        <v>377</v>
      </c>
      <c r="MC44">
        <f>MC43</f>
        <v>11</v>
      </c>
      <c r="MD44">
        <f t="shared" ref="MD44:MJ49" si="429">MD43</f>
        <v>14</v>
      </c>
      <c r="ME44" t="str">
        <f t="shared" si="429"/>
        <v>A1</v>
      </c>
      <c r="MF44" t="str">
        <f t="shared" si="429"/>
        <v>A2</v>
      </c>
      <c r="MG44" t="str">
        <f t="shared" si="429"/>
        <v>0v3</v>
      </c>
      <c r="MH44" t="str">
        <f t="shared" si="429"/>
        <v>24v3</v>
      </c>
      <c r="MI44" t="str">
        <f t="shared" si="429"/>
        <v>0v6</v>
      </c>
      <c r="MJ44" t="str">
        <f t="shared" si="429"/>
        <v>24v6</v>
      </c>
      <c r="MQ44">
        <f>MQ43</f>
        <v>1</v>
      </c>
      <c r="MR44">
        <f>MR43</f>
        <v>2</v>
      </c>
      <c r="MS44" s="14"/>
    </row>
    <row r="45" spans="1:802" x14ac:dyDescent="0.25">
      <c r="A45" t="s">
        <v>707</v>
      </c>
      <c r="B45" t="s">
        <v>665</v>
      </c>
      <c r="P45" t="s">
        <v>373</v>
      </c>
      <c r="T45" s="12" t="s">
        <v>444</v>
      </c>
      <c r="U45">
        <v>21</v>
      </c>
      <c r="AC45" t="str">
        <f t="shared" si="427"/>
        <v>A5.4</v>
      </c>
      <c r="AD45" s="35" cm="1">
        <f t="array" ref="AD45">IF(COUNTIFS(AC$2:AC45,AC45)=1,"1",VALUE(SUBSTITUTE(INDEX(AD:AD,_xlfn.XMATCH(AC45,AC$1:AC44,0,-1)),"A",""))+INDEX(AE:AE,_xlfn.XMATCH(AC45,AC$1:AC44,0,-1))+1)</f>
        <v>20</v>
      </c>
      <c r="AE45" s="35" cm="1">
        <f t="array" ref="AE45">SUM(IF(ISNUMBER(FIND("TmDi",$BE$1:$AAL$1)),IF(IFERROR(ISNUMBER(VALUE(SUBSTITUTE($BE45:$AAL45,"B",""))),FALSE),IF(ISNUMBER(VALUE(SUBSTITUTE($BE45:$AAL45,"B",""))),1,0),0)))</f>
        <v>0</v>
      </c>
      <c r="AF45" t="str">
        <f t="shared" si="425"/>
        <v>C20</v>
      </c>
      <c r="AG45" t="str">
        <f t="shared" si="426"/>
        <v>B20</v>
      </c>
      <c r="AP45" t="s">
        <v>446</v>
      </c>
      <c r="AT45" t="s">
        <v>211</v>
      </c>
      <c r="AU45" t="s">
        <v>362</v>
      </c>
      <c r="LT45" s="22"/>
      <c r="LY45" t="str">
        <f t="shared" si="428"/>
        <v>DI4-C20</v>
      </c>
      <c r="MA45" t="s">
        <v>378</v>
      </c>
      <c r="MB45" t="s">
        <v>379</v>
      </c>
      <c r="MC45">
        <f t="shared" ref="MC45:MC49" si="430">MC44</f>
        <v>11</v>
      </c>
      <c r="MD45">
        <f t="shared" si="429"/>
        <v>14</v>
      </c>
      <c r="ME45" t="str">
        <f t="shared" si="429"/>
        <v>A1</v>
      </c>
      <c r="MF45" t="str">
        <f t="shared" si="429"/>
        <v>A2</v>
      </c>
      <c r="MG45" t="str">
        <f t="shared" si="429"/>
        <v>0v3</v>
      </c>
      <c r="MH45" t="str">
        <f t="shared" si="429"/>
        <v>24v3</v>
      </c>
      <c r="MI45" t="str">
        <f t="shared" si="429"/>
        <v>0v6</v>
      </c>
      <c r="MJ45" t="str">
        <f t="shared" si="429"/>
        <v>24v6</v>
      </c>
      <c r="MQ45">
        <f t="shared" ref="MQ45:MR49" si="431">MQ44</f>
        <v>1</v>
      </c>
      <c r="MR45">
        <f t="shared" si="431"/>
        <v>2</v>
      </c>
      <c r="MS45" s="14"/>
    </row>
    <row r="46" spans="1:802" x14ac:dyDescent="0.25">
      <c r="A46" t="s">
        <v>708</v>
      </c>
      <c r="B46" t="s">
        <v>666</v>
      </c>
      <c r="P46" t="s">
        <v>373</v>
      </c>
      <c r="T46" s="12" t="s">
        <v>444</v>
      </c>
      <c r="U46">
        <v>21</v>
      </c>
      <c r="AC46" t="str">
        <f t="shared" si="427"/>
        <v>A5.4</v>
      </c>
      <c r="AD46" s="35" cm="1">
        <f t="array" ref="AD46">IF(COUNTIFS(AC$2:AC46,AC46)=1,"1",VALUE(SUBSTITUTE(INDEX(AD:AD,_xlfn.XMATCH(AC46,AC$1:AC45,0,-1)),"A",""))+INDEX(AE:AE,_xlfn.XMATCH(AC46,AC$1:AC45,0,-1))+1)</f>
        <v>21</v>
      </c>
      <c r="AE46" s="35" cm="1">
        <f t="array" ref="AE46">SUM(IF(ISNUMBER(FIND("TmDi",$BE$1:$AAL$1)),IF(IFERROR(ISNUMBER(VALUE(SUBSTITUTE($BE46:$AAL46,"B",""))),FALSE),IF(ISNUMBER(VALUE(SUBSTITUTE($BE46:$AAL46,"B",""))),1,0),0)))</f>
        <v>0</v>
      </c>
      <c r="AF46" t="str">
        <f t="shared" si="425"/>
        <v>C21</v>
      </c>
      <c r="AG46" t="str">
        <f t="shared" si="426"/>
        <v>B21</v>
      </c>
      <c r="AP46" t="s">
        <v>446</v>
      </c>
      <c r="AT46" t="s">
        <v>211</v>
      </c>
      <c r="AU46" t="s">
        <v>362</v>
      </c>
      <c r="LT46" s="22"/>
      <c r="LY46" t="str">
        <f t="shared" si="428"/>
        <v>DI4-C21</v>
      </c>
      <c r="MA46" t="s">
        <v>380</v>
      </c>
      <c r="MB46" t="s">
        <v>381</v>
      </c>
      <c r="MC46">
        <f t="shared" si="430"/>
        <v>11</v>
      </c>
      <c r="MD46">
        <f t="shared" si="429"/>
        <v>14</v>
      </c>
      <c r="ME46" t="str">
        <f t="shared" si="429"/>
        <v>A1</v>
      </c>
      <c r="MF46" t="str">
        <f t="shared" si="429"/>
        <v>A2</v>
      </c>
      <c r="MG46" t="str">
        <f t="shared" si="429"/>
        <v>0v3</v>
      </c>
      <c r="MH46" t="str">
        <f t="shared" si="429"/>
        <v>24v3</v>
      </c>
      <c r="MI46" t="str">
        <f t="shared" si="429"/>
        <v>0v6</v>
      </c>
      <c r="MJ46" t="str">
        <f t="shared" si="429"/>
        <v>24v6</v>
      </c>
      <c r="MQ46">
        <f t="shared" si="431"/>
        <v>1</v>
      </c>
      <c r="MR46">
        <f t="shared" si="431"/>
        <v>2</v>
      </c>
      <c r="MS46" s="14"/>
    </row>
    <row r="47" spans="1:802" x14ac:dyDescent="0.25">
      <c r="A47" t="s">
        <v>709</v>
      </c>
      <c r="B47" t="s">
        <v>667</v>
      </c>
      <c r="P47" t="s">
        <v>373</v>
      </c>
      <c r="T47" s="12" t="s">
        <v>444</v>
      </c>
      <c r="U47">
        <v>21</v>
      </c>
      <c r="AC47" t="str">
        <f t="shared" si="427"/>
        <v>A5.4</v>
      </c>
      <c r="AD47" s="35" cm="1">
        <f t="array" ref="AD47">IF(COUNTIFS(AC$2:AC47,AC47)=1,"1",VALUE(SUBSTITUTE(INDEX(AD:AD,_xlfn.XMATCH(AC47,AC$1:AC46,0,-1)),"A",""))+INDEX(AE:AE,_xlfn.XMATCH(AC47,AC$1:AC46,0,-1))+1)</f>
        <v>22</v>
      </c>
      <c r="AE47" s="35" cm="1">
        <f t="array" ref="AE47">SUM(IF(ISNUMBER(FIND("TmDi",$BE$1:$AAL$1)),IF(IFERROR(ISNUMBER(VALUE(SUBSTITUTE($BE47:$AAL47,"B",""))),FALSE),IF(ISNUMBER(VALUE(SUBSTITUTE($BE47:$AAL47,"B",""))),1,0),0)))</f>
        <v>0</v>
      </c>
      <c r="AF47" t="str">
        <f t="shared" si="425"/>
        <v>C22</v>
      </c>
      <c r="AG47" t="str">
        <f t="shared" si="426"/>
        <v>B22</v>
      </c>
      <c r="AP47" t="s">
        <v>446</v>
      </c>
      <c r="AT47" t="s">
        <v>211</v>
      </c>
      <c r="AU47" t="s">
        <v>362</v>
      </c>
      <c r="LT47" s="22"/>
      <c r="LY47" t="str">
        <f t="shared" si="428"/>
        <v>DI4-C22</v>
      </c>
      <c r="MA47" t="s">
        <v>382</v>
      </c>
      <c r="MB47" t="s">
        <v>383</v>
      </c>
      <c r="MC47">
        <f t="shared" si="430"/>
        <v>11</v>
      </c>
      <c r="MD47">
        <f t="shared" si="429"/>
        <v>14</v>
      </c>
      <c r="ME47" t="str">
        <f t="shared" si="429"/>
        <v>A1</v>
      </c>
      <c r="MF47" t="str">
        <f t="shared" si="429"/>
        <v>A2</v>
      </c>
      <c r="MG47" t="str">
        <f t="shared" si="429"/>
        <v>0v3</v>
      </c>
      <c r="MH47" t="str">
        <f t="shared" si="429"/>
        <v>24v3</v>
      </c>
      <c r="MI47" t="str">
        <f t="shared" si="429"/>
        <v>0v6</v>
      </c>
      <c r="MJ47" t="str">
        <f t="shared" si="429"/>
        <v>24v6</v>
      </c>
      <c r="MQ47">
        <f t="shared" si="431"/>
        <v>1</v>
      </c>
      <c r="MR47">
        <f t="shared" si="431"/>
        <v>2</v>
      </c>
      <c r="MS47" s="14"/>
    </row>
    <row r="48" spans="1:802" x14ac:dyDescent="0.25">
      <c r="A48" t="s">
        <v>710</v>
      </c>
      <c r="B48" t="s">
        <v>668</v>
      </c>
      <c r="P48" t="s">
        <v>373</v>
      </c>
      <c r="T48" s="12" t="s">
        <v>444</v>
      </c>
      <c r="U48">
        <v>21</v>
      </c>
      <c r="AC48" t="str">
        <f t="shared" si="427"/>
        <v>A5.4</v>
      </c>
      <c r="AD48" s="35" cm="1">
        <f t="array" ref="AD48">IF(COUNTIFS(AC$2:AC48,AC48)=1,"1",VALUE(SUBSTITUTE(INDEX(AD:AD,_xlfn.XMATCH(AC48,AC$1:AC47,0,-1)),"A",""))+INDEX(AE:AE,_xlfn.XMATCH(AC48,AC$1:AC47,0,-1))+1)</f>
        <v>23</v>
      </c>
      <c r="AE48" s="35" cm="1">
        <f t="array" ref="AE48">SUM(IF(ISNUMBER(FIND("TmDi",$BE$1:$AAL$1)),IF(IFERROR(ISNUMBER(VALUE(SUBSTITUTE($BE48:$AAL48,"B",""))),FALSE),IF(ISNUMBER(VALUE(SUBSTITUTE($BE48:$AAL48,"B",""))),1,0),0)))</f>
        <v>0</v>
      </c>
      <c r="AF48" t="str">
        <f t="shared" si="425"/>
        <v>C23</v>
      </c>
      <c r="AG48" t="str">
        <f t="shared" si="426"/>
        <v>B23</v>
      </c>
      <c r="AP48" t="s">
        <v>446</v>
      </c>
      <c r="AT48" t="s">
        <v>211</v>
      </c>
      <c r="AU48" t="s">
        <v>362</v>
      </c>
      <c r="LT48" s="22"/>
      <c r="LY48" t="str">
        <f t="shared" si="428"/>
        <v>DI4-C23</v>
      </c>
      <c r="MA48" t="s">
        <v>384</v>
      </c>
      <c r="MB48" t="s">
        <v>385</v>
      </c>
      <c r="MC48">
        <f t="shared" si="430"/>
        <v>11</v>
      </c>
      <c r="MD48">
        <f t="shared" si="429"/>
        <v>14</v>
      </c>
      <c r="ME48" t="str">
        <f t="shared" si="429"/>
        <v>A1</v>
      </c>
      <c r="MF48" t="str">
        <f t="shared" si="429"/>
        <v>A2</v>
      </c>
      <c r="MG48" t="str">
        <f t="shared" si="429"/>
        <v>0v3</v>
      </c>
      <c r="MH48" t="str">
        <f t="shared" si="429"/>
        <v>24v3</v>
      </c>
      <c r="MI48" t="str">
        <f t="shared" si="429"/>
        <v>0v6</v>
      </c>
      <c r="MJ48" t="str">
        <f t="shared" si="429"/>
        <v>24v6</v>
      </c>
      <c r="MQ48">
        <f t="shared" si="431"/>
        <v>1</v>
      </c>
      <c r="MR48">
        <f t="shared" si="431"/>
        <v>2</v>
      </c>
      <c r="MS48" s="14"/>
    </row>
    <row r="49" spans="1:357" s="16" customFormat="1" ht="15.75" thickBot="1" x14ac:dyDescent="0.3">
      <c r="A49" s="16" t="s">
        <v>711</v>
      </c>
      <c r="B49" s="16" t="s">
        <v>669</v>
      </c>
      <c r="P49" s="16" t="s">
        <v>373</v>
      </c>
      <c r="T49" s="15" t="s">
        <v>444</v>
      </c>
      <c r="U49" s="16">
        <v>21</v>
      </c>
      <c r="AC49" s="16" t="str">
        <f t="shared" si="427"/>
        <v>A5.4</v>
      </c>
      <c r="AD49" s="42" cm="1">
        <f t="array" ref="AD49">IF(COUNTIFS(AC$2:AC49,AC49)=1,"1",VALUE(SUBSTITUTE(INDEX(AD:AD,_xlfn.XMATCH(AC49,AC$1:AC48,0,-1)),"A",""))+INDEX(AE:AE,_xlfn.XMATCH(AC49,AC$1:AC48,0,-1))+1)</f>
        <v>24</v>
      </c>
      <c r="AE49" s="42" cm="1">
        <f t="array" ref="AE49">SUM(IF(ISNUMBER(FIND("TmDi",$BE$1:$AAL$1)),IF(IFERROR(ISNUMBER(VALUE(SUBSTITUTE($BE49:$AAL49,"B",""))),FALSE),IF(ISNUMBER(VALUE(SUBSTITUTE($BE49:$AAL49,"B",""))),1,0),0)))</f>
        <v>0</v>
      </c>
      <c r="AF49" s="16" t="str">
        <f t="shared" si="425"/>
        <v>C24</v>
      </c>
      <c r="AG49" s="16" t="str">
        <f t="shared" si="426"/>
        <v>B24</v>
      </c>
      <c r="AI49" s="47"/>
      <c r="AJ49" s="47"/>
      <c r="AP49" s="16" t="s">
        <v>446</v>
      </c>
      <c r="AT49" s="16" t="s">
        <v>211</v>
      </c>
      <c r="AU49" s="16" t="s">
        <v>362</v>
      </c>
      <c r="LT49" s="23"/>
      <c r="LY49" s="16" t="str">
        <f t="shared" si="428"/>
        <v>DI4-C24</v>
      </c>
      <c r="MA49" s="16" t="s">
        <v>386</v>
      </c>
      <c r="MB49" s="16" t="s">
        <v>387</v>
      </c>
      <c r="MC49" s="16">
        <f t="shared" si="430"/>
        <v>11</v>
      </c>
      <c r="MD49" s="16">
        <f t="shared" si="429"/>
        <v>14</v>
      </c>
      <c r="ME49" s="16" t="str">
        <f t="shared" si="429"/>
        <v>A1</v>
      </c>
      <c r="MF49" s="16" t="str">
        <f t="shared" si="429"/>
        <v>A2</v>
      </c>
      <c r="MG49" s="16" t="str">
        <f t="shared" si="429"/>
        <v>0v3</v>
      </c>
      <c r="MH49" s="16" t="str">
        <f t="shared" si="429"/>
        <v>24v3</v>
      </c>
      <c r="MI49" s="16" t="str">
        <f t="shared" si="429"/>
        <v>0v6</v>
      </c>
      <c r="MJ49" s="16" t="str">
        <f t="shared" si="429"/>
        <v>24v6</v>
      </c>
      <c r="MQ49" s="16">
        <f t="shared" si="431"/>
        <v>1</v>
      </c>
      <c r="MR49" s="16">
        <f t="shared" si="431"/>
        <v>2</v>
      </c>
      <c r="MS49" s="17"/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5DE0D90E-B5FB-45BF-A121-981E6FC1C281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C34C95A9-044A-43BB-95CF-7DA43DBEDE40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082625B3-1D0E-4327-8480-857470006FA1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12664D2A-3E39-4C4A-83A7-49AEA87C5779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90009505-5545-4775-B50A-5FC02A67B692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46573BE-237E-4BCD-9363-BF25638FBC68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6A746EAE-0C90-4516-8E53-8F2D2F33811F}"/>
    </customSheetView>
  </customSheetViews>
  <phoneticPr fontId="3" type="noConversion"/>
  <conditionalFormatting sqref="A1">
    <cfRule type="duplicateValues" dxfId="11" priority="128"/>
  </conditionalFormatting>
  <conditionalFormatting sqref="A19:A39 A1 A42:A1048576">
    <cfRule type="duplicateValues" dxfId="10" priority="40"/>
  </conditionalFormatting>
  <conditionalFormatting sqref="B32:B37 B1:B18 B43:B1048576">
    <cfRule type="duplicateValues" dxfId="9" priority="50"/>
  </conditionalFormatting>
  <conditionalFormatting sqref="V1:W1048576">
    <cfRule type="duplicateValues" dxfId="8" priority="134"/>
  </conditionalFormatting>
  <conditionalFormatting sqref="V9:W10 V11:V1048576 V1:V8">
    <cfRule type="duplicateValues" dxfId="7" priority="38"/>
  </conditionalFormatting>
  <conditionalFormatting sqref="Y1:Y1048576">
    <cfRule type="cellIs" dxfId="6" priority="5" operator="greaterThan">
      <formula>8</formula>
    </cfRule>
    <cfRule type="cellIs" dxfId="5" priority="37" operator="equal">
      <formula>"Y:Y+Z:Z&gt;8"</formula>
    </cfRule>
  </conditionalFormatting>
  <conditionalFormatting sqref="AD1:AD18">
    <cfRule type="cellIs" dxfId="4" priority="12" operator="equal">
      <formula>"Y:Y+Z:Z&gt;8"</formula>
    </cfRule>
  </conditionalFormatting>
  <conditionalFormatting sqref="AD33">
    <cfRule type="cellIs" dxfId="3" priority="9" operator="equal">
      <formula>"Y:Y+Z:Z&gt;8"</formula>
    </cfRule>
  </conditionalFormatting>
  <conditionalFormatting sqref="AD36">
    <cfRule type="cellIs" dxfId="2" priority="8" operator="equal">
      <formula>"Y:Y+Z:Z&gt;8"</formula>
    </cfRule>
  </conditionalFormatting>
  <conditionalFormatting sqref="AD42">
    <cfRule type="cellIs" dxfId="1" priority="7" operator="equal">
      <formula>"Y:Y+Z:Z&gt;8"</formula>
    </cfRule>
  </conditionalFormatting>
  <conditionalFormatting sqref="AI1">
    <cfRule type="cellIs" dxfId="0" priority="32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238</v>
      </c>
      <c r="B1" s="5" t="s">
        <v>240</v>
      </c>
      <c r="C1" s="5" t="s">
        <v>241</v>
      </c>
      <c r="D1" s="9" t="s">
        <v>239</v>
      </c>
    </row>
    <row r="2" spans="1:5" x14ac:dyDescent="0.25">
      <c r="A2" t="s">
        <v>235</v>
      </c>
      <c r="B2" t="s">
        <v>236</v>
      </c>
      <c r="C2" t="s">
        <v>237</v>
      </c>
      <c r="D2" t="s">
        <v>242</v>
      </c>
      <c r="E2" t="s">
        <v>366</v>
      </c>
    </row>
    <row r="3" spans="1:5" x14ac:dyDescent="0.25">
      <c r="A3" t="s">
        <v>243</v>
      </c>
      <c r="B3" t="s">
        <v>244</v>
      </c>
      <c r="C3" t="s">
        <v>237</v>
      </c>
      <c r="D3" t="s">
        <v>242</v>
      </c>
      <c r="E3" t="s">
        <v>366</v>
      </c>
    </row>
    <row r="4" spans="1:5" x14ac:dyDescent="0.25">
      <c r="A4" t="s">
        <v>245</v>
      </c>
      <c r="B4" t="s">
        <v>246</v>
      </c>
      <c r="C4" t="s">
        <v>237</v>
      </c>
      <c r="D4" t="s">
        <v>242</v>
      </c>
      <c r="E4" t="s">
        <v>366</v>
      </c>
    </row>
    <row r="5" spans="1:5" x14ac:dyDescent="0.25">
      <c r="A5" t="s">
        <v>247</v>
      </c>
      <c r="B5" t="s">
        <v>248</v>
      </c>
      <c r="C5" t="s">
        <v>237</v>
      </c>
      <c r="D5" t="s">
        <v>242</v>
      </c>
      <c r="E5" t="s">
        <v>366</v>
      </c>
    </row>
    <row r="6" spans="1:5" x14ac:dyDescent="0.25">
      <c r="A6" t="s">
        <v>249</v>
      </c>
      <c r="B6" t="s">
        <v>250</v>
      </c>
      <c r="C6" t="s">
        <v>237</v>
      </c>
      <c r="D6" t="s">
        <v>242</v>
      </c>
      <c r="E6" t="s">
        <v>366</v>
      </c>
    </row>
    <row r="7" spans="1:5" x14ac:dyDescent="0.25">
      <c r="A7" t="s">
        <v>251</v>
      </c>
      <c r="B7" t="s">
        <v>252</v>
      </c>
      <c r="C7" t="s">
        <v>237</v>
      </c>
      <c r="D7" t="s">
        <v>242</v>
      </c>
      <c r="E7" t="s">
        <v>366</v>
      </c>
    </row>
    <row r="8" spans="1:5" x14ac:dyDescent="0.25">
      <c r="A8" t="s">
        <v>253</v>
      </c>
      <c r="B8" t="s">
        <v>254</v>
      </c>
      <c r="C8" t="s">
        <v>237</v>
      </c>
      <c r="D8" t="s">
        <v>242</v>
      </c>
      <c r="E8" t="s">
        <v>366</v>
      </c>
    </row>
    <row r="9" spans="1:5" x14ac:dyDescent="0.25">
      <c r="A9" t="s">
        <v>255</v>
      </c>
      <c r="B9" t="s">
        <v>256</v>
      </c>
      <c r="C9" t="s">
        <v>237</v>
      </c>
      <c r="D9" t="s">
        <v>242</v>
      </c>
      <c r="E9" t="s">
        <v>366</v>
      </c>
    </row>
    <row r="10" spans="1:5" x14ac:dyDescent="0.25">
      <c r="A10" t="s">
        <v>258</v>
      </c>
      <c r="B10" t="s">
        <v>257</v>
      </c>
      <c r="C10" t="s">
        <v>237</v>
      </c>
      <c r="D10" t="s">
        <v>242</v>
      </c>
      <c r="E10" t="s">
        <v>366</v>
      </c>
    </row>
    <row r="11" spans="1:5" x14ac:dyDescent="0.25">
      <c r="A11" t="s">
        <v>259</v>
      </c>
      <c r="B11" t="s">
        <v>260</v>
      </c>
      <c r="C11" t="s">
        <v>237</v>
      </c>
      <c r="D11" t="s">
        <v>242</v>
      </c>
      <c r="E11" t="s">
        <v>366</v>
      </c>
    </row>
    <row r="12" spans="1:5" x14ac:dyDescent="0.25">
      <c r="A12" t="s">
        <v>261</v>
      </c>
      <c r="B12" t="s">
        <v>262</v>
      </c>
      <c r="C12" t="s">
        <v>237</v>
      </c>
      <c r="D12" t="s">
        <v>242</v>
      </c>
      <c r="E12" t="s">
        <v>366</v>
      </c>
    </row>
    <row r="13" spans="1:5" x14ac:dyDescent="0.25">
      <c r="A13" t="s">
        <v>263</v>
      </c>
      <c r="B13" t="s">
        <v>264</v>
      </c>
      <c r="C13" t="s">
        <v>237</v>
      </c>
      <c r="D13" t="s">
        <v>242</v>
      </c>
      <c r="E13" t="s">
        <v>366</v>
      </c>
    </row>
    <row r="14" spans="1:5" x14ac:dyDescent="0.25">
      <c r="A14" t="s">
        <v>265</v>
      </c>
      <c r="B14" t="s">
        <v>266</v>
      </c>
      <c r="C14" t="s">
        <v>237</v>
      </c>
      <c r="D14" t="s">
        <v>242</v>
      </c>
      <c r="E14" t="s">
        <v>366</v>
      </c>
    </row>
    <row r="15" spans="1:5" x14ac:dyDescent="0.25">
      <c r="A15" t="s">
        <v>267</v>
      </c>
      <c r="B15" t="s">
        <v>268</v>
      </c>
      <c r="C15" t="s">
        <v>237</v>
      </c>
      <c r="D15" t="s">
        <v>242</v>
      </c>
      <c r="E15" t="s">
        <v>366</v>
      </c>
    </row>
    <row r="16" spans="1:5" x14ac:dyDescent="0.25">
      <c r="A16" t="s">
        <v>269</v>
      </c>
      <c r="B16" t="s">
        <v>270</v>
      </c>
      <c r="C16" t="s">
        <v>237</v>
      </c>
      <c r="D16" t="s">
        <v>242</v>
      </c>
      <c r="E16" t="s">
        <v>366</v>
      </c>
    </row>
    <row r="17" spans="1:5" x14ac:dyDescent="0.25">
      <c r="A17" t="s">
        <v>271</v>
      </c>
      <c r="B17" t="s">
        <v>272</v>
      </c>
      <c r="C17" t="s">
        <v>237</v>
      </c>
      <c r="D17" t="s">
        <v>242</v>
      </c>
      <c r="E17" t="s">
        <v>366</v>
      </c>
    </row>
    <row r="18" spans="1:5" x14ac:dyDescent="0.25">
      <c r="A18" t="s">
        <v>273</v>
      </c>
      <c r="B18" t="s">
        <v>396</v>
      </c>
      <c r="C18" t="s">
        <v>274</v>
      </c>
      <c r="D18" t="s">
        <v>242</v>
      </c>
      <c r="E18" t="s">
        <v>366</v>
      </c>
    </row>
    <row r="19" spans="1:5" x14ac:dyDescent="0.25">
      <c r="A19" t="s">
        <v>353</v>
      </c>
      <c r="B19" t="s">
        <v>398</v>
      </c>
      <c r="C19" t="s">
        <v>274</v>
      </c>
      <c r="D19" t="s">
        <v>242</v>
      </c>
      <c r="E19" t="s">
        <v>366</v>
      </c>
    </row>
    <row r="20" spans="1:5" x14ac:dyDescent="0.25">
      <c r="A20" t="s">
        <v>354</v>
      </c>
      <c r="B20" t="s">
        <v>399</v>
      </c>
      <c r="C20" t="s">
        <v>274</v>
      </c>
      <c r="D20" t="s">
        <v>242</v>
      </c>
      <c r="E20" t="s">
        <v>366</v>
      </c>
    </row>
    <row r="21" spans="1:5" x14ac:dyDescent="0.25">
      <c r="A21" t="s">
        <v>355</v>
      </c>
      <c r="B21" t="s">
        <v>400</v>
      </c>
      <c r="C21" t="s">
        <v>274</v>
      </c>
      <c r="D21" t="s">
        <v>242</v>
      </c>
      <c r="E21" t="s">
        <v>366</v>
      </c>
    </row>
    <row r="22" spans="1:5" x14ac:dyDescent="0.25">
      <c r="A22" t="s">
        <v>356</v>
      </c>
      <c r="B22" t="s">
        <v>401</v>
      </c>
      <c r="C22" t="s">
        <v>274</v>
      </c>
      <c r="D22" t="s">
        <v>242</v>
      </c>
      <c r="E22" t="s">
        <v>366</v>
      </c>
    </row>
    <row r="23" spans="1:5" x14ac:dyDescent="0.25">
      <c r="A23" t="s">
        <v>357</v>
      </c>
      <c r="B23" t="s">
        <v>402</v>
      </c>
      <c r="C23" t="s">
        <v>274</v>
      </c>
      <c r="D23" t="s">
        <v>242</v>
      </c>
      <c r="E23" t="s">
        <v>366</v>
      </c>
    </row>
    <row r="24" spans="1:5" x14ac:dyDescent="0.25">
      <c r="A24" t="s">
        <v>358</v>
      </c>
      <c r="B24" t="s">
        <v>403</v>
      </c>
      <c r="C24" t="s">
        <v>274</v>
      </c>
      <c r="D24" t="s">
        <v>242</v>
      </c>
      <c r="E24" t="s">
        <v>366</v>
      </c>
    </row>
    <row r="25" spans="1:5" x14ac:dyDescent="0.25">
      <c r="A25" t="s">
        <v>363</v>
      </c>
      <c r="B25" t="s">
        <v>397</v>
      </c>
      <c r="C25" t="s">
        <v>364</v>
      </c>
      <c r="D25" t="s">
        <v>242</v>
      </c>
      <c r="E25" t="s">
        <v>367</v>
      </c>
    </row>
    <row r="26" spans="1:5" x14ac:dyDescent="0.25">
      <c r="A26" t="s">
        <v>365</v>
      </c>
      <c r="B26" t="s">
        <v>395</v>
      </c>
      <c r="C26" t="s">
        <v>274</v>
      </c>
      <c r="D26" t="s">
        <v>242</v>
      </c>
      <c r="E26" t="s">
        <v>368</v>
      </c>
    </row>
    <row r="27" spans="1:5" x14ac:dyDescent="0.25">
      <c r="A27" t="s">
        <v>388</v>
      </c>
      <c r="B27" t="s">
        <v>433</v>
      </c>
      <c r="C27" t="s">
        <v>441</v>
      </c>
      <c r="D27" t="s">
        <v>242</v>
      </c>
      <c r="E27" t="s">
        <v>368</v>
      </c>
    </row>
    <row r="28" spans="1:5" x14ac:dyDescent="0.25">
      <c r="A28" t="s">
        <v>388</v>
      </c>
      <c r="B28" t="s">
        <v>437</v>
      </c>
      <c r="C28" t="s">
        <v>237</v>
      </c>
      <c r="D28" t="s">
        <v>242</v>
      </c>
      <c r="E28" t="s">
        <v>368</v>
      </c>
    </row>
    <row r="29" spans="1:5" x14ac:dyDescent="0.25">
      <c r="A29" t="s">
        <v>389</v>
      </c>
      <c r="B29" t="s">
        <v>434</v>
      </c>
      <c r="C29" t="s">
        <v>237</v>
      </c>
      <c r="D29" t="s">
        <v>242</v>
      </c>
      <c r="E29" t="s">
        <v>368</v>
      </c>
    </row>
    <row r="30" spans="1:5" x14ac:dyDescent="0.25">
      <c r="A30" t="s">
        <v>389</v>
      </c>
      <c r="B30" t="s">
        <v>438</v>
      </c>
      <c r="C30" t="s">
        <v>237</v>
      </c>
      <c r="D30" t="s">
        <v>242</v>
      </c>
      <c r="E30" t="s">
        <v>368</v>
      </c>
    </row>
    <row r="31" spans="1:5" x14ac:dyDescent="0.25">
      <c r="A31" t="s">
        <v>390</v>
      </c>
      <c r="B31" t="s">
        <v>435</v>
      </c>
      <c r="C31" t="s">
        <v>237</v>
      </c>
      <c r="D31" t="s">
        <v>242</v>
      </c>
      <c r="E31" t="s">
        <v>366</v>
      </c>
    </row>
    <row r="32" spans="1:5" x14ac:dyDescent="0.25">
      <c r="A32" t="s">
        <v>390</v>
      </c>
      <c r="B32" t="s">
        <v>439</v>
      </c>
      <c r="C32" t="s">
        <v>237</v>
      </c>
      <c r="D32" t="s">
        <v>242</v>
      </c>
      <c r="E32" t="s">
        <v>366</v>
      </c>
    </row>
    <row r="33" spans="1:5" x14ac:dyDescent="0.25">
      <c r="A33" t="s">
        <v>391</v>
      </c>
      <c r="B33" t="s">
        <v>436</v>
      </c>
      <c r="C33" t="s">
        <v>237</v>
      </c>
      <c r="D33" t="s">
        <v>242</v>
      </c>
      <c r="E33" t="s">
        <v>366</v>
      </c>
    </row>
    <row r="34" spans="1:5" x14ac:dyDescent="0.25">
      <c r="A34" t="s">
        <v>391</v>
      </c>
      <c r="B34" t="s">
        <v>440</v>
      </c>
      <c r="C34" t="s">
        <v>237</v>
      </c>
      <c r="D34" t="s">
        <v>242</v>
      </c>
      <c r="E34" t="s">
        <v>366</v>
      </c>
    </row>
    <row r="35" spans="1:5" x14ac:dyDescent="0.25">
      <c r="A35" t="s">
        <v>392</v>
      </c>
      <c r="C35" t="s">
        <v>237</v>
      </c>
      <c r="D35" t="s">
        <v>393</v>
      </c>
    </row>
    <row r="36" spans="1:5" x14ac:dyDescent="0.25">
      <c r="A36" t="s">
        <v>392</v>
      </c>
      <c r="C36" t="s">
        <v>237</v>
      </c>
      <c r="D36" t="s">
        <v>394</v>
      </c>
    </row>
    <row r="37" spans="1:5" x14ac:dyDescent="0.25">
      <c r="A37" t="s">
        <v>242</v>
      </c>
      <c r="B37" t="s">
        <v>236</v>
      </c>
      <c r="C37" t="s">
        <v>237</v>
      </c>
      <c r="D37" t="s">
        <v>393</v>
      </c>
    </row>
    <row r="38" spans="1:5" x14ac:dyDescent="0.25">
      <c r="A38" t="s">
        <v>242</v>
      </c>
      <c r="B38" t="s">
        <v>244</v>
      </c>
      <c r="C38" t="s">
        <v>237</v>
      </c>
      <c r="D38" t="s">
        <v>394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2025-07-25T07:01:09Z</dcterms:modified>
</cp:coreProperties>
</file>