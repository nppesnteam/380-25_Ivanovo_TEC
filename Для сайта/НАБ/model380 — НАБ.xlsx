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НАБ\"/>
    </mc:Choice>
  </mc:AlternateContent>
  <xr:revisionPtr revIDLastSave="0" documentId="13_ncr:1_{65243784-9728-4C5D-B1F6-F40B679DBB1B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Лист1!$P$1:$P$51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44" i="1" l="1"/>
  <c r="MA43" i="1"/>
  <c r="MA41" i="1"/>
  <c r="MA40" i="1"/>
  <c r="MA39" i="1"/>
  <c r="MA38" i="1"/>
  <c r="MA37" i="1"/>
  <c r="MA35" i="1"/>
  <c r="MA34" i="1"/>
  <c r="MA32" i="1"/>
  <c r="MA31" i="1"/>
  <c r="MA30" i="1"/>
  <c r="MA29" i="1"/>
  <c r="MA28" i="1"/>
  <c r="MA27" i="1"/>
  <c r="MA26" i="1"/>
  <c r="MA25" i="1"/>
  <c r="MA24" i="1"/>
  <c r="MA23" i="1"/>
  <c r="MA22" i="1"/>
  <c r="MA21" i="1"/>
  <c r="MA20" i="1"/>
  <c r="MA19" i="1"/>
  <c r="SB44" i="1"/>
  <c r="SC44" i="1" s="1"/>
  <c r="SD44" i="1" s="1"/>
  <c r="SE44" i="1" s="1"/>
  <c r="SF44" i="1" s="1"/>
  <c r="SG44" i="1" s="1"/>
  <c r="SH44" i="1" s="1"/>
  <c r="SI44" i="1" s="1"/>
  <c r="SJ44" i="1" s="1"/>
  <c r="SK44" i="1" s="1"/>
  <c r="SL44" i="1" s="1"/>
  <c r="SM44" i="1" s="1"/>
  <c r="SN44" i="1" s="1"/>
  <c r="SO44" i="1" s="1"/>
  <c r="SP44" i="1" s="1"/>
  <c r="SQ44" i="1" s="1"/>
  <c r="SR44" i="1" s="1"/>
  <c r="SS44" i="1" s="1"/>
  <c r="ST44" i="1" s="1"/>
  <c r="SU44" i="1" s="1"/>
  <c r="SV44" i="1" s="1"/>
  <c r="SW44" i="1" s="1"/>
  <c r="RZ44" i="1"/>
  <c r="QS44" i="1"/>
  <c r="QU44" i="1" s="1"/>
  <c r="QW44" i="1" s="1"/>
  <c r="QY44" i="1" s="1"/>
  <c r="QR44" i="1"/>
  <c r="QT44" i="1" s="1"/>
  <c r="QV44" i="1" s="1"/>
  <c r="QX44" i="1" s="1"/>
  <c r="QE44" i="1"/>
  <c r="Y44" i="1" a="1"/>
  <c r="Y44" i="1" s="1"/>
  <c r="SB43" i="1"/>
  <c r="SC43" i="1" s="1"/>
  <c r="SD43" i="1" s="1"/>
  <c r="SE43" i="1" s="1"/>
  <c r="SF43" i="1" s="1"/>
  <c r="SG43" i="1" s="1"/>
  <c r="SH43" i="1" s="1"/>
  <c r="SI43" i="1" s="1"/>
  <c r="SJ43" i="1" s="1"/>
  <c r="SK43" i="1" s="1"/>
  <c r="SL43" i="1" s="1"/>
  <c r="SM43" i="1" s="1"/>
  <c r="SN43" i="1" s="1"/>
  <c r="SO43" i="1" s="1"/>
  <c r="SP43" i="1" s="1"/>
  <c r="SQ43" i="1" s="1"/>
  <c r="SR43" i="1" s="1"/>
  <c r="SS43" i="1" s="1"/>
  <c r="ST43" i="1" s="1"/>
  <c r="SU43" i="1" s="1"/>
  <c r="SV43" i="1" s="1"/>
  <c r="SW43" i="1" s="1"/>
  <c r="RZ43" i="1"/>
  <c r="QS43" i="1"/>
  <c r="QU43" i="1" s="1"/>
  <c r="QW43" i="1" s="1"/>
  <c r="QY43" i="1" s="1"/>
  <c r="QR43" i="1"/>
  <c r="QT43" i="1" s="1"/>
  <c r="QV43" i="1" s="1"/>
  <c r="QX43" i="1" s="1"/>
  <c r="QE43" i="1"/>
  <c r="Y43" i="1" a="1"/>
  <c r="Y43" i="1" s="1"/>
  <c r="AB44" i="1" l="1"/>
  <c r="AA44" i="1"/>
  <c r="RT43" i="1"/>
  <c r="RV44" i="1"/>
  <c r="AB43" i="1"/>
  <c r="AA43" i="1"/>
  <c r="RU43" i="1"/>
  <c r="RW44" i="1"/>
  <c r="RV43" i="1"/>
  <c r="RW43" i="1"/>
  <c r="RN44" i="1"/>
  <c r="RO44" i="1"/>
  <c r="RN43" i="1"/>
  <c r="RP44" i="1"/>
  <c r="RO43" i="1"/>
  <c r="RQ44" i="1"/>
  <c r="RQ43" i="1"/>
  <c r="RP43" i="1"/>
  <c r="RR44" i="1"/>
  <c r="RS44" i="1"/>
  <c r="RR43" i="1"/>
  <c r="RT44" i="1"/>
  <c r="RS43" i="1"/>
  <c r="RU44" i="1"/>
  <c r="QF44" i="1" l="1"/>
  <c r="RB44" i="1"/>
  <c r="RC43" i="1"/>
  <c r="QG43" i="1"/>
  <c r="QF43" i="1"/>
  <c r="RB43" i="1"/>
  <c r="QG44" i="1"/>
  <c r="RC44" i="1"/>
  <c r="RE44" i="1" l="1"/>
  <c r="QI44" i="1"/>
  <c r="RD43" i="1"/>
  <c r="QH43" i="1"/>
  <c r="QI43" i="1"/>
  <c r="RE43" i="1"/>
  <c r="QH44" i="1"/>
  <c r="RD44" i="1"/>
  <c r="RF44" i="1" l="1"/>
  <c r="QJ44" i="1"/>
  <c r="RG43" i="1"/>
  <c r="QK43" i="1"/>
  <c r="RF43" i="1"/>
  <c r="QJ43" i="1"/>
  <c r="RG44" i="1"/>
  <c r="QK44" i="1"/>
  <c r="MM42" i="1"/>
  <c r="MS46" i="1"/>
  <c r="MS47" i="1" s="1"/>
  <c r="MS48" i="1" s="1"/>
  <c r="MS49" i="1" s="1"/>
  <c r="MS50" i="1" s="1"/>
  <c r="MS51" i="1" s="1"/>
  <c r="MR46" i="1"/>
  <c r="MR47" i="1" s="1"/>
  <c r="MR48" i="1" s="1"/>
  <c r="MR49" i="1" s="1"/>
  <c r="MR50" i="1" s="1"/>
  <c r="MR51" i="1" s="1"/>
  <c r="MK46" i="1"/>
  <c r="MK47" i="1" s="1"/>
  <c r="MK48" i="1" s="1"/>
  <c r="MK49" i="1" s="1"/>
  <c r="MK50" i="1" s="1"/>
  <c r="MK51" i="1" s="1"/>
  <c r="MJ46" i="1"/>
  <c r="MJ47" i="1" s="1"/>
  <c r="MJ48" i="1" s="1"/>
  <c r="MJ49" i="1" s="1"/>
  <c r="MJ50" i="1" s="1"/>
  <c r="MJ51" i="1" s="1"/>
  <c r="MI46" i="1"/>
  <c r="MI47" i="1" s="1"/>
  <c r="MI48" i="1" s="1"/>
  <c r="MI49" i="1" s="1"/>
  <c r="MI50" i="1" s="1"/>
  <c r="MI51" i="1" s="1"/>
  <c r="MH46" i="1"/>
  <c r="MH47" i="1" s="1"/>
  <c r="MH48" i="1" s="1"/>
  <c r="MH49" i="1" s="1"/>
  <c r="MH50" i="1" s="1"/>
  <c r="MH51" i="1" s="1"/>
  <c r="MG46" i="1"/>
  <c r="MG47" i="1" s="1"/>
  <c r="MG48" i="1" s="1"/>
  <c r="MG49" i="1" s="1"/>
  <c r="MG50" i="1" s="1"/>
  <c r="MG51" i="1" s="1"/>
  <c r="MF46" i="1"/>
  <c r="MF47" i="1" s="1"/>
  <c r="MF48" i="1" s="1"/>
  <c r="MF49" i="1" s="1"/>
  <c r="MF50" i="1" s="1"/>
  <c r="MF51" i="1" s="1"/>
  <c r="ME46" i="1"/>
  <c r="ME47" i="1" s="1"/>
  <c r="ME48" i="1" s="1"/>
  <c r="ME49" i="1" s="1"/>
  <c r="ME50" i="1" s="1"/>
  <c r="ME51" i="1" s="1"/>
  <c r="MD46" i="1"/>
  <c r="MD47" i="1" s="1"/>
  <c r="MD48" i="1" s="1"/>
  <c r="MD49" i="1" s="1"/>
  <c r="MD50" i="1" s="1"/>
  <c r="MD51" i="1" s="1"/>
  <c r="LY42" i="1"/>
  <c r="ADX41" i="1"/>
  <c r="ADY41" i="1"/>
  <c r="ADW41" i="1"/>
  <c r="ADJ41" i="1"/>
  <c r="JZ40" i="1"/>
  <c r="JZ39" i="1"/>
  <c r="JZ38" i="1"/>
  <c r="UH37" i="1"/>
  <c r="UI37" i="1" s="1"/>
  <c r="UF37" i="1"/>
  <c r="ACT36" i="1"/>
  <c r="ACS36" i="1"/>
  <c r="ACR36" i="1"/>
  <c r="ACQ36" i="1"/>
  <c r="ABN36" i="1"/>
  <c r="ABO36" i="1" s="1"/>
  <c r="ABP36" i="1" s="1"/>
  <c r="ABQ36" i="1" s="1"/>
  <c r="ABR36" i="1" s="1"/>
  <c r="ABS36" i="1" s="1"/>
  <c r="ABT36" i="1" s="1"/>
  <c r="ABL36" i="1"/>
  <c r="AAO35" i="1"/>
  <c r="AAP35" i="1" s="1"/>
  <c r="AAQ35" i="1" s="1"/>
  <c r="AAR35" i="1" s="1"/>
  <c r="AAS35" i="1" s="1"/>
  <c r="AAT35" i="1" s="1"/>
  <c r="AAU35" i="1" s="1"/>
  <c r="AAV35" i="1" s="1"/>
  <c r="AAW35" i="1" s="1"/>
  <c r="AAX35" i="1" s="1"/>
  <c r="AAY35" i="1" s="1"/>
  <c r="AAZ35" i="1" s="1"/>
  <c r="ABA35" i="1" s="1"/>
  <c r="ABB35" i="1" s="1"/>
  <c r="ABC35" i="1" s="1"/>
  <c r="ABD35" i="1" s="1"/>
  <c r="ABE35" i="1" s="1"/>
  <c r="ABF35" i="1" s="1"/>
  <c r="ABG35" i="1" s="1"/>
  <c r="ZH35" i="1"/>
  <c r="ZG35" i="1"/>
  <c r="ZF35" i="1"/>
  <c r="ZE35" i="1"/>
  <c r="ZD35" i="1"/>
  <c r="ZC35" i="1"/>
  <c r="ZB35" i="1"/>
  <c r="ZA35" i="1"/>
  <c r="YZ35" i="1"/>
  <c r="YY35" i="1"/>
  <c r="WT35" i="1"/>
  <c r="WU35" i="1" s="1"/>
  <c r="WV35" i="1" s="1"/>
  <c r="WR35" i="1"/>
  <c r="UH34" i="1"/>
  <c r="UI34" i="1" s="1"/>
  <c r="UF34" i="1"/>
  <c r="ACT33" i="1"/>
  <c r="ACS33" i="1"/>
  <c r="ACR33" i="1"/>
  <c r="ACQ33" i="1"/>
  <c r="ABL33" i="1"/>
  <c r="ABN33" i="1" s="1"/>
  <c r="ABO33" i="1" s="1"/>
  <c r="ABP33" i="1" s="1"/>
  <c r="ABQ33" i="1" s="1"/>
  <c r="ABR33" i="1" s="1"/>
  <c r="ABS33" i="1" s="1"/>
  <c r="ABT33" i="1" s="1"/>
  <c r="AAO32" i="1"/>
  <c r="AAP32" i="1" s="1"/>
  <c r="AAQ32" i="1" s="1"/>
  <c r="AAR32" i="1" s="1"/>
  <c r="AAS32" i="1" s="1"/>
  <c r="AAT32" i="1" s="1"/>
  <c r="AAU32" i="1" s="1"/>
  <c r="AAV32" i="1" s="1"/>
  <c r="AAW32" i="1" s="1"/>
  <c r="AAX32" i="1" s="1"/>
  <c r="AAY32" i="1" s="1"/>
  <c r="AAZ32" i="1" s="1"/>
  <c r="ABA32" i="1" s="1"/>
  <c r="ABB32" i="1" s="1"/>
  <c r="ABC32" i="1" s="1"/>
  <c r="ABD32" i="1" s="1"/>
  <c r="ABE32" i="1" s="1"/>
  <c r="ABF32" i="1" s="1"/>
  <c r="ABG32" i="1" s="1"/>
  <c r="ZH32" i="1"/>
  <c r="ZG32" i="1"/>
  <c r="ZF32" i="1"/>
  <c r="ZE32" i="1"/>
  <c r="ZD32" i="1"/>
  <c r="ZC32" i="1"/>
  <c r="ZB32" i="1"/>
  <c r="ZA32" i="1"/>
  <c r="YZ32" i="1"/>
  <c r="YY32" i="1"/>
  <c r="WT32" i="1"/>
  <c r="WU32" i="1" s="1"/>
  <c r="WV32" i="1" s="1"/>
  <c r="WW32" i="1" s="1"/>
  <c r="WX32" i="1" s="1"/>
  <c r="WY32" i="1" s="1"/>
  <c r="WZ32" i="1" s="1"/>
  <c r="XA32" i="1" s="1"/>
  <c r="XB32" i="1" s="1"/>
  <c r="XC32" i="1" s="1"/>
  <c r="XD32" i="1" s="1"/>
  <c r="XE32" i="1" s="1"/>
  <c r="XF32" i="1" s="1"/>
  <c r="XG32" i="1" s="1"/>
  <c r="XH32" i="1" s="1"/>
  <c r="XI32" i="1" s="1"/>
  <c r="XJ32" i="1" s="1"/>
  <c r="XK32" i="1" s="1"/>
  <c r="XL32" i="1" s="1"/>
  <c r="WR32" i="1"/>
  <c r="JZ31" i="1"/>
  <c r="JZ30" i="1"/>
  <c r="X10" i="1"/>
  <c r="Y19" i="1" s="1" a="1"/>
  <c r="Y19" i="1" s="1"/>
  <c r="JZ29" i="1"/>
  <c r="JZ28" i="1"/>
  <c r="JZ27" i="1"/>
  <c r="JZ26" i="1"/>
  <c r="JZ25" i="1"/>
  <c r="JZ24" i="1"/>
  <c r="JZ23" i="1"/>
  <c r="JZ22" i="1"/>
  <c r="JZ21" i="1"/>
  <c r="JZ20" i="1"/>
  <c r="JZ19" i="1"/>
  <c r="U13" i="1"/>
  <c r="DF13" i="1" s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BE12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BE11" i="1"/>
  <c r="Y9" i="1" a="1"/>
  <c r="Y9" i="1" s="1"/>
  <c r="U9" i="1"/>
  <c r="IQ9" i="1" s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BE8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BE7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BE6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BE5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BE4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BE3" i="1"/>
  <c r="DH2" i="1"/>
  <c r="DG2" i="1"/>
  <c r="AI2" i="1" a="1"/>
  <c r="AI2" i="1" s="1"/>
  <c r="AK2" i="1" s="1"/>
  <c r="BP2" i="1" s="1"/>
  <c r="BR2" i="1" s="1"/>
  <c r="AD2" i="1" a="1"/>
  <c r="AD2" i="1" s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BE2" i="1"/>
  <c r="RI44" i="1" l="1"/>
  <c r="QM44" i="1"/>
  <c r="RH43" i="1"/>
  <c r="QL43" i="1"/>
  <c r="QM43" i="1"/>
  <c r="RI43" i="1"/>
  <c r="RH44" i="1"/>
  <c r="QL44" i="1"/>
  <c r="DH13" i="1"/>
  <c r="AL2" i="1"/>
  <c r="BQ2" i="1" s="1"/>
  <c r="BS2" i="1" s="1"/>
  <c r="WW35" i="1"/>
  <c r="WX35" i="1" s="1"/>
  <c r="WY35" i="1" s="1"/>
  <c r="WZ35" i="1" s="1"/>
  <c r="XA35" i="1" s="1"/>
  <c r="XB35" i="1" s="1"/>
  <c r="XC35" i="1" s="1"/>
  <c r="XD35" i="1" s="1"/>
  <c r="XE35" i="1" s="1"/>
  <c r="XF35" i="1" s="1"/>
  <c r="XG35" i="1" s="1"/>
  <c r="XH35" i="1" s="1"/>
  <c r="XI35" i="1" s="1"/>
  <c r="XJ35" i="1" s="1"/>
  <c r="XK35" i="1" s="1"/>
  <c r="XL35" i="1" s="1"/>
  <c r="IM9" i="1"/>
  <c r="II9" i="1"/>
  <c r="IN9" i="1"/>
  <c r="U10" i="1"/>
  <c r="HY10" i="1" s="1"/>
  <c r="CO13" i="1"/>
  <c r="CU13" i="1"/>
  <c r="HZ9" i="1"/>
  <c r="IA9" i="1"/>
  <c r="U14" i="1"/>
  <c r="CM14" i="1" s="1"/>
  <c r="IB9" i="1"/>
  <c r="IK9" i="1"/>
  <c r="BE13" i="1"/>
  <c r="IL9" i="1"/>
  <c r="CM13" i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CV13" i="1"/>
  <c r="CY13" i="1"/>
  <c r="DA13" i="1"/>
  <c r="HY9" i="1"/>
  <c r="DG13" i="1"/>
  <c r="CW13" i="1"/>
  <c r="CL13" i="1"/>
  <c r="CX13" i="1"/>
  <c r="CN13" i="1"/>
  <c r="CZ13" i="1"/>
  <c r="CP13" i="1"/>
  <c r="DB13" i="1"/>
  <c r="CQ13" i="1"/>
  <c r="DC13" i="1"/>
  <c r="CR13" i="1"/>
  <c r="DD13" i="1"/>
  <c r="CS13" i="1"/>
  <c r="DE13" i="1"/>
  <c r="CT13" i="1"/>
  <c r="IF9" i="1"/>
  <c r="IG9" i="1"/>
  <c r="IH9" i="1"/>
  <c r="IJ9" i="1"/>
  <c r="IC9" i="1"/>
  <c r="IO9" i="1"/>
  <c r="GT9" i="1"/>
  <c r="ID9" i="1"/>
  <c r="IP9" i="1"/>
  <c r="IE9" i="1"/>
  <c r="CL14" i="1" l="1"/>
  <c r="RJ44" i="1"/>
  <c r="QN44" i="1"/>
  <c r="RK43" i="1"/>
  <c r="QO43" i="1"/>
  <c r="RM43" i="1" s="1"/>
  <c r="QN43" i="1"/>
  <c r="RJ43" i="1"/>
  <c r="QO44" i="1"/>
  <c r="RM44" i="1" s="1"/>
  <c r="RK44" i="1"/>
  <c r="X39" i="1"/>
  <c r="X40" i="1" s="1"/>
  <c r="X41" i="1" s="1"/>
  <c r="Y38" i="1" a="1"/>
  <c r="Y38" i="1" s="1"/>
  <c r="DF14" i="1"/>
  <c r="IK10" i="1"/>
  <c r="IJ10" i="1"/>
  <c r="IF10" i="1"/>
  <c r="ID10" i="1"/>
  <c r="IN10" i="1"/>
  <c r="IM10" i="1"/>
  <c r="IG10" i="1"/>
  <c r="IO10" i="1"/>
  <c r="IC10" i="1"/>
  <c r="IB10" i="1"/>
  <c r="IA10" i="1"/>
  <c r="IL10" i="1"/>
  <c r="HZ10" i="1"/>
  <c r="GT10" i="1"/>
  <c r="IQ10" i="1"/>
  <c r="II10" i="1"/>
  <c r="IE10" i="1"/>
  <c r="DD14" i="1"/>
  <c r="CQ14" i="1"/>
  <c r="BE14" i="1"/>
  <c r="CS14" i="1"/>
  <c r="CX14" i="1"/>
  <c r="CR14" i="1"/>
  <c r="DC14" i="1"/>
  <c r="DB14" i="1"/>
  <c r="CV14" i="1"/>
  <c r="CP14" i="1"/>
  <c r="DG14" i="1"/>
  <c r="DA14" i="1"/>
  <c r="CU14" i="1"/>
  <c r="CO14" i="1"/>
  <c r="CT14" i="1"/>
  <c r="CY14" i="1"/>
  <c r="DE14" i="1"/>
  <c r="IP10" i="1"/>
  <c r="IH10" i="1"/>
  <c r="DH14" i="1"/>
  <c r="U15" i="1"/>
  <c r="CZ14" i="1"/>
  <c r="CW14" i="1"/>
  <c r="CN14" i="1"/>
  <c r="RL43" i="1" l="1"/>
  <c r="Z43" i="1" a="1"/>
  <c r="Z43" i="1" s="1"/>
  <c r="RL44" i="1"/>
  <c r="Z44" i="1" a="1"/>
  <c r="Z44" i="1" s="1"/>
  <c r="AB38" i="1"/>
  <c r="KD38" i="1" s="1"/>
  <c r="AA38" i="1"/>
  <c r="KC38" i="1" s="1"/>
  <c r="U16" i="1"/>
  <c r="DC15" i="1"/>
  <c r="CQ15" i="1"/>
  <c r="DB15" i="1"/>
  <c r="CP15" i="1"/>
  <c r="DA15" i="1"/>
  <c r="CO15" i="1"/>
  <c r="CZ15" i="1"/>
  <c r="CN15" i="1"/>
  <c r="CY15" i="1"/>
  <c r="CM15" i="1"/>
  <c r="CX15" i="1"/>
  <c r="CL15" i="1"/>
  <c r="CW15" i="1"/>
  <c r="BE15" i="1"/>
  <c r="DH15" i="1"/>
  <c r="CV15" i="1"/>
  <c r="DG15" i="1"/>
  <c r="CU15" i="1"/>
  <c r="DF15" i="1"/>
  <c r="CT15" i="1"/>
  <c r="CR15" i="1"/>
  <c r="DE15" i="1"/>
  <c r="CS15" i="1"/>
  <c r="DD15" i="1"/>
  <c r="CL16" i="1" l="1"/>
  <c r="DD16" i="1"/>
  <c r="CW16" i="1"/>
  <c r="CR16" i="1"/>
  <c r="BE16" i="1"/>
  <c r="CO16" i="1"/>
  <c r="DH16" i="1"/>
  <c r="DC16" i="1"/>
  <c r="CV16" i="1"/>
  <c r="CQ16" i="1"/>
  <c r="DA16" i="1"/>
  <c r="DB16" i="1"/>
  <c r="CZ16" i="1"/>
  <c r="DG16" i="1"/>
  <c r="CP16" i="1"/>
  <c r="CN16" i="1"/>
  <c r="CU16" i="1"/>
  <c r="CY16" i="1"/>
  <c r="DF16" i="1"/>
  <c r="CM16" i="1"/>
  <c r="CT16" i="1"/>
  <c r="U17" i="1"/>
  <c r="DE16" i="1"/>
  <c r="CX16" i="1"/>
  <c r="CS16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Z17" i="1"/>
  <c r="DG17" i="1"/>
  <c r="CP17" i="1"/>
  <c r="CW17" i="1"/>
  <c r="CN17" i="1"/>
  <c r="CU17" i="1"/>
  <c r="CO17" i="1"/>
  <c r="DF17" i="1"/>
  <c r="CY17" i="1"/>
  <c r="CT17" i="1"/>
  <c r="CM17" i="1"/>
  <c r="DA17" i="1"/>
  <c r="CX17" i="1"/>
  <c r="DE17" i="1"/>
  <c r="CR17" i="1"/>
  <c r="CL17" i="1"/>
  <c r="CS17" i="1"/>
  <c r="U18" i="1"/>
  <c r="KI19" i="1" s="1" a="1"/>
  <c r="KI19" i="1" s="1"/>
  <c r="DD17" i="1"/>
  <c r="BE17" i="1"/>
  <c r="DC17" i="1"/>
  <c r="CV17" i="1"/>
  <c r="DB17" i="1"/>
  <c r="DH17" i="1"/>
  <c r="CQ17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CV18" i="1"/>
  <c r="CO18" i="1"/>
  <c r="DG18" i="1"/>
  <c r="DB18" i="1"/>
  <c r="CZ18" i="1"/>
  <c r="DF18" i="1"/>
  <c r="CL18" i="1"/>
  <c r="CN18" i="1"/>
  <c r="CT18" i="1"/>
  <c r="CY18" i="1"/>
  <c r="DE18" i="1"/>
  <c r="DA18" i="1"/>
  <c r="CM18" i="1"/>
  <c r="CS18" i="1"/>
  <c r="CX18" i="1"/>
  <c r="CW18" i="1"/>
  <c r="CR18" i="1"/>
  <c r="CP18" i="1"/>
  <c r="BE18" i="1"/>
  <c r="DC18" i="1"/>
  <c r="CU18" i="1"/>
  <c r="DH18" i="1"/>
  <c r="CQ18" i="1"/>
  <c r="DD18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KJ19" i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KK19" i="1"/>
  <c r="KI20" i="1" s="1" a="1"/>
  <c r="KI20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KJ20" i="1"/>
  <c r="KK20" i="1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KI21" i="1" a="1"/>
  <c r="KI21" i="1" s="1"/>
  <c r="KJ21" i="1" s="1"/>
  <c r="KK21" i="1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KI22" i="1" a="1"/>
  <c r="KI22" i="1" s="1"/>
  <c r="KJ22" i="1" s="1"/>
  <c r="KK22" i="1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KI23" i="1" a="1"/>
  <c r="KI23" i="1" s="1"/>
  <c r="KJ23" i="1" s="1"/>
  <c r="KK23" i="1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KI24" i="1" a="1"/>
  <c r="KI24" i="1" s="1"/>
  <c r="KJ24" i="1" s="1"/>
  <c r="KK24" i="1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KI25" i="1" a="1"/>
  <c r="KI25" i="1" s="1"/>
  <c r="KJ25" i="1" s="1"/>
  <c r="KK25" i="1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KI26" i="1" a="1"/>
  <c r="KI26" i="1" s="1"/>
  <c r="KJ26" i="1" s="1"/>
  <c r="KK26" i="1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KI27" i="1" a="1"/>
  <c r="KI27" i="1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KJ27" i="1"/>
  <c r="KK27" i="1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KI28" i="1" a="1"/>
  <c r="KI28" i="1" s="1"/>
  <c r="KJ28" i="1" s="1"/>
  <c r="KK28" i="1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KI29" i="1" a="1"/>
  <c r="KI29" i="1" s="1"/>
  <c r="KJ29" i="1" s="1"/>
  <c r="KK29" i="1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KI30" i="1" a="1"/>
  <c r="KI30" i="1" s="1"/>
  <c r="KJ30" i="1" s="1"/>
  <c r="KK30" i="1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KI31" i="1" a="1"/>
  <c r="KI31" i="1" s="1"/>
  <c r="KJ31" i="1" s="1"/>
  <c r="KK31" i="1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KI38" i="1" a="1"/>
  <c r="KI38" i="1" s="1"/>
  <c r="KJ38" i="1" s="1"/>
  <c r="KK38" i="1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KI39" i="1" a="1"/>
  <c r="KI39" i="1" s="1"/>
  <c r="KJ39" i="1" s="1"/>
  <c r="KK39" i="1" s="1"/>
  <c r="Z38" i="1" a="1"/>
  <c r="Z38" i="1" s="1"/>
  <c r="Y39" i="1" s="1" a="1"/>
  <c r="Y39" i="1" s="1"/>
  <c r="AA39" i="1" s="1"/>
  <c r="KC39" i="1" s="1"/>
  <c r="KI40" i="1" a="1"/>
  <c r="KI40" i="1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Z39" i="1" l="1" a="1"/>
  <c r="Z39" i="1" s="1"/>
  <c r="KI79" i="5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39" i="1"/>
  <c r="KD39" i="1" s="1"/>
  <c r="KJ40" i="1"/>
  <c r="KK40" i="1" s="1"/>
  <c r="KL40" i="1" s="1"/>
  <c r="KM40" i="1" s="1"/>
  <c r="ADK41" i="1" s="1"/>
  <c r="ADL41" i="1" s="1"/>
  <c r="ADM41" i="1" s="1"/>
  <c r="ADN41" i="1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Z41" i="1" a="1"/>
  <c r="Z41" i="1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263" i="5" l="1"/>
  <c r="KD263" i="5" s="1"/>
  <c r="AA263" i="5"/>
  <c r="KC263" i="5" s="1"/>
  <c r="Z263" i="5" s="1" a="1"/>
  <c r="Z263" i="5" s="1"/>
  <c r="Y264" i="5" s="1" a="1"/>
  <c r="Y264" i="5" s="1"/>
  <c r="X265" i="5"/>
  <c r="AB264" i="5" l="1"/>
  <c r="KD264" i="5" s="1"/>
  <c r="AA264" i="5"/>
  <c r="KC264" i="5" s="1"/>
  <c r="Z264" i="5" s="1" a="1"/>
  <c r="Z264" i="5" s="1"/>
  <c r="Y265" i="5" s="1" a="1"/>
  <c r="Y265" i="5" s="1"/>
  <c r="X266" i="5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AB267" i="5" l="1"/>
  <c r="HH267" i="5" s="1"/>
  <c r="AA267" i="5"/>
  <c r="HG267" i="5" s="1"/>
  <c r="X273" i="5" a="1"/>
  <c r="X273" i="5" s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Y40" i="1" l="1" a="1"/>
  <c r="Y40" i="1" s="1"/>
  <c r="AB40" i="1" l="1"/>
  <c r="KD40" i="1" s="1"/>
  <c r="AA40" i="1"/>
  <c r="KC40" i="1" s="1"/>
  <c r="Z40" i="1" l="1" a="1"/>
  <c r="Z40" i="1" s="1"/>
  <c r="Y41" i="1" s="1" a="1"/>
  <c r="Y41" i="1" s="1"/>
  <c r="AB41" i="1" s="1"/>
  <c r="AA41" i="1" l="1"/>
  <c r="ADO41" i="1" s="1"/>
  <c r="ADP41" i="1"/>
  <c r="ADR41" i="1" s="1"/>
  <c r="ADQ41" i="1"/>
  <c r="ADS41" i="1" l="1"/>
  <c r="AB19" i="1"/>
  <c r="KD19" i="1" s="1"/>
  <c r="AA19" i="1"/>
  <c r="KC19" i="1" s="1"/>
  <c r="Z19" i="1" s="1" a="1"/>
  <c r="Z19" i="1" s="1"/>
  <c r="Y20" i="1" s="1" a="1"/>
  <c r="Y20" i="1" s="1"/>
  <c r="AA9" i="1"/>
  <c r="HG9" i="1" s="1"/>
  <c r="AB9" i="1"/>
  <c r="HH9" i="1" s="1"/>
  <c r="AA20" i="1" l="1"/>
  <c r="KC20" i="1" s="1"/>
  <c r="Z20" i="1" s="1" a="1"/>
  <c r="Z20" i="1" s="1"/>
  <c r="Y21" i="1" s="1" a="1"/>
  <c r="Y21" i="1" s="1"/>
  <c r="AB20" i="1"/>
  <c r="KD20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B24" i="1" l="1"/>
  <c r="KD24" i="1" s="1"/>
  <c r="AA24" i="1"/>
  <c r="KC24" i="1" s="1"/>
  <c r="Z24" i="1" s="1" a="1"/>
  <c r="Z24" i="1" s="1"/>
  <c r="Y25" i="1" s="1" a="1"/>
  <c r="Y25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l="1" a="1"/>
  <c r="Z28" i="1" s="1"/>
  <c r="Y29" i="1" s="1" a="1"/>
  <c r="Y29" i="1" s="1"/>
  <c r="AB29" i="1" s="1"/>
  <c r="KD29" i="1" s="1"/>
  <c r="AA29" i="1" l="1"/>
  <c r="KC29" i="1" s="1"/>
  <c r="Z29" i="1" s="1" a="1"/>
  <c r="Z29" i="1" s="1"/>
  <c r="Y30" i="1" s="1" a="1"/>
  <c r="Y30" i="1" s="1"/>
  <c r="AA30" i="1" s="1"/>
  <c r="KC30" i="1" s="1"/>
  <c r="Z30" i="1" l="1" a="1"/>
  <c r="Z30" i="1" s="1"/>
  <c r="Y31" i="1" s="1" a="1"/>
  <c r="Y31" i="1" s="1"/>
  <c r="AB31" i="1" s="1"/>
  <c r="KD31" i="1" s="1"/>
  <c r="AB30" i="1"/>
  <c r="KD30" i="1" s="1"/>
  <c r="AA31" i="1" l="1"/>
  <c r="KC31" i="1" s="1"/>
  <c r="Z31" i="1" a="1"/>
  <c r="Z31" i="1" s="1"/>
  <c r="CF2" i="1" l="1"/>
  <c r="CJ2" i="1" l="1"/>
  <c r="CH2" i="1"/>
  <c r="AG2" i="1" l="1"/>
  <c r="MA2" i="1" s="1"/>
  <c r="AF2" i="1"/>
  <c r="BF2" i="1" l="1"/>
  <c r="BT2" i="1"/>
  <c r="BG2" i="1"/>
  <c r="BU2" i="1"/>
  <c r="BI2" i="1" l="1"/>
  <c r="BW2" i="1"/>
  <c r="BH2" i="1"/>
  <c r="BV2" i="1"/>
  <c r="CG2" i="1" l="1"/>
  <c r="BJ2" i="1"/>
  <c r="BX2" i="1"/>
  <c r="BK2" i="1"/>
  <c r="BY2" i="1"/>
  <c r="CK2" i="1" l="1"/>
  <c r="CI2" i="1"/>
  <c r="BM2" i="1"/>
  <c r="CA2" i="1"/>
  <c r="BL2" i="1"/>
  <c r="BZ2" i="1"/>
  <c r="BN2" i="1" l="1"/>
  <c r="CB2" i="1"/>
  <c r="BO2" i="1"/>
  <c r="CE2" i="1" s="1"/>
  <c r="CC2" i="1"/>
  <c r="CD2" i="1" l="1"/>
  <c r="AJ2" i="1" a="1"/>
  <c r="AJ2" i="1" s="1"/>
  <c r="AH3" i="1" s="1"/>
  <c r="AE2" i="1" a="1"/>
  <c r="AE2" i="1" s="1"/>
  <c r="AC3" i="1" s="1"/>
  <c r="AI3" i="1" l="1" a="1"/>
  <c r="AI3" i="1" s="1"/>
  <c r="AD3" i="1" a="1"/>
  <c r="AD3" i="1" s="1"/>
  <c r="AL3" i="1" l="1"/>
  <c r="BQ3" i="1" s="1"/>
  <c r="BS3" i="1" s="1"/>
  <c r="AK3" i="1"/>
  <c r="BP3" i="1" s="1"/>
  <c r="BR3" i="1" s="1"/>
  <c r="AG3" i="1"/>
  <c r="AF3" i="1"/>
  <c r="BT3" i="1" s="1"/>
  <c r="BG3" i="1" l="1"/>
  <c r="BW3" i="1" s="1"/>
  <c r="MA3" i="1"/>
  <c r="CF3" i="1"/>
  <c r="CJ3" i="1"/>
  <c r="BU3" i="1"/>
  <c r="BF3" i="1"/>
  <c r="BH3" i="1" s="1"/>
  <c r="BI3" i="1" l="1"/>
  <c r="CG3" i="1" s="1"/>
  <c r="CK3" i="1"/>
  <c r="CH3" i="1"/>
  <c r="BV3" i="1"/>
  <c r="BJ3" i="1"/>
  <c r="BX3" i="1"/>
  <c r="BK3" i="1" l="1"/>
  <c r="CA3" i="1" s="1"/>
  <c r="BY3" i="1"/>
  <c r="CI3" i="1"/>
  <c r="BZ3" i="1"/>
  <c r="BL3" i="1"/>
  <c r="BM3" i="1" l="1"/>
  <c r="BO3" i="1" s="1"/>
  <c r="CE3" i="1" s="1"/>
  <c r="CB3" i="1"/>
  <c r="BN3" i="1"/>
  <c r="CC3" i="1" l="1"/>
  <c r="CD3" i="1"/>
  <c r="AJ3" i="1" s="1" a="1"/>
  <c r="AJ3" i="1" s="1"/>
  <c r="AH4" i="1" s="1"/>
  <c r="AE3" i="1" l="1" a="1"/>
  <c r="AE3" i="1" s="1"/>
  <c r="AC4" i="1" s="1"/>
  <c r="AI4" i="1" a="1"/>
  <c r="AI4" i="1" s="1"/>
  <c r="AD4" i="1" l="1" a="1"/>
  <c r="AD4" i="1" s="1"/>
  <c r="AF4" i="1" s="1"/>
  <c r="AL4" i="1"/>
  <c r="BQ4" i="1" s="1"/>
  <c r="BS4" i="1" s="1"/>
  <c r="AK4" i="1"/>
  <c r="BP4" i="1" s="1"/>
  <c r="BR4" i="1" s="1"/>
  <c r="AG4" i="1" l="1"/>
  <c r="MA4" i="1" s="1"/>
  <c r="CF4" i="1"/>
  <c r="BF4" i="1"/>
  <c r="BT4" i="1"/>
  <c r="BU4" i="1"/>
  <c r="BG4" i="1" l="1"/>
  <c r="BI4" i="1" s="1"/>
  <c r="BH4" i="1"/>
  <c r="BV4" i="1"/>
  <c r="CJ4" i="1"/>
  <c r="CH4" i="1"/>
  <c r="BW4" i="1" l="1"/>
  <c r="CG4" i="1"/>
  <c r="BK4" i="1"/>
  <c r="BY4" i="1"/>
  <c r="BJ4" i="1"/>
  <c r="BX4" i="1"/>
  <c r="CI4" i="1" l="1"/>
  <c r="CK4" i="1"/>
  <c r="BL4" i="1"/>
  <c r="BZ4" i="1"/>
  <c r="BM4" i="1"/>
  <c r="CA4" i="1"/>
  <c r="BO4" i="1" l="1"/>
  <c r="CE4" i="1" s="1"/>
  <c r="CC4" i="1"/>
  <c r="BN4" i="1"/>
  <c r="CB4" i="1"/>
  <c r="CD4" i="1" l="1"/>
  <c r="AJ4" i="1" a="1"/>
  <c r="AJ4" i="1" s="1"/>
  <c r="AH5" i="1" s="1"/>
  <c r="AE4" i="1" a="1"/>
  <c r="AE4" i="1" s="1"/>
  <c r="AC5" i="1" s="1"/>
  <c r="AD5" i="1" l="1" a="1"/>
  <c r="AD5" i="1" s="1"/>
  <c r="AI5" i="1" a="1"/>
  <c r="AI5" i="1" s="1"/>
  <c r="AL5" i="1" l="1"/>
  <c r="BQ5" i="1" s="1"/>
  <c r="BS5" i="1" s="1"/>
  <c r="AK5" i="1"/>
  <c r="BP5" i="1" s="1"/>
  <c r="BR5" i="1" s="1"/>
  <c r="AF5" i="1"/>
  <c r="AG5" i="1"/>
  <c r="MA5" i="1" s="1"/>
  <c r="CF5" i="1" l="1"/>
  <c r="BG5" i="1"/>
  <c r="BU5" i="1"/>
  <c r="BF5" i="1"/>
  <c r="BT5" i="1"/>
  <c r="BH5" i="1" l="1"/>
  <c r="BJ5" i="1" s="1"/>
  <c r="BV5" i="1"/>
  <c r="BI5" i="1"/>
  <c r="BW5" i="1"/>
  <c r="CJ5" i="1"/>
  <c r="CH5" i="1"/>
  <c r="BK5" i="1" l="1"/>
  <c r="BY5" i="1"/>
  <c r="BX5" i="1"/>
  <c r="CG5" i="1" l="1"/>
  <c r="BZ5" i="1"/>
  <c r="CA5" i="1"/>
  <c r="CK5" i="1" l="1"/>
  <c r="CI5" i="1"/>
  <c r="CE5" i="1"/>
  <c r="CC5" i="1"/>
  <c r="CB5" i="1"/>
  <c r="CD5" i="1" l="1"/>
  <c r="AJ5" i="1" a="1"/>
  <c r="AJ5" i="1" s="1"/>
  <c r="AH6" i="1" s="1"/>
  <c r="AE5" i="1" a="1"/>
  <c r="AE5" i="1" s="1"/>
  <c r="AC6" i="1" s="1"/>
  <c r="AI6" i="1" l="1" a="1"/>
  <c r="AI6" i="1" s="1"/>
  <c r="AD6" i="1" a="1"/>
  <c r="AD6" i="1" s="1"/>
  <c r="CC6" i="1"/>
  <c r="CE6" i="1"/>
  <c r="CD6" i="1"/>
  <c r="CB6" i="1"/>
  <c r="AL6" i="1" l="1"/>
  <c r="BQ6" i="1" s="1"/>
  <c r="BS6" i="1" s="1"/>
  <c r="AK6" i="1"/>
  <c r="BP6" i="1" s="1"/>
  <c r="BR6" i="1" s="1"/>
  <c r="AF6" i="1"/>
  <c r="AG6" i="1"/>
  <c r="MA6" i="1" s="1"/>
  <c r="BG6" i="1" l="1"/>
  <c r="BU6" i="1"/>
  <c r="CF6" i="1"/>
  <c r="BF6" i="1"/>
  <c r="BT6" i="1"/>
  <c r="CJ6" i="1" l="1"/>
  <c r="CH6" i="1"/>
  <c r="BH6" i="1"/>
  <c r="BV6" i="1"/>
  <c r="BI6" i="1"/>
  <c r="BW6" i="1"/>
  <c r="CG6" i="1" l="1"/>
  <c r="BK6" i="1"/>
  <c r="CA6" i="1" s="1"/>
  <c r="BY6" i="1"/>
  <c r="BJ6" i="1"/>
  <c r="BX6" i="1"/>
  <c r="CK6" i="1" l="1"/>
  <c r="CI6" i="1"/>
  <c r="BZ6" i="1"/>
  <c r="AJ6" i="1" a="1"/>
  <c r="AJ6" i="1" s="1"/>
  <c r="AH7" i="1" s="1"/>
  <c r="AE6" i="1" a="1"/>
  <c r="AE6" i="1" s="1"/>
  <c r="AC7" i="1" s="1"/>
  <c r="AI7" i="1" l="1" a="1"/>
  <c r="AI7" i="1" s="1"/>
  <c r="AD7" i="1" a="1"/>
  <c r="AD7" i="1" s="1"/>
  <c r="CE7" i="1"/>
  <c r="CD7" i="1"/>
  <c r="CC7" i="1"/>
  <c r="CB7" i="1"/>
  <c r="AL7" i="1" l="1"/>
  <c r="BQ7" i="1" s="1"/>
  <c r="BS7" i="1" s="1"/>
  <c r="AK7" i="1"/>
  <c r="BP7" i="1" s="1"/>
  <c r="BR7" i="1" s="1"/>
  <c r="AF7" i="1"/>
  <c r="AG7" i="1"/>
  <c r="MA7" i="1" s="1"/>
  <c r="BG7" i="1" l="1"/>
  <c r="BU7" i="1"/>
  <c r="CF7" i="1"/>
  <c r="BF7" i="1"/>
  <c r="BT7" i="1"/>
  <c r="BH7" i="1" l="1"/>
  <c r="BV7" i="1"/>
  <c r="CJ7" i="1"/>
  <c r="CH7" i="1"/>
  <c r="BI7" i="1"/>
  <c r="BW7" i="1"/>
  <c r="CG7" i="1" l="1"/>
  <c r="BK7" i="1"/>
  <c r="CA7" i="1" s="1"/>
  <c r="BY7" i="1"/>
  <c r="BJ7" i="1"/>
  <c r="BX7" i="1"/>
  <c r="CK7" i="1" l="1"/>
  <c r="CI7" i="1"/>
  <c r="BZ7" i="1"/>
  <c r="AE7" i="1" a="1"/>
  <c r="AE7" i="1" s="1"/>
  <c r="AC8" i="1" s="1"/>
  <c r="AJ7" i="1" a="1"/>
  <c r="AJ7" i="1" s="1"/>
  <c r="AH8" i="1" s="1"/>
  <c r="AD8" i="1" l="1" a="1"/>
  <c r="AD8" i="1" s="1"/>
  <c r="CE8" i="1"/>
  <c r="CB8" i="1"/>
  <c r="CD8" i="1"/>
  <c r="CC8" i="1"/>
  <c r="AI8" i="1" a="1"/>
  <c r="AI8" i="1" s="1"/>
  <c r="AL8" i="1" l="1"/>
  <c r="BQ8" i="1" s="1"/>
  <c r="BS8" i="1" s="1"/>
  <c r="AK8" i="1"/>
  <c r="BP8" i="1" s="1"/>
  <c r="BR8" i="1" s="1"/>
  <c r="AF8" i="1"/>
  <c r="AG8" i="1"/>
  <c r="MA8" i="1" s="1"/>
  <c r="BF8" i="1" l="1"/>
  <c r="BT8" i="1"/>
  <c r="CF8" i="1"/>
  <c r="BG8" i="1"/>
  <c r="BU8" i="1"/>
  <c r="BI8" i="1" l="1"/>
  <c r="BW8" i="1"/>
  <c r="CJ8" i="1"/>
  <c r="CH8" i="1"/>
  <c r="BH8" i="1"/>
  <c r="BV8" i="1"/>
  <c r="CG8" i="1" l="1"/>
  <c r="BJ8" i="1"/>
  <c r="BX8" i="1"/>
  <c r="BK8" i="1"/>
  <c r="CA8" i="1" s="1"/>
  <c r="BY8" i="1"/>
  <c r="CK8" i="1" l="1"/>
  <c r="CI8" i="1"/>
  <c r="BZ8" i="1"/>
  <c r="AJ8" i="1" a="1"/>
  <c r="AJ8" i="1" s="1"/>
  <c r="AH9" i="1" s="1"/>
  <c r="AI9" i="1" s="1" a="1"/>
  <c r="AI9" i="1" s="1"/>
  <c r="AE8" i="1" a="1"/>
  <c r="AE8" i="1" s="1"/>
  <c r="AC9" i="1" s="1"/>
  <c r="AD9" i="1" l="1" a="1"/>
  <c r="AD9" i="1" s="1"/>
  <c r="AG9" i="1" s="1"/>
  <c r="MA9" i="1" s="1"/>
  <c r="AL9" i="1"/>
  <c r="HF9" i="1" s="1"/>
  <c r="AK9" i="1"/>
  <c r="HE9" i="1" s="1"/>
  <c r="AF9" i="1" l="1"/>
  <c r="GU9" i="1" s="1"/>
  <c r="HX9" i="1"/>
  <c r="HV9" i="1"/>
  <c r="GV9" i="1"/>
  <c r="HJ9" i="1"/>
  <c r="HW9" i="1"/>
  <c r="HU9" i="1"/>
  <c r="HI9" i="1" l="1"/>
  <c r="GX9" i="1"/>
  <c r="HL9" i="1"/>
  <c r="GW9" i="1"/>
  <c r="HK9" i="1"/>
  <c r="GY9" i="1" l="1"/>
  <c r="HM9" i="1"/>
  <c r="GZ9" i="1"/>
  <c r="HN9" i="1"/>
  <c r="HB9" i="1" l="1"/>
  <c r="HP9" i="1"/>
  <c r="HA9" i="1"/>
  <c r="HO9" i="1"/>
  <c r="HC9" i="1" l="1"/>
  <c r="HQ9" i="1"/>
  <c r="HD9" i="1"/>
  <c r="HT9" i="1" s="1"/>
  <c r="HR9" i="1"/>
  <c r="HS9" i="1" l="1"/>
  <c r="AJ9" i="1" a="1"/>
  <c r="AJ9" i="1" s="1"/>
  <c r="AH10" i="1" s="1"/>
  <c r="Z9" i="1" a="1"/>
  <c r="Z9" i="1" s="1"/>
  <c r="Y10" i="1" s="1" a="1"/>
  <c r="Y10" i="1" s="1"/>
  <c r="AE9" i="1" a="1"/>
  <c r="AE9" i="1" s="1"/>
  <c r="AC10" i="1" s="1"/>
  <c r="AD10" i="1" l="1" a="1"/>
  <c r="AD10" i="1" s="1"/>
  <c r="AI10" i="1" a="1"/>
  <c r="AI10" i="1" s="1"/>
  <c r="AA10" i="1"/>
  <c r="HG10" i="1" s="1"/>
  <c r="AB10" i="1"/>
  <c r="HH10" i="1" s="1"/>
  <c r="AL10" i="1" l="1"/>
  <c r="HF10" i="1" s="1"/>
  <c r="AK10" i="1"/>
  <c r="HE10" i="1" s="1"/>
  <c r="AG10" i="1"/>
  <c r="MA10" i="1" s="1"/>
  <c r="AF10" i="1"/>
  <c r="HW10" i="1" l="1"/>
  <c r="HU10" i="1"/>
  <c r="HX10" i="1"/>
  <c r="HV10" i="1"/>
  <c r="GU10" i="1"/>
  <c r="HI10" i="1"/>
  <c r="GV10" i="1"/>
  <c r="HJ10" i="1"/>
  <c r="GX10" i="1" l="1"/>
  <c r="HL10" i="1"/>
  <c r="GW10" i="1"/>
  <c r="HK10" i="1"/>
  <c r="GY10" i="1" l="1"/>
  <c r="HM10" i="1"/>
  <c r="GZ10" i="1"/>
  <c r="HN10" i="1"/>
  <c r="HB10" i="1" l="1"/>
  <c r="HP10" i="1"/>
  <c r="HA10" i="1"/>
  <c r="HO10" i="1"/>
  <c r="HC10" i="1" l="1"/>
  <c r="HQ10" i="1"/>
  <c r="HD10" i="1"/>
  <c r="HT10" i="1" s="1"/>
  <c r="HR10" i="1"/>
  <c r="HS10" i="1" l="1"/>
  <c r="AJ10" i="1" a="1"/>
  <c r="AJ10" i="1" s="1"/>
  <c r="AH11" i="1" s="1"/>
  <c r="AE10" i="1" a="1"/>
  <c r="AE10" i="1" s="1"/>
  <c r="AC11" i="1" s="1"/>
  <c r="Z10" i="1" a="1"/>
  <c r="Z10" i="1" s="1"/>
  <c r="AI11" i="1" l="1" a="1"/>
  <c r="AI11" i="1" s="1"/>
  <c r="AD11" i="1" a="1"/>
  <c r="AD11" i="1" s="1"/>
  <c r="AL11" i="1" l="1"/>
  <c r="BQ11" i="1" s="1"/>
  <c r="BS11" i="1" s="1"/>
  <c r="AK11" i="1"/>
  <c r="BP11" i="1" s="1"/>
  <c r="BR11" i="1" s="1"/>
  <c r="AG11" i="1"/>
  <c r="MA11" i="1" s="1"/>
  <c r="AF11" i="1"/>
  <c r="BG11" i="1" l="1"/>
  <c r="BU11" i="1"/>
  <c r="BF11" i="1"/>
  <c r="BT11" i="1"/>
  <c r="CF11" i="1"/>
  <c r="BH11" i="1" l="1"/>
  <c r="BV11" i="1"/>
  <c r="CJ11" i="1"/>
  <c r="CH11" i="1"/>
  <c r="BI11" i="1"/>
  <c r="BW11" i="1"/>
  <c r="CG11" i="1" l="1"/>
  <c r="BK11" i="1"/>
  <c r="BY11" i="1"/>
  <c r="BJ11" i="1"/>
  <c r="BX11" i="1"/>
  <c r="CK11" i="1" l="1"/>
  <c r="CI11" i="1"/>
  <c r="BL11" i="1"/>
  <c r="BZ11" i="1"/>
  <c r="BM11" i="1"/>
  <c r="CA11" i="1"/>
  <c r="BO11" i="1" l="1"/>
  <c r="CE11" i="1" s="1"/>
  <c r="CC11" i="1"/>
  <c r="BN11" i="1"/>
  <c r="CB11" i="1"/>
  <c r="CD11" i="1" l="1"/>
  <c r="AJ11" i="1" a="1"/>
  <c r="AJ11" i="1" s="1"/>
  <c r="AH12" i="1" s="1"/>
  <c r="AE11" i="1" a="1"/>
  <c r="AE11" i="1" s="1"/>
  <c r="AC12" i="1" s="1"/>
  <c r="AD12" i="1" l="1" a="1"/>
  <c r="AD12" i="1" s="1"/>
  <c r="AI12" i="1" a="1"/>
  <c r="AI12" i="1" s="1"/>
  <c r="AL12" i="1" l="1"/>
  <c r="BQ12" i="1" s="1"/>
  <c r="BS12" i="1" s="1"/>
  <c r="AK12" i="1"/>
  <c r="BP12" i="1" s="1"/>
  <c r="BR12" i="1" s="1"/>
  <c r="AG12" i="1"/>
  <c r="MA12" i="1" s="1"/>
  <c r="AF12" i="1"/>
  <c r="CF12" i="1" l="1"/>
  <c r="BF12" i="1"/>
  <c r="BT12" i="1"/>
  <c r="BG12" i="1"/>
  <c r="BU12" i="1"/>
  <c r="BI12" i="1" l="1"/>
  <c r="BW12" i="1"/>
  <c r="CJ12" i="1"/>
  <c r="CH12" i="1"/>
  <c r="BH12" i="1"/>
  <c r="BV12" i="1"/>
  <c r="CG12" i="1" l="1"/>
  <c r="BJ12" i="1"/>
  <c r="BX12" i="1"/>
  <c r="BK12" i="1"/>
  <c r="BY12" i="1"/>
  <c r="CK12" i="1" l="1"/>
  <c r="CI12" i="1"/>
  <c r="BM12" i="1"/>
  <c r="CA12" i="1"/>
  <c r="BL12" i="1"/>
  <c r="BZ12" i="1"/>
  <c r="BN12" i="1" l="1"/>
  <c r="CB12" i="1"/>
  <c r="BO12" i="1"/>
  <c r="CE12" i="1" s="1"/>
  <c r="CC12" i="1"/>
  <c r="CD12" i="1" l="1"/>
  <c r="AJ12" i="1" a="1"/>
  <c r="AJ12" i="1" s="1"/>
  <c r="AH13" i="1" s="1"/>
  <c r="AI13" i="1" s="1" a="1"/>
  <c r="AI13" i="1" s="1"/>
  <c r="AE12" i="1" a="1"/>
  <c r="AE12" i="1" s="1"/>
  <c r="AC13" i="1" s="1"/>
  <c r="AD13" i="1" l="1" a="1"/>
  <c r="AD13" i="1" s="1"/>
  <c r="AG13" i="1" s="1"/>
  <c r="MA13" i="1" s="1"/>
  <c r="AL13" i="1"/>
  <c r="BQ13" i="1" s="1"/>
  <c r="BS13" i="1" s="1"/>
  <c r="AK13" i="1"/>
  <c r="BP13" i="1" s="1"/>
  <c r="BR13" i="1" s="1"/>
  <c r="AF13" i="1" l="1"/>
  <c r="CF13" i="1"/>
  <c r="BF13" i="1"/>
  <c r="BT13" i="1"/>
  <c r="BG13" i="1"/>
  <c r="BU13" i="1"/>
  <c r="BH13" i="1" l="1"/>
  <c r="BV13" i="1"/>
  <c r="BI13" i="1"/>
  <c r="BW13" i="1"/>
  <c r="CJ13" i="1"/>
  <c r="CH13" i="1"/>
  <c r="CG13" i="1" l="1"/>
  <c r="BK13" i="1"/>
  <c r="BY13" i="1"/>
  <c r="BJ13" i="1"/>
  <c r="BX13" i="1"/>
  <c r="CI13" i="1" l="1"/>
  <c r="CK13" i="1"/>
  <c r="BL13" i="1"/>
  <c r="BZ13" i="1"/>
  <c r="BM13" i="1"/>
  <c r="CA13" i="1"/>
  <c r="BO13" i="1" l="1"/>
  <c r="CE13" i="1" s="1"/>
  <c r="CC13" i="1"/>
  <c r="BN13" i="1"/>
  <c r="CB13" i="1"/>
  <c r="CD13" i="1" l="1"/>
  <c r="AJ13" i="1" a="1"/>
  <c r="AJ13" i="1" s="1"/>
  <c r="AH14" i="1" s="1"/>
  <c r="AE13" i="1" a="1"/>
  <c r="AE13" i="1" s="1"/>
  <c r="AC14" i="1" s="1"/>
  <c r="AI14" i="1" l="1" a="1"/>
  <c r="AI14" i="1" s="1"/>
  <c r="AD14" i="1" a="1"/>
  <c r="AD14" i="1" s="1"/>
  <c r="AL14" i="1" l="1"/>
  <c r="BQ14" i="1" s="1"/>
  <c r="BS14" i="1" s="1"/>
  <c r="AK14" i="1"/>
  <c r="BP14" i="1" s="1"/>
  <c r="BR14" i="1" s="1"/>
  <c r="AG14" i="1"/>
  <c r="MA14" i="1" s="1"/>
  <c r="AF14" i="1"/>
  <c r="BG14" i="1" l="1"/>
  <c r="BU14" i="1"/>
  <c r="CF14" i="1"/>
  <c r="BF14" i="1"/>
  <c r="BT14" i="1"/>
  <c r="CJ14" i="1" l="1"/>
  <c r="CH14" i="1"/>
  <c r="BH14" i="1"/>
  <c r="BV14" i="1"/>
  <c r="BI14" i="1"/>
  <c r="BW14" i="1"/>
  <c r="CG14" i="1" l="1"/>
  <c r="BJ14" i="1"/>
  <c r="BX14" i="1"/>
  <c r="BK14" i="1"/>
  <c r="BY14" i="1"/>
  <c r="CK14" i="1" l="1"/>
  <c r="CI14" i="1"/>
  <c r="BM14" i="1"/>
  <c r="CA14" i="1"/>
  <c r="BL14" i="1"/>
  <c r="BZ14" i="1"/>
  <c r="BN14" i="1" l="1"/>
  <c r="CB14" i="1"/>
  <c r="BO14" i="1"/>
  <c r="CE14" i="1" s="1"/>
  <c r="CC14" i="1"/>
  <c r="CD14" i="1" l="1"/>
  <c r="AJ14" i="1" a="1"/>
  <c r="AJ14" i="1" s="1"/>
  <c r="AH15" i="1" s="1"/>
  <c r="AE14" i="1" a="1"/>
  <c r="AE14" i="1" s="1"/>
  <c r="AC15" i="1" s="1"/>
  <c r="AI15" i="1" l="1" a="1"/>
  <c r="AI15" i="1" s="1"/>
  <c r="CD15" i="1"/>
  <c r="CC15" i="1"/>
  <c r="AD15" i="1" a="1"/>
  <c r="AD15" i="1" s="1"/>
  <c r="CB15" i="1"/>
  <c r="CE15" i="1"/>
  <c r="AL15" i="1" l="1"/>
  <c r="BQ15" i="1" s="1"/>
  <c r="BS15" i="1" s="1"/>
  <c r="AK15" i="1"/>
  <c r="BP15" i="1" s="1"/>
  <c r="BR15" i="1" s="1"/>
  <c r="AG15" i="1"/>
  <c r="MA15" i="1" s="1"/>
  <c r="AF15" i="1"/>
  <c r="CF15" i="1" l="1"/>
  <c r="BF15" i="1"/>
  <c r="BT15" i="1"/>
  <c r="BG15" i="1"/>
  <c r="BU15" i="1"/>
  <c r="BH15" i="1" l="1"/>
  <c r="BV15" i="1"/>
  <c r="CJ15" i="1"/>
  <c r="CH15" i="1"/>
  <c r="BI15" i="1"/>
  <c r="BW15" i="1"/>
  <c r="CG15" i="1" l="1"/>
  <c r="BK15" i="1"/>
  <c r="CA15" i="1" s="1"/>
  <c r="BY15" i="1"/>
  <c r="BJ15" i="1"/>
  <c r="BX15" i="1"/>
  <c r="CK15" i="1" l="1"/>
  <c r="CI15" i="1"/>
  <c r="BZ15" i="1"/>
  <c r="AJ15" i="1" a="1"/>
  <c r="AJ15" i="1" s="1"/>
  <c r="AH16" i="1" s="1"/>
  <c r="AE15" i="1" a="1"/>
  <c r="AE15" i="1" s="1"/>
  <c r="AC16" i="1" s="1"/>
  <c r="AI16" i="1" l="1" a="1"/>
  <c r="AI16" i="1" s="1"/>
  <c r="CC16" i="1"/>
  <c r="AD16" i="1" a="1"/>
  <c r="AD16" i="1" s="1"/>
  <c r="CE16" i="1"/>
  <c r="CD16" i="1"/>
  <c r="CB16" i="1"/>
  <c r="AL16" i="1" l="1"/>
  <c r="BQ16" i="1" s="1"/>
  <c r="BS16" i="1" s="1"/>
  <c r="AK16" i="1"/>
  <c r="BP16" i="1" s="1"/>
  <c r="BR16" i="1" s="1"/>
  <c r="AF16" i="1"/>
  <c r="AG16" i="1"/>
  <c r="MA16" i="1" s="1"/>
  <c r="BG16" i="1" l="1"/>
  <c r="BU16" i="1"/>
  <c r="BF16" i="1"/>
  <c r="BT16" i="1"/>
  <c r="CF16" i="1"/>
  <c r="BH16" i="1" l="1"/>
  <c r="BV16" i="1"/>
  <c r="CJ16" i="1"/>
  <c r="CH16" i="1"/>
  <c r="BI16" i="1"/>
  <c r="BW16" i="1"/>
  <c r="CG16" i="1" l="1"/>
  <c r="BK16" i="1"/>
  <c r="CA16" i="1" s="1"/>
  <c r="BY16" i="1"/>
  <c r="BJ16" i="1"/>
  <c r="BX16" i="1"/>
  <c r="CK16" i="1" l="1"/>
  <c r="CI16" i="1"/>
  <c r="BZ16" i="1"/>
  <c r="AJ16" i="1" a="1"/>
  <c r="AJ16" i="1" s="1"/>
  <c r="AH17" i="1" s="1"/>
  <c r="AE16" i="1" a="1"/>
  <c r="AE16" i="1" s="1"/>
  <c r="AC17" i="1" s="1"/>
  <c r="AI17" i="1" l="1" a="1"/>
  <c r="AI17" i="1" s="1"/>
  <c r="CD17" i="1"/>
  <c r="CC17" i="1"/>
  <c r="AD17" i="1" a="1"/>
  <c r="AD17" i="1" s="1"/>
  <c r="CE17" i="1"/>
  <c r="CB17" i="1"/>
  <c r="AL17" i="1" l="1"/>
  <c r="BQ17" i="1" s="1"/>
  <c r="BS17" i="1" s="1"/>
  <c r="AK17" i="1"/>
  <c r="BP17" i="1" s="1"/>
  <c r="BR17" i="1" s="1"/>
  <c r="AG17" i="1"/>
  <c r="MA17" i="1" s="1"/>
  <c r="AF17" i="1"/>
  <c r="CF17" i="1" l="1"/>
  <c r="BF17" i="1"/>
  <c r="BT17" i="1"/>
  <c r="BG17" i="1"/>
  <c r="BU17" i="1"/>
  <c r="BH17" i="1" l="1"/>
  <c r="BV17" i="1"/>
  <c r="BI17" i="1"/>
  <c r="BW17" i="1"/>
  <c r="CJ17" i="1"/>
  <c r="CH17" i="1"/>
  <c r="CG17" i="1" l="1"/>
  <c r="BK17" i="1"/>
  <c r="CA17" i="1" s="1"/>
  <c r="BY17" i="1"/>
  <c r="BJ17" i="1"/>
  <c r="BX17" i="1"/>
  <c r="CI17" i="1" l="1"/>
  <c r="CK17" i="1"/>
  <c r="BZ17" i="1"/>
  <c r="AJ17" i="1" a="1"/>
  <c r="AJ17" i="1" s="1"/>
  <c r="AH18" i="1" s="1"/>
  <c r="AE17" i="1" a="1"/>
  <c r="AE17" i="1" s="1"/>
  <c r="AC18" i="1" s="1"/>
  <c r="AI32" i="1" l="1" a="1"/>
  <c r="AI32" i="1" s="1"/>
  <c r="AD33" i="1" a="1"/>
  <c r="AD33" i="1" s="1"/>
  <c r="AG33" i="1" s="1"/>
  <c r="MA33" i="1" s="1"/>
  <c r="AI18" i="1" a="1"/>
  <c r="AI18" i="1" s="1"/>
  <c r="AD18" i="1" a="1"/>
  <c r="AD18" i="1" s="1"/>
  <c r="CE18" i="1"/>
  <c r="CD18" i="1"/>
  <c r="CC18" i="1"/>
  <c r="CB18" i="1"/>
  <c r="AL18" i="1" l="1"/>
  <c r="BQ18" i="1" s="1"/>
  <c r="BS18" i="1" s="1"/>
  <c r="AK18" i="1"/>
  <c r="BP18" i="1" s="1"/>
  <c r="BR18" i="1" s="1"/>
  <c r="AL32" i="1"/>
  <c r="AK32" i="1"/>
  <c r="ABV33" i="1"/>
  <c r="ACB33" i="1"/>
  <c r="AF33" i="1"/>
  <c r="AF18" i="1"/>
  <c r="AG18" i="1"/>
  <c r="MA18" i="1" s="1"/>
  <c r="YE32" i="1" l="1"/>
  <c r="XM32" i="1"/>
  <c r="XO32" i="1" s="1"/>
  <c r="XQ32" i="1" s="1"/>
  <c r="XS32" i="1" s="1"/>
  <c r="XU32" i="1" s="1"/>
  <c r="XW32" i="1" s="1"/>
  <c r="XY32" i="1" s="1"/>
  <c r="YA32" i="1" s="1"/>
  <c r="YC32" i="1" s="1"/>
  <c r="YF32" i="1"/>
  <c r="XN32" i="1"/>
  <c r="ABU33" i="1"/>
  <c r="ACA33" i="1"/>
  <c r="ABX33" i="1"/>
  <c r="ACD33" i="1"/>
  <c r="BG18" i="1"/>
  <c r="BU18" i="1"/>
  <c r="BF18" i="1"/>
  <c r="BT18" i="1"/>
  <c r="CF18" i="1"/>
  <c r="YG32" i="1" l="1"/>
  <c r="YH32" i="1"/>
  <c r="XP32" i="1"/>
  <c r="XR32" i="1" s="1"/>
  <c r="XT32" i="1" s="1"/>
  <c r="XV32" i="1" s="1"/>
  <c r="XX32" i="1" s="1"/>
  <c r="XZ32" i="1" s="1"/>
  <c r="YB32" i="1" s="1"/>
  <c r="YD32" i="1" s="1"/>
  <c r="YI32" i="1"/>
  <c r="ABZ33" i="1"/>
  <c r="ACH33" i="1" s="1"/>
  <c r="ACF33" i="1"/>
  <c r="ABW33" i="1"/>
  <c r="ACC33" i="1"/>
  <c r="CJ18" i="1"/>
  <c r="CH18" i="1"/>
  <c r="BH18" i="1"/>
  <c r="BV18" i="1"/>
  <c r="BI18" i="1"/>
  <c r="BW18" i="1"/>
  <c r="YJ32" i="1" l="1"/>
  <c r="YK32" i="1"/>
  <c r="CG18" i="1"/>
  <c r="ABY33" i="1"/>
  <c r="ACE33" i="1"/>
  <c r="YL32" i="1"/>
  <c r="BK18" i="1"/>
  <c r="CA18" i="1" s="1"/>
  <c r="BY18" i="1"/>
  <c r="BJ18" i="1"/>
  <c r="BX18" i="1"/>
  <c r="CK18" i="1" l="1"/>
  <c r="CI18" i="1"/>
  <c r="ACG33" i="1"/>
  <c r="AE33" i="1" a="1"/>
  <c r="AE33" i="1" s="1"/>
  <c r="AD36" i="1" s="1" a="1"/>
  <c r="AD36" i="1" s="1"/>
  <c r="YN32" i="1"/>
  <c r="BZ18" i="1"/>
  <c r="AJ18" i="1" a="1"/>
  <c r="AJ18" i="1" s="1"/>
  <c r="AE18" i="1" a="1"/>
  <c r="AE18" i="1" s="1"/>
  <c r="YM32" i="1" l="1"/>
  <c r="AG36" i="1"/>
  <c r="MA36" i="1" s="1"/>
  <c r="AF36" i="1"/>
  <c r="YP32" i="1"/>
  <c r="YO32" i="1"/>
  <c r="ACA36" i="1" l="1"/>
  <c r="ABU36" i="1"/>
  <c r="ACB36" i="1"/>
  <c r="ABV36" i="1"/>
  <c r="YQ32" i="1"/>
  <c r="YR32" i="1"/>
  <c r="ACC36" i="1" l="1"/>
  <c r="ABW36" i="1"/>
  <c r="ACD36" i="1"/>
  <c r="ABX36" i="1"/>
  <c r="YT32" i="1"/>
  <c r="YS32" i="1"/>
  <c r="ACE36" i="1" l="1"/>
  <c r="ABY36" i="1"/>
  <c r="ACF36" i="1"/>
  <c r="ABZ36" i="1"/>
  <c r="ACH36" i="1" s="1"/>
  <c r="YU32" i="1"/>
  <c r="YX32" i="1"/>
  <c r="YV32" i="1"/>
  <c r="ACG36" i="1" l="1"/>
  <c r="AE36" i="1" a="1"/>
  <c r="AE36" i="1" s="1"/>
  <c r="YW32" i="1"/>
  <c r="AJ32" i="1" a="1"/>
  <c r="AJ32" i="1" s="1"/>
  <c r="AI35" i="1" s="1" a="1"/>
  <c r="AI35" i="1" s="1"/>
  <c r="AL35" i="1" l="1"/>
  <c r="XN35" i="1" s="1"/>
  <c r="XP35" i="1" s="1"/>
  <c r="XR35" i="1" s="1"/>
  <c r="XT35" i="1" s="1"/>
  <c r="XV35" i="1" s="1"/>
  <c r="XX35" i="1" s="1"/>
  <c r="XZ35" i="1" s="1"/>
  <c r="YB35" i="1" s="1"/>
  <c r="YD35" i="1" s="1"/>
  <c r="AK35" i="1"/>
  <c r="XM35" i="1" s="1"/>
  <c r="XO35" i="1" s="1"/>
  <c r="XQ35" i="1" s="1"/>
  <c r="XS35" i="1" s="1"/>
  <c r="XU35" i="1" s="1"/>
  <c r="XW35" i="1" s="1"/>
  <c r="XY35" i="1" s="1"/>
  <c r="YA35" i="1" s="1"/>
  <c r="YC35" i="1" s="1"/>
  <c r="AG42" i="1"/>
  <c r="AF42" i="1"/>
  <c r="LZ42" i="1" l="1"/>
  <c r="AE42" i="1" s="1" a="1"/>
  <c r="AE42" i="1" s="1"/>
  <c r="AC45" i="1" s="1"/>
  <c r="AD45" i="1" s="1" a="1"/>
  <c r="AD45" i="1" s="1"/>
  <c r="AF45" i="1" s="1"/>
  <c r="LZ45" i="1" s="1"/>
  <c r="MA42" i="1"/>
  <c r="YE35" i="1"/>
  <c r="YF35" i="1"/>
  <c r="AE45" i="1" l="1" a="1"/>
  <c r="AE45" i="1" s="1"/>
  <c r="AC46" i="1" s="1"/>
  <c r="AD46" i="1" s="1" a="1"/>
  <c r="AD46" i="1" s="1"/>
  <c r="AG46" i="1" s="1"/>
  <c r="AG45" i="1"/>
  <c r="MA45" i="1" s="1"/>
  <c r="YH35" i="1"/>
  <c r="YG35" i="1"/>
  <c r="MA46" i="1" l="1"/>
  <c r="AF46" i="1"/>
  <c r="LZ46" i="1" s="1"/>
  <c r="AE46" i="1" s="1" a="1"/>
  <c r="AE46" i="1" s="1"/>
  <c r="AC47" i="1" s="1"/>
  <c r="YI35" i="1"/>
  <c r="YJ35" i="1"/>
  <c r="AD47" i="1" l="1" a="1"/>
  <c r="AD47" i="1" s="1"/>
  <c r="YL35" i="1"/>
  <c r="YK35" i="1"/>
  <c r="AF47" i="1" l="1"/>
  <c r="LZ47" i="1" s="1"/>
  <c r="AE47" i="1" s="1" a="1"/>
  <c r="AE47" i="1" s="1"/>
  <c r="AC48" i="1" s="1"/>
  <c r="AG47" i="1"/>
  <c r="MA47" i="1" s="1"/>
  <c r="YM35" i="1"/>
  <c r="YN35" i="1"/>
  <c r="AD48" i="1" l="1" a="1"/>
  <c r="AD48" i="1" s="1"/>
  <c r="YP35" i="1"/>
  <c r="YO35" i="1"/>
  <c r="AF48" i="1" l="1"/>
  <c r="LZ48" i="1" s="1"/>
  <c r="AE48" i="1" s="1" a="1"/>
  <c r="AE48" i="1" s="1"/>
  <c r="AC49" i="1" s="1"/>
  <c r="AG48" i="1"/>
  <c r="MA48" i="1" s="1"/>
  <c r="YQ35" i="1"/>
  <c r="YR35" i="1"/>
  <c r="AD49" i="1" l="1" a="1"/>
  <c r="AD49" i="1" s="1"/>
  <c r="YT35" i="1"/>
  <c r="YS35" i="1"/>
  <c r="AF49" i="1" l="1"/>
  <c r="LZ49" i="1" s="1"/>
  <c r="AE49" i="1" s="1" a="1"/>
  <c r="AE49" i="1" s="1"/>
  <c r="AC50" i="1" s="1"/>
  <c r="AG49" i="1"/>
  <c r="MA49" i="1" s="1"/>
  <c r="YU35" i="1"/>
  <c r="YX35" i="1"/>
  <c r="YV35" i="1"/>
  <c r="AD50" i="1" l="1" a="1"/>
  <c r="AD50" i="1" s="1"/>
  <c r="YW35" i="1"/>
  <c r="AJ35" i="1" a="1"/>
  <c r="AJ35" i="1" s="1"/>
  <c r="AG50" i="1" l="1"/>
  <c r="MA50" i="1" s="1"/>
  <c r="AF50" i="1"/>
  <c r="LZ50" i="1" s="1"/>
  <c r="AE50" i="1" s="1" a="1"/>
  <c r="AE50" i="1" s="1"/>
  <c r="AC51" i="1" s="1"/>
  <c r="AD51" i="1" l="1" a="1"/>
  <c r="AD51" i="1" s="1"/>
  <c r="AF51" i="1" l="1"/>
  <c r="LZ51" i="1" s="1"/>
  <c r="AE51" i="1" s="1" a="1"/>
  <c r="AE51" i="1" s="1"/>
  <c r="AG51" i="1"/>
  <c r="MA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tc={16653607-FB67-4DB8-8255-D89C6181BDB1}</author>
  </authors>
  <commentList>
    <comment ref="B42" authorId="0" shapeId="0" xr:uid="{00000000-0006-0000-00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sharedStrings.xml><?xml version="1.0" encoding="utf-8"?>
<sst xmlns="http://schemas.openxmlformats.org/spreadsheetml/2006/main" count="9675" uniqueCount="2338">
  <si>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</si>
  <si>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</si>
  <si>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</si>
  <si>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</si>
  <si>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</si>
  <si>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</si>
  <si>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</si>
  <si>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</si>
  <si>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</si>
  <si>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</si>
  <si>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</si>
  <si>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</si>
  <si>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</si>
  <si>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</si>
  <si>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</si>
  <si>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</si>
  <si>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</si>
  <si>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</si>
  <si>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</si>
  <si>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</si>
  <si>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</si>
  <si>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</si>
  <si>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</si>
  <si>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</si>
  <si>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</si>
  <si>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</si>
  <si>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</si>
  <si>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</si>
  <si>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</si>
  <si>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</si>
  <si>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</si>
  <si>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</si>
  <si>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</si>
  <si>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</si>
  <si>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</si>
  <si>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</si>
  <si>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</si>
  <si>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</si>
  <si>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</si>
  <si>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</si>
  <si>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</si>
  <si>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</si>
  <si>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</si>
  <si>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</si>
  <si>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</si>
  <si>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</si>
  <si>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</si>
  <si>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</si>
  <si>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</si>
  <si>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</si>
  <si>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</si>
  <si>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</si>
  <si>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</si>
  <si>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</si>
  <si>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</si>
  <si>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</si>
  <si>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</si>
  <si>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</si>
  <si>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</si>
  <si>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</si>
  <si>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</si>
  <si>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</si>
  <si>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</si>
  <si>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</si>
  <si>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</si>
  <si>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</si>
  <si>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</si>
  <si>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</si>
  <si>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</si>
  <si>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</si>
  <si>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</si>
  <si>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</si>
  <si>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</si>
  <si>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</si>
  <si>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</si>
  <si>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</si>
  <si>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</si>
  <si>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</si>
  <si>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</si>
  <si>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</si>
  <si>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</si>
  <si>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</si>
  <si>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</si>
  <si>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</si>
  <si>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</si>
  <si>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</si>
  <si>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</si>
  <si>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</si>
  <si>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</si>
  <si>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</si>
  <si>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</si>
  <si>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</si>
  <si>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</si>
  <si>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</si>
  <si>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</si>
  <si>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</si>
  <si>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</si>
  <si>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</si>
  <si>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</si>
  <si>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</si>
  <si>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</si>
  <si>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</si>
  <si>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</si>
  <si>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</si>
  <si>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</si>
  <si>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</si>
  <si>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</si>
  <si>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</si>
  <si>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</si>
  <si>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</si>
  <si>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</si>
  <si>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</si>
  <si>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</si>
  <si>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</si>
  <si>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</si>
  <si>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</si>
  <si>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</si>
  <si>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</si>
  <si>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</si>
  <si>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</si>
  <si>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</si>
  <si>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</si>
  <si>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</si>
  <si>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</si>
  <si>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</si>
  <si>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</si>
  <si>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</si>
  <si>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</si>
  <si>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</si>
  <si>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</si>
  <si>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</si>
  <si>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</si>
  <si>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</si>
  <si>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</si>
  <si>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</si>
  <si>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</si>
  <si>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</si>
  <si>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</si>
  <si>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</si>
  <si>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</si>
  <si>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</si>
  <si>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</si>
  <si>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</si>
  <si>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</si>
  <si>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</si>
  <si>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</si>
  <si>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</si>
  <si>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</si>
  <si>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</si>
  <si>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</si>
  <si>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</si>
  <si>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</si>
  <si>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</si>
  <si>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</si>
  <si>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</si>
  <si>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</si>
  <si>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</si>
  <si>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</si>
  <si>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</si>
  <si>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</si>
  <si>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</si>
  <si>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</si>
  <si>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</si>
  <si>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</si>
  <si>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</si>
  <si>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</si>
  <si>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</si>
  <si>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</si>
  <si>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</si>
  <si>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</si>
  <si>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</si>
  <si>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</si>
  <si>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</si>
  <si>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</si>
  <si>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</si>
  <si>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</si>
  <si>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</si>
  <si>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</si>
  <si>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</si>
  <si>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</si>
  <si>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</si>
  <si>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</si>
  <si>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</si>
  <si>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</si>
  <si>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</si>
  <si>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</si>
  <si>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</si>
  <si>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</si>
  <si>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</si>
  <si>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</si>
  <si>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</si>
  <si>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</si>
  <si>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</si>
  <si>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</si>
  <si>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</si>
  <si>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</si>
  <si>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</si>
  <si>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</si>
  <si>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</si>
  <si>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</si>
  <si>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</si>
  <si>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</si>
  <si>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</si>
  <si>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</si>
  <si>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</si>
  <si>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</si>
  <si>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</si>
  <si>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</si>
  <si>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</si>
  <si>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</si>
  <si>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</si>
  <si>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</si>
  <si>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</si>
  <si>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</si>
  <si>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</si>
  <si>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</si>
  <si>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</si>
  <si>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</si>
  <si>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</si>
  <si>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</si>
  <si>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</si>
  <si>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</si>
  <si>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</si>
  <si>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</si>
  <si>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</si>
  <si>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</si>
  <si>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</si>
  <si>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</si>
  <si>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</si>
  <si>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</si>
  <si>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</si>
  <si>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</si>
  <si>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</si>
  <si>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</si>
  <si>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</si>
  <si>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</si>
  <si>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</si>
  <si>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</si>
  <si>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</si>
  <si>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</si>
  <si>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</si>
  <si>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</si>
  <si>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</si>
  <si>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</si>
  <si>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</si>
  <si>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</si>
  <si>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</si>
  <si>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</si>
  <si>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</si>
  <si>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</si>
  <si>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</si>
  <si>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</si>
  <si>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</si>
  <si>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</si>
  <si>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</si>
  <si>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</si>
  <si>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</si>
  <si>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</si>
  <si>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</si>
  <si>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</si>
  <si>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</si>
  <si>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</si>
  <si>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</si>
  <si>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</si>
  <si>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</si>
  <si>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</si>
  <si>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</si>
  <si>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</si>
  <si>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</si>
  <si>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</si>
  <si>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</si>
  <si>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</si>
  <si>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</si>
  <si>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</si>
  <si>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</si>
  <si>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</si>
  <si>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</si>
  <si>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</si>
  <si>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</si>
  <si>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</si>
  <si>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</si>
  <si>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</si>
  <si>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</si>
  <si>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</si>
  <si>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</si>
  <si>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</si>
  <si>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</si>
  <si>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</si>
  <si>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</si>
  <si>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</si>
  <si>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</si>
  <si>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</si>
  <si>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</si>
  <si>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</si>
  <si>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</si>
  <si>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</si>
  <si>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</si>
  <si>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</si>
  <si>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</si>
  <si>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</si>
  <si>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</si>
  <si>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</si>
  <si>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</si>
  <si>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</si>
  <si>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</si>
  <si>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</si>
  <si>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</si>
  <si>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</si>
  <si>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</si>
  <si>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</si>
  <si>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</si>
  <si>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</si>
  <si>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</si>
  <si>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</si>
  <si>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</si>
  <si>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</si>
  <si>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</si>
  <si>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</si>
  <si>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</si>
  <si>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</si>
  <si>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</si>
  <si>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</si>
  <si>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</si>
  <si>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</si>
  <si>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</si>
  <si>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</si>
  <si>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</si>
  <si>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</si>
  <si>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</si>
  <si>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</si>
  <si>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</si>
  <si>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</si>
  <si>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</si>
  <si>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</si>
  <si>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</si>
  <si>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</si>
  <si>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</si>
  <si>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</si>
  <si>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</si>
  <si>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</si>
  <si>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</si>
  <si>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</si>
  <si>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</si>
  <si>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</si>
  <si>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</si>
  <si>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</si>
  <si>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</si>
  <si>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</si>
  <si>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</si>
  <si>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</si>
  <si>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</si>
  <si>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</si>
  <si>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</si>
  <si>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</si>
  <si>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</si>
  <si>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</si>
  <si>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</si>
  <si>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</si>
  <si>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</si>
  <si>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</si>
  <si>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</si>
  <si>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</si>
  <si>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</si>
  <si>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</si>
  <si>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</si>
  <si>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</si>
  <si>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</si>
  <si>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</si>
  <si>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</si>
  <si>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</si>
  <si>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</si>
  <si>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</si>
  <si>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</si>
  <si>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</si>
  <si>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</si>
  <si>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</si>
  <si>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</si>
  <si>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</si>
  <si>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</si>
  <si>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</si>
  <si>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</si>
  <si>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</si>
  <si>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</si>
  <si>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</si>
  <si>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</si>
  <si>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</si>
  <si>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</si>
  <si>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</si>
  <si>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</si>
  <si>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</si>
  <si>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</si>
  <si>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</si>
  <si>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</si>
  <si>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</si>
  <si>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</si>
  <si>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</si>
  <si>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</si>
  <si>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</si>
  <si>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</si>
  <si>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</si>
  <si>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</si>
  <si>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</si>
  <si>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</si>
  <si>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</si>
  <si>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</si>
  <si>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</si>
  <si>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</si>
  <si>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</si>
  <si>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</si>
  <si>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</si>
  <si>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</si>
  <si>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</si>
  <si>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</si>
  <si>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</si>
  <si>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</si>
  <si>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</si>
  <si>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</si>
  <si>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</si>
  <si>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</si>
  <si>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</si>
  <si>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</si>
  <si>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</si>
  <si>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</si>
  <si>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</si>
  <si>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</si>
  <si>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</si>
  <si>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</si>
  <si>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</si>
  <si>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</si>
  <si>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</si>
  <si>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</si>
  <si>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</si>
  <si>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</si>
  <si>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</si>
  <si>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</si>
  <si>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</si>
  <si>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</si>
  <si>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</si>
  <si>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</si>
  <si>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</si>
  <si>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</si>
  <si>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</si>
  <si>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</si>
  <si>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</si>
  <si>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</si>
  <si>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</si>
  <si>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</si>
  <si>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</si>
  <si>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</si>
  <si>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</si>
  <si>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</si>
  <si>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</si>
  <si>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</si>
  <si>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</si>
  <si>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</si>
  <si>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</si>
  <si>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</si>
  <si>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</si>
  <si>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</si>
  <si>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</si>
  <si>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</si>
  <si>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</si>
  <si>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</si>
  <si>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</si>
  <si>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</si>
  <si>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</si>
  <si>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</si>
  <si>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</si>
  <si>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</si>
  <si>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</si>
  <si>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</si>
  <si>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</si>
  <si>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</si>
  <si>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</si>
  <si>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</si>
  <si>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</si>
  <si>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</si>
  <si>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</si>
  <si>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</si>
  <si>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</si>
  <si>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</si>
  <si>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</si>
  <si>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</si>
  <si>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</si>
  <si>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</si>
  <si>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</si>
  <si>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</si>
  <si>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</si>
  <si>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</si>
  <si>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</si>
  <si>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</si>
  <si>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</si>
  <si>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</si>
  <si>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</si>
  <si>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</si>
  <si>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</si>
  <si>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</si>
  <si>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</si>
  <si>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</si>
  <si>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</si>
  <si>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</si>
  <si>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</si>
  <si>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</si>
  <si>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</si>
  <si>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</si>
  <si>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</si>
  <si>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</si>
  <si>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</si>
  <si>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</si>
  <si>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</si>
  <si>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</si>
  <si>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</si>
  <si>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</si>
  <si>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</si>
  <si>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</si>
  <si>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</si>
  <si>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</si>
  <si>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</si>
  <si>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</si>
  <si>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</si>
  <si>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</si>
  <si>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</si>
  <si>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</si>
  <si>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</si>
  <si>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</si>
  <si>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</si>
  <si>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</si>
  <si>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</si>
  <si>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</si>
  <si>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</si>
  <si>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</si>
  <si>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</si>
  <si>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</si>
  <si>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</si>
  <si>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</si>
  <si>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</si>
  <si>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</si>
  <si>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</si>
  <si>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</si>
  <si>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</si>
  <si>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</si>
  <si>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</si>
  <si>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</si>
  <si>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</si>
  <si>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</si>
  <si>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</si>
  <si>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</si>
  <si>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</si>
  <si>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</si>
  <si>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</si>
  <si>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</si>
  <si>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</si>
  <si>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</si>
  <si>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</si>
  <si>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</si>
  <si>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</si>
  <si>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</si>
  <si>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</si>
  <si>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</si>
  <si>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</si>
  <si>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</si>
  <si>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</si>
  <si>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</si>
  <si>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</si>
  <si>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</si>
  <si>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</si>
  <si>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</si>
  <si>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</si>
  <si>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</si>
  <si>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</si>
  <si>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</si>
  <si>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</si>
  <si>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</si>
  <si>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</si>
  <si>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</si>
  <si>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</si>
  <si>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</si>
  <si>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</si>
  <si>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</si>
  <si>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</si>
  <si>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</si>
  <si>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</si>
  <si>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</si>
  <si>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</si>
  <si>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</si>
  <si>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</si>
  <si>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</si>
  <si>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</si>
  <si>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</si>
  <si>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</si>
  <si>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</si>
  <si>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</si>
  <si>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</si>
  <si>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</si>
  <si>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</si>
  <si>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</si>
  <si>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</si>
  <si>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</si>
  <si>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</si>
  <si>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</si>
  <si>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</si>
  <si>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</si>
  <si>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</si>
  <si>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</si>
  <si>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</si>
  <si>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</si>
  <si>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</si>
  <si>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</si>
  <si>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</si>
  <si>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</si>
  <si>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</si>
  <si>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</si>
  <si>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</si>
  <si>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</si>
  <si>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</si>
  <si>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</si>
  <si>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</si>
  <si>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</si>
  <si>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</si>
  <si>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</si>
  <si>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</si>
  <si>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</si>
  <si>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</si>
  <si>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</si>
  <si>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</si>
  <si>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</si>
  <si>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</si>
  <si>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</si>
  <si>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</si>
  <si>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</si>
  <si>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</si>
  <si>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</si>
  <si>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</si>
  <si>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</si>
  <si>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</si>
  <si>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</si>
  <si>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</si>
  <si>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</si>
  <si>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</si>
  <si>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</si>
  <si>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</si>
  <si>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</si>
  <si>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</si>
  <si>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</si>
  <si>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</si>
  <si>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</si>
  <si>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</si>
  <si>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</si>
  <si>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</si>
  <si>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</si>
  <si>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</si>
  <si>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</si>
  <si>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</si>
  <si>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</si>
  <si>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</si>
  <si>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</si>
  <si>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</si>
  <si>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</si>
  <si>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</si>
  <si>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</si>
  <si>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</si>
  <si>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</si>
  <si>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</si>
  <si>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</si>
  <si>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</si>
  <si>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</si>
  <si>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</si>
  <si>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</si>
  <si>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</si>
  <si>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</si>
  <si>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</si>
  <si>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</si>
  <si>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</si>
  <si>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</si>
  <si>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</si>
  <si>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</si>
  <si>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</si>
  <si>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</si>
  <si>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</si>
  <si>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</si>
  <si>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</si>
  <si>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</si>
  <si>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</si>
  <si>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</si>
  <si>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</si>
  <si>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</si>
  <si>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</si>
  <si>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</si>
  <si>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</si>
  <si>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</si>
  <si>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</si>
  <si>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</si>
  <si>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</si>
  <si>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</si>
  <si>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</si>
  <si>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</si>
  <si>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</si>
  <si>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</si>
  <si>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</si>
  <si>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</si>
  <si>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</si>
  <si>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</si>
  <si>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</si>
  <si>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</si>
  <si>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</si>
  <si>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</si>
  <si>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</si>
  <si>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</si>
  <si>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</si>
  <si>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</si>
  <si>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</si>
  <si>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</si>
  <si>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</si>
  <si>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</si>
  <si>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</si>
  <si>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</si>
  <si>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</si>
  <si>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</si>
  <si>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</si>
  <si>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</si>
  <si>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</si>
  <si>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</si>
  <si>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</si>
  <si>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</si>
  <si>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</si>
  <si>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</si>
  <si>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</si>
  <si>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</si>
  <si>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</si>
  <si>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</si>
  <si>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</si>
  <si>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</si>
  <si>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</si>
  <si>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</si>
  <si>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</si>
  <si>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</si>
  <si>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</si>
  <si>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</si>
  <si>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</si>
  <si>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</si>
  <si>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</si>
  <si>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</si>
  <si>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</si>
  <si>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</si>
  <si>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</si>
  <si>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</si>
  <si>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</si>
  <si>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</si>
  <si>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</si>
  <si>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</si>
  <si>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</si>
  <si>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</si>
  <si>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</si>
  <si>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</si>
  <si>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</si>
  <si>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</si>
  <si>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</si>
  <si>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</si>
  <si>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</si>
  <si>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</si>
  <si>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</si>
  <si>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</si>
  <si>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</si>
  <si>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</si>
  <si>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</si>
  <si>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</si>
  <si>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</si>
  <si>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</si>
  <si>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</si>
  <si>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</si>
  <si>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</si>
  <si>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</si>
  <si>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</si>
  <si>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</si>
  <si>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</si>
  <si>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</si>
  <si>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</si>
  <si>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</si>
  <si>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</si>
  <si>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</si>
  <si>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</si>
  <si>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</si>
  <si>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</si>
  <si>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</si>
  <si>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</si>
  <si>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</si>
  <si>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</si>
  <si>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</si>
  <si>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</si>
  <si>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</si>
  <si>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</si>
  <si>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</si>
  <si>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</si>
  <si>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</si>
  <si>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</si>
  <si>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</si>
  <si>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</si>
  <si>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</si>
  <si>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</si>
  <si>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</si>
  <si>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</si>
  <si>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</si>
  <si>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</si>
  <si>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</si>
  <si>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</si>
  <si>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</si>
  <si>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</si>
  <si>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</si>
  <si>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</si>
  <si>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</si>
  <si>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</si>
  <si>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</si>
  <si>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</si>
  <si>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</si>
  <si>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</si>
  <si>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</si>
  <si>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</si>
  <si>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</si>
  <si>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</si>
  <si>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</si>
  <si>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</si>
  <si>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</si>
  <si>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</si>
  <si>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</si>
  <si>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</si>
  <si>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</si>
  <si>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</si>
  <si>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</si>
  <si>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</si>
  <si>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</si>
  <si>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</si>
  <si>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</si>
  <si>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</si>
  <si>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</si>
  <si>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</si>
  <si>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</si>
  <si>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</si>
  <si>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</si>
  <si>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</si>
  <si>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</si>
  <si>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</si>
  <si>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</si>
  <si>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</si>
  <si>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</si>
  <si>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</si>
  <si>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</si>
  <si>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</si>
  <si>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</si>
  <si>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</si>
  <si>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</si>
  <si>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</si>
  <si>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</si>
  <si>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</si>
  <si>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</si>
  <si>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</si>
  <si>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</si>
  <si>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</si>
  <si>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</si>
  <si>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</si>
  <si>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</si>
  <si>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</si>
  <si>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</si>
  <si>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</si>
  <si>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</si>
  <si>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</si>
  <si>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</si>
  <si>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</si>
  <si>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</si>
  <si>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</si>
  <si>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</si>
  <si>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</si>
  <si>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</si>
  <si>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</si>
  <si>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</si>
  <si>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</si>
  <si>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</si>
  <si>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</si>
  <si>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</si>
  <si>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</si>
  <si>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</si>
  <si>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</si>
  <si>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</si>
  <si>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</si>
  <si>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</si>
  <si>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</si>
  <si>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</si>
  <si>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</si>
  <si>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</si>
  <si>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</si>
  <si>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</si>
  <si>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</si>
  <si>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</si>
  <si>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</si>
  <si>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</si>
  <si>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</si>
  <si>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</si>
  <si>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</si>
  <si>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</si>
  <si>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</si>
  <si>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</si>
  <si>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</si>
  <si>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</si>
  <si>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</si>
  <si>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</si>
  <si>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</si>
  <si>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</si>
  <si>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</si>
  <si>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</si>
  <si>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</si>
  <si>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</si>
  <si>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</si>
  <si>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</si>
  <si>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</si>
  <si>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</si>
  <si>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</si>
  <si>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</si>
  <si>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</si>
  <si>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</si>
  <si>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</si>
  <si>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</si>
  <si>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</si>
  <si>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</si>
  <si>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</si>
  <si>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</si>
  <si>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</si>
  <si>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</si>
  <si>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</si>
  <si>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</si>
  <si>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</si>
  <si>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</si>
  <si>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</si>
  <si>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</si>
  <si>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</si>
  <si>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</si>
  <si>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</si>
  <si>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</si>
  <si>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</si>
  <si>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</si>
  <si>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</si>
  <si>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</si>
  <si>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</si>
  <si>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</si>
  <si>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</si>
  <si>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</si>
  <si>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</si>
  <si>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</si>
  <si>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</si>
  <si>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</si>
  <si>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</si>
  <si>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</si>
  <si>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</si>
  <si>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</si>
  <si>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</si>
  <si>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</si>
  <si>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</si>
  <si>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</si>
  <si>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</si>
  <si>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</si>
  <si>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</si>
  <si>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</si>
  <si>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</si>
  <si>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</si>
  <si>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</si>
  <si>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</si>
  <si>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</si>
  <si>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</si>
  <si>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</si>
  <si>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</si>
  <si>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</si>
  <si>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</si>
  <si>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</si>
  <si>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</si>
  <si>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</si>
  <si>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</si>
  <si>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</si>
  <si>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</si>
  <si>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</si>
  <si>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</si>
  <si>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</si>
  <si>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</si>
  <si>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</si>
  <si>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</si>
  <si>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</si>
  <si>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</si>
  <si>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</si>
  <si>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</si>
  <si>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</si>
  <si>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</si>
  <si>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</si>
  <si>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</si>
  <si>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</si>
  <si>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</si>
  <si>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</si>
  <si>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</si>
  <si>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</si>
  <si>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</si>
  <si>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</si>
  <si>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</si>
  <si>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</si>
  <si>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</si>
  <si>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</si>
  <si>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</si>
  <si>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</si>
  <si>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</si>
  <si>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</si>
  <si>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</si>
  <si>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</si>
  <si>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</si>
  <si>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</si>
  <si>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</si>
  <si>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</si>
  <si>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</si>
  <si>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</si>
  <si>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</si>
  <si>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</si>
  <si>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</si>
  <si>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</si>
  <si>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</si>
  <si>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</si>
  <si>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</si>
  <si>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</si>
  <si>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</si>
  <si>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</si>
  <si>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</si>
  <si>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</si>
  <si>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</si>
  <si>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</si>
  <si>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</si>
  <si>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</si>
  <si>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</si>
  <si>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</si>
  <si>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</si>
  <si>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</si>
  <si>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</si>
  <si>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</si>
  <si>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</si>
  <si>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</si>
  <si>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</si>
  <si>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</si>
  <si>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</si>
  <si>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</si>
  <si>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</si>
  <si>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</si>
  <si>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</si>
  <si>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</si>
  <si>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</si>
  <si>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</si>
  <si>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</si>
  <si>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</si>
  <si>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</si>
  <si>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</si>
  <si>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</si>
  <si>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</si>
  <si>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</si>
  <si>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</si>
  <si>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</si>
  <si>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</si>
  <si>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</si>
  <si>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</si>
  <si>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</si>
  <si>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</si>
  <si>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</si>
  <si>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</si>
  <si>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</si>
  <si>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</si>
  <si>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</si>
  <si>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</si>
  <si>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</si>
  <si>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</si>
  <si>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</si>
  <si>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</si>
  <si>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</si>
  <si>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</si>
  <si>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</si>
  <si>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</si>
  <si>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</si>
  <si>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</si>
  <si>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</si>
  <si>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</si>
  <si>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</si>
  <si>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</si>
  <si>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</si>
  <si>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</si>
  <si>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</si>
  <si>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</si>
  <si>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</si>
  <si>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</si>
  <si>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</si>
  <si>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</si>
  <si>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</si>
  <si>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</si>
  <si>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</si>
  <si>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</si>
  <si>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</si>
  <si>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</si>
  <si>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</si>
  <si>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</si>
  <si>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</si>
  <si>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</si>
  <si>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</si>
  <si>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</si>
  <si>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</si>
  <si>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</si>
  <si>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</si>
  <si>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</si>
  <si>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</si>
  <si>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</si>
  <si>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</si>
  <si>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</si>
  <si>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</si>
  <si>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</si>
  <si>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</si>
  <si>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</si>
  <si>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</si>
  <si>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</si>
  <si>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</si>
  <si>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</si>
  <si>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</si>
  <si>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</si>
  <si>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</si>
  <si>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</si>
  <si>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</si>
  <si>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</si>
  <si>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</si>
  <si>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</si>
  <si>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</si>
  <si>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</si>
  <si>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</si>
  <si>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</si>
  <si>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</si>
  <si>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</si>
  <si>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</si>
  <si>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</si>
  <si>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</si>
  <si>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</si>
  <si>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</si>
  <si>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</si>
  <si>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</si>
  <si>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</si>
  <si>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</si>
  <si>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</si>
  <si>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</si>
  <si>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</si>
  <si>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</si>
  <si>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</si>
  <si>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</si>
  <si>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</si>
  <si>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</si>
  <si>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</si>
  <si>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</si>
  <si>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</si>
  <si>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</si>
  <si>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</si>
  <si>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</si>
  <si>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</si>
  <si>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</si>
  <si>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</si>
  <si>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</si>
  <si>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</si>
  <si>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</si>
  <si>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</si>
  <si>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</si>
  <si>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</si>
  <si>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</si>
  <si>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</si>
  <si>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</si>
  <si>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</si>
  <si>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</si>
  <si>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</si>
  <si>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</si>
  <si>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</si>
  <si>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</si>
  <si>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</si>
  <si>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</si>
  <si>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</si>
  <si>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</si>
  <si>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</si>
  <si>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</si>
  <si>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</si>
  <si>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</si>
  <si>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</si>
  <si>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</si>
  <si>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</si>
  <si>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</si>
  <si>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</si>
  <si>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</si>
  <si>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</si>
  <si>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</si>
  <si>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</si>
  <si>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</si>
  <si>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</si>
  <si>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</si>
  <si>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</si>
  <si>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</si>
  <si>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</si>
  <si>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</si>
  <si>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</si>
  <si>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</si>
  <si>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</si>
  <si>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</si>
  <si>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</si>
  <si>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</si>
  <si>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</si>
  <si>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</si>
  <si>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</si>
  <si>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</si>
  <si>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</si>
  <si>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</si>
  <si>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</si>
  <si>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</si>
  <si>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</si>
  <si>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</si>
  <si>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</si>
  <si>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</si>
  <si>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</si>
  <si>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</si>
  <si>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</si>
  <si>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</si>
  <si>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</si>
  <si>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</si>
  <si>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</si>
  <si>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</si>
  <si>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</si>
  <si>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</si>
  <si>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</si>
  <si>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</si>
  <si>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</si>
  <si>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</si>
  <si>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</si>
  <si>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</si>
  <si>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</si>
  <si>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</si>
  <si>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</si>
  <si>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</si>
  <si>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</si>
  <si>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</si>
  <si>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</si>
  <si>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</si>
  <si>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</si>
  <si>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</si>
  <si>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</si>
  <si>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</si>
  <si>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</si>
  <si>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</si>
  <si>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</si>
  <si>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</si>
  <si>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</si>
  <si>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</si>
  <si>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</si>
  <si>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</si>
  <si>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</si>
  <si>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</si>
  <si>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</si>
  <si>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</si>
  <si>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</si>
  <si>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</si>
  <si>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</si>
  <si>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</si>
  <si>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</si>
  <si>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</si>
  <si>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</si>
  <si>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</si>
  <si>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</si>
  <si>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</si>
  <si>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</si>
  <si>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</si>
  <si>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</si>
  <si>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</si>
  <si>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</si>
  <si>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</si>
  <si>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</si>
  <si>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</si>
  <si>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</si>
  <si>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</si>
  <si>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</si>
  <si>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</si>
  <si>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</si>
  <si>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</si>
  <si>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</si>
  <si>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</si>
  <si>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</si>
  <si>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</si>
  <si>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</si>
  <si>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</si>
  <si>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</si>
  <si>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</si>
  <si>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</si>
  <si>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</si>
  <si>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</si>
  <si>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</si>
  <si>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</si>
  <si>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</si>
  <si>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</si>
  <si>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</si>
  <si>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</si>
  <si>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</si>
  <si>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</si>
  <si>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</si>
  <si>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</si>
  <si>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</si>
  <si>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</si>
  <si>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</si>
  <si>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</si>
  <si>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</si>
  <si>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</si>
  <si>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</si>
  <si>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</si>
  <si>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</si>
  <si>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</si>
  <si>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</si>
  <si>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</si>
  <si>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</si>
  <si>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</si>
  <si>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</si>
  <si>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</si>
  <si>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</si>
  <si>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</si>
  <si>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</si>
  <si>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</si>
  <si>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</si>
  <si>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</si>
  <si>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</si>
  <si>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</si>
  <si>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</si>
  <si>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</si>
  <si>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</si>
  <si>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</si>
  <si>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</si>
  <si>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</si>
  <si>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</si>
  <si>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</si>
  <si>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</si>
  <si>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</si>
  <si>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</si>
  <si>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</si>
  <si>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</si>
  <si>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</si>
  <si>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</si>
  <si>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</si>
  <si>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</si>
  <si>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</si>
  <si>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</si>
  <si>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</si>
  <si>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</si>
  <si>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</si>
  <si>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</si>
  <si>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</si>
  <si>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</si>
  <si>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</si>
  <si>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</si>
  <si>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</si>
  <si>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</si>
  <si>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</si>
  <si>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</si>
  <si>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</si>
  <si>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</si>
  <si>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</si>
  <si>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</si>
  <si>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</si>
  <si>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</si>
  <si>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</si>
  <si>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</si>
  <si>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</si>
  <si>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</si>
  <si>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</si>
  <si>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</si>
  <si>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</si>
  <si>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</si>
  <si>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</si>
  <si>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</si>
  <si>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</si>
  <si>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</si>
  <si>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</si>
  <si>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</si>
  <si>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</si>
  <si>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</si>
  <si>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</si>
  <si>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</si>
  <si>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</si>
  <si>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</si>
  <si>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</si>
  <si>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</si>
  <si>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</si>
  <si>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</si>
  <si>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</si>
  <si>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</si>
  <si>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</si>
  <si>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</si>
  <si>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</si>
  <si>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</si>
  <si>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</si>
  <si>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</si>
  <si>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</si>
  <si>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</si>
  <si>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</si>
  <si>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</si>
  <si>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</si>
  <si>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</si>
  <si>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</si>
  <si>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</si>
  <si>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</si>
  <si>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</si>
  <si>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</si>
  <si>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</si>
  <si>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</si>
  <si>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</si>
  <si>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</si>
  <si>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</si>
  <si>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</si>
  <si>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</si>
  <si>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</si>
  <si>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</si>
  <si>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</si>
  <si>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</si>
  <si>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</si>
  <si>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</si>
  <si>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</si>
  <si>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</si>
  <si>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</si>
  <si>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</si>
  <si>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</si>
  <si>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</si>
  <si>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</si>
  <si>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</si>
  <si>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</si>
  <si>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</si>
  <si>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</si>
  <si>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</si>
  <si>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</si>
  <si>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</si>
  <si>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</si>
  <si>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</si>
  <si>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</si>
  <si>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</si>
  <si>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</si>
  <si>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</si>
  <si>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</si>
  <si>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</si>
  <si>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</si>
  <si>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</si>
  <si>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</si>
  <si>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</si>
  <si>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</si>
  <si>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</si>
  <si>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</si>
  <si>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</si>
  <si>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</si>
  <si>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</si>
  <si>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</si>
  <si>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</si>
  <si>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</si>
  <si>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</si>
  <si>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</si>
  <si>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</si>
  <si>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</si>
  <si>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</si>
  <si>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</si>
  <si>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</si>
  <si>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</si>
  <si>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</si>
  <si>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</si>
  <si>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</si>
  <si>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</si>
  <si>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</si>
  <si>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</si>
  <si>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</si>
  <si>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</si>
  <si>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</si>
  <si>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</si>
  <si>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</si>
  <si>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</si>
  <si>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</si>
  <si>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</si>
  <si>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</si>
  <si>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</si>
  <si>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</si>
  <si>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</si>
  <si>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</si>
  <si>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</si>
  <si>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</si>
  <si>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</si>
  <si>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</si>
  <si>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</si>
  <si>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</si>
  <si>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</si>
  <si>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</si>
  <si>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</si>
  <si>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</si>
  <si>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</si>
  <si>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</si>
  <si>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</si>
  <si>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</si>
  <si>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</si>
  <si>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</si>
  <si>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</si>
  <si>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</si>
  <si>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</si>
  <si>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</si>
  <si>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</si>
  <si>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</si>
  <si>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</si>
  <si>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</si>
  <si>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</si>
  <si>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</si>
  <si>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</si>
  <si>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</si>
  <si>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</si>
  <si>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</si>
  <si>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</si>
  <si>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</si>
  <si>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</si>
  <si>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</si>
  <si>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</si>
  <si>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</si>
  <si>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</si>
  <si>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</si>
  <si>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</si>
  <si>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</si>
  <si>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</si>
  <si>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</si>
  <si>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</si>
  <si>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</si>
  <si>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</si>
  <si>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</si>
  <si>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</si>
  <si>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</si>
  <si>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</si>
  <si>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</si>
  <si>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</si>
  <si>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</si>
  <si>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</si>
  <si>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</si>
  <si>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</si>
  <si>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</si>
  <si>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</si>
  <si>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</si>
  <si>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</si>
  <si>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</si>
  <si>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</si>
  <si>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</si>
  <si>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</si>
  <si>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</si>
  <si>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</si>
  <si>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</si>
  <si>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</si>
  <si>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</si>
  <si>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</si>
  <si>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</si>
  <si>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</si>
  <si>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</si>
  <si>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</si>
  <si>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</si>
  <si>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</si>
  <si>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</si>
  <si>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</si>
  <si>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</si>
  <si>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</si>
  <si>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</si>
  <si>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</si>
  <si>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</si>
  <si>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</si>
  <si>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</si>
  <si>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</si>
  <si>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</si>
  <si>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</si>
  <si>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</si>
  <si>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</si>
  <si>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</si>
  <si>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</si>
  <si>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</si>
  <si>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</si>
  <si>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</si>
  <si>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</si>
  <si>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</si>
  <si>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</si>
  <si>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</si>
  <si>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</si>
  <si>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</si>
  <si>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</si>
  <si>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</si>
  <si>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</si>
  <si>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</si>
  <si>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</si>
  <si>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</si>
  <si>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</si>
  <si>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</si>
  <si>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</si>
  <si>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</si>
  <si>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</si>
  <si>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</si>
  <si>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</si>
  <si>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</si>
  <si>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</si>
  <si>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</si>
  <si>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</si>
  <si>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</si>
  <si>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</si>
  <si>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</si>
  <si>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</si>
  <si>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</si>
  <si>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</si>
  <si>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</si>
  <si>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</si>
  <si>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</si>
  <si>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</si>
  <si>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</si>
  <si>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</si>
  <si>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</si>
  <si>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</si>
  <si>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</si>
  <si>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</si>
  <si>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</si>
  <si>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</si>
  <si>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</si>
  <si>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</si>
  <si>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</si>
  <si>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</si>
  <si>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</si>
  <si>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</si>
  <si>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</si>
  <si>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</si>
  <si>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</si>
  <si>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</si>
  <si>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</si>
  <si>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</si>
  <si>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</si>
  <si>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</si>
  <si>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</si>
  <si>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</si>
  <si>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</si>
  <si>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</si>
  <si>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</si>
  <si>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</si>
  <si>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</si>
  <si>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</si>
  <si>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</si>
  <si>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</si>
  <si>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</si>
  <si>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</si>
  <si>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</si>
  <si>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</si>
  <si>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</si>
  <si>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</si>
  <si>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</si>
  <si>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</si>
  <si>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</si>
  <si>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</si>
  <si>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</si>
  <si>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</si>
  <si>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</si>
  <si>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</si>
  <si>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</si>
  <si>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</si>
  <si>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</si>
  <si>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</si>
  <si>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</si>
  <si>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</si>
  <si>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</si>
  <si>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</si>
  <si>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</si>
  <si>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</si>
  <si>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</si>
  <si>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</si>
  <si>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</si>
  <si>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</si>
  <si>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</si>
  <si>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</si>
  <si>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</si>
  <si>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</si>
  <si>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</si>
  <si>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</si>
  <si>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</si>
  <si>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</si>
  <si>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</si>
  <si>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</si>
  <si>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</si>
  <si>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</si>
  <si>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</si>
  <si>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</si>
  <si>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</si>
  <si>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</si>
  <si>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</si>
  <si>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</si>
  <si>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</si>
  <si>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</si>
  <si>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</si>
  <si>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</si>
  <si>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</si>
  <si>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</si>
  <si>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</si>
  <si>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</si>
  <si>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</si>
  <si>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</si>
  <si>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</si>
  <si>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</si>
  <si>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</si>
  <si>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</si>
  <si>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</si>
  <si>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</si>
  <si>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</si>
  <si>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</si>
  <si>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</si>
  <si>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</si>
  <si>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</si>
  <si>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</si>
  <si>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</si>
  <si>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</si>
  <si>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</si>
  <si>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</si>
  <si>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</si>
  <si>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</si>
  <si>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</si>
  <si>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</si>
  <si>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</si>
  <si>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</si>
  <si>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</si>
  <si>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</si>
  <si>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</si>
  <si>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</si>
  <si>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</si>
  <si>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</si>
  <si>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</si>
  <si>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</si>
  <si>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</si>
  <si>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</si>
  <si>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</si>
  <si>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</si>
  <si>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</si>
  <si>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</si>
  <si>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</si>
  <si>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</si>
  <si>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</si>
  <si>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</si>
  <si>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</si>
  <si>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</si>
  <si>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</si>
  <si>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</si>
  <si>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</si>
  <si>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</si>
  <si>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</si>
  <si>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</si>
  <si>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</si>
  <si>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</si>
  <si>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</si>
  <si>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</si>
  <si>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</si>
  <si>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</si>
  <si>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</si>
  <si>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</si>
  <si>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</si>
  <si>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</si>
  <si>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</si>
  <si>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</si>
  <si>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</si>
  <si>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</si>
  <si>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</si>
  <si>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</si>
  <si>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</si>
  <si>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</si>
  <si>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</si>
  <si>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</si>
  <si>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</si>
  <si>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</si>
  <si>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</si>
  <si>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</si>
  <si>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</si>
  <si>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</si>
  <si>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</si>
  <si>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</si>
  <si>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</si>
  <si>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</si>
  <si>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</si>
  <si>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</si>
  <si>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</si>
  <si>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</si>
  <si>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</si>
  <si>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</si>
  <si>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</si>
  <si>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</si>
  <si>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</si>
  <si>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</si>
  <si>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</si>
  <si>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</si>
  <si>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</si>
  <si>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</si>
  <si>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</si>
  <si>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</si>
  <si>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</si>
  <si>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</si>
  <si>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</si>
  <si>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</si>
  <si>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</si>
  <si>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</si>
  <si>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</si>
  <si>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</si>
  <si>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</si>
  <si>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</si>
  <si>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</si>
  <si>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</si>
  <si>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</si>
  <si>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</si>
  <si>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</si>
  <si>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</si>
  <si>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</si>
  <si>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</si>
  <si>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</si>
  <si>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</si>
  <si>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</si>
  <si>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</si>
  <si>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</si>
  <si>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</si>
  <si>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</si>
  <si>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</si>
  <si>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</si>
  <si>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</si>
  <si>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</si>
  <si>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</si>
  <si>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</si>
  <si>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</si>
  <si>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</si>
  <si>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</si>
  <si>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</si>
  <si>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</si>
  <si>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</si>
  <si>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</si>
  <si>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</si>
  <si>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</si>
  <si>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</si>
  <si>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</si>
  <si>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</si>
  <si>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</si>
  <si>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</si>
  <si>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</si>
  <si>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</si>
  <si>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</si>
  <si>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</si>
  <si>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</si>
  <si>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</si>
  <si>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</si>
  <si>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</si>
  <si>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</si>
  <si>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</si>
  <si>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</si>
  <si>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</si>
  <si>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</si>
  <si>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</si>
  <si>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</si>
  <si>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</si>
  <si>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</si>
  <si>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</si>
  <si>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</si>
  <si>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</si>
  <si>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</si>
  <si>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</si>
  <si>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</si>
  <si>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</si>
  <si>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</si>
  <si>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</si>
  <si>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</si>
  <si>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</si>
  <si>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</si>
  <si>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</si>
  <si>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</si>
  <si>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</si>
  <si>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</si>
  <si>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</si>
  <si>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</si>
  <si>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</si>
  <si>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</si>
  <si>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</si>
  <si>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</si>
  <si>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</si>
  <si>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</si>
  <si>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</si>
  <si>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</si>
  <si>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</si>
  <si>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</si>
  <si>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</si>
  <si>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</si>
  <si>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</si>
  <si>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</si>
  <si>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</si>
  <si>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</si>
  <si>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</si>
  <si>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</si>
  <si>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</si>
  <si>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</si>
  <si>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</si>
  <si>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</si>
  <si>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</si>
  <si>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</si>
  <si>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</si>
  <si>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</si>
  <si>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</si>
  <si>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</si>
  <si>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</si>
  <si>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</si>
  <si>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</si>
  <si>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</si>
  <si>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</si>
  <si>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</si>
  <si>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</si>
  <si>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</si>
  <si>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</si>
  <si>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</si>
  <si>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</si>
  <si>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</si>
  <si>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</si>
  <si>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</si>
  <si>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</si>
  <si>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</si>
  <si>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</si>
  <si>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</si>
  <si>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</si>
  <si>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</si>
  <si>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</si>
  <si>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</si>
  <si>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</si>
  <si>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</si>
  <si>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</si>
  <si>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</si>
  <si>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</si>
  <si>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</si>
  <si>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</si>
  <si>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</si>
  <si>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</si>
  <si>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</si>
  <si>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</si>
  <si>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</si>
  <si>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</si>
  <si>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</si>
  <si>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</si>
  <si>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</si>
  <si>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</si>
  <si>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</si>
  <si>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</si>
  <si>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</si>
  <si>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</si>
  <si>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</si>
  <si>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</si>
  <si>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</si>
  <si>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</si>
  <si>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</si>
  <si>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</si>
  <si>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</si>
  <si>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</si>
  <si>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</si>
  <si>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</si>
  <si>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</si>
  <si>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</si>
  <si>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</si>
  <si>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</si>
  <si>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</si>
  <si>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</si>
  <si>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</si>
  <si>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</si>
  <si>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</si>
  <si>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</si>
  <si>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</si>
  <si>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</si>
  <si>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</si>
  <si>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</si>
  <si>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</si>
  <si>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</si>
  <si>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</si>
  <si>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</si>
  <si>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</si>
  <si>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</si>
  <si>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</si>
  <si>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</si>
  <si>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</si>
  <si>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</si>
  <si>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</si>
  <si>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</si>
  <si>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</si>
  <si>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</si>
  <si>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</si>
  <si>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</si>
  <si>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</si>
  <si>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</si>
  <si>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</si>
  <si>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</si>
  <si>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</si>
  <si>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</si>
  <si>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</si>
  <si>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</si>
  <si>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</si>
  <si>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</si>
  <si>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</si>
  <si>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</si>
  <si>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</si>
  <si>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</si>
  <si>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</si>
  <si>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</si>
  <si>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</si>
  <si>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</si>
  <si>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XT5</t>
  </si>
  <si>
    <t>A3.2</t>
  </si>
  <si>
    <t>Desc1</t>
  </si>
  <si>
    <t>Desc2</t>
  </si>
  <si>
    <t>X</t>
  </si>
  <si>
    <t>K2-05</t>
  </si>
  <si>
    <t>E1-GH2-EH</t>
  </si>
  <si>
    <t>T4</t>
  </si>
  <si>
    <t>name1</t>
  </si>
  <si>
    <t>name2</t>
  </si>
  <si>
    <t>A3.5</t>
  </si>
  <si>
    <t>A3.7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</si>
  <si>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</si>
  <si>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</si>
  <si>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</si>
  <si>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</si>
  <si>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</si>
  <si>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</si>
  <si>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</si>
  <si>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</si>
  <si>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</si>
  <si>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se0032</t>
  </si>
  <si>
    <t>N2-1</t>
  </si>
  <si>
    <t>N2</t>
  </si>
  <si>
    <t>Задвижка 9ПТА-1</t>
  </si>
  <si>
    <t>N2NDE11AA001</t>
  </si>
  <si>
    <t>Шкаф АСУ ТП НАБ (N2CJU01)</t>
  </si>
  <si>
    <t>Шкаф Ш-2 (N2CDA01GH002)</t>
  </si>
  <si>
    <t>N2-4</t>
  </si>
  <si>
    <t>Задвижка 10ПТА-1</t>
  </si>
  <si>
    <t>N2NDE11AA002</t>
  </si>
  <si>
    <t>Задвижка 3ПТА</t>
  </si>
  <si>
    <t>N2NDE20AA002</t>
  </si>
  <si>
    <t>N2-7</t>
  </si>
  <si>
    <t>N2-10</t>
  </si>
  <si>
    <t>Шаровый кран 4ПТА-1 на всасе насоса</t>
  </si>
  <si>
    <t>N2NDE01AA001</t>
  </si>
  <si>
    <t>se0033</t>
  </si>
  <si>
    <t>Шаровый кран 5ПТА-1 на напоре насоса</t>
  </si>
  <si>
    <t>N2NDE01AA002</t>
  </si>
  <si>
    <t>N2-13</t>
  </si>
  <si>
    <t>Шаровый кран 4ПТА-2 на всасе насоса</t>
  </si>
  <si>
    <t>N2NDE02AA001</t>
  </si>
  <si>
    <t>N2-16</t>
  </si>
  <si>
    <t>N2-19</t>
  </si>
  <si>
    <t>Шаровый кран 5ПТА-2 на напоре насоса</t>
  </si>
  <si>
    <t>N2NDE02AA002</t>
  </si>
  <si>
    <t>N2-26</t>
  </si>
  <si>
    <t>N2-25</t>
  </si>
  <si>
    <t>Регулирующий клапан РД0</t>
  </si>
  <si>
    <t>N2NDE20AA801</t>
  </si>
  <si>
    <t>Регулирующий клапан РД1</t>
  </si>
  <si>
    <t>N2NDE10AA801</t>
  </si>
  <si>
    <t>N2-30</t>
  </si>
  <si>
    <t>N2-31</t>
  </si>
  <si>
    <t>Шкаф Ш-3 (N2CDA01GH003)</t>
  </si>
  <si>
    <t>Задвижка 9ПТА-2</t>
  </si>
  <si>
    <t>N2-32</t>
  </si>
  <si>
    <t>N2NDE12AA001</t>
  </si>
  <si>
    <t>Задвижка 10ПТА-2</t>
  </si>
  <si>
    <t>N2NDE12AA002</t>
  </si>
  <si>
    <t>N2-35</t>
  </si>
  <si>
    <t>N2-38</t>
  </si>
  <si>
    <t>Затвор дисковый 11ПТА</t>
  </si>
  <si>
    <t>N2NDE20AA001</t>
  </si>
  <si>
    <t>N2-41</t>
  </si>
  <si>
    <t>Затвор дисковый 12ПТА</t>
  </si>
  <si>
    <t>N2NDE10AA001</t>
  </si>
  <si>
    <t>N2-44</t>
  </si>
  <si>
    <t>N2-47</t>
  </si>
  <si>
    <t>N2-50</t>
  </si>
  <si>
    <t>N2-53</t>
  </si>
  <si>
    <t>Шаровый кран 4ПТА-3 на всасе насоса</t>
  </si>
  <si>
    <t>N2NDE03AA001</t>
  </si>
  <si>
    <t>N2NDE03AA002</t>
  </si>
  <si>
    <t>Шаровый кран 5ПТА-3 на напоре насоса</t>
  </si>
  <si>
    <t>Шаровый кран 4ПТА-4 на всасе насоса</t>
  </si>
  <si>
    <t>Шаровый кран 5ПТА-4 на напоре насоса</t>
  </si>
  <si>
    <t>N2NDE04AA001</t>
  </si>
  <si>
    <t>N2NDE04AA002</t>
  </si>
  <si>
    <t>N2-56</t>
  </si>
  <si>
    <t>Давление в напорном коллекторе НАБ</t>
  </si>
  <si>
    <t>N2NDE10CP001</t>
  </si>
  <si>
    <t>Давление в коллекторе всаса НАБ</t>
  </si>
  <si>
    <t>N2NDE20CP001</t>
  </si>
  <si>
    <t>N2-57</t>
  </si>
  <si>
    <t>Давление на всасе НАБ-1</t>
  </si>
  <si>
    <t>N2NDE01CP001</t>
  </si>
  <si>
    <t>Давление на напоре НАБ-1</t>
  </si>
  <si>
    <t>N2NDE01CP002</t>
  </si>
  <si>
    <t>N2-58</t>
  </si>
  <si>
    <t>N2-59</t>
  </si>
  <si>
    <t>N2-60</t>
  </si>
  <si>
    <t>N2-61</t>
  </si>
  <si>
    <t>Давление на всасе НАБ-2</t>
  </si>
  <si>
    <t>Давление на напоре НАБ-2</t>
  </si>
  <si>
    <t>N2NDE02CP001</t>
  </si>
  <si>
    <t>N2NDE02CP002</t>
  </si>
  <si>
    <t>Давление на всасе НАБ-3</t>
  </si>
  <si>
    <t>Давление на напоре НАБ-3</t>
  </si>
  <si>
    <t>Давление на всасе НАБ-4</t>
  </si>
  <si>
    <t>Давление на напоре НАБ-4</t>
  </si>
  <si>
    <t>N2-62</t>
  </si>
  <si>
    <t>N2-63</t>
  </si>
  <si>
    <t>N2-64</t>
  </si>
  <si>
    <t>N2-65</t>
  </si>
  <si>
    <t>N2NDE03CP001</t>
  </si>
  <si>
    <t>N2NDE03CP002</t>
  </si>
  <si>
    <t>N2NDE04CP001</t>
  </si>
  <si>
    <t>N2NDE04CP002</t>
  </si>
  <si>
    <t>N2-66</t>
  </si>
  <si>
    <t>N2-67</t>
  </si>
  <si>
    <t>N2-68</t>
  </si>
  <si>
    <t>Температура воды от аккумуляторных баков</t>
  </si>
  <si>
    <t>N2NDE20CT001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</si>
  <si>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</si>
  <si>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</si>
  <si>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</si>
  <si>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</si>
  <si>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N2CUB01 DO</t>
  </si>
  <si>
    <t>Управляющие сигналы в ШУ НАБ-1, НАБ-2</t>
  </si>
  <si>
    <t>se0034</t>
  </si>
  <si>
    <t>N2-69</t>
  </si>
  <si>
    <t>ШУ насосами аккумулирующих баков НАБ-1, НАБ-2 (N2CUB01)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</si>
  <si>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</si>
  <si>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</si>
  <si>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</si>
  <si>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</si>
  <si>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</si>
  <si>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</si>
  <si>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</si>
  <si>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</si>
  <si>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</si>
  <si>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</si>
  <si>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</si>
  <si>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</si>
  <si>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</si>
  <si>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</si>
  <si>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</si>
  <si>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</si>
  <si>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</si>
  <si>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</si>
  <si>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</si>
  <si>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</si>
  <si>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</si>
  <si>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</si>
  <si>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</si>
  <si>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</si>
  <si>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</si>
  <si>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</si>
  <si>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</si>
  <si>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</si>
  <si>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</si>
  <si>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</si>
  <si>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</si>
  <si>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</si>
  <si>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</si>
  <si>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</si>
  <si>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</si>
  <si>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</si>
  <si>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</si>
  <si>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</si>
  <si>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</si>
  <si>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</si>
  <si>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</si>
  <si>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</si>
  <si>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</si>
  <si>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</si>
  <si>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</si>
  <si>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</si>
  <si>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</si>
  <si>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</si>
  <si>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</si>
  <si>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</si>
  <si>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</si>
  <si>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</si>
  <si>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</si>
  <si>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</si>
  <si>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</si>
  <si>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</si>
  <si>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</si>
  <si>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</si>
  <si>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</si>
  <si>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</si>
  <si>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</si>
  <si>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</si>
  <si>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</si>
  <si>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Пуск насосной группы НАБ-1, НАБ-2</t>
  </si>
  <si>
    <t>Стоп насосной группы НАБ-1, НАБ-2</t>
  </si>
  <si>
    <t>Давление на всасе НАБ-1 норма</t>
  </si>
  <si>
    <t>Давление на напоре НАБ-1 низко</t>
  </si>
  <si>
    <t>Давление на всасе НАБ-2 норма</t>
  </si>
  <si>
    <t>Давление на напоре НАБ-2 низко</t>
  </si>
  <si>
    <t>Шаровый кран 5ПТА-1 на напоре насоса закрыт</t>
  </si>
  <si>
    <t>Шаровый кран 5ПТА-2 на напоре насоса закрыт</t>
  </si>
  <si>
    <t>Технологическая защита НАБ-1 сработала</t>
  </si>
  <si>
    <t>Технологическая защита НАБ-2 сработала</t>
  </si>
  <si>
    <t>Tpp15</t>
  </si>
  <si>
    <t>Tpp16</t>
  </si>
  <si>
    <t>Tpp17</t>
  </si>
  <si>
    <t>Tpp18</t>
  </si>
  <si>
    <t>Tpp19</t>
  </si>
  <si>
    <t>Tpp20</t>
  </si>
  <si>
    <t>N2CUB01 DI</t>
  </si>
  <si>
    <t>Контрольные сигналы в ШУ НАБ-1, НАБ-2</t>
  </si>
  <si>
    <t>se0035</t>
  </si>
  <si>
    <t>N2-70</t>
  </si>
  <si>
    <t>Насос НАБ-1 Включен</t>
  </si>
  <si>
    <t>Насос НАБ-2 Включен</t>
  </si>
  <si>
    <t>Насос НАБ-1 Отключен</t>
  </si>
  <si>
    <t>Насос НАБ-2 Отключен</t>
  </si>
  <si>
    <t>1-21</t>
  </si>
  <si>
    <t>1-22</t>
  </si>
  <si>
    <t>1-23</t>
  </si>
  <si>
    <t>1-24</t>
  </si>
  <si>
    <t>WcpKl8</t>
  </si>
  <si>
    <t>1-25</t>
  </si>
  <si>
    <t>1-26</t>
  </si>
  <si>
    <t>1-27</t>
  </si>
  <si>
    <t>1-28</t>
  </si>
  <si>
    <t>Цифровые сигналы в ШУ НАБ-1, НАБ-2</t>
  </si>
  <si>
    <t>N2CUB01 MB</t>
  </si>
  <si>
    <t>1-A</t>
  </si>
  <si>
    <t>1-B</t>
  </si>
  <si>
    <t>1-G</t>
  </si>
  <si>
    <t>XT6</t>
  </si>
  <si>
    <t>A+</t>
  </si>
  <si>
    <t>B-</t>
  </si>
  <si>
    <t>GND</t>
  </si>
  <si>
    <t>Управляющие сигналы в ШУ НАБ-3, НАБ-4</t>
  </si>
  <si>
    <t>Контрольные сигналы в ШУ НАБ-3, НАБ-4</t>
  </si>
  <si>
    <t>Цифровые сигналы в ШУ НАБ-3, НАБ-4</t>
  </si>
  <si>
    <t>N2CUB02 DO</t>
  </si>
  <si>
    <t>N2CUB02 DI</t>
  </si>
  <si>
    <t>N2CUB02 MB</t>
  </si>
  <si>
    <t>N2-72</t>
  </si>
  <si>
    <t>N2-73</t>
  </si>
  <si>
    <t>N2-74</t>
  </si>
  <si>
    <t>N2-71</t>
  </si>
  <si>
    <t>Насос НАБ-3 Включен</t>
  </si>
  <si>
    <t>Насос НАБ-3 Отключен</t>
  </si>
  <si>
    <t>ШУ насосами аккумулирующих баков НАБ-3, НАБ-4 (N2CUB01)</t>
  </si>
  <si>
    <t>Насос НАБ-4 Включен</t>
  </si>
  <si>
    <t>Насос НАБ-4 Отключен</t>
  </si>
  <si>
    <t>Давление на всасе НАБ-4 норма</t>
  </si>
  <si>
    <t>Давление на напоре НАБ-4 низко</t>
  </si>
  <si>
    <t>Технологическая защита НАБ-4 сработала</t>
  </si>
  <si>
    <t>Пуск насосной группы НАБ-3, НАБ-4</t>
  </si>
  <si>
    <t>Стоп насосной группы НАБ-3, НАБ-4</t>
  </si>
  <si>
    <t>Давление на всасе НАБ-3 норма</t>
  </si>
  <si>
    <t>Давление на напоре НАБ-3 низко</t>
  </si>
  <si>
    <t>Технологическая защита НАБ-3 сработала</t>
  </si>
  <si>
    <t>Уровень в АБ№1</t>
  </si>
  <si>
    <t>N2NDE11CL001</t>
  </si>
  <si>
    <t>N2-75</t>
  </si>
  <si>
    <t>Уровень в АБ№2</t>
  </si>
  <si>
    <t>N2NDE12CL001</t>
  </si>
  <si>
    <t>N2-76</t>
  </si>
  <si>
    <t>Уровень герметизирующей жидкости в резервуаре хранения</t>
  </si>
  <si>
    <t>N2NDV10CL001</t>
  </si>
  <si>
    <t>N2-77</t>
  </si>
  <si>
    <t>Расход воды на заполнение аккумуляторных баков</t>
  </si>
  <si>
    <t>N2NDE10CF001</t>
  </si>
  <si>
    <t>ЭБ ультразвукового расходомера US-800</t>
  </si>
  <si>
    <t>se0036</t>
  </si>
  <si>
    <t>N2-80</t>
  </si>
  <si>
    <t>Шкаф расходомера (N2CFQ01)</t>
  </si>
  <si>
    <t>XS3</t>
  </si>
  <si>
    <t>ch1</t>
  </si>
  <si>
    <t>chCom</t>
  </si>
  <si>
    <t>ch2</t>
  </si>
  <si>
    <t>N2NDE10CF002</t>
  </si>
  <si>
    <t>Расход воды на подпитку теплосети от аккумуляторных баков</t>
  </si>
  <si>
    <t>Неисправность шкафа ввода Ш-1 сборки задвижек</t>
  </si>
  <si>
    <t>N2CDA01GH001</t>
  </si>
  <si>
    <t>N2-78</t>
  </si>
  <si>
    <t>Сборка задвижек НАБ. Шкаф ввода Ш-1 (N2CDA01GH001)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</si>
  <si>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</si>
  <si>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</si>
  <si>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</si>
  <si>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</si>
  <si>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</si>
  <si>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</si>
  <si>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</si>
  <si>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Питание ввода №1 в норме (НАБ)</t>
  </si>
  <si>
    <t>Ввод 1 включен (НАБ)</t>
  </si>
  <si>
    <t>Питание ИБП в норме (НАБ)</t>
  </si>
  <si>
    <t>Питание датчиков 220В включено (НАБ)</t>
  </si>
  <si>
    <t>Дверь шкафа открыта (НАБ)</t>
  </si>
  <si>
    <t>E3</t>
  </si>
  <si>
    <t>se0038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</si>
  <si>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</si>
  <si>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</si>
  <si>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</si>
  <si>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</si>
  <si>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</si>
  <si>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</si>
  <si>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</si>
  <si>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</si>
  <si>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</si>
  <si>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</si>
  <si>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</si>
  <si>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Switch</t>
  </si>
  <si>
    <t>Port</t>
  </si>
  <si>
    <t>N2AAT01</t>
  </si>
  <si>
    <t>N2AAT02</t>
  </si>
  <si>
    <t>E3-31</t>
  </si>
  <si>
    <t>E3-32</t>
  </si>
  <si>
    <t>N2AAT01CY001</t>
  </si>
  <si>
    <t>N2AAT01CY002</t>
  </si>
  <si>
    <t>N2AAT01CY003</t>
  </si>
  <si>
    <t>N2AAT01CY004</t>
  </si>
  <si>
    <t>N2AAT01CY005</t>
  </si>
  <si>
    <t>N2AAT01CY006</t>
  </si>
  <si>
    <t>N2AAT01CY007</t>
  </si>
  <si>
    <t>N2AAT01CY008</t>
  </si>
  <si>
    <t>N2AAT01CY009</t>
  </si>
  <si>
    <t>N2AAT01CY010</t>
  </si>
  <si>
    <t>N2AAT01CY011</t>
  </si>
  <si>
    <t>N2AAT02CY001</t>
  </si>
  <si>
    <t>N2AAT02CY002</t>
  </si>
  <si>
    <t>N2AAT02CY003</t>
  </si>
  <si>
    <t>N2AAT02CY004</t>
  </si>
  <si>
    <t>N2AAT02CY005</t>
  </si>
  <si>
    <t>N2AAT02CY006</t>
  </si>
  <si>
    <t>N2AAT02CY007</t>
  </si>
  <si>
    <t>N2AAT02CY008</t>
  </si>
  <si>
    <t>N2AAT02CY009</t>
  </si>
  <si>
    <t>N2AAT02CY010</t>
  </si>
  <si>
    <t>N2AAT02CY011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</si>
  <si>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</si>
  <si>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</si>
  <si>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</si>
  <si>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</si>
  <si>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</si>
  <si>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</si>
  <si>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</si>
  <si>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</si>
  <si>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</si>
  <si>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</si>
  <si>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Питание датчиков 24в включено (НАБ)</t>
  </si>
  <si>
    <t>Питание реле 24в включено (НАБ)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</si>
</sst>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0" borderId="12" xfId="0" applyBorder="1" applyAlignment="1">
      <alignment wrapText="1"/>
    </xf>
    <xf numFmtId="0" fontId="1" fillId="0" borderId="0" xfId="0" applyFont="1"/>
    <xf numFmtId="0" fontId="0" fillId="0" borderId="10" xfId="0" applyBorder="1" applyAlignment="1">
      <alignment horizontal="center"/>
    </xf>
    <xf numFmtId="49" fontId="0" fillId="0" borderId="5" xfId="0" applyNumberFormat="1" applyBorder="1"/>
    <xf numFmtId="49" fontId="0" fillId="0" borderId="13" xfId="0" applyNumberForma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2" dT="2025-07-02T09:35:37.96" personId="{1BBA9C37-440F-4406-BC90-B03034B3364F}" id="{16653607-FB67-4DB8-8255-D89C6181BDB1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51"/>
  <sheetViews>
    <sheetView tabSelected="1" topLeftCell="JP1" zoomScale="85" zoomScaleNormal="85" workbookViewId="0">
      <pane ySplit="1" topLeftCell="A25" activePane="bottomLeft" state="frozen"/>
      <selection pane="bottomLeft" activeCell="KD39" sqref="KD39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6" bestFit="1" customWidth="1"/>
    <col min="36" max="36" width="8.7109375" style="66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5" t="s">
        <v>1791</v>
      </c>
      <c r="AJ1" s="6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1998</v>
      </c>
      <c r="VP1" s="20" t="s">
        <v>1999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2003</v>
      </c>
      <c r="WP1" s="19" t="s">
        <v>2004</v>
      </c>
      <c r="WQ1" s="20" t="s">
        <v>2005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2129</v>
      </c>
      <c r="XR1" t="s">
        <v>2128</v>
      </c>
      <c r="XS1" t="s">
        <v>2130</v>
      </c>
      <c r="XT1" t="s">
        <v>2127</v>
      </c>
      <c r="XU1" t="s">
        <v>2131</v>
      </c>
      <c r="XV1" t="s">
        <v>2126</v>
      </c>
      <c r="XW1" t="s">
        <v>2132</v>
      </c>
      <c r="XX1" t="s">
        <v>2125</v>
      </c>
      <c r="XY1" t="s">
        <v>2133</v>
      </c>
      <c r="XZ1" t="s">
        <v>2124</v>
      </c>
      <c r="YA1" t="s">
        <v>2123</v>
      </c>
      <c r="YB1" t="s">
        <v>2122</v>
      </c>
      <c r="YC1" t="s">
        <v>2121</v>
      </c>
      <c r="YD1" t="s">
        <v>2120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2135</v>
      </c>
      <c r="YL1" t="s">
        <v>2134</v>
      </c>
      <c r="YM1" t="s">
        <v>2137</v>
      </c>
      <c r="YN1" t="s">
        <v>2136</v>
      </c>
      <c r="YO1" t="s">
        <v>2139</v>
      </c>
      <c r="YP1" t="s">
        <v>2138</v>
      </c>
      <c r="YQ1" t="s">
        <v>2141</v>
      </c>
      <c r="YR1" t="s">
        <v>2140</v>
      </c>
      <c r="YS1" t="s">
        <v>2143</v>
      </c>
      <c r="YT1" t="s">
        <v>2142</v>
      </c>
      <c r="YU1" t="s">
        <v>2145</v>
      </c>
      <c r="YV1" t="s">
        <v>2144</v>
      </c>
      <c r="YW1" t="s">
        <v>2146</v>
      </c>
      <c r="YX1" t="s">
        <v>2147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2148</v>
      </c>
      <c r="ZI1" t="s">
        <v>2149</v>
      </c>
      <c r="ZJ1" t="s">
        <v>82</v>
      </c>
      <c r="ZK1" t="s">
        <v>2150</v>
      </c>
      <c r="ZL1" t="s">
        <v>83</v>
      </c>
      <c r="ZM1" t="s">
        <v>2151</v>
      </c>
      <c r="ZN1" t="s">
        <v>84</v>
      </c>
      <c r="ZO1" t="s">
        <v>2152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2153</v>
      </c>
      <c r="AAB1" t="s">
        <v>2154</v>
      </c>
      <c r="AAC1" t="s">
        <v>1998</v>
      </c>
      <c r="AAD1" t="s">
        <v>1999</v>
      </c>
      <c r="AAE1" t="s">
        <v>2175</v>
      </c>
      <c r="AAF1" t="s">
        <v>2176</v>
      </c>
      <c r="AAG1" t="s">
        <v>2177</v>
      </c>
      <c r="AAH1" t="s">
        <v>2178</v>
      </c>
      <c r="AAI1" t="s">
        <v>2179</v>
      </c>
      <c r="AAJ1" t="s">
        <v>2180</v>
      </c>
      <c r="AAK1" t="s">
        <v>2181</v>
      </c>
      <c r="AAL1" t="s">
        <v>2182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2193</v>
      </c>
      <c r="ABC1" t="s">
        <v>2194</v>
      </c>
      <c r="ABD1" t="s">
        <v>2195</v>
      </c>
      <c r="ABE1" t="s">
        <v>2196</v>
      </c>
      <c r="ABF1" t="s">
        <v>2197</v>
      </c>
      <c r="ABG1" s="16" t="s">
        <v>2198</v>
      </c>
      <c r="ABH1" s="19" t="s">
        <v>1998</v>
      </c>
      <c r="ABI1" s="20" t="s">
        <v>1999</v>
      </c>
      <c r="ABJ1" s="19" t="s">
        <v>2175</v>
      </c>
      <c r="ABK1" s="19" t="s">
        <v>2176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2211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2264</v>
      </c>
      <c r="ADX1" s="42" t="s">
        <v>2265</v>
      </c>
      <c r="ADY1" s="42" t="s">
        <v>2266</v>
      </c>
      <c r="ADZ1" s="42" t="s">
        <v>924</v>
      </c>
      <c r="AEA1" s="52" t="s">
        <v>925</v>
      </c>
      <c r="AEB1" s="53" t="s">
        <v>2298</v>
      </c>
      <c r="AEC1" s="42" t="s">
        <v>2299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8" t="s">
        <v>859</v>
      </c>
      <c r="AEO1" s="68" t="s">
        <v>858</v>
      </c>
      <c r="AEP1" s="68" t="s">
        <v>404</v>
      </c>
      <c r="AEQ1" s="68" t="s">
        <v>862</v>
      </c>
      <c r="AER1" s="68" t="s">
        <v>863</v>
      </c>
    </row>
    <row r="2" spans="1:824" x14ac:dyDescent="0.25">
      <c r="A2" s="61" t="s">
        <v>2021</v>
      </c>
      <c r="B2" t="s">
        <v>2020</v>
      </c>
      <c r="C2" s="3"/>
      <c r="O2" s="2"/>
      <c r="P2" t="s">
        <v>2017</v>
      </c>
      <c r="Q2" s="1"/>
      <c r="S2" s="1" t="s">
        <v>130</v>
      </c>
      <c r="T2" s="14" t="s">
        <v>2019</v>
      </c>
      <c r="U2" s="58">
        <v>1</v>
      </c>
      <c r="V2" s="15" t="s">
        <v>2018</v>
      </c>
      <c r="W2" s="15"/>
      <c r="AC2" t="s">
        <v>131</v>
      </c>
      <c r="AD2" s="43" t="str">
        <f t="array" ref="AD2">IF(COUNTIFS(AC$2:AC2,AC2)=1,"1",VALUE(SUBSTITUTE(INDEX(AD:AD,_xlfn.XMATCH(AC2,AC$1:AC1,0,-1)),"A",""))+INDEX(AE:AE,_xlfn.XMATCH(AC2,AC$1:AC1,0,-1))+1)</f>
        <v>1</v>
      </c>
      <c r="AE2" s="43">
        <f t="array" ref="AE2">SUM(IF(ISNUMBER(FIND("TmDi",$BE$1:$AAQ$1)),IF(IFERROR(ISNUMBER(VALUE(SUBSTITUTE($BE2:$AAQ2,"B",""))),FALSE),IF(ISNUMBER(VALUE(SUBSTITUTE($BE2:$AAQ2,"B",""))),1,0),0)))</f>
        <v>5</v>
      </c>
      <c r="AF2" t="str">
        <f t="shared" ref="AF2:AF18" si="0">CONCATENATE("C",$AD2)</f>
        <v>C1</v>
      </c>
      <c r="AG2" t="str">
        <f t="shared" ref="AG2:AG18" si="1">CONCATENATE("B",$AD2)</f>
        <v>B1</v>
      </c>
      <c r="AH2" t="s">
        <v>132</v>
      </c>
      <c r="AI2" s="66" t="str">
        <f t="array" ref="AI2">IF(COUNTIFS(AH$2:AH2,AH2)=1,"1",VALUE(SUBSTITUTE(INDEX(AI:AI,_xlfn.XMATCH(AH2,AH$1:AH1,0,-1)),"A",""))+INDEX(AJ:AJ,_xlfn.XMATCH(AH2,AH$1:AH1,0,-1))+1)</f>
        <v>1</v>
      </c>
      <c r="AJ2" s="59">
        <f t="array" ref="AJ2">SUM(IF(ISNUMBER(FIND("TmDo",$BE$1:$AAQ$1)),IF(IFERROR(ISNUMBER(VALUE(SUBSTITUTE($BE2:$AAQ2,"B",""))),FALSE),IF(ISNUMBER(VALUE(SUBSTITUTE($BE2:$AAQ2,"B",""))),1,0),0)))</f>
        <v>2</v>
      </c>
      <c r="AK2" t="str">
        <f t="shared" ref="AK2:AK18" si="2">CONCATENATE($AI2,"A")</f>
        <v>1A</v>
      </c>
      <c r="AL2" t="str">
        <f t="shared" ref="AL2:AL18" si="3">CONCATENATE($AI2,"B")</f>
        <v>1B</v>
      </c>
      <c r="AM2" t="s">
        <v>141</v>
      </c>
      <c r="AP2" t="s">
        <v>2022</v>
      </c>
      <c r="AQ2" t="s">
        <v>2023</v>
      </c>
      <c r="AT2" t="s">
        <v>139</v>
      </c>
      <c r="AU2" t="s">
        <v>140</v>
      </c>
      <c r="BD2" s="16"/>
      <c r="BE2" s="27" t="str">
        <f t="shared" ref="BE2:BE8" si="4">CONCATENATE("XT",U2)</f>
        <v>XT1</v>
      </c>
      <c r="BF2" t="str">
        <f t="shared" ref="BF2:BF8" si="5">CONCATENATE("C",REPLACE(AF2,1,1,"")+1)</f>
        <v>C2</v>
      </c>
      <c r="BG2" t="str">
        <f t="shared" ref="BG2:BG8" si="6">CONCATENATE("B",REPLACE(AG2,1,1,"")+1)</f>
        <v>B2</v>
      </c>
      <c r="BH2" t="str">
        <f t="shared" ref="BH2:BH8" si="7">CONCATENATE("C",REPLACE(BF2,1,1,"")+1)</f>
        <v>C3</v>
      </c>
      <c r="BI2" t="str">
        <f t="shared" ref="BI2:BI8" si="8">CONCATENATE("B",REPLACE(BG2,1,1,"")+1)</f>
        <v>B3</v>
      </c>
      <c r="BJ2" t="str">
        <f t="shared" ref="BJ2:BJ8" si="9">CONCATENATE("C",REPLACE(BH2,1,1,"")+1)</f>
        <v>C4</v>
      </c>
      <c r="BK2" t="str">
        <f t="shared" ref="BK2:BK8" si="10">CONCATENATE("B",REPLACE(BI2,1,1,"")+1)</f>
        <v>B4</v>
      </c>
      <c r="BL2" t="str">
        <f>CONCATENATE("C",REPLACE(BJ2,1,1,"")+1)</f>
        <v>C5</v>
      </c>
      <c r="BM2" t="str">
        <f>CONCATENATE("B",REPLACE(BK2,1,1,"")+1)</f>
        <v>B5</v>
      </c>
      <c r="BN2" t="str">
        <f>CONCATENATE("C",REPLACE(BL2,1,1,"")+1)</f>
        <v>C6</v>
      </c>
      <c r="BO2" t="str">
        <f>CONCATENATE("B",REPLACE(BM2,1,1,"")+1)</f>
        <v>B6</v>
      </c>
      <c r="BP2" t="str">
        <f t="shared" ref="BP2:BP8" si="11">CONCATENATE(REPLACE(AK2,LEN(AK2),1,"")+1,"A")</f>
        <v>2A</v>
      </c>
      <c r="BQ2" t="str">
        <f t="shared" ref="BQ2:BQ8" si="12">CONCATENATE(REPLACE(AL2,LEN(AL2),1,"")+1,"B")</f>
        <v>2B</v>
      </c>
      <c r="BR2" t="str">
        <f t="shared" ref="BR2:BR8" si="13">CONCATENATE(REPLACE(BP2,LEN(BP2),1,"")+1,"A")</f>
        <v>3A</v>
      </c>
      <c r="BS2" t="str">
        <f t="shared" ref="BS2:BS8" si="14">CONCATENATE(REPLACE(BQ2,LEN(BQ2),1,"")+1,"B")</f>
        <v>3B</v>
      </c>
      <c r="BT2" t="str">
        <f t="shared" ref="BT2:BU8" si="15">CONCATENATE("DI",REPLACE($AC2,1,3,""),"-",AF2)</f>
        <v>DI1-C1</v>
      </c>
      <c r="BU2" t="str">
        <f t="shared" si="15"/>
        <v>DI1-B1</v>
      </c>
      <c r="BV2" t="str">
        <f t="shared" ref="BV2:CE8" si="16">CONCATENATE("DI",REPLACE($AC2,1,3,""),"-",BF2)</f>
        <v>DI1-C2</v>
      </c>
      <c r="BW2" t="str">
        <f t="shared" si="16"/>
        <v>DI1-B2</v>
      </c>
      <c r="BX2" t="str">
        <f t="shared" si="16"/>
        <v>DI1-C3</v>
      </c>
      <c r="BY2" t="str">
        <f t="shared" si="16"/>
        <v>DI1-B3</v>
      </c>
      <c r="BZ2" t="str">
        <f t="shared" si="16"/>
        <v>DI1-C4</v>
      </c>
      <c r="CA2" t="str">
        <f t="shared" si="16"/>
        <v>DI1-B4</v>
      </c>
      <c r="CB2" t="str">
        <f t="shared" si="16"/>
        <v>DI1-C5</v>
      </c>
      <c r="CC2" t="str">
        <f t="shared" si="16"/>
        <v>DI1-B5</v>
      </c>
      <c r="CD2" t="str">
        <f t="shared" si="16"/>
        <v>DI1-C6</v>
      </c>
      <c r="CE2" t="str">
        <f t="shared" si="16"/>
        <v>DI1-B6</v>
      </c>
      <c r="CF2" t="str">
        <f t="shared" ref="CF2:CG8" si="17">CONCATENATE("DO",REPLACE($AH2,1,3,""),"-",AK2)</f>
        <v>DO1-1A</v>
      </c>
      <c r="CG2" t="str">
        <f t="shared" si="17"/>
        <v>DO1-1B</v>
      </c>
      <c r="CH2" t="str">
        <f t="shared" ref="CH2:CK8" si="18">CONCATENATE("DO",REPLACE($AH2,1,3,""),"-",BP2)</f>
        <v>DO1-2A</v>
      </c>
      <c r="CI2" t="str">
        <f t="shared" si="18"/>
        <v>DO1-2B</v>
      </c>
      <c r="CJ2" t="str">
        <f t="shared" si="18"/>
        <v>DO1-3A</v>
      </c>
      <c r="CK2" t="str">
        <f t="shared" si="18"/>
        <v>DO1-3B</v>
      </c>
      <c r="CL2" t="str">
        <f t="shared" ref="CL2:CL8" si="19">CONCATENATE("K",$U2,"-10")</f>
        <v>K1-10</v>
      </c>
      <c r="CM2" t="str">
        <f t="shared" ref="CM2:CM8" si="20">CONCATENATE("K",$U2,"-03")</f>
        <v>K1-03</v>
      </c>
      <c r="CN2" t="str">
        <f t="shared" ref="CN2:CN8" si="21">CONCATENATE("K",$U2,"-04")</f>
        <v>K1-04</v>
      </c>
      <c r="CO2" t="str">
        <f t="shared" ref="CO2:CO8" si="22">CONCATENATE("K",$U2,"-01")</f>
        <v>K1-01</v>
      </c>
      <c r="CP2" t="str">
        <f t="shared" ref="CP2:CP8" si="23">CONCATENATE("K",$U2,"-08")</f>
        <v>K1-08</v>
      </c>
      <c r="CQ2" t="str">
        <f t="shared" ref="CQ2:CQ8" si="24">CONCATENATE("K",$U2,"-02")</f>
        <v>K1-02</v>
      </c>
      <c r="CR2" t="str">
        <f t="shared" ref="CR2:CR8" si="25">CONCATENATE("K",$U2,"-09")</f>
        <v>K1-09</v>
      </c>
      <c r="CS2" t="str">
        <f t="shared" ref="CS2:CS8" si="26">CONCATENATE("K",$U2,"-05")</f>
        <v>K1-05</v>
      </c>
      <c r="CT2" t="str">
        <f t="shared" ref="CT2:CT8" si="27">CONCATENATE("K",$U2,"-11")</f>
        <v>K1-11</v>
      </c>
      <c r="CU2" t="str">
        <f t="shared" ref="CU2:CU8" si="28">CONCATENATE($T2,"-M",$U2,"-A9")</f>
        <v>N2-M1-A9</v>
      </c>
      <c r="CV2" t="str">
        <f t="shared" ref="CV2:CV8" si="29">CONCATENATE($T2,"-M",$U2,"-A7")</f>
        <v>N2-M1-A7</v>
      </c>
      <c r="CW2" t="str">
        <f t="shared" ref="CW2:CW8" si="30">CONCATENATE($T2,"-M",$U2,"-A8")</f>
        <v>N2-M1-A8</v>
      </c>
      <c r="CX2" t="str">
        <f t="shared" ref="CX2:CX8" si="31">CONCATENATE($T2,"-M",$U2,"-A6")</f>
        <v>N2-M1-A6</v>
      </c>
      <c r="CY2" t="str">
        <f t="shared" ref="CY2:CY8" si="32">CONCATENATE($T2,"-M",$U2,"-A30")</f>
        <v>N2-M1-A30</v>
      </c>
      <c r="CZ2" t="str">
        <f t="shared" ref="CZ2:CZ8" si="33">CONCATENATE($T2,"-M",$U2,"-N")</f>
        <v>N2-M1-N</v>
      </c>
      <c r="DA2" t="str">
        <f t="shared" ref="DA2:DA8" si="34">CONCATENATE($T2,"-A220-M",U2)</f>
        <v>N2-A220-M1</v>
      </c>
      <c r="DB2" t="str">
        <f t="shared" ref="DB2:DB8" si="35">CONCATENATE($T2,"-M",$U2,"-XM01")</f>
        <v>N2-M1-XM01</v>
      </c>
      <c r="DC2" t="str">
        <f t="shared" ref="DC2:DC8" si="36">CONCATENATE($T2,"-M",$U2,"-A1")</f>
        <v>N2-M1-A1</v>
      </c>
      <c r="DD2" t="str">
        <f t="shared" ref="DD2:DD8" si="37">CONCATENATE($T2,"-M",$U2,"-A5")</f>
        <v>N2-M1-A5</v>
      </c>
      <c r="DE2" t="str">
        <f t="shared" ref="DE2:DE8" si="38">CONCATENATE($T2,"-M",$U2,"-A11")</f>
        <v>N2-M1-A11</v>
      </c>
      <c r="DF2" t="str">
        <f t="shared" ref="DF2:DF8" si="39">CONCATENATE($T2,"-M",$U2,"-A12")</f>
        <v>N2-M1-A12</v>
      </c>
      <c r="DG2" t="str">
        <f>CONCATENATE($T2,"-M",$U2,"-A20")</f>
        <v>N2-M1-A20</v>
      </c>
      <c r="DH2" t="str">
        <f>CONCATENATE($T2,"-M",$U2,"-A19")</f>
        <v>N2-M1-A19</v>
      </c>
      <c r="DI2" t="s">
        <v>142</v>
      </c>
      <c r="DJ2" t="s">
        <v>143</v>
      </c>
      <c r="DK2">
        <v>11</v>
      </c>
      <c r="DL2">
        <v>14</v>
      </c>
      <c r="DM2">
        <v>12</v>
      </c>
      <c r="DN2" t="s">
        <v>144</v>
      </c>
      <c r="DO2" t="s">
        <v>145</v>
      </c>
      <c r="DP2">
        <v>1</v>
      </c>
      <c r="DQ2">
        <v>2</v>
      </c>
      <c r="DR2">
        <v>3</v>
      </c>
      <c r="DS2">
        <v>4</v>
      </c>
      <c r="DT2">
        <v>5</v>
      </c>
      <c r="DU2">
        <v>6</v>
      </c>
      <c r="DV2">
        <v>7</v>
      </c>
      <c r="DW2">
        <v>8</v>
      </c>
      <c r="DX2">
        <v>9</v>
      </c>
      <c r="DY2">
        <v>10</v>
      </c>
      <c r="DZ2">
        <v>11</v>
      </c>
      <c r="EA2">
        <v>12</v>
      </c>
      <c r="EB2">
        <v>13</v>
      </c>
      <c r="EC2">
        <v>14</v>
      </c>
      <c r="ED2">
        <v>1</v>
      </c>
      <c r="EE2">
        <v>3</v>
      </c>
      <c r="EF2">
        <v>4</v>
      </c>
      <c r="EG2">
        <v>7</v>
      </c>
      <c r="EH2">
        <v>8</v>
      </c>
      <c r="EI2">
        <v>9</v>
      </c>
      <c r="EJ2">
        <v>10</v>
      </c>
      <c r="EK2">
        <v>13</v>
      </c>
      <c r="EL2">
        <v>15</v>
      </c>
      <c r="EM2">
        <v>16</v>
      </c>
      <c r="EN2">
        <v>22</v>
      </c>
      <c r="EO2">
        <v>23</v>
      </c>
      <c r="EP2">
        <v>24</v>
      </c>
      <c r="EQ2" s="16"/>
      <c r="MA2" t="str">
        <f t="shared" ref="MA2:MA19" si="40">CONCATENATE("DI",REPLACE($AC2,1,3,""),"-",$AG2)</f>
        <v>DI1-B1</v>
      </c>
    </row>
    <row r="3" spans="1:824" x14ac:dyDescent="0.25">
      <c r="A3" s="61" t="s">
        <v>2026</v>
      </c>
      <c r="B3" t="s">
        <v>2025</v>
      </c>
      <c r="C3" s="3"/>
      <c r="O3" s="2"/>
      <c r="P3" t="s">
        <v>2017</v>
      </c>
      <c r="Q3" s="1"/>
      <c r="S3" s="1" t="s">
        <v>130</v>
      </c>
      <c r="T3" s="14" t="s">
        <v>2019</v>
      </c>
      <c r="U3" s="58">
        <v>2</v>
      </c>
      <c r="V3" s="15" t="s">
        <v>2024</v>
      </c>
      <c r="W3" s="15"/>
      <c r="AC3" t="str">
        <f t="shared" ref="AC3:AC8" si="41">IF(AD2+AE2&gt;29,REPLACE(AC2,LEN(AC2),1,VALUE(RIGHT(AC2,1))+1),AC2)</f>
        <v>A5.1</v>
      </c>
      <c r="AD3" s="43">
        <f t="array" ref="AD3">IF(COUNTIFS(AC$2:AC3,AC3)=1,"1",VALUE(SUBSTITUTE(INDEX(AD:AD,_xlfn.XMATCH(AC3,AC$1:AC2,0,-1)),"A",""))+INDEX(AE:AE,_xlfn.XMATCH(AC3,AC$1:AC2,0,-1))+1)</f>
        <v>7</v>
      </c>
      <c r="AE3" s="43">
        <f t="array" ref="AE3">SUM(IF(ISNUMBER(FIND("TmDi",$BE$1:$AAQ$1)),IF(IFERROR(ISNUMBER(VALUE(SUBSTITUTE($BE3:$AAQ3,"B",""))),FALSE),IF(ISNUMBER(VALUE(SUBSTITUTE($BE3:$AAQ3,"B",""))),1,0),0)))</f>
        <v>5</v>
      </c>
      <c r="AF3" t="str">
        <f t="shared" si="0"/>
        <v>C7</v>
      </c>
      <c r="AG3" t="str">
        <f t="shared" si="1"/>
        <v>B7</v>
      </c>
      <c r="AH3" t="str">
        <f t="shared" ref="AH3:AH8" si="42">IF(AI2+AJ2&gt;27,REPLACE(AH2,LEN(AH2),1,VALUE(RIGHT(AH2,1))+1),AH2)</f>
        <v>A6.1</v>
      </c>
      <c r="AI3" s="66">
        <f t="array" ref="AI3">IF(COUNTIFS(AH$2:AH3,AH3)=1,"1",VALUE(SUBSTITUTE(INDEX(AI:AI,_xlfn.XMATCH(AH3,AH$1:AH2,0,-1)),"A",""))+INDEX(AJ:AJ,_xlfn.XMATCH(AH3,AH$1:AH2,0,-1))+1)</f>
        <v>4</v>
      </c>
      <c r="AJ3" s="59">
        <f t="array" ref="AJ3">SUM(IF(ISNUMBER(FIND("TmDo",$BE$1:$AAQ$1)),IF(IFERROR(ISNUMBER(VALUE(SUBSTITUTE($BE3:$AAQ3,"B",""))),FALSE),IF(ISNUMBER(VALUE(SUBSTITUTE($BE3:$AAQ3,"B",""))),1,0),0)))</f>
        <v>2</v>
      </c>
      <c r="AK3" t="str">
        <f t="shared" si="2"/>
        <v>4A</v>
      </c>
      <c r="AL3" t="str">
        <f t="shared" si="3"/>
        <v>4B</v>
      </c>
      <c r="AM3" t="s">
        <v>150</v>
      </c>
      <c r="AP3" t="s">
        <v>2022</v>
      </c>
      <c r="AQ3" t="s">
        <v>2023</v>
      </c>
      <c r="AT3" t="s">
        <v>139</v>
      </c>
      <c r="AU3" t="s">
        <v>140</v>
      </c>
      <c r="BD3" s="16"/>
      <c r="BE3" s="27" t="str">
        <f t="shared" si="4"/>
        <v>XT2</v>
      </c>
      <c r="BF3" t="str">
        <f t="shared" si="5"/>
        <v>C8</v>
      </c>
      <c r="BG3" t="str">
        <f t="shared" si="6"/>
        <v>B8</v>
      </c>
      <c r="BH3" t="str">
        <f t="shared" si="7"/>
        <v>C9</v>
      </c>
      <c r="BI3" t="str">
        <f t="shared" si="8"/>
        <v>B9</v>
      </c>
      <c r="BJ3" t="str">
        <f t="shared" si="9"/>
        <v>C10</v>
      </c>
      <c r="BK3" t="str">
        <f t="shared" si="10"/>
        <v>B10</v>
      </c>
      <c r="BL3" t="str">
        <f>CONCATENATE("C",REPLACE(BJ3,1,1,"")+1)</f>
        <v>C11</v>
      </c>
      <c r="BM3" t="str">
        <f>CONCATENATE("B",REPLACE(BK3,1,1,"")+1)</f>
        <v>B11</v>
      </c>
      <c r="BN3" t="str">
        <f>CONCATENATE("C",REPLACE(BL3,1,1,"")+1)</f>
        <v>C12</v>
      </c>
      <c r="BO3" t="str">
        <f>CONCATENATE("B",REPLACE(BM3,1,1,"")+1)</f>
        <v>B12</v>
      </c>
      <c r="BP3" t="str">
        <f t="shared" si="11"/>
        <v>5A</v>
      </c>
      <c r="BQ3" t="str">
        <f t="shared" si="12"/>
        <v>5B</v>
      </c>
      <c r="BR3" t="str">
        <f t="shared" si="13"/>
        <v>6A</v>
      </c>
      <c r="BS3" t="str">
        <f t="shared" si="14"/>
        <v>6B</v>
      </c>
      <c r="BT3" t="str">
        <f t="shared" si="15"/>
        <v>DI1-C7</v>
      </c>
      <c r="BU3" t="str">
        <f t="shared" si="15"/>
        <v>DI1-B7</v>
      </c>
      <c r="BV3" t="str">
        <f t="shared" si="16"/>
        <v>DI1-C8</v>
      </c>
      <c r="BW3" t="str">
        <f t="shared" si="16"/>
        <v>DI1-B8</v>
      </c>
      <c r="BX3" t="str">
        <f t="shared" si="16"/>
        <v>DI1-C9</v>
      </c>
      <c r="BY3" t="str">
        <f t="shared" si="16"/>
        <v>DI1-B9</v>
      </c>
      <c r="BZ3" t="str">
        <f t="shared" si="16"/>
        <v>DI1-C10</v>
      </c>
      <c r="CA3" t="str">
        <f t="shared" si="16"/>
        <v>DI1-B10</v>
      </c>
      <c r="CB3" t="str">
        <f t="shared" si="16"/>
        <v>DI1-C11</v>
      </c>
      <c r="CC3" t="str">
        <f t="shared" si="16"/>
        <v>DI1-B11</v>
      </c>
      <c r="CD3" t="str">
        <f t="shared" si="16"/>
        <v>DI1-C12</v>
      </c>
      <c r="CE3" t="str">
        <f t="shared" si="16"/>
        <v>DI1-B12</v>
      </c>
      <c r="CF3" t="str">
        <f t="shared" si="17"/>
        <v>DO1-4A</v>
      </c>
      <c r="CG3" t="str">
        <f t="shared" si="17"/>
        <v>DO1-4B</v>
      </c>
      <c r="CH3" t="str">
        <f t="shared" si="18"/>
        <v>DO1-5A</v>
      </c>
      <c r="CI3" t="str">
        <f t="shared" si="18"/>
        <v>DO1-5B</v>
      </c>
      <c r="CJ3" t="str">
        <f t="shared" si="18"/>
        <v>DO1-6A</v>
      </c>
      <c r="CK3" t="str">
        <f t="shared" si="18"/>
        <v>DO1-6B</v>
      </c>
      <c r="CL3" t="str">
        <f t="shared" si="19"/>
        <v>K2-10</v>
      </c>
      <c r="CM3" t="str">
        <f t="shared" si="20"/>
        <v>K2-03</v>
      </c>
      <c r="CN3" t="str">
        <f t="shared" si="21"/>
        <v>K2-04</v>
      </c>
      <c r="CO3" t="str">
        <f t="shared" si="22"/>
        <v>K2-01</v>
      </c>
      <c r="CP3" t="str">
        <f t="shared" si="23"/>
        <v>K2-08</v>
      </c>
      <c r="CQ3" t="str">
        <f t="shared" si="24"/>
        <v>K2-02</v>
      </c>
      <c r="CR3" t="str">
        <f t="shared" si="25"/>
        <v>K2-09</v>
      </c>
      <c r="CS3" t="str">
        <f t="shared" si="26"/>
        <v>K2-05</v>
      </c>
      <c r="CT3" t="str">
        <f t="shared" si="27"/>
        <v>K2-11</v>
      </c>
      <c r="CU3" t="str">
        <f t="shared" si="28"/>
        <v>N2-M2-A9</v>
      </c>
      <c r="CV3" t="str">
        <f t="shared" si="29"/>
        <v>N2-M2-A7</v>
      </c>
      <c r="CW3" t="str">
        <f t="shared" si="30"/>
        <v>N2-M2-A8</v>
      </c>
      <c r="CX3" t="str">
        <f t="shared" si="31"/>
        <v>N2-M2-A6</v>
      </c>
      <c r="CY3" t="str">
        <f t="shared" si="32"/>
        <v>N2-M2-A30</v>
      </c>
      <c r="CZ3" t="str">
        <f t="shared" si="33"/>
        <v>N2-M2-N</v>
      </c>
      <c r="DA3" t="str">
        <f t="shared" si="34"/>
        <v>N2-A220-M2</v>
      </c>
      <c r="DB3" t="str">
        <f t="shared" si="35"/>
        <v>N2-M2-XM01</v>
      </c>
      <c r="DC3" t="str">
        <f t="shared" si="36"/>
        <v>N2-M2-A1</v>
      </c>
      <c r="DD3" t="str">
        <f t="shared" si="37"/>
        <v>N2-M2-A5</v>
      </c>
      <c r="DE3" t="str">
        <f t="shared" si="38"/>
        <v>N2-M2-A11</v>
      </c>
      <c r="DF3" t="str">
        <f t="shared" si="39"/>
        <v>N2-M2-A12</v>
      </c>
      <c r="DG3" t="str">
        <f>CONCATENATE($T3,"-M",$U3,"-A20")</f>
        <v>N2-M2-A20</v>
      </c>
      <c r="DH3" t="str">
        <f>CONCATENATE($T3,"-M",$U3,"-A19")</f>
        <v>N2-M2-A19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15</v>
      </c>
      <c r="EM3">
        <v>16</v>
      </c>
      <c r="EN3">
        <v>22</v>
      </c>
      <c r="EO3">
        <v>23</v>
      </c>
      <c r="EP3">
        <v>24</v>
      </c>
      <c r="EQ3" s="16"/>
      <c r="MA3" t="str">
        <f t="shared" si="40"/>
        <v>DI1-B7</v>
      </c>
    </row>
    <row r="4" spans="1:824" x14ac:dyDescent="0.25">
      <c r="A4" s="61" t="s">
        <v>2028</v>
      </c>
      <c r="B4" t="s">
        <v>2027</v>
      </c>
      <c r="C4" s="3"/>
      <c r="O4" s="2"/>
      <c r="P4" t="s">
        <v>2017</v>
      </c>
      <c r="Q4" s="1"/>
      <c r="S4" s="1" t="s">
        <v>130</v>
      </c>
      <c r="T4" s="14" t="s">
        <v>2019</v>
      </c>
      <c r="U4" s="58">
        <v>3</v>
      </c>
      <c r="V4" s="15" t="s">
        <v>2029</v>
      </c>
      <c r="W4" s="15"/>
      <c r="AC4" t="str">
        <f t="shared" si="41"/>
        <v>A5.1</v>
      </c>
      <c r="AD4" s="43">
        <f t="array" ref="AD4">IF(COUNTIFS(AC$2:AC4,AC4)=1,"1",VALUE(SUBSTITUTE(INDEX(AD:AD,_xlfn.XMATCH(AC4,AC$1:AC3,0,-1)),"A",""))+INDEX(AE:AE,_xlfn.XMATCH(AC4,AC$1:AC3,0,-1))+1)</f>
        <v>13</v>
      </c>
      <c r="AE4" s="43">
        <f t="array" ref="AE4">SUM(IF(ISNUMBER(FIND("TmDi",$BE$1:$AAQ$1)),IF(IFERROR(ISNUMBER(VALUE(SUBSTITUTE($BE4:$AAQ4,"B",""))),FALSE),IF(ISNUMBER(VALUE(SUBSTITUTE($BE4:$AAQ4,"B",""))),1,0),0)))</f>
        <v>5</v>
      </c>
      <c r="AF4" t="str">
        <f t="shared" si="0"/>
        <v>C13</v>
      </c>
      <c r="AG4" t="str">
        <f t="shared" si="1"/>
        <v>B13</v>
      </c>
      <c r="AH4" t="str">
        <f t="shared" si="42"/>
        <v>A6.1</v>
      </c>
      <c r="AI4" s="66">
        <f t="array" ref="AI4">IF(COUNTIFS(AH$2:AH4,AH4)=1,"1",VALUE(SUBSTITUTE(INDEX(AI:AI,_xlfn.XMATCH(AH4,AH$1:AH3,0,-1)),"A",""))+INDEX(AJ:AJ,_xlfn.XMATCH(AH4,AH$1:AH3,0,-1))+1)</f>
        <v>7</v>
      </c>
      <c r="AJ4" s="59">
        <f t="array" ref="AJ4">SUM(IF(ISNUMBER(FIND("TmDo",$BE$1:$AAQ$1)),IF(IFERROR(ISNUMBER(VALUE(SUBSTITUTE($BE4:$AAQ4,"B",""))),FALSE),IF(ISNUMBER(VALUE(SUBSTITUTE($BE4:$AAQ4,"B",""))),1,0),0)))</f>
        <v>2</v>
      </c>
      <c r="AK4" t="str">
        <f t="shared" si="2"/>
        <v>7A</v>
      </c>
      <c r="AL4" t="str">
        <f t="shared" si="3"/>
        <v>7B</v>
      </c>
      <c r="AM4" t="s">
        <v>155</v>
      </c>
      <c r="AP4" t="s">
        <v>2022</v>
      </c>
      <c r="AQ4" t="s">
        <v>2023</v>
      </c>
      <c r="AT4" t="s">
        <v>139</v>
      </c>
      <c r="AU4" t="s">
        <v>140</v>
      </c>
      <c r="BD4" s="16"/>
      <c r="BE4" s="27" t="str">
        <f t="shared" si="4"/>
        <v>XT3</v>
      </c>
      <c r="BF4" t="str">
        <f t="shared" si="5"/>
        <v>C14</v>
      </c>
      <c r="BG4" t="str">
        <f t="shared" si="6"/>
        <v>B14</v>
      </c>
      <c r="BH4" t="str">
        <f t="shared" si="7"/>
        <v>C15</v>
      </c>
      <c r="BI4" t="str">
        <f t="shared" si="8"/>
        <v>B15</v>
      </c>
      <c r="BJ4" t="str">
        <f t="shared" si="9"/>
        <v>C16</v>
      </c>
      <c r="BK4" t="str">
        <f t="shared" si="10"/>
        <v>B16</v>
      </c>
      <c r="BL4" t="str">
        <f>CONCATENATE("C",REPLACE(BJ4,1,1,"")+1)</f>
        <v>C17</v>
      </c>
      <c r="BM4" t="str">
        <f>CONCATENATE("B",REPLACE(BK4,1,1,"")+1)</f>
        <v>B17</v>
      </c>
      <c r="BN4" t="str">
        <f>CONCATENATE("C",REPLACE(BL4,1,1,"")+1)</f>
        <v>C18</v>
      </c>
      <c r="BO4" t="str">
        <f>CONCATENATE("B",REPLACE(BM4,1,1,"")+1)</f>
        <v>B18</v>
      </c>
      <c r="BP4" t="str">
        <f t="shared" si="11"/>
        <v>8A</v>
      </c>
      <c r="BQ4" t="str">
        <f t="shared" si="12"/>
        <v>8B</v>
      </c>
      <c r="BR4" t="str">
        <f t="shared" si="13"/>
        <v>9A</v>
      </c>
      <c r="BS4" t="str">
        <f t="shared" si="14"/>
        <v>9B</v>
      </c>
      <c r="BT4" t="str">
        <f t="shared" si="15"/>
        <v>DI1-C13</v>
      </c>
      <c r="BU4" t="str">
        <f t="shared" si="15"/>
        <v>DI1-B13</v>
      </c>
      <c r="BV4" t="str">
        <f t="shared" si="16"/>
        <v>DI1-C14</v>
      </c>
      <c r="BW4" t="str">
        <f t="shared" si="16"/>
        <v>DI1-B14</v>
      </c>
      <c r="BX4" t="str">
        <f t="shared" si="16"/>
        <v>DI1-C15</v>
      </c>
      <c r="BY4" t="str">
        <f t="shared" si="16"/>
        <v>DI1-B15</v>
      </c>
      <c r="BZ4" t="str">
        <f t="shared" si="16"/>
        <v>DI1-C16</v>
      </c>
      <c r="CA4" t="str">
        <f t="shared" si="16"/>
        <v>DI1-B16</v>
      </c>
      <c r="CB4" t="str">
        <f t="shared" si="16"/>
        <v>DI1-C17</v>
      </c>
      <c r="CC4" t="str">
        <f t="shared" si="16"/>
        <v>DI1-B17</v>
      </c>
      <c r="CD4" t="str">
        <f t="shared" si="16"/>
        <v>DI1-C18</v>
      </c>
      <c r="CE4" t="str">
        <f t="shared" si="16"/>
        <v>DI1-B18</v>
      </c>
      <c r="CF4" t="str">
        <f t="shared" si="17"/>
        <v>DO1-7A</v>
      </c>
      <c r="CG4" t="str">
        <f t="shared" si="17"/>
        <v>DO1-7B</v>
      </c>
      <c r="CH4" t="str">
        <f t="shared" si="18"/>
        <v>DO1-8A</v>
      </c>
      <c r="CI4" t="str">
        <f t="shared" si="18"/>
        <v>DO1-8B</v>
      </c>
      <c r="CJ4" t="str">
        <f t="shared" si="18"/>
        <v>DO1-9A</v>
      </c>
      <c r="CK4" t="str">
        <f t="shared" si="18"/>
        <v>DO1-9B</v>
      </c>
      <c r="CL4" t="str">
        <f t="shared" si="19"/>
        <v>K3-10</v>
      </c>
      <c r="CM4" t="str">
        <f t="shared" si="20"/>
        <v>K3-03</v>
      </c>
      <c r="CN4" t="str">
        <f t="shared" si="21"/>
        <v>K3-04</v>
      </c>
      <c r="CO4" t="str">
        <f t="shared" si="22"/>
        <v>K3-01</v>
      </c>
      <c r="CP4" t="str">
        <f t="shared" si="23"/>
        <v>K3-08</v>
      </c>
      <c r="CQ4" t="str">
        <f t="shared" si="24"/>
        <v>K3-02</v>
      </c>
      <c r="CR4" t="str">
        <f t="shared" si="25"/>
        <v>K3-09</v>
      </c>
      <c r="CS4" t="str">
        <f t="shared" si="26"/>
        <v>K3-05</v>
      </c>
      <c r="CT4" t="str">
        <f t="shared" si="27"/>
        <v>K3-11</v>
      </c>
      <c r="CU4" t="str">
        <f t="shared" si="28"/>
        <v>N2-M3-A9</v>
      </c>
      <c r="CV4" t="str">
        <f t="shared" si="29"/>
        <v>N2-M3-A7</v>
      </c>
      <c r="CW4" t="str">
        <f t="shared" si="30"/>
        <v>N2-M3-A8</v>
      </c>
      <c r="CX4" t="str">
        <f t="shared" si="31"/>
        <v>N2-M3-A6</v>
      </c>
      <c r="CY4" t="str">
        <f t="shared" si="32"/>
        <v>N2-M3-A30</v>
      </c>
      <c r="CZ4" t="str">
        <f t="shared" si="33"/>
        <v>N2-M3-N</v>
      </c>
      <c r="DA4" t="str">
        <f t="shared" si="34"/>
        <v>N2-A220-M3</v>
      </c>
      <c r="DB4" t="str">
        <f t="shared" si="35"/>
        <v>N2-M3-XM01</v>
      </c>
      <c r="DC4" t="str">
        <f t="shared" si="36"/>
        <v>N2-M3-A1</v>
      </c>
      <c r="DD4" t="str">
        <f t="shared" si="37"/>
        <v>N2-M3-A5</v>
      </c>
      <c r="DE4" t="str">
        <f t="shared" si="38"/>
        <v>N2-M3-A11</v>
      </c>
      <c r="DF4" t="str">
        <f t="shared" si="39"/>
        <v>N2-M3-A12</v>
      </c>
      <c r="DG4" t="str">
        <f>CONCATENATE($T4,"-M",$U4,"-A20")</f>
        <v>N2-M3-A20</v>
      </c>
      <c r="DH4" t="str">
        <f>CONCATENATE($T4,"-M",$U4,"-A19")</f>
        <v>N2-M3-A19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15</v>
      </c>
      <c r="EM4">
        <v>16</v>
      </c>
      <c r="EN4">
        <v>22</v>
      </c>
      <c r="EO4">
        <v>23</v>
      </c>
      <c r="EP4">
        <v>24</v>
      </c>
      <c r="EQ4" s="16"/>
      <c r="MA4" t="str">
        <f t="shared" si="40"/>
        <v>DI1-B13</v>
      </c>
    </row>
    <row r="5" spans="1:824" x14ac:dyDescent="0.25">
      <c r="A5" s="61" t="s">
        <v>2032</v>
      </c>
      <c r="B5" t="s">
        <v>2031</v>
      </c>
      <c r="C5" s="3"/>
      <c r="O5" s="2"/>
      <c r="P5" t="s">
        <v>2033</v>
      </c>
      <c r="Q5" s="1"/>
      <c r="S5" s="1" t="s">
        <v>130</v>
      </c>
      <c r="T5" s="14" t="s">
        <v>2019</v>
      </c>
      <c r="U5" s="58">
        <v>4</v>
      </c>
      <c r="V5" s="15" t="s">
        <v>2030</v>
      </c>
      <c r="W5" s="15"/>
      <c r="AC5" t="str">
        <f t="shared" si="41"/>
        <v>A5.1</v>
      </c>
      <c r="AD5" s="43">
        <f t="array" ref="AD5">IF(COUNTIFS(AC$2:AC5,AC5)=1,"1",VALUE(SUBSTITUTE(INDEX(AD:AD,_xlfn.XMATCH(AC5,AC$1:AC4,0,-1)),"A",""))+INDEX(AE:AE,_xlfn.XMATCH(AC5,AC$1:AC4,0,-1))+1)</f>
        <v>19</v>
      </c>
      <c r="AE5" s="43">
        <f t="array" ref="AE5">SUM(IF(ISNUMBER(FIND("TmDi",$BE$1:$AAQ$1)),IF(IFERROR(ISNUMBER(VALUE(SUBSTITUTE($BE5:$AAQ5,"B",""))),FALSE),IF(ISNUMBER(VALUE(SUBSTITUTE($BE5:$AAQ5,"B",""))),1,0),0)))</f>
        <v>3</v>
      </c>
      <c r="AF5" t="str">
        <f t="shared" si="0"/>
        <v>C19</v>
      </c>
      <c r="AG5" t="str">
        <f t="shared" si="1"/>
        <v>B19</v>
      </c>
      <c r="AH5" t="str">
        <f t="shared" si="42"/>
        <v>A6.1</v>
      </c>
      <c r="AI5" s="66">
        <f t="array" ref="AI5">IF(COUNTIFS(AH$2:AH5,AH5)=1,"1",VALUE(SUBSTITUTE(INDEX(AI:AI,_xlfn.XMATCH(AH5,AH$1:AH4,0,-1)),"A",""))+INDEX(AJ:AJ,_xlfn.XMATCH(AH5,AH$1:AH4,0,-1))+1)</f>
        <v>10</v>
      </c>
      <c r="AJ5" s="59">
        <f t="array" ref="AJ5">SUM(IF(ISNUMBER(FIND("TmDo",$BE$1:$AAQ$1)),IF(IFERROR(ISNUMBER(VALUE(SUBSTITUTE($BE5:$AAQ5,"B",""))),FALSE),IF(ISNUMBER(VALUE(SUBSTITUTE($BE5:$AAQ5,"B",""))),1,0),0)))</f>
        <v>2</v>
      </c>
      <c r="AK5" t="str">
        <f t="shared" si="2"/>
        <v>10A</v>
      </c>
      <c r="AL5" t="str">
        <f t="shared" si="3"/>
        <v>10B</v>
      </c>
      <c r="AM5" t="s">
        <v>158</v>
      </c>
      <c r="AP5" t="s">
        <v>2022</v>
      </c>
      <c r="AQ5" t="s">
        <v>2023</v>
      </c>
      <c r="AT5" t="s">
        <v>139</v>
      </c>
      <c r="AU5" t="s">
        <v>140</v>
      </c>
      <c r="BD5" s="16"/>
      <c r="BE5" s="27" t="str">
        <f t="shared" si="4"/>
        <v>XT4</v>
      </c>
      <c r="BF5" t="str">
        <f t="shared" si="5"/>
        <v>C20</v>
      </c>
      <c r="BG5" t="str">
        <f t="shared" si="6"/>
        <v>B20</v>
      </c>
      <c r="BH5" t="str">
        <f t="shared" si="7"/>
        <v>C21</v>
      </c>
      <c r="BI5" t="str">
        <f t="shared" si="8"/>
        <v>B21</v>
      </c>
      <c r="BJ5" t="str">
        <f t="shared" si="9"/>
        <v>C22</v>
      </c>
      <c r="BK5" t="str">
        <f t="shared" si="10"/>
        <v>B22</v>
      </c>
      <c r="BP5" t="str">
        <f t="shared" si="11"/>
        <v>11A</v>
      </c>
      <c r="BQ5" t="str">
        <f t="shared" si="12"/>
        <v>11B</v>
      </c>
      <c r="BR5" t="str">
        <f t="shared" si="13"/>
        <v>12A</v>
      </c>
      <c r="BS5" t="str">
        <f t="shared" si="14"/>
        <v>12B</v>
      </c>
      <c r="BT5" t="str">
        <f t="shared" si="15"/>
        <v>DI1-C19</v>
      </c>
      <c r="BU5" t="str">
        <f t="shared" si="15"/>
        <v>DI1-B19</v>
      </c>
      <c r="BV5" t="str">
        <f t="shared" si="16"/>
        <v>DI1-C20</v>
      </c>
      <c r="BW5" t="str">
        <f t="shared" si="16"/>
        <v>DI1-B20</v>
      </c>
      <c r="BX5" t="str">
        <f t="shared" si="16"/>
        <v>DI1-C21</v>
      </c>
      <c r="BY5" t="str">
        <f t="shared" si="16"/>
        <v>DI1-B21</v>
      </c>
      <c r="BZ5" t="str">
        <f t="shared" si="16"/>
        <v>DI1-C22</v>
      </c>
      <c r="CA5" t="str">
        <f t="shared" si="16"/>
        <v>DI1-B22</v>
      </c>
      <c r="CB5" t="str">
        <f t="shared" si="16"/>
        <v>DI1-</v>
      </c>
      <c r="CC5" t="str">
        <f t="shared" si="16"/>
        <v>DI1-</v>
      </c>
      <c r="CD5" t="str">
        <f t="shared" si="16"/>
        <v>DI1-</v>
      </c>
      <c r="CE5" t="str">
        <f t="shared" si="16"/>
        <v>DI1-</v>
      </c>
      <c r="CF5" t="str">
        <f t="shared" si="17"/>
        <v>DO1-10A</v>
      </c>
      <c r="CG5" t="str">
        <f t="shared" si="17"/>
        <v>DO1-10B</v>
      </c>
      <c r="CH5" t="str">
        <f t="shared" si="18"/>
        <v>DO1-11A</v>
      </c>
      <c r="CI5" t="str">
        <f t="shared" si="18"/>
        <v>DO1-11B</v>
      </c>
      <c r="CJ5" t="str">
        <f t="shared" si="18"/>
        <v>DO1-12A</v>
      </c>
      <c r="CK5" t="str">
        <f t="shared" si="18"/>
        <v>DO1-12B</v>
      </c>
      <c r="CL5" t="str">
        <f t="shared" si="19"/>
        <v>K4-10</v>
      </c>
      <c r="CM5" t="str">
        <f t="shared" si="20"/>
        <v>K4-03</v>
      </c>
      <c r="CN5" t="str">
        <f t="shared" si="21"/>
        <v>K4-04</v>
      </c>
      <c r="CO5" t="str">
        <f t="shared" si="22"/>
        <v>K4-01</v>
      </c>
      <c r="CP5" t="str">
        <f t="shared" si="23"/>
        <v>K4-08</v>
      </c>
      <c r="CQ5" t="str">
        <f t="shared" si="24"/>
        <v>K4-02</v>
      </c>
      <c r="CR5" t="str">
        <f t="shared" si="25"/>
        <v>K4-09</v>
      </c>
      <c r="CS5" t="str">
        <f t="shared" si="26"/>
        <v>K4-05</v>
      </c>
      <c r="CT5" t="str">
        <f t="shared" si="27"/>
        <v>K4-11</v>
      </c>
      <c r="CU5" t="str">
        <f t="shared" si="28"/>
        <v>N2-M4-A9</v>
      </c>
      <c r="CV5" t="str">
        <f t="shared" si="29"/>
        <v>N2-M4-A7</v>
      </c>
      <c r="CW5" t="str">
        <f t="shared" si="30"/>
        <v>N2-M4-A8</v>
      </c>
      <c r="CX5" t="str">
        <f t="shared" si="31"/>
        <v>N2-M4-A6</v>
      </c>
      <c r="CY5" t="str">
        <f t="shared" si="32"/>
        <v>N2-M4-A30</v>
      </c>
      <c r="CZ5" t="str">
        <f t="shared" si="33"/>
        <v>N2-M4-N</v>
      </c>
      <c r="DA5" t="str">
        <f t="shared" si="34"/>
        <v>N2-A220-M4</v>
      </c>
      <c r="DB5" t="str">
        <f t="shared" si="35"/>
        <v>N2-M4-XM01</v>
      </c>
      <c r="DC5" t="str">
        <f t="shared" si="36"/>
        <v>N2-M4-A1</v>
      </c>
      <c r="DD5" t="str">
        <f t="shared" si="37"/>
        <v>N2-M4-A5</v>
      </c>
      <c r="DE5" t="str">
        <f t="shared" si="38"/>
        <v>N2-M4-A11</v>
      </c>
      <c r="DF5" t="str">
        <f t="shared" si="39"/>
        <v>N2-M4-A12</v>
      </c>
      <c r="DG5" t="str">
        <f>CONCATENATE($T5,"-M",$U5,"-A19")</f>
        <v>N2-M4-A19</v>
      </c>
      <c r="DH5" t="str">
        <f>CONCATENATE($T5,"-M",$U5,"-A20")</f>
        <v>N2-M4-A20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15</v>
      </c>
      <c r="EM5">
        <v>16</v>
      </c>
      <c r="EN5">
        <v>16</v>
      </c>
      <c r="EO5">
        <v>22</v>
      </c>
      <c r="EP5">
        <v>23</v>
      </c>
      <c r="EQ5" s="16">
        <v>24</v>
      </c>
      <c r="MA5" t="str">
        <f t="shared" si="40"/>
        <v>DI1-B19</v>
      </c>
    </row>
    <row r="6" spans="1:824" x14ac:dyDescent="0.25">
      <c r="A6" s="61" t="s">
        <v>2035</v>
      </c>
      <c r="B6" t="s">
        <v>2034</v>
      </c>
      <c r="C6" s="3"/>
      <c r="O6" s="2"/>
      <c r="P6" t="s">
        <v>2033</v>
      </c>
      <c r="Q6" s="1"/>
      <c r="S6" s="1" t="s">
        <v>130</v>
      </c>
      <c r="T6" s="14" t="s">
        <v>2019</v>
      </c>
      <c r="U6" s="58">
        <v>5</v>
      </c>
      <c r="V6" s="15" t="s">
        <v>2036</v>
      </c>
      <c r="W6" s="15"/>
      <c r="AC6" t="str">
        <f t="shared" si="41"/>
        <v>A5.1</v>
      </c>
      <c r="AD6" s="43">
        <f t="array" ref="AD6">IF(COUNTIFS(AC$2:AC6,AC6)=1,"1",VALUE(SUBSTITUTE(INDEX(AD:AD,_xlfn.XMATCH(AC6,AC$1:AC5,0,-1)),"A",""))+INDEX(AE:AE,_xlfn.XMATCH(AC6,AC$1:AC5,0,-1))+1)</f>
        <v>23</v>
      </c>
      <c r="AE6" s="43">
        <f t="array" ref="AE6">SUM(IF(ISNUMBER(FIND("TmDi",$BE$1:$AAQ$1)),IF(IFERROR(ISNUMBER(VALUE(SUBSTITUTE($BE6:$AAQ6,"B",""))),FALSE),IF(ISNUMBER(VALUE(SUBSTITUTE($BE6:$AAQ6,"B",""))),1,0),0)))</f>
        <v>3</v>
      </c>
      <c r="AF6" t="str">
        <f t="shared" si="0"/>
        <v>C23</v>
      </c>
      <c r="AG6" t="str">
        <f t="shared" si="1"/>
        <v>B23</v>
      </c>
      <c r="AH6" t="str">
        <f t="shared" si="42"/>
        <v>A6.1</v>
      </c>
      <c r="AI6" s="66">
        <f t="array" ref="AI6">IF(COUNTIFS(AH$2:AH6,AH6)=1,"1",VALUE(SUBSTITUTE(INDEX(AI:AI,_xlfn.XMATCH(AH6,AH$1:AH5,0,-1)),"A",""))+INDEX(AJ:AJ,_xlfn.XMATCH(AH6,AH$1:AH5,0,-1))+1)</f>
        <v>13</v>
      </c>
      <c r="AJ6" s="59">
        <f t="array" ref="AJ6">SUM(IF(ISNUMBER(FIND("TmDo",$BE$1:$AAQ$1)),IF(IFERROR(ISNUMBER(VALUE(SUBSTITUTE($BE6:$AAQ6,"B",""))),FALSE),IF(ISNUMBER(VALUE(SUBSTITUTE($BE6:$AAQ6,"B",""))),1,0),0)))</f>
        <v>2</v>
      </c>
      <c r="AK6" t="str">
        <f t="shared" si="2"/>
        <v>13A</v>
      </c>
      <c r="AL6" t="str">
        <f t="shared" si="3"/>
        <v>13B</v>
      </c>
      <c r="AM6" t="s">
        <v>161</v>
      </c>
      <c r="AP6" t="s">
        <v>2022</v>
      </c>
      <c r="AQ6" t="s">
        <v>2023</v>
      </c>
      <c r="AT6" t="s">
        <v>139</v>
      </c>
      <c r="AU6" t="s">
        <v>140</v>
      </c>
      <c r="BD6" s="16"/>
      <c r="BE6" s="27" t="str">
        <f t="shared" si="4"/>
        <v>XT5</v>
      </c>
      <c r="BF6" t="str">
        <f t="shared" si="5"/>
        <v>C24</v>
      </c>
      <c r="BG6" t="str">
        <f t="shared" si="6"/>
        <v>B24</v>
      </c>
      <c r="BH6" t="str">
        <f t="shared" si="7"/>
        <v>C25</v>
      </c>
      <c r="BI6" t="str">
        <f t="shared" si="8"/>
        <v>B25</v>
      </c>
      <c r="BJ6" t="str">
        <f t="shared" si="9"/>
        <v>C26</v>
      </c>
      <c r="BK6" t="str">
        <f t="shared" si="10"/>
        <v>B26</v>
      </c>
      <c r="BP6" t="str">
        <f t="shared" si="11"/>
        <v>14A</v>
      </c>
      <c r="BQ6" t="str">
        <f t="shared" si="12"/>
        <v>14B</v>
      </c>
      <c r="BR6" t="str">
        <f t="shared" si="13"/>
        <v>15A</v>
      </c>
      <c r="BS6" t="str">
        <f t="shared" si="14"/>
        <v>15B</v>
      </c>
      <c r="BT6" t="str">
        <f t="shared" si="15"/>
        <v>DI1-C23</v>
      </c>
      <c r="BU6" t="str">
        <f t="shared" si="15"/>
        <v>DI1-B23</v>
      </c>
      <c r="BV6" t="str">
        <f t="shared" si="16"/>
        <v>DI1-C24</v>
      </c>
      <c r="BW6" t="str">
        <f t="shared" si="16"/>
        <v>DI1-B24</v>
      </c>
      <c r="BX6" t="str">
        <f t="shared" si="16"/>
        <v>DI1-C25</v>
      </c>
      <c r="BY6" t="str">
        <f t="shared" si="16"/>
        <v>DI1-B25</v>
      </c>
      <c r="BZ6" t="str">
        <f t="shared" si="16"/>
        <v>DI1-C26</v>
      </c>
      <c r="CA6" t="str">
        <f t="shared" si="16"/>
        <v>DI1-B26</v>
      </c>
      <c r="CB6" t="str">
        <f t="shared" si="16"/>
        <v>DI1-</v>
      </c>
      <c r="CC6" t="str">
        <f t="shared" si="16"/>
        <v>DI1-</v>
      </c>
      <c r="CD6" t="str">
        <f t="shared" si="16"/>
        <v>DI1-</v>
      </c>
      <c r="CE6" t="str">
        <f t="shared" si="16"/>
        <v>DI1-</v>
      </c>
      <c r="CF6" t="str">
        <f t="shared" si="17"/>
        <v>DO1-13A</v>
      </c>
      <c r="CG6" t="str">
        <f t="shared" si="17"/>
        <v>DO1-13B</v>
      </c>
      <c r="CH6" t="str">
        <f t="shared" si="18"/>
        <v>DO1-14A</v>
      </c>
      <c r="CI6" t="str">
        <f t="shared" si="18"/>
        <v>DO1-14B</v>
      </c>
      <c r="CJ6" t="str">
        <f t="shared" si="18"/>
        <v>DO1-15A</v>
      </c>
      <c r="CK6" t="str">
        <f t="shared" si="18"/>
        <v>DO1-15B</v>
      </c>
      <c r="CL6" t="str">
        <f t="shared" si="19"/>
        <v>K5-10</v>
      </c>
      <c r="CM6" t="str">
        <f t="shared" si="20"/>
        <v>K5-03</v>
      </c>
      <c r="CN6" t="str">
        <f t="shared" si="21"/>
        <v>K5-04</v>
      </c>
      <c r="CO6" t="str">
        <f t="shared" si="22"/>
        <v>K5-01</v>
      </c>
      <c r="CP6" t="str">
        <f t="shared" si="23"/>
        <v>K5-08</v>
      </c>
      <c r="CQ6" t="str">
        <f t="shared" si="24"/>
        <v>K5-02</v>
      </c>
      <c r="CR6" t="str">
        <f t="shared" si="25"/>
        <v>K5-09</v>
      </c>
      <c r="CS6" t="str">
        <f t="shared" si="26"/>
        <v>K5-05</v>
      </c>
      <c r="CT6" t="str">
        <f t="shared" si="27"/>
        <v>K5-11</v>
      </c>
      <c r="CU6" t="str">
        <f t="shared" si="28"/>
        <v>N2-M5-A9</v>
      </c>
      <c r="CV6" t="str">
        <f t="shared" si="29"/>
        <v>N2-M5-A7</v>
      </c>
      <c r="CW6" t="str">
        <f t="shared" si="30"/>
        <v>N2-M5-A8</v>
      </c>
      <c r="CX6" t="str">
        <f t="shared" si="31"/>
        <v>N2-M5-A6</v>
      </c>
      <c r="CY6" t="str">
        <f t="shared" si="32"/>
        <v>N2-M5-A30</v>
      </c>
      <c r="CZ6" t="str">
        <f t="shared" si="33"/>
        <v>N2-M5-N</v>
      </c>
      <c r="DA6" t="str">
        <f t="shared" si="34"/>
        <v>N2-A220-M5</v>
      </c>
      <c r="DB6" t="str">
        <f t="shared" si="35"/>
        <v>N2-M5-XM01</v>
      </c>
      <c r="DC6" t="str">
        <f t="shared" si="36"/>
        <v>N2-M5-A1</v>
      </c>
      <c r="DD6" t="str">
        <f t="shared" si="37"/>
        <v>N2-M5-A5</v>
      </c>
      <c r="DE6" t="str">
        <f t="shared" si="38"/>
        <v>N2-M5-A11</v>
      </c>
      <c r="DF6" t="str">
        <f t="shared" si="39"/>
        <v>N2-M5-A12</v>
      </c>
      <c r="DG6" t="str">
        <f>CONCATENATE($T6,"-M",$U6,"-A19")</f>
        <v>N2-M5-A19</v>
      </c>
      <c r="DH6" t="str">
        <f>CONCATENATE($T6,"-M",$U6,"-A20")</f>
        <v>N2-M5-A20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15</v>
      </c>
      <c r="EM6">
        <v>16</v>
      </c>
      <c r="EN6">
        <v>16</v>
      </c>
      <c r="EO6">
        <v>22</v>
      </c>
      <c r="EP6">
        <v>23</v>
      </c>
      <c r="EQ6" s="16">
        <v>24</v>
      </c>
      <c r="MA6" t="str">
        <f t="shared" si="40"/>
        <v>DI1-B23</v>
      </c>
    </row>
    <row r="7" spans="1:824" x14ac:dyDescent="0.25">
      <c r="A7" s="61" t="s">
        <v>2038</v>
      </c>
      <c r="B7" t="s">
        <v>2037</v>
      </c>
      <c r="C7" s="3"/>
      <c r="O7" s="2"/>
      <c r="P7" t="s">
        <v>2033</v>
      </c>
      <c r="Q7" s="1"/>
      <c r="S7" s="1" t="s">
        <v>130</v>
      </c>
      <c r="T7" s="14" t="s">
        <v>2019</v>
      </c>
      <c r="U7" s="58">
        <v>6</v>
      </c>
      <c r="V7" s="15" t="s">
        <v>2039</v>
      </c>
      <c r="W7" s="15"/>
      <c r="AC7" t="str">
        <f t="shared" si="41"/>
        <v>A5.1</v>
      </c>
      <c r="AD7" s="43">
        <f t="array" ref="AD7">IF(COUNTIFS(AC$2:AC7,AC7)=1,"1",VALUE(SUBSTITUTE(INDEX(AD:AD,_xlfn.XMATCH(AC7,AC$1:AC6,0,-1)),"A",""))+INDEX(AE:AE,_xlfn.XMATCH(AC7,AC$1:AC6,0,-1))+1)</f>
        <v>27</v>
      </c>
      <c r="AE7" s="43">
        <f t="array" ref="AE7">SUM(IF(ISNUMBER(FIND("TmDi",$BE$1:$AAQ$1)),IF(IFERROR(ISNUMBER(VALUE(SUBSTITUTE($BE7:$AAQ7,"B",""))),FALSE),IF(ISNUMBER(VALUE(SUBSTITUTE($BE7:$AAQ7,"B",""))),1,0),0)))</f>
        <v>3</v>
      </c>
      <c r="AF7" t="str">
        <f t="shared" si="0"/>
        <v>C27</v>
      </c>
      <c r="AG7" t="str">
        <f t="shared" si="1"/>
        <v>B27</v>
      </c>
      <c r="AH7" t="str">
        <f t="shared" si="42"/>
        <v>A6.1</v>
      </c>
      <c r="AI7" s="66">
        <f t="array" ref="AI7">IF(COUNTIFS(AH$2:AH7,AH7)=1,"1",VALUE(SUBSTITUTE(INDEX(AI:AI,_xlfn.XMATCH(AH7,AH$1:AH6,0,-1)),"A",""))+INDEX(AJ:AJ,_xlfn.XMATCH(AH7,AH$1:AH6,0,-1))+1)</f>
        <v>16</v>
      </c>
      <c r="AJ7" s="59">
        <f t="array" ref="AJ7">SUM(IF(ISNUMBER(FIND("TmDo",$BE$1:$AAQ$1)),IF(IFERROR(ISNUMBER(VALUE(SUBSTITUTE($BE7:$AAQ7,"B",""))),FALSE),IF(ISNUMBER(VALUE(SUBSTITUTE($BE7:$AAQ7,"B",""))),1,0),0)))</f>
        <v>2</v>
      </c>
      <c r="AK7" t="str">
        <f t="shared" si="2"/>
        <v>16A</v>
      </c>
      <c r="AL7" t="str">
        <f t="shared" si="3"/>
        <v>16B</v>
      </c>
      <c r="AM7" t="s">
        <v>163</v>
      </c>
      <c r="AP7" t="s">
        <v>2022</v>
      </c>
      <c r="AQ7" t="s">
        <v>2023</v>
      </c>
      <c r="AT7" t="s">
        <v>139</v>
      </c>
      <c r="AU7" t="s">
        <v>140</v>
      </c>
      <c r="BD7" s="16"/>
      <c r="BE7" s="27" t="str">
        <f t="shared" si="4"/>
        <v>XT6</v>
      </c>
      <c r="BF7" t="str">
        <f t="shared" si="5"/>
        <v>C28</v>
      </c>
      <c r="BG7" t="str">
        <f t="shared" si="6"/>
        <v>B28</v>
      </c>
      <c r="BH7" t="str">
        <f t="shared" si="7"/>
        <v>C29</v>
      </c>
      <c r="BI7" t="str">
        <f t="shared" si="8"/>
        <v>B29</v>
      </c>
      <c r="BJ7" t="str">
        <f t="shared" si="9"/>
        <v>C30</v>
      </c>
      <c r="BK7" t="str">
        <f t="shared" si="10"/>
        <v>B30</v>
      </c>
      <c r="BP7" t="str">
        <f t="shared" si="11"/>
        <v>17A</v>
      </c>
      <c r="BQ7" t="str">
        <f t="shared" si="12"/>
        <v>17B</v>
      </c>
      <c r="BR7" t="str">
        <f t="shared" si="13"/>
        <v>18A</v>
      </c>
      <c r="BS7" t="str">
        <f t="shared" si="14"/>
        <v>18B</v>
      </c>
      <c r="BT7" t="str">
        <f t="shared" si="15"/>
        <v>DI1-C27</v>
      </c>
      <c r="BU7" t="str">
        <f t="shared" si="15"/>
        <v>DI1-B27</v>
      </c>
      <c r="BV7" t="str">
        <f t="shared" si="16"/>
        <v>DI1-C28</v>
      </c>
      <c r="BW7" t="str">
        <f t="shared" si="16"/>
        <v>DI1-B28</v>
      </c>
      <c r="BX7" t="str">
        <f t="shared" si="16"/>
        <v>DI1-C29</v>
      </c>
      <c r="BY7" t="str">
        <f t="shared" si="16"/>
        <v>DI1-B29</v>
      </c>
      <c r="BZ7" t="str">
        <f t="shared" si="16"/>
        <v>DI1-C30</v>
      </c>
      <c r="CA7" t="str">
        <f t="shared" si="16"/>
        <v>DI1-B30</v>
      </c>
      <c r="CB7" t="str">
        <f t="shared" si="16"/>
        <v>DI1-</v>
      </c>
      <c r="CC7" t="str">
        <f t="shared" si="16"/>
        <v>DI1-</v>
      </c>
      <c r="CD7" t="str">
        <f t="shared" si="16"/>
        <v>DI1-</v>
      </c>
      <c r="CE7" t="str">
        <f t="shared" si="16"/>
        <v>DI1-</v>
      </c>
      <c r="CF7" t="str">
        <f t="shared" si="17"/>
        <v>DO1-16A</v>
      </c>
      <c r="CG7" t="str">
        <f t="shared" si="17"/>
        <v>DO1-16B</v>
      </c>
      <c r="CH7" t="str">
        <f t="shared" si="18"/>
        <v>DO1-17A</v>
      </c>
      <c r="CI7" t="str">
        <f t="shared" si="18"/>
        <v>DO1-17B</v>
      </c>
      <c r="CJ7" t="str">
        <f t="shared" si="18"/>
        <v>DO1-18A</v>
      </c>
      <c r="CK7" t="str">
        <f t="shared" si="18"/>
        <v>DO1-18B</v>
      </c>
      <c r="CL7" t="str">
        <f t="shared" si="19"/>
        <v>K6-10</v>
      </c>
      <c r="CM7" t="str">
        <f t="shared" si="20"/>
        <v>K6-03</v>
      </c>
      <c r="CN7" t="str">
        <f t="shared" si="21"/>
        <v>K6-04</v>
      </c>
      <c r="CO7" t="str">
        <f t="shared" si="22"/>
        <v>K6-01</v>
      </c>
      <c r="CP7" t="str">
        <f t="shared" si="23"/>
        <v>K6-08</v>
      </c>
      <c r="CQ7" t="str">
        <f t="shared" si="24"/>
        <v>K6-02</v>
      </c>
      <c r="CR7" t="str">
        <f t="shared" si="25"/>
        <v>K6-09</v>
      </c>
      <c r="CS7" t="str">
        <f t="shared" si="26"/>
        <v>K6-05</v>
      </c>
      <c r="CT7" t="str">
        <f t="shared" si="27"/>
        <v>K6-11</v>
      </c>
      <c r="CU7" t="str">
        <f t="shared" si="28"/>
        <v>N2-M6-A9</v>
      </c>
      <c r="CV7" t="str">
        <f t="shared" si="29"/>
        <v>N2-M6-A7</v>
      </c>
      <c r="CW7" t="str">
        <f t="shared" si="30"/>
        <v>N2-M6-A8</v>
      </c>
      <c r="CX7" t="str">
        <f t="shared" si="31"/>
        <v>N2-M6-A6</v>
      </c>
      <c r="CY7" t="str">
        <f t="shared" si="32"/>
        <v>N2-M6-A30</v>
      </c>
      <c r="CZ7" t="str">
        <f t="shared" si="33"/>
        <v>N2-M6-N</v>
      </c>
      <c r="DA7" t="str">
        <f t="shared" si="34"/>
        <v>N2-A220-M6</v>
      </c>
      <c r="DB7" t="str">
        <f t="shared" si="35"/>
        <v>N2-M6-XM01</v>
      </c>
      <c r="DC7" t="str">
        <f t="shared" si="36"/>
        <v>N2-M6-A1</v>
      </c>
      <c r="DD7" t="str">
        <f t="shared" si="37"/>
        <v>N2-M6-A5</v>
      </c>
      <c r="DE7" t="str">
        <f t="shared" si="38"/>
        <v>N2-M6-A11</v>
      </c>
      <c r="DF7" t="str">
        <f t="shared" si="39"/>
        <v>N2-M6-A12</v>
      </c>
      <c r="DG7" t="str">
        <f>CONCATENATE($T7,"-M",$U7,"-A19")</f>
        <v>N2-M6-A19</v>
      </c>
      <c r="DH7" t="str">
        <f>CONCATENATE($T7,"-M",$U7,"-A20")</f>
        <v>N2-M6-A20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15</v>
      </c>
      <c r="EM7">
        <v>16</v>
      </c>
      <c r="EN7">
        <v>16</v>
      </c>
      <c r="EO7">
        <v>22</v>
      </c>
      <c r="EP7">
        <v>23</v>
      </c>
      <c r="EQ7" s="16">
        <v>24</v>
      </c>
      <c r="MA7" t="str">
        <f t="shared" si="40"/>
        <v>DI1-B27</v>
      </c>
    </row>
    <row r="8" spans="1:824" x14ac:dyDescent="0.25">
      <c r="A8" s="61" t="s">
        <v>2042</v>
      </c>
      <c r="B8" t="s">
        <v>2041</v>
      </c>
      <c r="C8" s="3"/>
      <c r="O8" s="2"/>
      <c r="P8" t="s">
        <v>2033</v>
      </c>
      <c r="Q8" s="1"/>
      <c r="S8" s="1" t="s">
        <v>130</v>
      </c>
      <c r="T8" s="14" t="s">
        <v>2019</v>
      </c>
      <c r="U8" s="58">
        <v>7</v>
      </c>
      <c r="V8" s="15" t="s">
        <v>2040</v>
      </c>
      <c r="W8" s="15"/>
      <c r="AC8" t="str">
        <f t="shared" si="41"/>
        <v>A5.2</v>
      </c>
      <c r="AD8" s="43" t="str">
        <f t="array" ref="AD8">IF(COUNTIFS(AC$2:AC8,AC8)=1,"1",VALUE(SUBSTITUTE(INDEX(AD:AD,_xlfn.XMATCH(AC8,AC$1:AC7,0,-1)),"A",""))+INDEX(AE:AE,_xlfn.XMATCH(AC8,AC$1:AC7,0,-1))+1)</f>
        <v>1</v>
      </c>
      <c r="AE8" s="43">
        <f t="array" ref="AE8">SUM(IF(ISNUMBER(FIND("TmDi",$BE$1:$AAQ$1)),IF(IFERROR(ISNUMBER(VALUE(SUBSTITUTE($BE8:$AAQ8,"B",""))),FALSE),IF(ISNUMBER(VALUE(SUBSTITUTE($BE8:$AAQ8,"B",""))),1,0),0)))</f>
        <v>3</v>
      </c>
      <c r="AF8" t="str">
        <f t="shared" si="0"/>
        <v>C1</v>
      </c>
      <c r="AG8" t="str">
        <f t="shared" si="1"/>
        <v>B1</v>
      </c>
      <c r="AH8" t="str">
        <f t="shared" si="42"/>
        <v>A6.1</v>
      </c>
      <c r="AI8" s="66">
        <f t="array" ref="AI8">IF(COUNTIFS(AH$2:AH8,AH8)=1,"1",VALUE(SUBSTITUTE(INDEX(AI:AI,_xlfn.XMATCH(AH8,AH$1:AH7,0,-1)),"A",""))+INDEX(AJ:AJ,_xlfn.XMATCH(AH8,AH$1:AH7,0,-1))+1)</f>
        <v>19</v>
      </c>
      <c r="AJ8" s="59">
        <f t="array" ref="AJ8">SUM(IF(ISNUMBER(FIND("TmDo",$BE$1:$AAQ$1)),IF(IFERROR(ISNUMBER(VALUE(SUBSTITUTE($BE8:$AAQ8,"B",""))),FALSE),IF(ISNUMBER(VALUE(SUBSTITUTE($BE8:$AAQ8,"B",""))),1,0),0)))</f>
        <v>2</v>
      </c>
      <c r="AK8" t="str">
        <f t="shared" si="2"/>
        <v>19A</v>
      </c>
      <c r="AL8" t="str">
        <f t="shared" si="3"/>
        <v>19B</v>
      </c>
      <c r="AM8" t="s">
        <v>166</v>
      </c>
      <c r="AP8" t="s">
        <v>2022</v>
      </c>
      <c r="AQ8" t="s">
        <v>2023</v>
      </c>
      <c r="AT8" t="s">
        <v>139</v>
      </c>
      <c r="AU8" t="s">
        <v>140</v>
      </c>
      <c r="BD8" s="16"/>
      <c r="BE8" s="27" t="str">
        <f t="shared" si="4"/>
        <v>XT7</v>
      </c>
      <c r="BF8" t="str">
        <f t="shared" si="5"/>
        <v>C2</v>
      </c>
      <c r="BG8" t="str">
        <f t="shared" si="6"/>
        <v>B2</v>
      </c>
      <c r="BH8" t="str">
        <f t="shared" si="7"/>
        <v>C3</v>
      </c>
      <c r="BI8" t="str">
        <f t="shared" si="8"/>
        <v>B3</v>
      </c>
      <c r="BJ8" t="str">
        <f t="shared" si="9"/>
        <v>C4</v>
      </c>
      <c r="BK8" t="str">
        <f t="shared" si="10"/>
        <v>B4</v>
      </c>
      <c r="BP8" t="str">
        <f t="shared" si="11"/>
        <v>20A</v>
      </c>
      <c r="BQ8" t="str">
        <f t="shared" si="12"/>
        <v>20B</v>
      </c>
      <c r="BR8" t="str">
        <f t="shared" si="13"/>
        <v>21A</v>
      </c>
      <c r="BS8" t="str">
        <f t="shared" si="14"/>
        <v>21B</v>
      </c>
      <c r="BT8" t="str">
        <f t="shared" si="15"/>
        <v>DI2-C1</v>
      </c>
      <c r="BU8" t="str">
        <f t="shared" si="15"/>
        <v>DI2-B1</v>
      </c>
      <c r="BV8" t="str">
        <f t="shared" si="16"/>
        <v>DI2-C2</v>
      </c>
      <c r="BW8" t="str">
        <f t="shared" si="16"/>
        <v>DI2-B2</v>
      </c>
      <c r="BX8" t="str">
        <f t="shared" si="16"/>
        <v>DI2-C3</v>
      </c>
      <c r="BY8" t="str">
        <f t="shared" si="16"/>
        <v>DI2-B3</v>
      </c>
      <c r="BZ8" t="str">
        <f t="shared" si="16"/>
        <v>DI2-C4</v>
      </c>
      <c r="CA8" t="str">
        <f t="shared" si="16"/>
        <v>DI2-B4</v>
      </c>
      <c r="CB8" t="str">
        <f t="shared" si="16"/>
        <v>DI2-</v>
      </c>
      <c r="CC8" t="str">
        <f t="shared" si="16"/>
        <v>DI2-</v>
      </c>
      <c r="CD8" t="str">
        <f t="shared" si="16"/>
        <v>DI2-</v>
      </c>
      <c r="CE8" t="str">
        <f t="shared" si="16"/>
        <v>DI2-</v>
      </c>
      <c r="CF8" t="str">
        <f t="shared" si="17"/>
        <v>DO1-19A</v>
      </c>
      <c r="CG8" t="str">
        <f t="shared" si="17"/>
        <v>DO1-19B</v>
      </c>
      <c r="CH8" t="str">
        <f t="shared" si="18"/>
        <v>DO1-20A</v>
      </c>
      <c r="CI8" t="str">
        <f t="shared" si="18"/>
        <v>DO1-20B</v>
      </c>
      <c r="CJ8" t="str">
        <f t="shared" si="18"/>
        <v>DO1-21A</v>
      </c>
      <c r="CK8" t="str">
        <f t="shared" si="18"/>
        <v>DO1-21B</v>
      </c>
      <c r="CL8" t="str">
        <f t="shared" si="19"/>
        <v>K7-10</v>
      </c>
      <c r="CM8" t="str">
        <f t="shared" si="20"/>
        <v>K7-03</v>
      </c>
      <c r="CN8" t="str">
        <f t="shared" si="21"/>
        <v>K7-04</v>
      </c>
      <c r="CO8" t="str">
        <f t="shared" si="22"/>
        <v>K7-01</v>
      </c>
      <c r="CP8" t="str">
        <f t="shared" si="23"/>
        <v>K7-08</v>
      </c>
      <c r="CQ8" t="str">
        <f t="shared" si="24"/>
        <v>K7-02</v>
      </c>
      <c r="CR8" t="str">
        <f t="shared" si="25"/>
        <v>K7-09</v>
      </c>
      <c r="CS8" t="str">
        <f t="shared" si="26"/>
        <v>K7-05</v>
      </c>
      <c r="CT8" t="str">
        <f t="shared" si="27"/>
        <v>K7-11</v>
      </c>
      <c r="CU8" t="str">
        <f t="shared" si="28"/>
        <v>N2-M7-A9</v>
      </c>
      <c r="CV8" t="str">
        <f t="shared" si="29"/>
        <v>N2-M7-A7</v>
      </c>
      <c r="CW8" t="str">
        <f t="shared" si="30"/>
        <v>N2-M7-A8</v>
      </c>
      <c r="CX8" t="str">
        <f t="shared" si="31"/>
        <v>N2-M7-A6</v>
      </c>
      <c r="CY8" t="str">
        <f t="shared" si="32"/>
        <v>N2-M7-A30</v>
      </c>
      <c r="CZ8" t="str">
        <f t="shared" si="33"/>
        <v>N2-M7-N</v>
      </c>
      <c r="DA8" t="str">
        <f t="shared" si="34"/>
        <v>N2-A220-M7</v>
      </c>
      <c r="DB8" t="str">
        <f t="shared" si="35"/>
        <v>N2-M7-XM01</v>
      </c>
      <c r="DC8" t="str">
        <f t="shared" si="36"/>
        <v>N2-M7-A1</v>
      </c>
      <c r="DD8" t="str">
        <f t="shared" si="37"/>
        <v>N2-M7-A5</v>
      </c>
      <c r="DE8" t="str">
        <f t="shared" si="38"/>
        <v>N2-M7-A11</v>
      </c>
      <c r="DF8" t="str">
        <f t="shared" si="39"/>
        <v>N2-M7-A12</v>
      </c>
      <c r="DG8" t="str">
        <f>CONCATENATE($T8,"-M",$U8,"-A19")</f>
        <v>N2-M7-A19</v>
      </c>
      <c r="DH8" t="str">
        <f>CONCATENATE($T8,"-M",$U8,"-A20")</f>
        <v>N2-M7-A20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15</v>
      </c>
      <c r="EM8">
        <v>16</v>
      </c>
      <c r="EN8">
        <v>16</v>
      </c>
      <c r="EO8">
        <v>22</v>
      </c>
      <c r="EP8">
        <v>23</v>
      </c>
      <c r="EQ8" s="16">
        <v>24</v>
      </c>
      <c r="MA8" t="str">
        <f t="shared" si="40"/>
        <v>DI2-B1</v>
      </c>
    </row>
    <row r="9" spans="1:824" x14ac:dyDescent="0.25">
      <c r="A9" t="s">
        <v>2046</v>
      </c>
      <c r="B9" t="s">
        <v>2045</v>
      </c>
      <c r="P9" t="s">
        <v>391</v>
      </c>
      <c r="T9" s="14" t="s">
        <v>2019</v>
      </c>
      <c r="U9" s="58">
        <f>U8+1</f>
        <v>8</v>
      </c>
      <c r="V9" s="15" t="s">
        <v>2044</v>
      </c>
      <c r="W9" s="15" t="s">
        <v>2043</v>
      </c>
      <c r="X9" t="s">
        <v>400</v>
      </c>
      <c r="Y9" s="43" t="str">
        <f t="array" ref="Y9">IF(COUNTIFS($X$2:$X9,$X9)=1,"1",VALUE(SUBSTITUTE(INDEX(Y:Y,_xlfn.XMATCH($X9,$X$1:$X8,0,-1)),"A",""))+INDEX(Z:Z,_xlfn.XMATCH($X9,$X$1:$X8,0,-1))+1)</f>
        <v>1</v>
      </c>
      <c r="Z9" s="43">
        <f t="array" ref="Z9">SUM(IF(ISNUMBER(FIND("TmAi",$BE$1:$AAQ$1)),IF(IFERROR(ISODD(SUBSTITUTE($BE9:$AAQ9,"A","")),FALSE),IF(ISODD(SUBSTITUTE($BE9:$AAQ9,"A","")),1,0),0)))</f>
        <v>0</v>
      </c>
      <c r="AA9" t="str">
        <f>CONCATENATE($Y9*2-1,"A")</f>
        <v>1A</v>
      </c>
      <c r="AB9" t="str">
        <f>CONCATENATE($Y9*2-1,"B")</f>
        <v>1B</v>
      </c>
      <c r="AC9" t="str">
        <f>IF(AD8+AE8&gt;25,REPLACE(AC8,LEN(AC8),1,VALUE(RIGHT(AC8,1))+1),AC8)</f>
        <v>A5.2</v>
      </c>
      <c r="AD9" s="43">
        <f t="array" ref="AD9">IF(COUNTIFS(AC$2:AC9,AC9)=1,"1",VALUE(SUBSTITUTE(INDEX(AD:AD,_xlfn.XMATCH(AC9,AC$1:AC8,0,-1)),"A",""))+INDEX(AE:AE,_xlfn.XMATCH(AC9,AC$1:AC8,0,-1))+1)</f>
        <v>5</v>
      </c>
      <c r="AE9" s="43">
        <f t="array" ref="AE9">SUM(IF(ISNUMBER(FIND("TmDi",$BE$1:$AAQ$1)),IF(IFERROR(ISNUMBER(VALUE(SUBSTITUTE($BE9:$AAQ9,"B",""))),FALSE),IF(ISNUMBER(VALUE(SUBSTITUTE($BE9:$AAQ9,"B",""))),1,0),0)))</f>
        <v>5</v>
      </c>
      <c r="AF9" t="str">
        <f t="shared" si="0"/>
        <v>C5</v>
      </c>
      <c r="AG9" t="str">
        <f t="shared" si="1"/>
        <v>B5</v>
      </c>
      <c r="AH9" t="str">
        <f>IF(AI8+AJ8&gt;25,REPLACE(AH8,LEN(AH8),1,VALUE(RIGHT(AH8,1))+1),AH8)</f>
        <v>A6.1</v>
      </c>
      <c r="AI9" s="66">
        <f t="array" ref="AI9">IF(COUNTIFS(AH$2:AH9,AH9)=1,"1",VALUE(SUBSTITUTE(INDEX(AI:AI,_xlfn.XMATCH(AH9,AH$1:AH8,0,-1)),"A",""))+INDEX(AJ:AJ,_xlfn.XMATCH(AH9,AH$1:AH8,0,-1))+1)</f>
        <v>22</v>
      </c>
      <c r="AJ9" s="59">
        <f t="array" ref="AJ9">SUM(IF(ISNUMBER(FIND("TmDo",$BE$1:$AAQ$1)),IF(IFERROR(ISNUMBER(VALUE(SUBSTITUTE($BE9:$AAQ9,"B",""))),FALSE),IF(ISNUMBER(VALUE(SUBSTITUTE($BE9:$AAQ9,"B",""))),1,0),0)))</f>
        <v>1</v>
      </c>
      <c r="AK9" t="str">
        <f t="shared" si="2"/>
        <v>22A</v>
      </c>
      <c r="AL9" t="str">
        <f t="shared" si="3"/>
        <v>22B</v>
      </c>
      <c r="AM9" t="s">
        <v>169</v>
      </c>
      <c r="AP9" t="s">
        <v>2022</v>
      </c>
      <c r="AQ9" t="s">
        <v>2023</v>
      </c>
      <c r="AS9" t="s">
        <v>396</v>
      </c>
      <c r="AT9" t="s">
        <v>139</v>
      </c>
      <c r="AU9" t="s">
        <v>140</v>
      </c>
      <c r="BD9" s="16"/>
      <c r="GT9" s="27" t="str">
        <f>CONCATENATE("XT",U9)</f>
        <v>XT8</v>
      </c>
      <c r="GU9" t="str">
        <f>CONCATENATE("C",REPLACE(AF9,1,1,"")+1)</f>
        <v>C6</v>
      </c>
      <c r="GV9" t="str">
        <f>CONCATENATE("B",REPLACE(AG9,1,1,"")+1)</f>
        <v>B6</v>
      </c>
      <c r="GW9" t="str">
        <f>CONCATENATE("C",REPLACE(GU9,1,1,"")+1)</f>
        <v>C7</v>
      </c>
      <c r="GX9" t="str">
        <f>CONCATENATE("B",REPLACE(GV9,1,1,"")+1)</f>
        <v>B7</v>
      </c>
      <c r="GY9" t="str">
        <f>CONCATENATE("C",REPLACE(GW9,1,1,"")+1)</f>
        <v>C8</v>
      </c>
      <c r="GZ9" t="str">
        <f>CONCATENATE("B",REPLACE(GX9,1,1,"")+1)</f>
        <v>B8</v>
      </c>
      <c r="HA9" t="str">
        <f>CONCATENATE("C",REPLACE(GY9,1,1,"")+1)</f>
        <v>C9</v>
      </c>
      <c r="HB9" t="str">
        <f>CONCATENATE("B",REPLACE(GZ9,1,1,"")+1)</f>
        <v>B9</v>
      </c>
      <c r="HC9" t="str">
        <f>CONCATENATE("C",REPLACE(HA9,1,1,"")+1)</f>
        <v>C10</v>
      </c>
      <c r="HD9" t="str">
        <f>CONCATENATE("B",REPLACE(HB9,1,1,"")+1)</f>
        <v>B10</v>
      </c>
      <c r="HE9" t="str">
        <f>CONCATENATE(REPLACE($AK9,LEN($AK9),1,"")+1,"A")</f>
        <v>23A</v>
      </c>
      <c r="HF9" t="str">
        <f>CONCATENATE(REPLACE($AL9,LEN($AL9),1,"")+1,"B")</f>
        <v>23B</v>
      </c>
      <c r="HG9" t="str">
        <f>CONCATENATE("AI",REPLACE($X9,1,3,""),"-",AA9)</f>
        <v>AI1-1A</v>
      </c>
      <c r="HH9" t="str">
        <f>CONCATENATE("AI",REPLACE($X9,1,3,""),"-",AB9)</f>
        <v>AI1-1B</v>
      </c>
      <c r="HI9" t="str">
        <f>CONCATENATE("DI",REPLACE($AC9,1,3,""),"-",AF9)</f>
        <v>DI2-C5</v>
      </c>
      <c r="HJ9" t="str">
        <f>CONCATENATE("DI",REPLACE($AC9,1,3,""),"-",AG9)</f>
        <v>DI2-B5</v>
      </c>
      <c r="HK9" t="str">
        <f t="shared" ref="HK9:HT10" si="43">CONCATENATE("DI",REPLACE($AC9,1,3,""),"-",GU9)</f>
        <v>DI2-C6</v>
      </c>
      <c r="HL9" t="str">
        <f t="shared" si="43"/>
        <v>DI2-B6</v>
      </c>
      <c r="HM9" t="str">
        <f t="shared" si="43"/>
        <v>DI2-C7</v>
      </c>
      <c r="HN9" t="str">
        <f t="shared" si="43"/>
        <v>DI2-B7</v>
      </c>
      <c r="HO9" t="str">
        <f t="shared" si="43"/>
        <v>DI2-C8</v>
      </c>
      <c r="HP9" t="str">
        <f t="shared" si="43"/>
        <v>DI2-B8</v>
      </c>
      <c r="HQ9" t="str">
        <f t="shared" si="43"/>
        <v>DI2-C9</v>
      </c>
      <c r="HR9" t="str">
        <f t="shared" si="43"/>
        <v>DI2-B9</v>
      </c>
      <c r="HS9" t="str">
        <f t="shared" si="43"/>
        <v>DI2-C10</v>
      </c>
      <c r="HT9" t="str">
        <f t="shared" si="43"/>
        <v>DI2-B10</v>
      </c>
      <c r="HU9" t="str">
        <f>CONCATENATE("DO",REPLACE($AH9,1,3,""),"-",AK9)</f>
        <v>DO1-22A</v>
      </c>
      <c r="HV9" t="str">
        <f>CONCATENATE("DO",REPLACE($AH9,1,3,""),"-",AL9)</f>
        <v>DO1-22B</v>
      </c>
      <c r="HW9" t="str">
        <f>CONCATENATE("DO",REPLACE($AH9,1,3,""),"-",HE9)</f>
        <v>DO1-23A</v>
      </c>
      <c r="HX9" t="str">
        <f>CONCATENATE("DO",REPLACE($AH9,1,3,""),"-",HF9)</f>
        <v>DO1-23B</v>
      </c>
      <c r="HY9" t="str">
        <f>CONCATENATE("K",$U9,"-01")</f>
        <v>K8-01</v>
      </c>
      <c r="HZ9" t="str">
        <f>CONCATENATE("K",$U9,"-02")</f>
        <v>K8-02</v>
      </c>
      <c r="IA9" t="str">
        <f>CONCATENATE("K",$U9,"-03")</f>
        <v>K8-03</v>
      </c>
      <c r="IB9" t="str">
        <f>CONCATENATE("K",$U9,"-04")</f>
        <v>K8-04</v>
      </c>
      <c r="IC9" t="str">
        <f>CONCATENATE("K",$U9,"-05")</f>
        <v>K8-05</v>
      </c>
      <c r="ID9" t="str">
        <f>CONCATENATE("K",$U9,"-06")</f>
        <v>K8-06</v>
      </c>
      <c r="IE9" t="str">
        <f>CONCATENATE("K",$U9,"-07")</f>
        <v>K8-07</v>
      </c>
      <c r="IF9" t="str">
        <f>CONCATENATE("K",$U9,"-08")</f>
        <v>K8-08</v>
      </c>
      <c r="IG9" t="str">
        <f>CONCATENATE($T9,"-M",$U9,"-AMS-12")</f>
        <v>N2-M8-AMS-12</v>
      </c>
      <c r="IH9" t="str">
        <f>CONCATENATE($T9,"-M",$U9,"-AMS-10")</f>
        <v>N2-M8-AMS-10</v>
      </c>
      <c r="II9" t="str">
        <f>CONCATENATE($T9,"-M",$U9,"-AMS-11")</f>
        <v>N2-M8-AMS-11</v>
      </c>
      <c r="IJ9" t="str">
        <f>CONCATENATE($T9,"-M",$U9,"-AMS-13")</f>
        <v>N2-M8-AMS-13</v>
      </c>
      <c r="IK9" t="str">
        <f>CONCATENATE($T9,"-M",$U9,"-AMS-9")</f>
        <v>N2-M8-AMS-9</v>
      </c>
      <c r="IL9" t="str">
        <f>CONCATENATE($T9,"-M",$U9,"-AMS-7")</f>
        <v>N2-M8-AMS-7</v>
      </c>
      <c r="IM9" t="str">
        <f>CONCATENATE($T9,"-M",$U9,"-AMS-18")</f>
        <v>N2-M8-AMS-18</v>
      </c>
      <c r="IN9" t="str">
        <f>CONCATENATE($T9,"-M",$U9,"-AMS-20")</f>
        <v>N2-M8-AMS-20</v>
      </c>
      <c r="IO9" t="str">
        <f>CONCATENATE($T9,"-M",$U9,"-AMS-17")</f>
        <v>N2-M8-AMS-17</v>
      </c>
      <c r="IP9" t="str">
        <f>CONCATENATE($T9,"-+24-M",$U9,)</f>
        <v>N2-+24-M8</v>
      </c>
      <c r="IQ9" t="str">
        <f>CONCATENATE($T9,"-M",$U9,"-XM01")</f>
        <v>N2-M8-XM01</v>
      </c>
      <c r="IR9" t="s">
        <v>142</v>
      </c>
      <c r="IS9" t="s">
        <v>143</v>
      </c>
      <c r="IT9">
        <v>11</v>
      </c>
      <c r="IU9">
        <v>14</v>
      </c>
      <c r="IV9" t="s">
        <v>413</v>
      </c>
      <c r="IW9" t="s">
        <v>414</v>
      </c>
      <c r="IX9">
        <v>1</v>
      </c>
      <c r="IY9">
        <v>2</v>
      </c>
      <c r="IZ9">
        <v>3</v>
      </c>
      <c r="JA9">
        <v>4</v>
      </c>
      <c r="JB9">
        <v>5</v>
      </c>
      <c r="JC9">
        <v>6</v>
      </c>
      <c r="JD9">
        <v>7</v>
      </c>
      <c r="JE9">
        <v>8</v>
      </c>
      <c r="JF9">
        <v>9</v>
      </c>
      <c r="JG9">
        <v>10</v>
      </c>
      <c r="JH9">
        <v>11</v>
      </c>
      <c r="JI9">
        <v>12</v>
      </c>
      <c r="JJ9">
        <v>13</v>
      </c>
      <c r="JK9">
        <v>14</v>
      </c>
      <c r="JL9">
        <v>17</v>
      </c>
      <c r="JM9">
        <v>15</v>
      </c>
      <c r="JN9">
        <v>18</v>
      </c>
      <c r="JO9">
        <v>11</v>
      </c>
      <c r="JP9">
        <v>9</v>
      </c>
      <c r="JQ9">
        <v>6</v>
      </c>
      <c r="JR9">
        <v>20</v>
      </c>
      <c r="JS9">
        <v>7</v>
      </c>
      <c r="JT9">
        <v>10</v>
      </c>
      <c r="JU9">
        <v>22</v>
      </c>
      <c r="JV9">
        <v>23</v>
      </c>
      <c r="JW9">
        <v>26</v>
      </c>
      <c r="JX9">
        <v>27</v>
      </c>
      <c r="JY9" s="16">
        <v>30</v>
      </c>
      <c r="MA9" t="str">
        <f t="shared" si="40"/>
        <v>DI2-B5</v>
      </c>
    </row>
    <row r="10" spans="1:824" x14ac:dyDescent="0.25">
      <c r="A10" t="s">
        <v>2048</v>
      </c>
      <c r="B10" t="s">
        <v>2047</v>
      </c>
      <c r="P10" t="s">
        <v>391</v>
      </c>
      <c r="T10" s="14" t="s">
        <v>2019</v>
      </c>
      <c r="U10" s="58">
        <f>U9+1</f>
        <v>9</v>
      </c>
      <c r="V10" s="15" t="s">
        <v>2049</v>
      </c>
      <c r="W10" s="15" t="s">
        <v>2050</v>
      </c>
      <c r="X10" t="str">
        <f>IF(COUNTIF(X$2:X9,X9)&gt;7,REPLACE(X9,LEN(X9),1,VALUE(RIGHT(X9,1))+1),X9)</f>
        <v>A3.1</v>
      </c>
      <c r="Y10" s="43">
        <f t="array" ref="Y10">IF(COUNTIFS($X$2:$X10,$X10)=1,"1",VALUE(SUBSTITUTE(INDEX(Y:Y,_xlfn.XMATCH($X10,$X$1:$X9,0,-1)),"A",""))+INDEX(Z:Z,_xlfn.XMATCH($X10,$X$1:$X9,0,-1))+1)</f>
        <v>2</v>
      </c>
      <c r="Z10" s="43">
        <f t="array" ref="Z10">SUM(IF(ISNUMBER(FIND("TmAi",$BE$1:$AAQ$1)),IF(IFERROR(ISODD(SUBSTITUTE($BE10:$AAQ10,"A","")),FALSE),IF(ISODD(SUBSTITUTE($BE10:$AAQ10,"A","")),1,0),0)))</f>
        <v>0</v>
      </c>
      <c r="AA10" t="str">
        <f>CONCATENATE($Y10*2-1,"A")</f>
        <v>3A</v>
      </c>
      <c r="AB10" t="str">
        <f>CONCATENATE($Y10*2-1,"B")</f>
        <v>3B</v>
      </c>
      <c r="AC10" t="str">
        <f>IF(AD9+AE9&gt;25,REPLACE(AC9,LEN(AC9),1,VALUE(RIGHT(AC9,1))+1),AC9)</f>
        <v>A5.2</v>
      </c>
      <c r="AD10" s="43">
        <f t="array" ref="AD10">IF(COUNTIFS(AC$2:AC10,AC10)=1,"1",VALUE(SUBSTITUTE(INDEX(AD:AD,_xlfn.XMATCH(AC10,AC$1:AC9,0,-1)),"A",""))+INDEX(AE:AE,_xlfn.XMATCH(AC10,AC$1:AC9,0,-1))+1)</f>
        <v>11</v>
      </c>
      <c r="AE10" s="43">
        <f t="array" ref="AE10">SUM(IF(ISNUMBER(FIND("TmDi",$BE$1:$AAQ$1)),IF(IFERROR(ISNUMBER(VALUE(SUBSTITUTE($BE10:$AAQ10,"B",""))),FALSE),IF(ISNUMBER(VALUE(SUBSTITUTE($BE10:$AAQ10,"B",""))),1,0),0)))</f>
        <v>5</v>
      </c>
      <c r="AF10" t="str">
        <f t="shared" si="0"/>
        <v>C11</v>
      </c>
      <c r="AG10" t="str">
        <f t="shared" si="1"/>
        <v>B11</v>
      </c>
      <c r="AH10" t="str">
        <f>IF(AI9+AJ9&gt;25,REPLACE(AH9,LEN(AH9),1,VALUE(RIGHT(AH9,1))+1),AH9)</f>
        <v>A6.1</v>
      </c>
      <c r="AI10" s="66">
        <f t="array" ref="AI10">IF(COUNTIFS(AH$2:AH10,AH10)=1,"1",VALUE(SUBSTITUTE(INDEX(AI:AI,_xlfn.XMATCH(AH10,AH$1:AH9,0,-1)),"A",""))+INDEX(AJ:AJ,_xlfn.XMATCH(AH10,AH$1:AH9,0,-1))+1)</f>
        <v>24</v>
      </c>
      <c r="AJ10" s="59">
        <f t="array" ref="AJ10">SUM(IF(ISNUMBER(FIND("TmDo",$BE$1:$AAQ$1)),IF(IFERROR(ISNUMBER(VALUE(SUBSTITUTE($BE10:$AAQ10,"B",""))),FALSE),IF(ISNUMBER(VALUE(SUBSTITUTE($BE10:$AAQ10,"B",""))),1,0),0)))</f>
        <v>1</v>
      </c>
      <c r="AK10" t="str">
        <f t="shared" si="2"/>
        <v>24A</v>
      </c>
      <c r="AL10" t="str">
        <f t="shared" si="3"/>
        <v>24B</v>
      </c>
      <c r="AM10" t="s">
        <v>172</v>
      </c>
      <c r="AP10" t="s">
        <v>2022</v>
      </c>
      <c r="AQ10" t="s">
        <v>2023</v>
      </c>
      <c r="AS10" t="s">
        <v>396</v>
      </c>
      <c r="AT10" t="s">
        <v>139</v>
      </c>
      <c r="AU10" t="s">
        <v>140</v>
      </c>
      <c r="BD10" s="16"/>
      <c r="GT10" s="27" t="str">
        <f>CONCATENATE("XT",U10)</f>
        <v>XT9</v>
      </c>
      <c r="GU10" t="str">
        <f>CONCATENATE("C",REPLACE(AF10,1,1,"")+1)</f>
        <v>C12</v>
      </c>
      <c r="GV10" t="str">
        <f>CONCATENATE("B",REPLACE(AG10,1,1,"")+1)</f>
        <v>B12</v>
      </c>
      <c r="GW10" t="str">
        <f>CONCATENATE("C",REPLACE(GU10,1,1,"")+1)</f>
        <v>C13</v>
      </c>
      <c r="GX10" t="str">
        <f>CONCATENATE("B",REPLACE(GV10,1,1,"")+1)</f>
        <v>B13</v>
      </c>
      <c r="GY10" t="str">
        <f>CONCATENATE("C",REPLACE(GW10,1,1,"")+1)</f>
        <v>C14</v>
      </c>
      <c r="GZ10" t="str">
        <f>CONCATENATE("B",REPLACE(GX10,1,1,"")+1)</f>
        <v>B14</v>
      </c>
      <c r="HA10" t="str">
        <f>CONCATENATE("C",REPLACE(GY10,1,1,"")+1)</f>
        <v>C15</v>
      </c>
      <c r="HB10" t="str">
        <f>CONCATENATE("B",REPLACE(GZ10,1,1,"")+1)</f>
        <v>B15</v>
      </c>
      <c r="HC10" t="str">
        <f>CONCATENATE("C",REPLACE(HA10,1,1,"")+1)</f>
        <v>C16</v>
      </c>
      <c r="HD10" t="str">
        <f>CONCATENATE("B",REPLACE(HB10,1,1,"")+1)</f>
        <v>B16</v>
      </c>
      <c r="HE10" t="str">
        <f>CONCATENATE(REPLACE(AK10,LEN(AK10),1,"")+1,"A")</f>
        <v>25A</v>
      </c>
      <c r="HF10" t="str">
        <f>CONCATENATE(REPLACE(AL10,LEN(AL10),1,"")+1,"B")</f>
        <v>25B</v>
      </c>
      <c r="HG10" t="str">
        <f>CONCATENATE("AI",REPLACE($X10,1,3,""),"-",AA10)</f>
        <v>AI1-3A</v>
      </c>
      <c r="HH10" t="str">
        <f>CONCATENATE("AI",REPLACE($X10,1,3,""),"-",AB10)</f>
        <v>AI1-3B</v>
      </c>
      <c r="HI10" t="str">
        <f>CONCATENATE("DI",REPLACE($AC10,1,3,""),"-",AF10)</f>
        <v>DI2-C11</v>
      </c>
      <c r="HJ10" t="str">
        <f>CONCATENATE("DI",REPLACE($AC10,1,3,""),"-",AG10)</f>
        <v>DI2-B11</v>
      </c>
      <c r="HK10" t="str">
        <f t="shared" si="43"/>
        <v>DI2-C12</v>
      </c>
      <c r="HL10" t="str">
        <f t="shared" si="43"/>
        <v>DI2-B12</v>
      </c>
      <c r="HM10" t="str">
        <f t="shared" si="43"/>
        <v>DI2-C13</v>
      </c>
      <c r="HN10" t="str">
        <f t="shared" si="43"/>
        <v>DI2-B13</v>
      </c>
      <c r="HO10" t="str">
        <f t="shared" si="43"/>
        <v>DI2-C14</v>
      </c>
      <c r="HP10" t="str">
        <f t="shared" si="43"/>
        <v>DI2-B14</v>
      </c>
      <c r="HQ10" t="str">
        <f t="shared" si="43"/>
        <v>DI2-C15</v>
      </c>
      <c r="HR10" t="str">
        <f t="shared" si="43"/>
        <v>DI2-B15</v>
      </c>
      <c r="HS10" t="str">
        <f t="shared" si="43"/>
        <v>DI2-C16</v>
      </c>
      <c r="HT10" t="str">
        <f t="shared" si="43"/>
        <v>DI2-B16</v>
      </c>
      <c r="HU10" t="str">
        <f>CONCATENATE("DO",REPLACE($AH10,1,3,""),"-",AK10)</f>
        <v>DO1-24A</v>
      </c>
      <c r="HV10" t="str">
        <f>CONCATENATE("DO",REPLACE($AH10,1,3,""),"-",AL10)</f>
        <v>DO1-24B</v>
      </c>
      <c r="HW10" t="str">
        <f>CONCATENATE("DO",REPLACE($AH10,1,3,""),"-",HE10)</f>
        <v>DO1-25A</v>
      </c>
      <c r="HX10" t="str">
        <f>CONCATENATE("DO",REPLACE($AH10,1,3,""),"-",HF10)</f>
        <v>DO1-25B</v>
      </c>
      <c r="HY10" t="str">
        <f>CONCATENATE("K",$U10,"-01")</f>
        <v>K9-01</v>
      </c>
      <c r="HZ10" t="str">
        <f>CONCATENATE("K",$U10,"-02")</f>
        <v>K9-02</v>
      </c>
      <c r="IA10" t="str">
        <f>CONCATENATE("K",$U10,"-03")</f>
        <v>K9-03</v>
      </c>
      <c r="IB10" t="str">
        <f>CONCATENATE("K",$U10,"-04")</f>
        <v>K9-04</v>
      </c>
      <c r="IC10" t="str">
        <f>CONCATENATE("K",$U10,"-05")</f>
        <v>K9-05</v>
      </c>
      <c r="ID10" t="str">
        <f>CONCATENATE("K",$U10,"-06")</f>
        <v>K9-06</v>
      </c>
      <c r="IE10" t="str">
        <f>CONCATENATE("K",$U10,"-07")</f>
        <v>K9-07</v>
      </c>
      <c r="IF10" t="str">
        <f>CONCATENATE("K",$U10,"-08")</f>
        <v>K9-08</v>
      </c>
      <c r="IG10" t="str">
        <f>CONCATENATE($T10,"-M",$U10,"-AMS-12")</f>
        <v>N2-M9-AMS-12</v>
      </c>
      <c r="IH10" t="str">
        <f>CONCATENATE($T10,"-M",$U10,"-AMS-10")</f>
        <v>N2-M9-AMS-10</v>
      </c>
      <c r="II10" t="str">
        <f>CONCATENATE($T10,"-M",$U10,"-AMS-11")</f>
        <v>N2-M9-AMS-11</v>
      </c>
      <c r="IJ10" t="str">
        <f>CONCATENATE($T10,"-M",$U10,"-AMS-13")</f>
        <v>N2-M9-AMS-13</v>
      </c>
      <c r="IK10" t="str">
        <f>CONCATENATE($T10,"-M",$U10,"-AMS-9")</f>
        <v>N2-M9-AMS-9</v>
      </c>
      <c r="IL10" t="str">
        <f>CONCATENATE($T10,"-M",$U10,"-AMS-7")</f>
        <v>N2-M9-AMS-7</v>
      </c>
      <c r="IM10" t="str">
        <f>CONCATENATE($T10,"-M",$U10,"-AMS-18")</f>
        <v>N2-M9-AMS-18</v>
      </c>
      <c r="IN10" t="str">
        <f>CONCATENATE($T10,"-M",$U10,"-AMS-20")</f>
        <v>N2-M9-AMS-20</v>
      </c>
      <c r="IO10" t="str">
        <f>CONCATENATE($T10,"-M",$U10,"-AMS-17")</f>
        <v>N2-M9-AMS-17</v>
      </c>
      <c r="IP10" t="str">
        <f>CONCATENATE($T10,"-+24-M",$U10,)</f>
        <v>N2-+24-M9</v>
      </c>
      <c r="IQ10" t="str">
        <f>CONCATENATE($T10,"-M",$U10,"-XM01")</f>
        <v>N2-M9-XM01</v>
      </c>
      <c r="IR10" t="s">
        <v>142</v>
      </c>
      <c r="IS10" t="s">
        <v>143</v>
      </c>
      <c r="IT10">
        <v>11</v>
      </c>
      <c r="IU10">
        <v>14</v>
      </c>
      <c r="IV10" t="s">
        <v>413</v>
      </c>
      <c r="IW10" t="s">
        <v>414</v>
      </c>
      <c r="IX10">
        <v>1</v>
      </c>
      <c r="IY10">
        <v>2</v>
      </c>
      <c r="IZ10">
        <v>3</v>
      </c>
      <c r="JA10">
        <v>4</v>
      </c>
      <c r="JB10">
        <v>5</v>
      </c>
      <c r="JC10">
        <v>6</v>
      </c>
      <c r="JD10">
        <v>7</v>
      </c>
      <c r="JE10">
        <v>8</v>
      </c>
      <c r="JF10">
        <v>9</v>
      </c>
      <c r="JG10">
        <v>10</v>
      </c>
      <c r="JH10">
        <v>11</v>
      </c>
      <c r="JI10">
        <v>12</v>
      </c>
      <c r="JJ10">
        <v>13</v>
      </c>
      <c r="JK10">
        <v>14</v>
      </c>
      <c r="JL10">
        <v>17</v>
      </c>
      <c r="JM10">
        <v>15</v>
      </c>
      <c r="JN10">
        <v>18</v>
      </c>
      <c r="JO10">
        <v>11</v>
      </c>
      <c r="JP10">
        <v>9</v>
      </c>
      <c r="JQ10">
        <v>6</v>
      </c>
      <c r="JR10">
        <v>20</v>
      </c>
      <c r="JS10">
        <v>7</v>
      </c>
      <c r="JT10">
        <v>10</v>
      </c>
      <c r="JU10">
        <v>22</v>
      </c>
      <c r="JV10">
        <v>23</v>
      </c>
      <c r="JW10">
        <v>26</v>
      </c>
      <c r="JX10">
        <v>27</v>
      </c>
      <c r="JY10" s="16">
        <v>30</v>
      </c>
      <c r="MA10" t="str">
        <f t="shared" si="40"/>
        <v>DI2-B11</v>
      </c>
    </row>
    <row r="11" spans="1:824" x14ac:dyDescent="0.25">
      <c r="A11" s="61" t="s">
        <v>2054</v>
      </c>
      <c r="B11" t="s">
        <v>2052</v>
      </c>
      <c r="C11" s="3"/>
      <c r="O11" s="2"/>
      <c r="P11" t="s">
        <v>2017</v>
      </c>
      <c r="Q11" s="1"/>
      <c r="S11" s="1" t="s">
        <v>130</v>
      </c>
      <c r="T11" s="14" t="s">
        <v>2019</v>
      </c>
      <c r="U11" s="58">
        <v>10</v>
      </c>
      <c r="V11" s="15" t="s">
        <v>2053</v>
      </c>
      <c r="W11" s="15"/>
      <c r="AC11" t="str">
        <f>IF(AD10+AE10&gt;29,REPLACE(AC10,LEN(AC10),1,VALUE(RIGHT(AC10,1))+1),AC10)</f>
        <v>A5.2</v>
      </c>
      <c r="AD11" s="43">
        <f t="array" ref="AD11">IF(COUNTIFS(AC$2:AC11,AC11)=1,"1",VALUE(SUBSTITUTE(INDEX(AD:AD,_xlfn.XMATCH(AC11,AC$1:AC10,0,-1)),"A",""))+INDEX(AE:AE,_xlfn.XMATCH(AC11,AC$1:AC10,0,-1))+1)</f>
        <v>17</v>
      </c>
      <c r="AE11" s="43">
        <f t="array" ref="AE11">SUM(IF(ISNUMBER(FIND("TmDi",$BE$1:$AAQ$1)),IF(IFERROR(ISNUMBER(VALUE(SUBSTITUTE($BE11:$AAQ11,"B",""))),FALSE),IF(ISNUMBER(VALUE(SUBSTITUTE($BE11:$AAQ11,"B",""))),1,0),0)))</f>
        <v>5</v>
      </c>
      <c r="AF11" t="str">
        <f t="shared" si="0"/>
        <v>C17</v>
      </c>
      <c r="AG11" t="str">
        <f t="shared" si="1"/>
        <v>B17</v>
      </c>
      <c r="AH11" t="str">
        <f>IF(AI10+AJ10&gt;27,REPLACE(AH10,LEN(AH10),1,VALUE(RIGHT(AH10,1))+1),AH10)</f>
        <v>A6.1</v>
      </c>
      <c r="AI11" s="66">
        <f t="array" ref="AI11">IF(COUNTIFS(AH$2:AH11,AH11)=1,"1",VALUE(SUBSTITUTE(INDEX(AI:AI,_xlfn.XMATCH(AH11,AH$1:AH10,0,-1)),"A",""))+INDEX(AJ:AJ,_xlfn.XMATCH(AH11,AH$1:AH10,0,-1))+1)</f>
        <v>26</v>
      </c>
      <c r="AJ11" s="59">
        <f t="array" ref="AJ11">SUM(IF(ISNUMBER(FIND("TmDo",$BE$1:$AAQ$1)),IF(IFERROR(ISNUMBER(VALUE(SUBSTITUTE($BE11:$AAQ11,"B",""))),FALSE),IF(ISNUMBER(VALUE(SUBSTITUTE($BE11:$AAQ11,"B",""))),1,0),0)))</f>
        <v>2</v>
      </c>
      <c r="AK11" t="str">
        <f t="shared" si="2"/>
        <v>26A</v>
      </c>
      <c r="AL11" t="str">
        <f t="shared" si="3"/>
        <v>26B</v>
      </c>
      <c r="AM11" t="s">
        <v>141</v>
      </c>
      <c r="AP11" t="s">
        <v>2022</v>
      </c>
      <c r="AQ11" t="s">
        <v>2051</v>
      </c>
      <c r="AT11" t="s">
        <v>139</v>
      </c>
      <c r="AU11" t="s">
        <v>140</v>
      </c>
      <c r="BD11" s="16"/>
      <c r="BE11" s="27" t="str">
        <f t="shared" ref="BE11:BE18" si="44">CONCATENATE("XT",U11)</f>
        <v>XT10</v>
      </c>
      <c r="BF11" t="str">
        <f t="shared" ref="BF11:BF17" si="45">CONCATENATE("C",REPLACE(AF11,1,1,"")+1)</f>
        <v>C18</v>
      </c>
      <c r="BG11" t="str">
        <f t="shared" ref="BG11:BG17" si="46">CONCATENATE("B",REPLACE(AG11,1,1,"")+1)</f>
        <v>B18</v>
      </c>
      <c r="BH11" t="str">
        <f t="shared" ref="BH11:BH18" si="47">CONCATENATE("C",REPLACE(BF11,1,1,"")+1)</f>
        <v>C19</v>
      </c>
      <c r="BI11" t="str">
        <f t="shared" ref="BI11:BI18" si="48">CONCATENATE("B",REPLACE(BG11,1,1,"")+1)</f>
        <v>B19</v>
      </c>
      <c r="BJ11" t="str">
        <f t="shared" ref="BJ11:BJ18" si="49">CONCATENATE("C",REPLACE(BH11,1,1,"")+1)</f>
        <v>C20</v>
      </c>
      <c r="BK11" t="str">
        <f t="shared" ref="BK11:BK18" si="50">CONCATENATE("B",REPLACE(BI11,1,1,"")+1)</f>
        <v>B20</v>
      </c>
      <c r="BL11" t="str">
        <f>CONCATENATE("C",REPLACE(BJ11,1,1,"")+1)</f>
        <v>C21</v>
      </c>
      <c r="BM11" t="str">
        <f>CONCATENATE("B",REPLACE(BK11,1,1,"")+1)</f>
        <v>B21</v>
      </c>
      <c r="BN11" t="str">
        <f>CONCATENATE("C",REPLACE(BL11,1,1,"")+1)</f>
        <v>C22</v>
      </c>
      <c r="BO11" t="str">
        <f>CONCATENATE("B",REPLACE(BM11,1,1,"")+1)</f>
        <v>B22</v>
      </c>
      <c r="BP11" t="str">
        <f t="shared" ref="BP11:BP17" si="51">CONCATENATE(REPLACE(AK11,LEN(AK11),1,"")+1,"A")</f>
        <v>27A</v>
      </c>
      <c r="BQ11" t="str">
        <f t="shared" ref="BQ11:BQ17" si="52">CONCATENATE(REPLACE(AL11,LEN(AL11),1,"")+1,"B")</f>
        <v>27B</v>
      </c>
      <c r="BR11" t="str">
        <f t="shared" ref="BR11:BR18" si="53">CONCATENATE(REPLACE(BP11,LEN(BP11),1,"")+1,"A")</f>
        <v>28A</v>
      </c>
      <c r="BS11" t="str">
        <f t="shared" ref="BS11:BS18" si="54">CONCATENATE(REPLACE(BQ11,LEN(BQ11),1,"")+1,"B")</f>
        <v>28B</v>
      </c>
      <c r="BT11" t="str">
        <f t="shared" ref="BT11:BU17" si="55">CONCATENATE("DI",REPLACE($AC11,1,3,""),"-",AF11)</f>
        <v>DI2-C17</v>
      </c>
      <c r="BU11" t="str">
        <f t="shared" si="55"/>
        <v>DI2-B17</v>
      </c>
      <c r="BV11" t="str">
        <f t="shared" ref="BV11:CE18" si="56">CONCATENATE("DI",REPLACE($AC11,1,3,""),"-",BF11)</f>
        <v>DI2-C18</v>
      </c>
      <c r="BW11" t="str">
        <f t="shared" si="56"/>
        <v>DI2-B18</v>
      </c>
      <c r="BX11" t="str">
        <f t="shared" si="56"/>
        <v>DI2-C19</v>
      </c>
      <c r="BY11" t="str">
        <f t="shared" si="56"/>
        <v>DI2-B19</v>
      </c>
      <c r="BZ11" t="str">
        <f t="shared" si="56"/>
        <v>DI2-C20</v>
      </c>
      <c r="CA11" t="str">
        <f t="shared" si="56"/>
        <v>DI2-B20</v>
      </c>
      <c r="CB11" t="str">
        <f t="shared" si="56"/>
        <v>DI2-C21</v>
      </c>
      <c r="CC11" t="str">
        <f t="shared" si="56"/>
        <v>DI2-B21</v>
      </c>
      <c r="CD11" t="str">
        <f t="shared" si="56"/>
        <v>DI2-C22</v>
      </c>
      <c r="CE11" t="str">
        <f t="shared" si="56"/>
        <v>DI2-B22</v>
      </c>
      <c r="CF11" t="str">
        <f t="shared" ref="CF11:CG14" si="57">CONCATENATE("DO",REPLACE($AH11,1,3,""),"-",AK11)</f>
        <v>DO1-26A</v>
      </c>
      <c r="CG11" t="str">
        <f t="shared" si="57"/>
        <v>DO1-26B</v>
      </c>
      <c r="CH11" t="str">
        <f t="shared" ref="CH11:CK18" si="58">CONCATENATE("DO",REPLACE($AH11,1,3,""),"-",BP11)</f>
        <v>DO1-27A</v>
      </c>
      <c r="CI11" t="str">
        <f t="shared" si="58"/>
        <v>DO1-27B</v>
      </c>
      <c r="CJ11" t="str">
        <f t="shared" si="58"/>
        <v>DO1-28A</v>
      </c>
      <c r="CK11" t="str">
        <f t="shared" si="58"/>
        <v>DO1-28B</v>
      </c>
      <c r="CL11" t="str">
        <f t="shared" ref="CL11:CL18" si="59">CONCATENATE("K",$U11,"-10")</f>
        <v>K10-10</v>
      </c>
      <c r="CM11" t="str">
        <f t="shared" ref="CM11:CM18" si="60">CONCATENATE("K",$U11,"-03")</f>
        <v>K10-03</v>
      </c>
      <c r="CN11" t="str">
        <f t="shared" ref="CN11:CN18" si="61">CONCATENATE("K",$U11,"-04")</f>
        <v>K10-04</v>
      </c>
      <c r="CO11" t="str">
        <f t="shared" ref="CO11:CO18" si="62">CONCATENATE("K",$U11,"-01")</f>
        <v>K10-01</v>
      </c>
      <c r="CP11" t="str">
        <f t="shared" ref="CP11:CP18" si="63">CONCATENATE("K",$U11,"-08")</f>
        <v>K10-08</v>
      </c>
      <c r="CQ11" t="str">
        <f t="shared" ref="CQ11:CQ18" si="64">CONCATENATE("K",$U11,"-02")</f>
        <v>K10-02</v>
      </c>
      <c r="CR11" t="str">
        <f t="shared" ref="CR11:CR18" si="65">CONCATENATE("K",$U11,"-09")</f>
        <v>K10-09</v>
      </c>
      <c r="CS11" t="str">
        <f t="shared" ref="CS11:CS18" si="66">CONCATENATE("K",$U11,"-05")</f>
        <v>K10-05</v>
      </c>
      <c r="CT11" t="str">
        <f t="shared" ref="CT11:CT18" si="67">CONCATENATE("K",$U11,"-11")</f>
        <v>K10-11</v>
      </c>
      <c r="CU11" t="str">
        <f t="shared" ref="CU11:CU18" si="68">CONCATENATE($T11,"-M",$U11,"-A9")</f>
        <v>N2-M10-A9</v>
      </c>
      <c r="CV11" t="str">
        <f t="shared" ref="CV11:CV18" si="69">CONCATENATE($T11,"-M",$U11,"-A7")</f>
        <v>N2-M10-A7</v>
      </c>
      <c r="CW11" t="str">
        <f t="shared" ref="CW11:CW18" si="70">CONCATENATE($T11,"-M",$U11,"-A8")</f>
        <v>N2-M10-A8</v>
      </c>
      <c r="CX11" t="str">
        <f t="shared" ref="CX11:CX18" si="71">CONCATENATE($T11,"-M",$U11,"-A6")</f>
        <v>N2-M10-A6</v>
      </c>
      <c r="CY11" t="str">
        <f t="shared" ref="CY11:CY18" si="72">CONCATENATE($T11,"-M",$U11,"-A30")</f>
        <v>N2-M10-A30</v>
      </c>
      <c r="CZ11" t="str">
        <f t="shared" ref="CZ11:CZ18" si="73">CONCATENATE($T11,"-M",$U11,"-N")</f>
        <v>N2-M10-N</v>
      </c>
      <c r="DA11" t="str">
        <f t="shared" ref="DA11:DA18" si="74">CONCATENATE($T11,"-A220-M",U11)</f>
        <v>N2-A220-M10</v>
      </c>
      <c r="DB11" t="str">
        <f t="shared" ref="DB11:DB18" si="75">CONCATENATE($T11,"-M",$U11,"-XM01")</f>
        <v>N2-M10-XM01</v>
      </c>
      <c r="DC11" t="str">
        <f t="shared" ref="DC11:DC18" si="76">CONCATENATE($T11,"-M",$U11,"-A1")</f>
        <v>N2-M10-A1</v>
      </c>
      <c r="DD11" t="str">
        <f t="shared" ref="DD11:DD18" si="77">CONCATENATE($T11,"-M",$U11,"-A5")</f>
        <v>N2-M10-A5</v>
      </c>
      <c r="DE11" t="str">
        <f t="shared" ref="DE11:DE18" si="78">CONCATENATE($T11,"-M",$U11,"-A11")</f>
        <v>N2-M10-A11</v>
      </c>
      <c r="DF11" t="str">
        <f t="shared" ref="DF11:DF18" si="79">CONCATENATE($T11,"-M",$U11,"-A12")</f>
        <v>N2-M10-A12</v>
      </c>
      <c r="DG11" t="str">
        <f>CONCATENATE($T11,"-M",$U11,"-A20")</f>
        <v>N2-M10-A20</v>
      </c>
      <c r="DH11" t="str">
        <f>CONCATENATE($T11,"-M",$U11,"-A19")</f>
        <v>N2-M10-A19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15</v>
      </c>
      <c r="EM11">
        <v>16</v>
      </c>
      <c r="EN11">
        <v>22</v>
      </c>
      <c r="EO11">
        <v>23</v>
      </c>
      <c r="EP11">
        <v>24</v>
      </c>
      <c r="EQ11" s="16"/>
      <c r="MA11" t="str">
        <f t="shared" si="40"/>
        <v>DI2-B17</v>
      </c>
    </row>
    <row r="12" spans="1:824" x14ac:dyDescent="0.25">
      <c r="A12" s="61" t="s">
        <v>2056</v>
      </c>
      <c r="B12" t="s">
        <v>2055</v>
      </c>
      <c r="C12" s="3"/>
      <c r="O12" s="2"/>
      <c r="P12" t="s">
        <v>2017</v>
      </c>
      <c r="Q12" s="1"/>
      <c r="S12" s="1" t="s">
        <v>130</v>
      </c>
      <c r="T12" s="14" t="s">
        <v>2019</v>
      </c>
      <c r="U12" s="58">
        <v>11</v>
      </c>
      <c r="V12" s="15" t="s">
        <v>2057</v>
      </c>
      <c r="W12" s="15"/>
      <c r="AC12" t="str">
        <f>IF(AD11+AE11&gt;29,REPLACE(AC11,LEN(AC11),1,VALUE(RIGHT(AC11,1))+1),AC11)</f>
        <v>A5.2</v>
      </c>
      <c r="AD12" s="43">
        <f t="array" ref="AD12">IF(COUNTIFS(AC$2:AC12,AC12)=1,"1",VALUE(SUBSTITUTE(INDEX(AD:AD,_xlfn.XMATCH(AC12,AC$1:AC11,0,-1)),"A",""))+INDEX(AE:AE,_xlfn.XMATCH(AC12,AC$1:AC11,0,-1))+1)</f>
        <v>23</v>
      </c>
      <c r="AE12" s="43">
        <f t="array" ref="AE12">SUM(IF(ISNUMBER(FIND("TmDi",$BE$1:$AAQ$1)),IF(IFERROR(ISNUMBER(VALUE(SUBSTITUTE($BE12:$AAQ12,"B",""))),FALSE),IF(ISNUMBER(VALUE(SUBSTITUTE($BE12:$AAQ12,"B",""))),1,0),0)))</f>
        <v>5</v>
      </c>
      <c r="AF12" t="str">
        <f t="shared" si="0"/>
        <v>C23</v>
      </c>
      <c r="AG12" t="str">
        <f t="shared" si="1"/>
        <v>B23</v>
      </c>
      <c r="AH12" t="str">
        <f>IF(AI11+AJ11&gt;27,REPLACE(AH11,LEN(AH11),1,VALUE(RIGHT(AH11,1))+1),AH11)</f>
        <v>A6.2</v>
      </c>
      <c r="AI12" s="66" t="str">
        <f t="array" ref="AI12">IF(COUNTIFS(AH$2:AH12,AH12)=1,"1",VALUE(SUBSTITUTE(INDEX(AI:AI,_xlfn.XMATCH(AH12,AH$1:AH11,0,-1)),"A",""))+INDEX(AJ:AJ,_xlfn.XMATCH(AH12,AH$1:AH11,0,-1))+1)</f>
        <v>1</v>
      </c>
      <c r="AJ12" s="59">
        <f t="array" ref="AJ12">SUM(IF(ISNUMBER(FIND("TmDo",$BE$1:$AAQ$1)),IF(IFERROR(ISNUMBER(VALUE(SUBSTITUTE($BE12:$AAQ12,"B",""))),FALSE),IF(ISNUMBER(VALUE(SUBSTITUTE($BE12:$AAQ12,"B",""))),1,0),0)))</f>
        <v>2</v>
      </c>
      <c r="AK12" t="str">
        <f t="shared" si="2"/>
        <v>1A</v>
      </c>
      <c r="AL12" t="str">
        <f t="shared" si="3"/>
        <v>1B</v>
      </c>
      <c r="AM12" t="s">
        <v>150</v>
      </c>
      <c r="AP12" t="s">
        <v>2022</v>
      </c>
      <c r="AQ12" t="s">
        <v>2051</v>
      </c>
      <c r="AT12" t="s">
        <v>139</v>
      </c>
      <c r="AU12" t="s">
        <v>140</v>
      </c>
      <c r="BD12" s="16"/>
      <c r="BE12" s="27" t="str">
        <f t="shared" si="44"/>
        <v>XT11</v>
      </c>
      <c r="BF12" t="str">
        <f t="shared" si="45"/>
        <v>C24</v>
      </c>
      <c r="BG12" t="str">
        <f t="shared" si="46"/>
        <v>B24</v>
      </c>
      <c r="BH12" t="str">
        <f t="shared" si="47"/>
        <v>C25</v>
      </c>
      <c r="BI12" t="str">
        <f t="shared" si="48"/>
        <v>B25</v>
      </c>
      <c r="BJ12" t="str">
        <f t="shared" si="49"/>
        <v>C26</v>
      </c>
      <c r="BK12" t="str">
        <f t="shared" si="50"/>
        <v>B26</v>
      </c>
      <c r="BL12" t="str">
        <f>CONCATENATE("C",REPLACE(BJ12,1,1,"")+1)</f>
        <v>C27</v>
      </c>
      <c r="BM12" t="str">
        <f>CONCATENATE("B",REPLACE(BK12,1,1,"")+1)</f>
        <v>B27</v>
      </c>
      <c r="BN12" t="str">
        <f>CONCATENATE("C",REPLACE(BL12,1,1,"")+1)</f>
        <v>C28</v>
      </c>
      <c r="BO12" t="str">
        <f>CONCATENATE("B",REPLACE(BM12,1,1,"")+1)</f>
        <v>B28</v>
      </c>
      <c r="BP12" t="str">
        <f t="shared" si="51"/>
        <v>2A</v>
      </c>
      <c r="BQ12" t="str">
        <f t="shared" si="52"/>
        <v>2B</v>
      </c>
      <c r="BR12" t="str">
        <f t="shared" si="53"/>
        <v>3A</v>
      </c>
      <c r="BS12" t="str">
        <f t="shared" si="54"/>
        <v>3B</v>
      </c>
      <c r="BT12" t="str">
        <f t="shared" si="55"/>
        <v>DI2-C23</v>
      </c>
      <c r="BU12" t="str">
        <f t="shared" si="55"/>
        <v>DI2-B23</v>
      </c>
      <c r="BV12" t="str">
        <f t="shared" si="56"/>
        <v>DI2-C24</v>
      </c>
      <c r="BW12" t="str">
        <f t="shared" si="56"/>
        <v>DI2-B24</v>
      </c>
      <c r="BX12" t="str">
        <f t="shared" si="56"/>
        <v>DI2-C25</v>
      </c>
      <c r="BY12" t="str">
        <f t="shared" si="56"/>
        <v>DI2-B25</v>
      </c>
      <c r="BZ12" t="str">
        <f t="shared" si="56"/>
        <v>DI2-C26</v>
      </c>
      <c r="CA12" t="str">
        <f t="shared" si="56"/>
        <v>DI2-B26</v>
      </c>
      <c r="CB12" t="str">
        <f t="shared" si="56"/>
        <v>DI2-C27</v>
      </c>
      <c r="CC12" t="str">
        <f t="shared" si="56"/>
        <v>DI2-B27</v>
      </c>
      <c r="CD12" t="str">
        <f t="shared" si="56"/>
        <v>DI2-C28</v>
      </c>
      <c r="CE12" t="str">
        <f t="shared" si="56"/>
        <v>DI2-B28</v>
      </c>
      <c r="CF12" t="str">
        <f t="shared" si="57"/>
        <v>DO2-1A</v>
      </c>
      <c r="CG12" t="str">
        <f t="shared" si="57"/>
        <v>DO2-1B</v>
      </c>
      <c r="CH12" t="str">
        <f t="shared" si="58"/>
        <v>DO2-2A</v>
      </c>
      <c r="CI12" t="str">
        <f t="shared" si="58"/>
        <v>DO2-2B</v>
      </c>
      <c r="CJ12" t="str">
        <f t="shared" si="58"/>
        <v>DO2-3A</v>
      </c>
      <c r="CK12" t="str">
        <f t="shared" si="58"/>
        <v>DO2-3B</v>
      </c>
      <c r="CL12" t="str">
        <f t="shared" si="59"/>
        <v>K11-10</v>
      </c>
      <c r="CM12" t="str">
        <f t="shared" si="60"/>
        <v>K11-03</v>
      </c>
      <c r="CN12" t="str">
        <f t="shared" si="61"/>
        <v>K11-04</v>
      </c>
      <c r="CO12" t="str">
        <f t="shared" si="62"/>
        <v>K11-01</v>
      </c>
      <c r="CP12" t="str">
        <f t="shared" si="63"/>
        <v>K11-08</v>
      </c>
      <c r="CQ12" t="str">
        <f t="shared" si="64"/>
        <v>K11-02</v>
      </c>
      <c r="CR12" t="str">
        <f t="shared" si="65"/>
        <v>K11-09</v>
      </c>
      <c r="CS12" t="str">
        <f t="shared" si="66"/>
        <v>K11-05</v>
      </c>
      <c r="CT12" t="str">
        <f t="shared" si="67"/>
        <v>K11-11</v>
      </c>
      <c r="CU12" t="str">
        <f t="shared" si="68"/>
        <v>N2-M11-A9</v>
      </c>
      <c r="CV12" t="str">
        <f t="shared" si="69"/>
        <v>N2-M11-A7</v>
      </c>
      <c r="CW12" t="str">
        <f t="shared" si="70"/>
        <v>N2-M11-A8</v>
      </c>
      <c r="CX12" t="str">
        <f t="shared" si="71"/>
        <v>N2-M11-A6</v>
      </c>
      <c r="CY12" t="str">
        <f t="shared" si="72"/>
        <v>N2-M11-A30</v>
      </c>
      <c r="CZ12" t="str">
        <f t="shared" si="73"/>
        <v>N2-M11-N</v>
      </c>
      <c r="DA12" t="str">
        <f t="shared" si="74"/>
        <v>N2-A220-M11</v>
      </c>
      <c r="DB12" t="str">
        <f t="shared" si="75"/>
        <v>N2-M11-XM01</v>
      </c>
      <c r="DC12" t="str">
        <f t="shared" si="76"/>
        <v>N2-M11-A1</v>
      </c>
      <c r="DD12" t="str">
        <f t="shared" si="77"/>
        <v>N2-M11-A5</v>
      </c>
      <c r="DE12" t="str">
        <f t="shared" si="78"/>
        <v>N2-M11-A11</v>
      </c>
      <c r="DF12" t="str">
        <f t="shared" si="79"/>
        <v>N2-M11-A12</v>
      </c>
      <c r="DG12" t="str">
        <f>CONCATENATE($T12,"-M",$U12,"-A20")</f>
        <v>N2-M11-A20</v>
      </c>
      <c r="DH12" t="str">
        <f>CONCATENATE($T12,"-M",$U12,"-A19")</f>
        <v>N2-M11-A19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15</v>
      </c>
      <c r="EM12">
        <v>16</v>
      </c>
      <c r="EN12">
        <v>22</v>
      </c>
      <c r="EO12">
        <v>23</v>
      </c>
      <c r="EP12">
        <v>24</v>
      </c>
      <c r="EQ12" s="16"/>
      <c r="MA12" t="str">
        <f t="shared" si="40"/>
        <v>DI2-B23</v>
      </c>
    </row>
    <row r="13" spans="1:824" ht="15.75" thickBot="1" x14ac:dyDescent="0.3">
      <c r="A13" s="61" t="s">
        <v>2060</v>
      </c>
      <c r="B13" t="s">
        <v>2059</v>
      </c>
      <c r="C13" s="3"/>
      <c r="O13" s="2"/>
      <c r="P13" t="s">
        <v>129</v>
      </c>
      <c r="Q13" s="1"/>
      <c r="S13" s="1" t="s">
        <v>130</v>
      </c>
      <c r="T13" s="14" t="s">
        <v>2019</v>
      </c>
      <c r="U13" s="58">
        <f t="shared" ref="U13:U18" si="80">U12+1</f>
        <v>12</v>
      </c>
      <c r="V13" s="15" t="s">
        <v>2058</v>
      </c>
      <c r="W13" s="15"/>
      <c r="AC13" t="str">
        <f>IF(AD12+AE12&gt;25,REPLACE(AC12,LEN(AC12),1,VALUE(RIGHT(AC12,1))+1),AC12)</f>
        <v>A5.3</v>
      </c>
      <c r="AD13" s="43" t="str">
        <f t="array" ref="AD13">IF(COUNTIFS(AC$2:AC13,AC13)=1,"1",VALUE(SUBSTITUTE(INDEX(AD:AD,_xlfn.XMATCH(AC13,AC$1:AC12,0,-1)),"A",""))+INDEX(AE:AE,_xlfn.XMATCH(AC13,AC$1:AC12,0,-1))+1)</f>
        <v>1</v>
      </c>
      <c r="AE13" s="43">
        <f t="array" ref="AE13">SUM(IF(ISNUMBER(FIND("TmDi",$BE$1:$AAQ$1)),IF(IFERROR(ISNUMBER(VALUE(SUBSTITUTE($BE13:$AAQ13,"B",""))),FALSE),IF(ISNUMBER(VALUE(SUBSTITUTE($BE13:$AAQ13,"B",""))),1,0),0)))</f>
        <v>5</v>
      </c>
      <c r="AF13" t="str">
        <f t="shared" si="0"/>
        <v>C1</v>
      </c>
      <c r="AG13" t="str">
        <f t="shared" si="1"/>
        <v>B1</v>
      </c>
      <c r="AH13" t="str">
        <f>IF(AI12+AJ12&gt;25,REPLACE(AH12,LEN(AH12),1,VALUE(RIGHT(AH12,1))+1),AH12)</f>
        <v>A6.2</v>
      </c>
      <c r="AI13" s="66">
        <f t="array" ref="AI13">IF(COUNTIFS(AH$2:AH13,AH13)=1,"1",VALUE(SUBSTITUTE(INDEX(AI:AI,_xlfn.XMATCH(AH13,AH$1:AH12,0,-1)),"A",""))+INDEX(AJ:AJ,_xlfn.XMATCH(AH13,AH$1:AH12,0,-1))+1)</f>
        <v>4</v>
      </c>
      <c r="AJ13" s="59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si="2"/>
        <v>4A</v>
      </c>
      <c r="AL13" t="str">
        <f t="shared" si="3"/>
        <v>4B</v>
      </c>
      <c r="AM13" t="s">
        <v>155</v>
      </c>
      <c r="AP13" t="s">
        <v>2022</v>
      </c>
      <c r="AQ13" t="s">
        <v>2051</v>
      </c>
      <c r="AT13" t="s">
        <v>139</v>
      </c>
      <c r="AU13" t="s">
        <v>140</v>
      </c>
      <c r="BD13" s="16"/>
      <c r="BE13" s="28" t="str">
        <f t="shared" si="44"/>
        <v>XT12</v>
      </c>
      <c r="BF13" s="19" t="str">
        <f t="shared" si="45"/>
        <v>C2</v>
      </c>
      <c r="BG13" s="19" t="str">
        <f t="shared" si="46"/>
        <v>B2</v>
      </c>
      <c r="BH13" s="19" t="str">
        <f t="shared" si="47"/>
        <v>C3</v>
      </c>
      <c r="BI13" s="19" t="str">
        <f t="shared" si="48"/>
        <v>B3</v>
      </c>
      <c r="BJ13" s="19" t="str">
        <f t="shared" si="49"/>
        <v>C4</v>
      </c>
      <c r="BK13" s="19" t="str">
        <f t="shared" si="50"/>
        <v>B4</v>
      </c>
      <c r="BL13" s="19" t="str">
        <f>CONCATENATE("C",REPLACE(BJ13,1,1,"")+1)</f>
        <v>C5</v>
      </c>
      <c r="BM13" s="19" t="str">
        <f>CONCATENATE("B",REPLACE(BK13,1,1,"")+1)</f>
        <v>B5</v>
      </c>
      <c r="BN13" s="19" t="str">
        <f>CONCATENATE("C",REPLACE(BL13,1,1,"")+1)</f>
        <v>C6</v>
      </c>
      <c r="BO13" s="19" t="str">
        <f>CONCATENATE("B",REPLACE(BM13,1,1,"")+1)</f>
        <v>B6</v>
      </c>
      <c r="BP13" s="19" t="str">
        <f t="shared" si="51"/>
        <v>5A</v>
      </c>
      <c r="BQ13" s="19" t="str">
        <f t="shared" si="52"/>
        <v>5B</v>
      </c>
      <c r="BR13" s="19" t="str">
        <f t="shared" si="53"/>
        <v>6A</v>
      </c>
      <c r="BS13" s="19" t="str">
        <f t="shared" si="54"/>
        <v>6B</v>
      </c>
      <c r="BT13" s="19" t="str">
        <f t="shared" si="55"/>
        <v>DI3-C1</v>
      </c>
      <c r="BU13" s="19" t="str">
        <f t="shared" si="55"/>
        <v>DI3-B1</v>
      </c>
      <c r="BV13" s="19" t="str">
        <f t="shared" si="56"/>
        <v>DI3-C2</v>
      </c>
      <c r="BW13" s="19" t="str">
        <f t="shared" si="56"/>
        <v>DI3-B2</v>
      </c>
      <c r="BX13" s="19" t="str">
        <f t="shared" si="56"/>
        <v>DI3-C3</v>
      </c>
      <c r="BY13" s="19" t="str">
        <f t="shared" si="56"/>
        <v>DI3-B3</v>
      </c>
      <c r="BZ13" s="19" t="str">
        <f t="shared" si="56"/>
        <v>DI3-C4</v>
      </c>
      <c r="CA13" s="19" t="str">
        <f t="shared" si="56"/>
        <v>DI3-B4</v>
      </c>
      <c r="CB13" s="19" t="str">
        <f t="shared" si="56"/>
        <v>DI3-C5</v>
      </c>
      <c r="CC13" s="19" t="str">
        <f t="shared" si="56"/>
        <v>DI3-B5</v>
      </c>
      <c r="CD13" s="19" t="str">
        <f t="shared" si="56"/>
        <v>DI3-C6</v>
      </c>
      <c r="CE13" s="19" t="str">
        <f t="shared" si="56"/>
        <v>DI3-B6</v>
      </c>
      <c r="CF13" s="19" t="str">
        <f t="shared" si="57"/>
        <v>DO2-4A</v>
      </c>
      <c r="CG13" s="19" t="str">
        <f t="shared" si="57"/>
        <v>DO2-4B</v>
      </c>
      <c r="CH13" s="19" t="str">
        <f t="shared" si="58"/>
        <v>DO2-5A</v>
      </c>
      <c r="CI13" s="19" t="str">
        <f t="shared" si="58"/>
        <v>DO2-5B</v>
      </c>
      <c r="CJ13" s="19" t="str">
        <f t="shared" si="58"/>
        <v>DO2-6A</v>
      </c>
      <c r="CK13" s="19" t="str">
        <f t="shared" si="58"/>
        <v>DO2-6B</v>
      </c>
      <c r="CL13" s="19" t="str">
        <f t="shared" si="59"/>
        <v>K12-10</v>
      </c>
      <c r="CM13" s="19" t="str">
        <f t="shared" si="60"/>
        <v>K12-03</v>
      </c>
      <c r="CN13" s="19" t="str">
        <f t="shared" si="61"/>
        <v>K12-04</v>
      </c>
      <c r="CO13" s="19" t="str">
        <f t="shared" si="62"/>
        <v>K12-01</v>
      </c>
      <c r="CP13" s="19" t="str">
        <f t="shared" si="63"/>
        <v>K12-08</v>
      </c>
      <c r="CQ13" s="19" t="str">
        <f t="shared" si="64"/>
        <v>K12-02</v>
      </c>
      <c r="CR13" s="19" t="str">
        <f t="shared" si="65"/>
        <v>K12-09</v>
      </c>
      <c r="CS13" s="19" t="str">
        <f t="shared" si="66"/>
        <v>K12-05</v>
      </c>
      <c r="CT13" s="19" t="str">
        <f t="shared" si="67"/>
        <v>K12-11</v>
      </c>
      <c r="CU13" s="19" t="str">
        <f t="shared" si="68"/>
        <v>N2-M12-A9</v>
      </c>
      <c r="CV13" s="19" t="str">
        <f t="shared" si="69"/>
        <v>N2-M12-A7</v>
      </c>
      <c r="CW13" s="19" t="str">
        <f t="shared" si="70"/>
        <v>N2-M12-A8</v>
      </c>
      <c r="CX13" s="19" t="str">
        <f t="shared" si="71"/>
        <v>N2-M12-A6</v>
      </c>
      <c r="CY13" s="19" t="str">
        <f t="shared" si="72"/>
        <v>N2-M12-A30</v>
      </c>
      <c r="CZ13" s="19" t="str">
        <f t="shared" si="73"/>
        <v>N2-M12-N</v>
      </c>
      <c r="DA13" s="19" t="str">
        <f t="shared" si="74"/>
        <v>N2-A220-M12</v>
      </c>
      <c r="DB13" s="19" t="str">
        <f t="shared" si="75"/>
        <v>N2-M12-XM01</v>
      </c>
      <c r="DC13" s="19" t="str">
        <f t="shared" si="76"/>
        <v>N2-M12-A1</v>
      </c>
      <c r="DD13" s="19" t="str">
        <f t="shared" si="77"/>
        <v>N2-M12-A5</v>
      </c>
      <c r="DE13" s="19" t="str">
        <f t="shared" si="78"/>
        <v>N2-M12-A11</v>
      </c>
      <c r="DF13" s="19" t="str">
        <f t="shared" si="79"/>
        <v>N2-M12-A12</v>
      </c>
      <c r="DG13" s="19" t="str">
        <f t="shared" ref="DG13:DG18" si="81">CONCATENATE($T13,"-M",$U13,"-A19")</f>
        <v>N2-M12-A19</v>
      </c>
      <c r="DH13" s="19" t="str">
        <f t="shared" ref="DH13:DH18" si="82">CONCATENATE($T13,"-M",$U13,"-A20")</f>
        <v>N2-M12-A20</v>
      </c>
      <c r="DI13" s="19" t="s">
        <v>142</v>
      </c>
      <c r="DJ13" s="19" t="s">
        <v>143</v>
      </c>
      <c r="DK13" s="19">
        <v>11</v>
      </c>
      <c r="DL13" s="19">
        <v>14</v>
      </c>
      <c r="DM13" s="19">
        <v>12</v>
      </c>
      <c r="DN13" s="19" t="s">
        <v>144</v>
      </c>
      <c r="DO13" s="19" t="s">
        <v>145</v>
      </c>
      <c r="DP13" s="19">
        <v>1</v>
      </c>
      <c r="DQ13" s="19">
        <v>2</v>
      </c>
      <c r="DR13" s="19">
        <v>3</v>
      </c>
      <c r="DS13" s="19">
        <v>4</v>
      </c>
      <c r="DT13" s="19">
        <v>5</v>
      </c>
      <c r="DU13" s="19">
        <v>6</v>
      </c>
      <c r="DV13" s="19">
        <v>7</v>
      </c>
      <c r="DW13" s="19">
        <v>8</v>
      </c>
      <c r="DX13" s="19">
        <v>9</v>
      </c>
      <c r="DY13" s="19">
        <v>10</v>
      </c>
      <c r="DZ13" s="19">
        <v>11</v>
      </c>
      <c r="EA13" s="19">
        <v>12</v>
      </c>
      <c r="EB13" s="19">
        <v>13</v>
      </c>
      <c r="EC13" s="19">
        <v>14</v>
      </c>
      <c r="ED13" s="19">
        <v>1</v>
      </c>
      <c r="EE13" s="19">
        <v>3</v>
      </c>
      <c r="EF13" s="19">
        <v>4</v>
      </c>
      <c r="EG13" s="19">
        <v>7</v>
      </c>
      <c r="EH13" s="19">
        <v>8</v>
      </c>
      <c r="EI13" s="19">
        <v>9</v>
      </c>
      <c r="EJ13" s="19">
        <v>10</v>
      </c>
      <c r="EK13" s="19">
        <v>13</v>
      </c>
      <c r="EL13" s="19">
        <v>14</v>
      </c>
      <c r="EM13" s="19">
        <v>15</v>
      </c>
      <c r="EN13" s="19">
        <v>16</v>
      </c>
      <c r="EO13" s="19">
        <v>22</v>
      </c>
      <c r="EP13" s="19">
        <v>23</v>
      </c>
      <c r="EQ13" s="20">
        <v>24</v>
      </c>
      <c r="MA13" t="str">
        <f t="shared" si="40"/>
        <v>DI3-B1</v>
      </c>
    </row>
    <row r="14" spans="1:824" ht="15.75" thickBot="1" x14ac:dyDescent="0.3">
      <c r="A14" s="61" t="s">
        <v>2063</v>
      </c>
      <c r="B14" t="s">
        <v>2062</v>
      </c>
      <c r="C14" s="3"/>
      <c r="O14" s="2"/>
      <c r="P14" t="s">
        <v>129</v>
      </c>
      <c r="Q14" s="1"/>
      <c r="S14" s="1" t="s">
        <v>130</v>
      </c>
      <c r="T14" s="14" t="s">
        <v>2019</v>
      </c>
      <c r="U14" s="58">
        <f t="shared" si="80"/>
        <v>13</v>
      </c>
      <c r="V14" s="15" t="s">
        <v>2061</v>
      </c>
      <c r="W14" s="15"/>
      <c r="AC14" t="str">
        <f>IF(AD13+AE13&gt;25,REPLACE(AC13,LEN(AC13),1,VALUE(RIGHT(AC13,1))+1),AC13)</f>
        <v>A5.3</v>
      </c>
      <c r="AD14" s="43">
        <f t="array" ref="AD14">IF(COUNTIFS(AC$2:AC14,AC14)=1,"1",VALUE(SUBSTITUTE(INDEX(AD:AD,_xlfn.XMATCH(AC14,AC$1:AC13,0,-1)),"A",""))+INDEX(AE:AE,_xlfn.XMATCH(AC14,AC$1:AC13,0,-1))+1)</f>
        <v>7</v>
      </c>
      <c r="AE14" s="43">
        <f t="array" ref="AE14">SUM(IF(ISNUMBER(FIND("TmDi",$BE$1:$AAQ$1)),IF(IFERROR(ISNUMBER(VALUE(SUBSTITUTE($BE14:$AAQ14,"B",""))),FALSE),IF(ISNUMBER(VALUE(SUBSTITUTE($BE14:$AAQ14,"B",""))),1,0),0)))</f>
        <v>5</v>
      </c>
      <c r="AF14" t="str">
        <f t="shared" si="0"/>
        <v>C7</v>
      </c>
      <c r="AG14" t="str">
        <f t="shared" si="1"/>
        <v>B7</v>
      </c>
      <c r="AH14" t="str">
        <f>IF(AI13+AJ13&gt;25,REPLACE(AH13,LEN(AH13),1,VALUE(RIGHT(AH13,1))+1),AH13)</f>
        <v>A6.2</v>
      </c>
      <c r="AI14" s="66">
        <f t="array" ref="AI14">IF(COUNTIFS(AH$2:AH14,AH14)=1,"1",VALUE(SUBSTITUTE(INDEX(AI:AI,_xlfn.XMATCH(AH14,AH$1:AH13,0,-1)),"A",""))+INDEX(AJ:AJ,_xlfn.XMATCH(AH14,AH$1:AH13,0,-1))+1)</f>
        <v>7</v>
      </c>
      <c r="AJ14" s="59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2"/>
        <v>7A</v>
      </c>
      <c r="AL14" t="str">
        <f t="shared" si="3"/>
        <v>7B</v>
      </c>
      <c r="AM14" t="s">
        <v>158</v>
      </c>
      <c r="AP14" t="s">
        <v>2022</v>
      </c>
      <c r="AQ14" t="s">
        <v>2051</v>
      </c>
      <c r="AT14" t="s">
        <v>139</v>
      </c>
      <c r="AU14" t="s">
        <v>140</v>
      </c>
      <c r="BD14" s="16"/>
      <c r="BE14" s="28" t="str">
        <f t="shared" si="44"/>
        <v>XT13</v>
      </c>
      <c r="BF14" s="19" t="str">
        <f t="shared" si="45"/>
        <v>C8</v>
      </c>
      <c r="BG14" s="19" t="str">
        <f t="shared" si="46"/>
        <v>B8</v>
      </c>
      <c r="BH14" s="19" t="str">
        <f t="shared" si="47"/>
        <v>C9</v>
      </c>
      <c r="BI14" s="19" t="str">
        <f t="shared" si="48"/>
        <v>B9</v>
      </c>
      <c r="BJ14" s="19" t="str">
        <f t="shared" si="49"/>
        <v>C10</v>
      </c>
      <c r="BK14" s="19" t="str">
        <f t="shared" si="50"/>
        <v>B10</v>
      </c>
      <c r="BL14" s="19" t="str">
        <f>CONCATENATE("C",REPLACE(BJ14,1,1,"")+1)</f>
        <v>C11</v>
      </c>
      <c r="BM14" s="19" t="str">
        <f>CONCATENATE("B",REPLACE(BK14,1,1,"")+1)</f>
        <v>B11</v>
      </c>
      <c r="BN14" s="19" t="str">
        <f>CONCATENATE("C",REPLACE(BL14,1,1,"")+1)</f>
        <v>C12</v>
      </c>
      <c r="BO14" s="19" t="str">
        <f>CONCATENATE("B",REPLACE(BM14,1,1,"")+1)</f>
        <v>B12</v>
      </c>
      <c r="BP14" s="19" t="str">
        <f t="shared" si="51"/>
        <v>8A</v>
      </c>
      <c r="BQ14" s="19" t="str">
        <f t="shared" si="52"/>
        <v>8B</v>
      </c>
      <c r="BR14" s="19" t="str">
        <f t="shared" si="53"/>
        <v>9A</v>
      </c>
      <c r="BS14" s="19" t="str">
        <f t="shared" si="54"/>
        <v>9B</v>
      </c>
      <c r="BT14" s="19" t="str">
        <f t="shared" si="55"/>
        <v>DI3-C7</v>
      </c>
      <c r="BU14" s="19" t="str">
        <f t="shared" si="55"/>
        <v>DI3-B7</v>
      </c>
      <c r="BV14" s="19" t="str">
        <f t="shared" si="56"/>
        <v>DI3-C8</v>
      </c>
      <c r="BW14" s="19" t="str">
        <f t="shared" si="56"/>
        <v>DI3-B8</v>
      </c>
      <c r="BX14" s="19" t="str">
        <f t="shared" si="56"/>
        <v>DI3-C9</v>
      </c>
      <c r="BY14" s="19" t="str">
        <f t="shared" si="56"/>
        <v>DI3-B9</v>
      </c>
      <c r="BZ14" s="19" t="str">
        <f t="shared" si="56"/>
        <v>DI3-C10</v>
      </c>
      <c r="CA14" s="19" t="str">
        <f t="shared" si="56"/>
        <v>DI3-B10</v>
      </c>
      <c r="CB14" s="19" t="str">
        <f t="shared" si="56"/>
        <v>DI3-C11</v>
      </c>
      <c r="CC14" s="19" t="str">
        <f t="shared" si="56"/>
        <v>DI3-B11</v>
      </c>
      <c r="CD14" s="19" t="str">
        <f t="shared" si="56"/>
        <v>DI3-C12</v>
      </c>
      <c r="CE14" s="19" t="str">
        <f t="shared" si="56"/>
        <v>DI3-B12</v>
      </c>
      <c r="CF14" s="19" t="str">
        <f t="shared" si="57"/>
        <v>DO2-7A</v>
      </c>
      <c r="CG14" s="19" t="str">
        <f t="shared" si="57"/>
        <v>DO2-7B</v>
      </c>
      <c r="CH14" s="19" t="str">
        <f t="shared" si="58"/>
        <v>DO2-8A</v>
      </c>
      <c r="CI14" s="19" t="str">
        <f t="shared" si="58"/>
        <v>DO2-8B</v>
      </c>
      <c r="CJ14" s="19" t="str">
        <f t="shared" si="58"/>
        <v>DO2-9A</v>
      </c>
      <c r="CK14" s="19" t="str">
        <f t="shared" si="58"/>
        <v>DO2-9B</v>
      </c>
      <c r="CL14" s="19" t="str">
        <f t="shared" si="59"/>
        <v>K13-10</v>
      </c>
      <c r="CM14" s="19" t="str">
        <f t="shared" si="60"/>
        <v>K13-03</v>
      </c>
      <c r="CN14" s="19" t="str">
        <f t="shared" si="61"/>
        <v>K13-04</v>
      </c>
      <c r="CO14" s="19" t="str">
        <f t="shared" si="62"/>
        <v>K13-01</v>
      </c>
      <c r="CP14" s="19" t="str">
        <f t="shared" si="63"/>
        <v>K13-08</v>
      </c>
      <c r="CQ14" s="19" t="str">
        <f t="shared" si="64"/>
        <v>K13-02</v>
      </c>
      <c r="CR14" s="19" t="str">
        <f t="shared" si="65"/>
        <v>K13-09</v>
      </c>
      <c r="CS14" s="19" t="str">
        <f t="shared" si="66"/>
        <v>K13-05</v>
      </c>
      <c r="CT14" s="19" t="str">
        <f t="shared" si="67"/>
        <v>K13-11</v>
      </c>
      <c r="CU14" s="19" t="str">
        <f t="shared" si="68"/>
        <v>N2-M13-A9</v>
      </c>
      <c r="CV14" s="19" t="str">
        <f t="shared" si="69"/>
        <v>N2-M13-A7</v>
      </c>
      <c r="CW14" s="19" t="str">
        <f t="shared" si="70"/>
        <v>N2-M13-A8</v>
      </c>
      <c r="CX14" s="19" t="str">
        <f t="shared" si="71"/>
        <v>N2-M13-A6</v>
      </c>
      <c r="CY14" s="19" t="str">
        <f t="shared" si="72"/>
        <v>N2-M13-A30</v>
      </c>
      <c r="CZ14" s="19" t="str">
        <f t="shared" si="73"/>
        <v>N2-M13-N</v>
      </c>
      <c r="DA14" s="19" t="str">
        <f t="shared" si="74"/>
        <v>N2-A220-M13</v>
      </c>
      <c r="DB14" s="19" t="str">
        <f t="shared" si="75"/>
        <v>N2-M13-XM01</v>
      </c>
      <c r="DC14" s="19" t="str">
        <f t="shared" si="76"/>
        <v>N2-M13-A1</v>
      </c>
      <c r="DD14" s="19" t="str">
        <f t="shared" si="77"/>
        <v>N2-M13-A5</v>
      </c>
      <c r="DE14" s="19" t="str">
        <f t="shared" si="78"/>
        <v>N2-M13-A11</v>
      </c>
      <c r="DF14" s="19" t="str">
        <f t="shared" si="79"/>
        <v>N2-M13-A12</v>
      </c>
      <c r="DG14" s="19" t="str">
        <f t="shared" si="81"/>
        <v>N2-M13-A19</v>
      </c>
      <c r="DH14" s="19" t="str">
        <f t="shared" si="82"/>
        <v>N2-M13-A20</v>
      </c>
      <c r="DI14" s="19" t="s">
        <v>142</v>
      </c>
      <c r="DJ14" s="19" t="s">
        <v>143</v>
      </c>
      <c r="DK14" s="19">
        <v>11</v>
      </c>
      <c r="DL14" s="19">
        <v>14</v>
      </c>
      <c r="DM14" s="19">
        <v>12</v>
      </c>
      <c r="DN14" s="19" t="s">
        <v>144</v>
      </c>
      <c r="DO14" s="19" t="s">
        <v>145</v>
      </c>
      <c r="DP14" s="19">
        <v>1</v>
      </c>
      <c r="DQ14" s="19">
        <v>2</v>
      </c>
      <c r="DR14" s="19">
        <v>3</v>
      </c>
      <c r="DS14" s="19">
        <v>4</v>
      </c>
      <c r="DT14" s="19">
        <v>5</v>
      </c>
      <c r="DU14" s="19">
        <v>6</v>
      </c>
      <c r="DV14" s="19">
        <v>7</v>
      </c>
      <c r="DW14" s="19">
        <v>8</v>
      </c>
      <c r="DX14" s="19">
        <v>9</v>
      </c>
      <c r="DY14" s="19">
        <v>10</v>
      </c>
      <c r="DZ14" s="19">
        <v>11</v>
      </c>
      <c r="EA14" s="19">
        <v>12</v>
      </c>
      <c r="EB14" s="19">
        <v>13</v>
      </c>
      <c r="EC14" s="19">
        <v>14</v>
      </c>
      <c r="ED14" s="19">
        <v>1</v>
      </c>
      <c r="EE14" s="19">
        <v>3</v>
      </c>
      <c r="EF14" s="19">
        <v>4</v>
      </c>
      <c r="EG14" s="19">
        <v>7</v>
      </c>
      <c r="EH14" s="19">
        <v>8</v>
      </c>
      <c r="EI14" s="19">
        <v>9</v>
      </c>
      <c r="EJ14" s="19">
        <v>10</v>
      </c>
      <c r="EK14" s="19">
        <v>13</v>
      </c>
      <c r="EL14" s="19">
        <v>14</v>
      </c>
      <c r="EM14" s="19">
        <v>15</v>
      </c>
      <c r="EN14" s="19">
        <v>16</v>
      </c>
      <c r="EO14" s="19">
        <v>22</v>
      </c>
      <c r="EP14" s="19">
        <v>23</v>
      </c>
      <c r="EQ14" s="20">
        <v>24</v>
      </c>
      <c r="MA14" t="str">
        <f t="shared" si="40"/>
        <v>DI3-B7</v>
      </c>
    </row>
    <row r="15" spans="1:824" x14ac:dyDescent="0.25">
      <c r="A15" s="61" t="s">
        <v>2069</v>
      </c>
      <c r="B15" t="s">
        <v>2068</v>
      </c>
      <c r="C15" s="3"/>
      <c r="O15" s="2"/>
      <c r="P15" t="s">
        <v>2033</v>
      </c>
      <c r="Q15" s="1"/>
      <c r="S15" s="1" t="s">
        <v>130</v>
      </c>
      <c r="T15" s="14" t="s">
        <v>2019</v>
      </c>
      <c r="U15" s="58">
        <f t="shared" si="80"/>
        <v>14</v>
      </c>
      <c r="V15" s="15" t="s">
        <v>2064</v>
      </c>
      <c r="W15" s="15"/>
      <c r="AC15" t="str">
        <f>IF(AD14+AE14&gt;29,REPLACE(AC14,LEN(AC14),1,VALUE(RIGHT(AC14,1))+1),AC14)</f>
        <v>A5.3</v>
      </c>
      <c r="AD15" s="43">
        <f t="array" ref="AD15">IF(COUNTIFS(AC$2:AC15,AC15)=1,"1",VALUE(SUBSTITUTE(INDEX(AD:AD,_xlfn.XMATCH(AC15,AC$1:AC14,0,-1)),"A",""))+INDEX(AE:AE,_xlfn.XMATCH(AC15,AC$1:AC14,0,-1))+1)</f>
        <v>13</v>
      </c>
      <c r="AE15" s="43">
        <f t="array" ref="AE15">SUM(IF(ISNUMBER(FIND("TmDi",$BE$1:$AAQ$1)),IF(IFERROR(ISNUMBER(VALUE(SUBSTITUTE($BE15:$AAQ15,"B",""))),FALSE),IF(ISNUMBER(VALUE(SUBSTITUTE($BE15:$AAQ15,"B",""))),1,0),0)))</f>
        <v>3</v>
      </c>
      <c r="AF15" t="str">
        <f t="shared" si="0"/>
        <v>C13</v>
      </c>
      <c r="AG15" t="str">
        <f t="shared" si="1"/>
        <v>B13</v>
      </c>
      <c r="AH15" t="str">
        <f>IF(AI14+AJ14&gt;27,REPLACE(AH14,LEN(AH14),1,VALUE(RIGHT(AH14,1))+1),AH14)</f>
        <v>A6.2</v>
      </c>
      <c r="AI15" s="66">
        <f t="array" ref="AI15">IF(COUNTIFS(AH$2:AH15,AH15)=1,"1",VALUE(SUBSTITUTE(INDEX(AI:AI,_xlfn.XMATCH(AH15,AH$1:AH14,0,-1)),"A",""))+INDEX(AJ:AJ,_xlfn.XMATCH(AH15,AH$1:AH14,0,-1))+1)</f>
        <v>10</v>
      </c>
      <c r="AJ15" s="59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2"/>
        <v>10A</v>
      </c>
      <c r="AL15" t="str">
        <f t="shared" si="3"/>
        <v>10B</v>
      </c>
      <c r="AM15" t="s">
        <v>161</v>
      </c>
      <c r="AP15" t="s">
        <v>2022</v>
      </c>
      <c r="AQ15" t="s">
        <v>2051</v>
      </c>
      <c r="AT15" t="s">
        <v>139</v>
      </c>
      <c r="AU15" t="s">
        <v>140</v>
      </c>
      <c r="BD15" s="16"/>
      <c r="BE15" s="27" t="str">
        <f t="shared" si="44"/>
        <v>XT14</v>
      </c>
      <c r="BF15" t="str">
        <f t="shared" si="45"/>
        <v>C14</v>
      </c>
      <c r="BG15" t="str">
        <f t="shared" si="46"/>
        <v>B14</v>
      </c>
      <c r="BH15" t="str">
        <f t="shared" si="47"/>
        <v>C15</v>
      </c>
      <c r="BI15" t="str">
        <f t="shared" si="48"/>
        <v>B15</v>
      </c>
      <c r="BJ15" t="str">
        <f t="shared" si="49"/>
        <v>C16</v>
      </c>
      <c r="BK15" t="str">
        <f t="shared" si="50"/>
        <v>B16</v>
      </c>
      <c r="BP15" t="str">
        <f t="shared" si="51"/>
        <v>11A</v>
      </c>
      <c r="BQ15" t="str">
        <f t="shared" si="52"/>
        <v>11B</v>
      </c>
      <c r="BR15" t="str">
        <f t="shared" si="53"/>
        <v>12A</v>
      </c>
      <c r="BS15" t="str">
        <f t="shared" si="54"/>
        <v>12B</v>
      </c>
      <c r="BT15" t="str">
        <f t="shared" si="55"/>
        <v>DI3-C13</v>
      </c>
      <c r="BU15" t="str">
        <f t="shared" si="55"/>
        <v>DI3-B13</v>
      </c>
      <c r="BV15" t="str">
        <f t="shared" si="56"/>
        <v>DI3-C14</v>
      </c>
      <c r="BW15" t="str">
        <f t="shared" si="56"/>
        <v>DI3-B14</v>
      </c>
      <c r="BX15" t="str">
        <f t="shared" si="56"/>
        <v>DI3-C15</v>
      </c>
      <c r="BY15" t="str">
        <f t="shared" si="56"/>
        <v>DI3-B15</v>
      </c>
      <c r="BZ15" t="str">
        <f t="shared" si="56"/>
        <v>DI3-C16</v>
      </c>
      <c r="CA15" t="str">
        <f t="shared" si="56"/>
        <v>DI3-B16</v>
      </c>
      <c r="CB15" t="str">
        <f t="shared" si="56"/>
        <v>DI3-</v>
      </c>
      <c r="CC15" t="str">
        <f t="shared" si="56"/>
        <v>DI3-</v>
      </c>
      <c r="CD15" t="str">
        <f t="shared" si="56"/>
        <v>DI3-</v>
      </c>
      <c r="CE15" t="str">
        <f t="shared" si="56"/>
        <v>DI3-</v>
      </c>
      <c r="CF15" t="str">
        <f>CONCATENATE("DO",REPLACE($AH15,1,3,""),"-",$AK15)</f>
        <v>DO2-10A</v>
      </c>
      <c r="CG15" t="str">
        <f>CONCATENATE("DO",REPLACE($AH15,1,3,""),"-",$AL15)</f>
        <v>DO2-10B</v>
      </c>
      <c r="CH15" t="str">
        <f t="shared" si="58"/>
        <v>DO2-11A</v>
      </c>
      <c r="CI15" t="str">
        <f t="shared" si="58"/>
        <v>DO2-11B</v>
      </c>
      <c r="CJ15" t="str">
        <f t="shared" si="58"/>
        <v>DO2-12A</v>
      </c>
      <c r="CK15" t="str">
        <f t="shared" si="58"/>
        <v>DO2-12B</v>
      </c>
      <c r="CL15" t="str">
        <f t="shared" si="59"/>
        <v>K14-10</v>
      </c>
      <c r="CM15" t="str">
        <f t="shared" si="60"/>
        <v>K14-03</v>
      </c>
      <c r="CN15" t="str">
        <f t="shared" si="61"/>
        <v>K14-04</v>
      </c>
      <c r="CO15" t="str">
        <f t="shared" si="62"/>
        <v>K14-01</v>
      </c>
      <c r="CP15" t="str">
        <f t="shared" si="63"/>
        <v>K14-08</v>
      </c>
      <c r="CQ15" t="str">
        <f t="shared" si="64"/>
        <v>K14-02</v>
      </c>
      <c r="CR15" t="str">
        <f t="shared" si="65"/>
        <v>K14-09</v>
      </c>
      <c r="CS15" t="str">
        <f t="shared" si="66"/>
        <v>K14-05</v>
      </c>
      <c r="CT15" t="str">
        <f t="shared" si="67"/>
        <v>K14-11</v>
      </c>
      <c r="CU15" t="str">
        <f t="shared" si="68"/>
        <v>N2-M14-A9</v>
      </c>
      <c r="CV15" t="str">
        <f t="shared" si="69"/>
        <v>N2-M14-A7</v>
      </c>
      <c r="CW15" t="str">
        <f t="shared" si="70"/>
        <v>N2-M14-A8</v>
      </c>
      <c r="CX15" t="str">
        <f t="shared" si="71"/>
        <v>N2-M14-A6</v>
      </c>
      <c r="CY15" t="str">
        <f t="shared" si="72"/>
        <v>N2-M14-A30</v>
      </c>
      <c r="CZ15" t="str">
        <f t="shared" si="73"/>
        <v>N2-M14-N</v>
      </c>
      <c r="DA15" t="str">
        <f t="shared" si="74"/>
        <v>N2-A220-M14</v>
      </c>
      <c r="DB15" t="str">
        <f t="shared" si="75"/>
        <v>N2-M14-XM01</v>
      </c>
      <c r="DC15" t="str">
        <f t="shared" si="76"/>
        <v>N2-M14-A1</v>
      </c>
      <c r="DD15" t="str">
        <f t="shared" si="77"/>
        <v>N2-M14-A5</v>
      </c>
      <c r="DE15" t="str">
        <f t="shared" si="78"/>
        <v>N2-M14-A11</v>
      </c>
      <c r="DF15" t="str">
        <f t="shared" si="79"/>
        <v>N2-M14-A12</v>
      </c>
      <c r="DG15" t="str">
        <f t="shared" si="81"/>
        <v>N2-M14-A19</v>
      </c>
      <c r="DH15" t="str">
        <f t="shared" si="82"/>
        <v>N2-M14-A20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6">
        <v>24</v>
      </c>
      <c r="MA15" t="str">
        <f t="shared" si="40"/>
        <v>DI3-B13</v>
      </c>
    </row>
    <row r="16" spans="1:824" x14ac:dyDescent="0.25">
      <c r="A16" s="61" t="s">
        <v>2070</v>
      </c>
      <c r="B16" t="s">
        <v>2071</v>
      </c>
      <c r="C16" s="3"/>
      <c r="O16" s="2"/>
      <c r="P16" t="s">
        <v>2033</v>
      </c>
      <c r="Q16" s="1"/>
      <c r="S16" s="1" t="s">
        <v>130</v>
      </c>
      <c r="T16" s="14" t="s">
        <v>2019</v>
      </c>
      <c r="U16" s="58">
        <f t="shared" si="80"/>
        <v>15</v>
      </c>
      <c r="V16" s="15" t="s">
        <v>2065</v>
      </c>
      <c r="W16" s="15"/>
      <c r="AC16" t="str">
        <f>IF(AD15+AE15&gt;29,REPLACE(AC15,LEN(AC15),1,VALUE(RIGHT(AC15,1))+1),AC15)</f>
        <v>A5.3</v>
      </c>
      <c r="AD16" s="43">
        <f t="array" ref="AD16">IF(COUNTIFS(AC$2:AC16,AC16)=1,"1",VALUE(SUBSTITUTE(INDEX(AD:AD,_xlfn.XMATCH(AC16,AC$1:AC15,0,-1)),"A",""))+INDEX(AE:AE,_xlfn.XMATCH(AC16,AC$1:AC15,0,-1))+1)</f>
        <v>17</v>
      </c>
      <c r="AE16" s="43">
        <f t="array" ref="AE16">SUM(IF(ISNUMBER(FIND("TmDi",$BE$1:$AAQ$1)),IF(IFERROR(ISNUMBER(VALUE(SUBSTITUTE($BE16:$AAQ16,"B",""))),FALSE),IF(ISNUMBER(VALUE(SUBSTITUTE($BE16:$AAQ16,"B",""))),1,0),0)))</f>
        <v>3</v>
      </c>
      <c r="AF16" t="str">
        <f t="shared" si="0"/>
        <v>C17</v>
      </c>
      <c r="AG16" t="str">
        <f t="shared" si="1"/>
        <v>B17</v>
      </c>
      <c r="AH16" t="str">
        <f>IF(AI15+AJ15&gt;27,REPLACE(AH15,LEN(AH15),1,VALUE(RIGHT(AH15,1))+1),AH15)</f>
        <v>A6.2</v>
      </c>
      <c r="AI16" s="66">
        <f t="array" ref="AI16">IF(COUNTIFS(AH$2:AH16,AH16)=1,"1",VALUE(SUBSTITUTE(INDEX(AI:AI,_xlfn.XMATCH(AH16,AH$1:AH15,0,-1)),"A",""))+INDEX(AJ:AJ,_xlfn.XMATCH(AH16,AH$1:AH15,0,-1))+1)</f>
        <v>13</v>
      </c>
      <c r="AJ16" s="59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2"/>
        <v>13A</v>
      </c>
      <c r="AL16" t="str">
        <f t="shared" si="3"/>
        <v>13B</v>
      </c>
      <c r="AM16" t="s">
        <v>163</v>
      </c>
      <c r="AP16" t="s">
        <v>2022</v>
      </c>
      <c r="AQ16" t="s">
        <v>2051</v>
      </c>
      <c r="AT16" t="s">
        <v>139</v>
      </c>
      <c r="AU16" t="s">
        <v>140</v>
      </c>
      <c r="BD16" s="16"/>
      <c r="BE16" s="27" t="str">
        <f t="shared" si="44"/>
        <v>XT15</v>
      </c>
      <c r="BF16" t="str">
        <f t="shared" si="45"/>
        <v>C18</v>
      </c>
      <c r="BG16" t="str">
        <f t="shared" si="46"/>
        <v>B18</v>
      </c>
      <c r="BH16" t="str">
        <f t="shared" si="47"/>
        <v>C19</v>
      </c>
      <c r="BI16" t="str">
        <f t="shared" si="48"/>
        <v>B19</v>
      </c>
      <c r="BJ16" t="str">
        <f t="shared" si="49"/>
        <v>C20</v>
      </c>
      <c r="BK16" t="str">
        <f t="shared" si="50"/>
        <v>B20</v>
      </c>
      <c r="BP16" t="str">
        <f t="shared" si="51"/>
        <v>14A</v>
      </c>
      <c r="BQ16" t="str">
        <f t="shared" si="52"/>
        <v>14B</v>
      </c>
      <c r="BR16" t="str">
        <f t="shared" si="53"/>
        <v>15A</v>
      </c>
      <c r="BS16" t="str">
        <f t="shared" si="54"/>
        <v>15B</v>
      </c>
      <c r="BT16" t="str">
        <f t="shared" si="55"/>
        <v>DI3-C17</v>
      </c>
      <c r="BU16" t="str">
        <f t="shared" si="55"/>
        <v>DI3-B17</v>
      </c>
      <c r="BV16" t="str">
        <f t="shared" si="56"/>
        <v>DI3-C18</v>
      </c>
      <c r="BW16" t="str">
        <f t="shared" si="56"/>
        <v>DI3-B18</v>
      </c>
      <c r="BX16" t="str">
        <f t="shared" si="56"/>
        <v>DI3-C19</v>
      </c>
      <c r="BY16" t="str">
        <f t="shared" si="56"/>
        <v>DI3-B19</v>
      </c>
      <c r="BZ16" t="str">
        <f t="shared" si="56"/>
        <v>DI3-C20</v>
      </c>
      <c r="CA16" t="str">
        <f t="shared" si="56"/>
        <v>DI3-B20</v>
      </c>
      <c r="CB16" t="str">
        <f t="shared" si="56"/>
        <v>DI3-</v>
      </c>
      <c r="CC16" t="str">
        <f t="shared" si="56"/>
        <v>DI3-</v>
      </c>
      <c r="CD16" t="str">
        <f t="shared" si="56"/>
        <v>DI3-</v>
      </c>
      <c r="CE16" t="str">
        <f t="shared" si="56"/>
        <v>DI3-</v>
      </c>
      <c r="CF16" t="str">
        <f t="shared" ref="CF16:CG18" si="83">CONCATENATE("DO",REPLACE($AH16,1,3,""),"-",AK16)</f>
        <v>DO2-13A</v>
      </c>
      <c r="CG16" t="str">
        <f t="shared" si="83"/>
        <v>DO2-13B</v>
      </c>
      <c r="CH16" t="str">
        <f t="shared" si="58"/>
        <v>DO2-14A</v>
      </c>
      <c r="CI16" t="str">
        <f t="shared" si="58"/>
        <v>DO2-14B</v>
      </c>
      <c r="CJ16" t="str">
        <f t="shared" si="58"/>
        <v>DO2-15A</v>
      </c>
      <c r="CK16" t="str">
        <f t="shared" si="58"/>
        <v>DO2-15B</v>
      </c>
      <c r="CL16" t="str">
        <f t="shared" si="59"/>
        <v>K15-10</v>
      </c>
      <c r="CM16" t="str">
        <f t="shared" si="60"/>
        <v>K15-03</v>
      </c>
      <c r="CN16" t="str">
        <f t="shared" si="61"/>
        <v>K15-04</v>
      </c>
      <c r="CO16" t="str">
        <f t="shared" si="62"/>
        <v>K15-01</v>
      </c>
      <c r="CP16" t="str">
        <f t="shared" si="63"/>
        <v>K15-08</v>
      </c>
      <c r="CQ16" t="str">
        <f t="shared" si="64"/>
        <v>K15-02</v>
      </c>
      <c r="CR16" t="str">
        <f t="shared" si="65"/>
        <v>K15-09</v>
      </c>
      <c r="CS16" t="str">
        <f t="shared" si="66"/>
        <v>K15-05</v>
      </c>
      <c r="CT16" t="str">
        <f t="shared" si="67"/>
        <v>K15-11</v>
      </c>
      <c r="CU16" t="str">
        <f t="shared" si="68"/>
        <v>N2-M15-A9</v>
      </c>
      <c r="CV16" t="str">
        <f t="shared" si="69"/>
        <v>N2-M15-A7</v>
      </c>
      <c r="CW16" t="str">
        <f t="shared" si="70"/>
        <v>N2-M15-A8</v>
      </c>
      <c r="CX16" t="str">
        <f t="shared" si="71"/>
        <v>N2-M15-A6</v>
      </c>
      <c r="CY16" t="str">
        <f t="shared" si="72"/>
        <v>N2-M15-A30</v>
      </c>
      <c r="CZ16" t="str">
        <f t="shared" si="73"/>
        <v>N2-M15-N</v>
      </c>
      <c r="DA16" t="str">
        <f t="shared" si="74"/>
        <v>N2-A220-M15</v>
      </c>
      <c r="DB16" t="str">
        <f t="shared" si="75"/>
        <v>N2-M15-XM01</v>
      </c>
      <c r="DC16" t="str">
        <f t="shared" si="76"/>
        <v>N2-M15-A1</v>
      </c>
      <c r="DD16" t="str">
        <f t="shared" si="77"/>
        <v>N2-M15-A5</v>
      </c>
      <c r="DE16" t="str">
        <f t="shared" si="78"/>
        <v>N2-M15-A11</v>
      </c>
      <c r="DF16" t="str">
        <f t="shared" si="79"/>
        <v>N2-M15-A12</v>
      </c>
      <c r="DG16" t="str">
        <f t="shared" si="81"/>
        <v>N2-M15-A19</v>
      </c>
      <c r="DH16" t="str">
        <f t="shared" si="82"/>
        <v>N2-M15-A20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6">
        <v>24</v>
      </c>
      <c r="MA16" t="str">
        <f t="shared" si="40"/>
        <v>DI3-B17</v>
      </c>
    </row>
    <row r="17" spans="1:778" x14ac:dyDescent="0.25">
      <c r="A17" s="61" t="s">
        <v>2074</v>
      </c>
      <c r="B17" t="s">
        <v>2072</v>
      </c>
      <c r="C17" s="3"/>
      <c r="O17" s="2"/>
      <c r="P17" t="s">
        <v>2033</v>
      </c>
      <c r="Q17" s="1"/>
      <c r="S17" s="1" t="s">
        <v>130</v>
      </c>
      <c r="T17" s="14" t="s">
        <v>2019</v>
      </c>
      <c r="U17" s="58">
        <f t="shared" si="80"/>
        <v>16</v>
      </c>
      <c r="V17" s="15" t="s">
        <v>2066</v>
      </c>
      <c r="W17" s="15"/>
      <c r="AC17" t="str">
        <f>IF(AD16+AE16&gt;29,REPLACE(AC16,LEN(AC16),1,VALUE(RIGHT(AC16,1))+1),AC16)</f>
        <v>A5.3</v>
      </c>
      <c r="AD17" s="43">
        <f t="array" ref="AD17">IF(COUNTIFS(AC$2:AC17,AC17)=1,"1",VALUE(SUBSTITUTE(INDEX(AD:AD,_xlfn.XMATCH(AC17,AC$1:AC16,0,-1)),"A",""))+INDEX(AE:AE,_xlfn.XMATCH(AC17,AC$1:AC16,0,-1))+1)</f>
        <v>21</v>
      </c>
      <c r="AE17" s="43">
        <f t="array" ref="AE17">SUM(IF(ISNUMBER(FIND("TmDi",$BE$1:$AAQ$1)),IF(IFERROR(ISNUMBER(VALUE(SUBSTITUTE($BE17:$AAQ17,"B",""))),FALSE),IF(ISNUMBER(VALUE(SUBSTITUTE($BE17:$AAQ17,"B",""))),1,0),0)))</f>
        <v>3</v>
      </c>
      <c r="AF17" t="str">
        <f t="shared" si="0"/>
        <v>C21</v>
      </c>
      <c r="AG17" t="str">
        <f t="shared" si="1"/>
        <v>B21</v>
      </c>
      <c r="AH17" t="str">
        <f>IF(AI16+AJ16&gt;27,REPLACE(AH16,LEN(AH16),1,VALUE(RIGHT(AH16,1))+1),AH16)</f>
        <v>A6.2</v>
      </c>
      <c r="AI17" s="66">
        <f t="array" ref="AI17">IF(COUNTIFS(AH$2:AH17,AH17)=1,"1",VALUE(SUBSTITUTE(INDEX(AI:AI,_xlfn.XMATCH(AH17,AH$1:AH16,0,-1)),"A",""))+INDEX(AJ:AJ,_xlfn.XMATCH(AH17,AH$1:AH16,0,-1))+1)</f>
        <v>16</v>
      </c>
      <c r="AJ17" s="59">
        <f t="array" ref="AJ17">SUM(IF(ISNUMBER(FIND("TmDo",$BE$1:$AAQ$1)),IF(IFERROR(ISNUMBER(VALUE(SUBSTITUTE($BE17:$AAQ17,"B",""))),FALSE),IF(ISNUMBER(VALUE(SUBSTITUTE($BE17:$AAQ17,"B",""))),1,0),0)))</f>
        <v>2</v>
      </c>
      <c r="AK17" t="str">
        <f t="shared" si="2"/>
        <v>16A</v>
      </c>
      <c r="AL17" t="str">
        <f t="shared" si="3"/>
        <v>16B</v>
      </c>
      <c r="AM17" t="s">
        <v>166</v>
      </c>
      <c r="AP17" t="s">
        <v>2022</v>
      </c>
      <c r="AQ17" t="s">
        <v>2051</v>
      </c>
      <c r="AT17" t="s">
        <v>139</v>
      </c>
      <c r="AU17" t="s">
        <v>140</v>
      </c>
      <c r="BD17" s="16"/>
      <c r="BE17" s="27" t="str">
        <f t="shared" si="44"/>
        <v>XT16</v>
      </c>
      <c r="BF17" t="str">
        <f t="shared" si="45"/>
        <v>C22</v>
      </c>
      <c r="BG17" t="str">
        <f t="shared" si="46"/>
        <v>B22</v>
      </c>
      <c r="BH17" t="str">
        <f t="shared" si="47"/>
        <v>C23</v>
      </c>
      <c r="BI17" t="str">
        <f t="shared" si="48"/>
        <v>B23</v>
      </c>
      <c r="BJ17" t="str">
        <f t="shared" si="49"/>
        <v>C24</v>
      </c>
      <c r="BK17" t="str">
        <f t="shared" si="50"/>
        <v>B24</v>
      </c>
      <c r="BP17" t="str">
        <f t="shared" si="51"/>
        <v>17A</v>
      </c>
      <c r="BQ17" t="str">
        <f t="shared" si="52"/>
        <v>17B</v>
      </c>
      <c r="BR17" t="str">
        <f t="shared" si="53"/>
        <v>18A</v>
      </c>
      <c r="BS17" t="str">
        <f t="shared" si="54"/>
        <v>18B</v>
      </c>
      <c r="BT17" t="str">
        <f t="shared" si="55"/>
        <v>DI3-C21</v>
      </c>
      <c r="BU17" t="str">
        <f t="shared" si="55"/>
        <v>DI3-B21</v>
      </c>
      <c r="BV17" t="str">
        <f t="shared" si="56"/>
        <v>DI3-C22</v>
      </c>
      <c r="BW17" t="str">
        <f t="shared" si="56"/>
        <v>DI3-B22</v>
      </c>
      <c r="BX17" t="str">
        <f t="shared" si="56"/>
        <v>DI3-C23</v>
      </c>
      <c r="BY17" t="str">
        <f t="shared" si="56"/>
        <v>DI3-B23</v>
      </c>
      <c r="BZ17" t="str">
        <f t="shared" si="56"/>
        <v>DI3-C24</v>
      </c>
      <c r="CA17" t="str">
        <f t="shared" si="56"/>
        <v>DI3-B24</v>
      </c>
      <c r="CB17" t="str">
        <f t="shared" si="56"/>
        <v>DI3-</v>
      </c>
      <c r="CC17" t="str">
        <f t="shared" si="56"/>
        <v>DI3-</v>
      </c>
      <c r="CD17" t="str">
        <f t="shared" si="56"/>
        <v>DI3-</v>
      </c>
      <c r="CE17" t="str">
        <f t="shared" si="56"/>
        <v>DI3-</v>
      </c>
      <c r="CF17" t="str">
        <f t="shared" si="83"/>
        <v>DO2-16A</v>
      </c>
      <c r="CG17" t="str">
        <f t="shared" si="83"/>
        <v>DO2-16B</v>
      </c>
      <c r="CH17" t="str">
        <f t="shared" si="58"/>
        <v>DO2-17A</v>
      </c>
      <c r="CI17" t="str">
        <f t="shared" si="58"/>
        <v>DO2-17B</v>
      </c>
      <c r="CJ17" t="str">
        <f t="shared" si="58"/>
        <v>DO2-18A</v>
      </c>
      <c r="CK17" t="str">
        <f t="shared" si="58"/>
        <v>DO2-18B</v>
      </c>
      <c r="CL17" t="str">
        <f t="shared" si="59"/>
        <v>K16-10</v>
      </c>
      <c r="CM17" t="str">
        <f t="shared" si="60"/>
        <v>K16-03</v>
      </c>
      <c r="CN17" t="str">
        <f t="shared" si="61"/>
        <v>K16-04</v>
      </c>
      <c r="CO17" t="str">
        <f t="shared" si="62"/>
        <v>K16-01</v>
      </c>
      <c r="CP17" t="str">
        <f t="shared" si="63"/>
        <v>K16-08</v>
      </c>
      <c r="CQ17" t="str">
        <f t="shared" si="64"/>
        <v>K16-02</v>
      </c>
      <c r="CR17" t="str">
        <f t="shared" si="65"/>
        <v>K16-09</v>
      </c>
      <c r="CS17" t="str">
        <f t="shared" si="66"/>
        <v>K16-05</v>
      </c>
      <c r="CT17" t="str">
        <f t="shared" si="67"/>
        <v>K16-11</v>
      </c>
      <c r="CU17" t="str">
        <f t="shared" si="68"/>
        <v>N2-M16-A9</v>
      </c>
      <c r="CV17" t="str">
        <f t="shared" si="69"/>
        <v>N2-M16-A7</v>
      </c>
      <c r="CW17" t="str">
        <f t="shared" si="70"/>
        <v>N2-M16-A8</v>
      </c>
      <c r="CX17" t="str">
        <f t="shared" si="71"/>
        <v>N2-M16-A6</v>
      </c>
      <c r="CY17" t="str">
        <f t="shared" si="72"/>
        <v>N2-M16-A30</v>
      </c>
      <c r="CZ17" t="str">
        <f t="shared" si="73"/>
        <v>N2-M16-N</v>
      </c>
      <c r="DA17" t="str">
        <f t="shared" si="74"/>
        <v>N2-A220-M16</v>
      </c>
      <c r="DB17" t="str">
        <f t="shared" si="75"/>
        <v>N2-M16-XM01</v>
      </c>
      <c r="DC17" t="str">
        <f t="shared" si="76"/>
        <v>N2-M16-A1</v>
      </c>
      <c r="DD17" t="str">
        <f t="shared" si="77"/>
        <v>N2-M16-A5</v>
      </c>
      <c r="DE17" t="str">
        <f t="shared" si="78"/>
        <v>N2-M16-A11</v>
      </c>
      <c r="DF17" t="str">
        <f t="shared" si="79"/>
        <v>N2-M16-A12</v>
      </c>
      <c r="DG17" t="str">
        <f t="shared" si="81"/>
        <v>N2-M16-A19</v>
      </c>
      <c r="DH17" t="str">
        <f t="shared" si="82"/>
        <v>N2-M16-A20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15</v>
      </c>
      <c r="EM17">
        <v>16</v>
      </c>
      <c r="EN17">
        <v>16</v>
      </c>
      <c r="EO17">
        <v>22</v>
      </c>
      <c r="EP17">
        <v>23</v>
      </c>
      <c r="EQ17" s="16">
        <v>24</v>
      </c>
      <c r="MA17" t="str">
        <f t="shared" si="40"/>
        <v>DI3-B21</v>
      </c>
    </row>
    <row r="18" spans="1:778" ht="15.75" thickBot="1" x14ac:dyDescent="0.3">
      <c r="A18" s="61" t="s">
        <v>2075</v>
      </c>
      <c r="B18" t="s">
        <v>2073</v>
      </c>
      <c r="C18" s="3"/>
      <c r="O18" s="2"/>
      <c r="P18" t="s">
        <v>2033</v>
      </c>
      <c r="Q18" s="1"/>
      <c r="S18" s="1" t="s">
        <v>130</v>
      </c>
      <c r="T18" s="14" t="s">
        <v>2019</v>
      </c>
      <c r="U18" s="58">
        <f t="shared" si="80"/>
        <v>17</v>
      </c>
      <c r="V18" s="15" t="s">
        <v>2067</v>
      </c>
      <c r="W18" s="15"/>
      <c r="AC18" t="str">
        <f>IF(AD17+AE17&gt;29,REPLACE(AC17,LEN(AC17),1,VALUE(RIGHT(AC17,1))+1),AC17)</f>
        <v>A5.3</v>
      </c>
      <c r="AD18" s="43">
        <f t="array" ref="AD18">IF(COUNTIFS(AC$2:AC18,AC18)=1,"1",VALUE(SUBSTITUTE(INDEX(AD:AD,_xlfn.XMATCH(AC18,AC$1:AC17,0,-1)),"A",""))+INDEX(AE:AE,_xlfn.XMATCH(AC18,AC$1:AC17,0,-1))+1)</f>
        <v>25</v>
      </c>
      <c r="AE18" s="43">
        <f t="array" ref="AE18">SUM(IF(ISNUMBER(FIND("TmDi",$BE$1:$AAQ$1)),IF(IFERROR(ISNUMBER(VALUE(SUBSTITUTE($BE18:$AAQ18,"B",""))),FALSE),IF(ISNUMBER(VALUE(SUBSTITUTE($BE18:$AAQ18,"B",""))),1,0),0)))</f>
        <v>3</v>
      </c>
      <c r="AF18" t="str">
        <f t="shared" si="0"/>
        <v>C25</v>
      </c>
      <c r="AG18" t="str">
        <f t="shared" si="1"/>
        <v>B25</v>
      </c>
      <c r="AH18" t="str">
        <f>IF(AI17+AJ17&gt;27,REPLACE(AH17,LEN(AH17),1,VALUE(RIGHT(AH17,1))+1),AH17)</f>
        <v>A6.2</v>
      </c>
      <c r="AI18" s="66">
        <f t="array" ref="AI18">IF(COUNTIFS(AH$2:AH18,AH18)=1,"1",VALUE(SUBSTITUTE(INDEX(AI:AI,_xlfn.XMATCH(AH18,AH$1:AH17,0,-1)),"A",""))+INDEX(AJ:AJ,_xlfn.XMATCH(AH18,AH$1:AH17,0,-1))+1)</f>
        <v>19</v>
      </c>
      <c r="AJ18" s="59">
        <f t="array" ref="AJ18">SUM(IF(ISNUMBER(FIND("TmDo",$BE$1:$AAQ$1)),IF(IFERROR(ISNUMBER(VALUE(SUBSTITUTE($BE18:$AAQ18,"B",""))),FALSE),IF(ISNUMBER(VALUE(SUBSTITUTE($BE18:$AAQ18,"B",""))),1,0),0)))</f>
        <v>2</v>
      </c>
      <c r="AK18" t="str">
        <f t="shared" si="2"/>
        <v>19A</v>
      </c>
      <c r="AL18" t="str">
        <f t="shared" si="3"/>
        <v>19B</v>
      </c>
      <c r="AM18" t="s">
        <v>169</v>
      </c>
      <c r="AP18" t="s">
        <v>2022</v>
      </c>
      <c r="AQ18" t="s">
        <v>2051</v>
      </c>
      <c r="AT18" t="s">
        <v>139</v>
      </c>
      <c r="AU18" t="s">
        <v>140</v>
      </c>
      <c r="BD18" s="16"/>
      <c r="BE18" s="27" t="str">
        <f t="shared" si="44"/>
        <v>XT17</v>
      </c>
      <c r="BF18" t="str">
        <f>CONCATENATE("C",REPLACE($AF18,1,1,"")+1)</f>
        <v>C26</v>
      </c>
      <c r="BG18" t="str">
        <f>CONCATENATE("B",REPLACE($AG18,1,1,"")+1)</f>
        <v>B26</v>
      </c>
      <c r="BH18" t="str">
        <f t="shared" si="47"/>
        <v>C27</v>
      </c>
      <c r="BI18" t="str">
        <f t="shared" si="48"/>
        <v>B27</v>
      </c>
      <c r="BJ18" t="str">
        <f t="shared" si="49"/>
        <v>C28</v>
      </c>
      <c r="BK18" t="str">
        <f t="shared" si="50"/>
        <v>B28</v>
      </c>
      <c r="BP18" t="str">
        <f>CONCATENATE(REPLACE($AK18,LEN($AK18),1,"")+1,"A")</f>
        <v>20A</v>
      </c>
      <c r="BQ18" t="str">
        <f>CONCATENATE(REPLACE($AL18,LEN($AL18),1,"")+1,"B")</f>
        <v>20B</v>
      </c>
      <c r="BR18" t="str">
        <f t="shared" si="53"/>
        <v>21A</v>
      </c>
      <c r="BS18" t="str">
        <f t="shared" si="54"/>
        <v>21B</v>
      </c>
      <c r="BT18" t="str">
        <f>CONCATENATE("DI",REPLACE($AC18,1,3,""),"-",$AF18)</f>
        <v>DI3-C25</v>
      </c>
      <c r="BU18" t="str">
        <f>CONCATENATE("DI",REPLACE($AC18,1,3,""),"-",$AG18)</f>
        <v>DI3-B25</v>
      </c>
      <c r="BV18" t="str">
        <f t="shared" si="56"/>
        <v>DI3-C26</v>
      </c>
      <c r="BW18" t="str">
        <f t="shared" si="56"/>
        <v>DI3-B26</v>
      </c>
      <c r="BX18" t="str">
        <f t="shared" si="56"/>
        <v>DI3-C27</v>
      </c>
      <c r="BY18" t="str">
        <f t="shared" si="56"/>
        <v>DI3-B27</v>
      </c>
      <c r="BZ18" t="str">
        <f t="shared" si="56"/>
        <v>DI3-C28</v>
      </c>
      <c r="CA18" t="str">
        <f t="shared" si="56"/>
        <v>DI3-B28</v>
      </c>
      <c r="CB18" t="str">
        <f t="shared" si="56"/>
        <v>DI3-</v>
      </c>
      <c r="CC18" t="str">
        <f t="shared" si="56"/>
        <v>DI3-</v>
      </c>
      <c r="CD18" t="str">
        <f t="shared" si="56"/>
        <v>DI3-</v>
      </c>
      <c r="CE18" t="str">
        <f t="shared" si="56"/>
        <v>DI3-</v>
      </c>
      <c r="CF18" t="str">
        <f t="shared" si="83"/>
        <v>DO2-19A</v>
      </c>
      <c r="CG18" t="str">
        <f t="shared" si="83"/>
        <v>DO2-19B</v>
      </c>
      <c r="CH18" t="str">
        <f t="shared" si="58"/>
        <v>DO2-20A</v>
      </c>
      <c r="CI18" t="str">
        <f t="shared" si="58"/>
        <v>DO2-20B</v>
      </c>
      <c r="CJ18" t="str">
        <f t="shared" si="58"/>
        <v>DO2-21A</v>
      </c>
      <c r="CK18" t="str">
        <f t="shared" si="58"/>
        <v>DO2-21B</v>
      </c>
      <c r="CL18" t="str">
        <f t="shared" si="59"/>
        <v>K17-10</v>
      </c>
      <c r="CM18" t="str">
        <f t="shared" si="60"/>
        <v>K17-03</v>
      </c>
      <c r="CN18" t="str">
        <f t="shared" si="61"/>
        <v>K17-04</v>
      </c>
      <c r="CO18" t="str">
        <f t="shared" si="62"/>
        <v>K17-01</v>
      </c>
      <c r="CP18" t="str">
        <f t="shared" si="63"/>
        <v>K17-08</v>
      </c>
      <c r="CQ18" t="str">
        <f t="shared" si="64"/>
        <v>K17-02</v>
      </c>
      <c r="CR18" t="str">
        <f t="shared" si="65"/>
        <v>K17-09</v>
      </c>
      <c r="CS18" t="str">
        <f t="shared" si="66"/>
        <v>K17-05</v>
      </c>
      <c r="CT18" t="str">
        <f t="shared" si="67"/>
        <v>K17-11</v>
      </c>
      <c r="CU18" t="str">
        <f t="shared" si="68"/>
        <v>N2-M17-A9</v>
      </c>
      <c r="CV18" t="str">
        <f t="shared" si="69"/>
        <v>N2-M17-A7</v>
      </c>
      <c r="CW18" t="str">
        <f t="shared" si="70"/>
        <v>N2-M17-A8</v>
      </c>
      <c r="CX18" t="str">
        <f t="shared" si="71"/>
        <v>N2-M17-A6</v>
      </c>
      <c r="CY18" t="str">
        <f t="shared" si="72"/>
        <v>N2-M17-A30</v>
      </c>
      <c r="CZ18" t="str">
        <f t="shared" si="73"/>
        <v>N2-M17-N</v>
      </c>
      <c r="DA18" t="str">
        <f t="shared" si="74"/>
        <v>N2-A220-M17</v>
      </c>
      <c r="DB18" t="str">
        <f t="shared" si="75"/>
        <v>N2-M17-XM01</v>
      </c>
      <c r="DC18" t="str">
        <f t="shared" si="76"/>
        <v>N2-M17-A1</v>
      </c>
      <c r="DD18" t="str">
        <f t="shared" si="77"/>
        <v>N2-M17-A5</v>
      </c>
      <c r="DE18" t="str">
        <f t="shared" si="78"/>
        <v>N2-M17-A11</v>
      </c>
      <c r="DF18" t="str">
        <f t="shared" si="79"/>
        <v>N2-M17-A12</v>
      </c>
      <c r="DG18" t="str">
        <f t="shared" si="81"/>
        <v>N2-M17-A19</v>
      </c>
      <c r="DH18" t="str">
        <f t="shared" si="82"/>
        <v>N2-M17-A20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15</v>
      </c>
      <c r="EM18">
        <v>16</v>
      </c>
      <c r="EN18">
        <v>16</v>
      </c>
      <c r="EO18">
        <v>22</v>
      </c>
      <c r="EP18">
        <v>23</v>
      </c>
      <c r="EQ18" s="16">
        <v>24</v>
      </c>
      <c r="MA18" t="str">
        <f t="shared" si="40"/>
        <v>DI3-B25</v>
      </c>
    </row>
    <row r="19" spans="1:778" x14ac:dyDescent="0.25">
      <c r="A19" t="s">
        <v>2078</v>
      </c>
      <c r="B19" t="s">
        <v>2077</v>
      </c>
      <c r="C19" t="s">
        <v>498</v>
      </c>
      <c r="P19" t="s">
        <v>482</v>
      </c>
      <c r="T19" s="14" t="s">
        <v>2019</v>
      </c>
      <c r="U19">
        <v>18</v>
      </c>
      <c r="V19" s="15" t="s">
        <v>2076</v>
      </c>
      <c r="X19" t="s">
        <v>1997</v>
      </c>
      <c r="Y19" s="43" t="str">
        <f t="array" ref="Y19">IF(COUNTIFS($X$2:$X19,$X19)=1,"1",VALUE(SUBSTITUTE(INDEX(Y:Y,_xlfn.XMATCH($X19,$X$1:$X18,0,-1)),"A",""))+INDEX(Z:Z,_xlfn.XMATCH($X19,$X$1:$X18,0,-1))+1)</f>
        <v>1</v>
      </c>
      <c r="Z19" s="43">
        <f t="array" ref="Z19">SUM(IF(ISNUMBER(FIND("TmAi",$BE$1:$AAQ$1)),IF(IFERROR(ISODD(SUBSTITUTE($BE19:$AAQ19,"A","")),FALSE),IF(ISODD(SUBSTITUTE($BE19:$AAQ19,"A","")),1,0),0)))</f>
        <v>0</v>
      </c>
      <c r="AA19" t="str">
        <f t="shared" ref="AA19:AA31" si="84">CONCATENATE($Y19*2-1,"B")</f>
        <v>1B</v>
      </c>
      <c r="AB19" t="str">
        <f t="shared" ref="AB19:AB31" si="85">CONCATENATE($Y19*2,"B")</f>
        <v>2B</v>
      </c>
      <c r="AP19" t="s">
        <v>2022</v>
      </c>
      <c r="AS19" t="s">
        <v>396</v>
      </c>
      <c r="JZ19" s="25" t="str">
        <f>CONCATENATE("XT",U19)</f>
        <v>XT18</v>
      </c>
      <c r="KA19" s="12"/>
      <c r="KB19" s="12"/>
      <c r="KC19" s="12" t="str">
        <f>CONCATENATE(T19,"-AI",REPLACE($X19,1,3,""),"-",AA19)</f>
        <v>N2-AI2-1B</v>
      </c>
      <c r="KD19" s="12" t="str">
        <f>CONCATENATE(T19,"-AI",REPLACE($X19,1,3,""),"-",AB19)</f>
        <v>N2-AI2-2B</v>
      </c>
      <c r="KE19" s="12"/>
      <c r="KF19" s="12"/>
      <c r="KG19" s="12"/>
      <c r="KH19" s="12"/>
      <c r="KI19" s="12">
        <f t="array" ref="KI19">IF(COUNTIFS($U$2:$U19,$U19)=1,1,INDEX(KI:KI,_xlfn.XMATCH(U19,U$1:U18,0,-1))+COUNT(KI18:KM18))</f>
        <v>1</v>
      </c>
      <c r="KJ19" s="12">
        <f>KI19+1</f>
        <v>2</v>
      </c>
      <c r="KK19" s="12">
        <f>KJ19+1</f>
        <v>3</v>
      </c>
      <c r="KL19" s="12"/>
      <c r="KM19" s="12"/>
      <c r="KN19" s="12">
        <v>1</v>
      </c>
      <c r="KO19" s="12">
        <v>2</v>
      </c>
      <c r="KP19" s="12"/>
      <c r="KQ19" s="12"/>
      <c r="KR19" s="12"/>
      <c r="KS19" s="13"/>
      <c r="MA19" t="str">
        <f t="shared" si="40"/>
        <v>DI-</v>
      </c>
    </row>
    <row r="20" spans="1:778" x14ac:dyDescent="0.25">
      <c r="A20" t="s">
        <v>2080</v>
      </c>
      <c r="B20" t="s">
        <v>2079</v>
      </c>
      <c r="C20" t="s">
        <v>498</v>
      </c>
      <c r="P20" t="s">
        <v>482</v>
      </c>
      <c r="T20" s="14" t="s">
        <v>2019</v>
      </c>
      <c r="U20">
        <v>18</v>
      </c>
      <c r="V20" s="15" t="s">
        <v>2081</v>
      </c>
      <c r="X20" t="str">
        <f>IF(COUNTIF(X$2:X19,X19)&gt;7,REPLACE(X19,LEN(X19),1,VALUE(RIGHT(X19,1))+1),X19)</f>
        <v>A3.2</v>
      </c>
      <c r="Y20" s="43">
        <f t="array" ref="Y20">IF(COUNTIFS($X$2:$X20,$X20)=1,"1",VALUE(SUBSTITUTE(INDEX(Y:Y,_xlfn.XMATCH($X20,$X$1:$X19,0,-1)),"A",""))+INDEX(Z:Z,_xlfn.XMATCH($X20,$X$1:$X19,0,-1))+1)</f>
        <v>2</v>
      </c>
      <c r="Z20" s="43">
        <f t="array" ref="Z20">SUM(IF(ISNUMBER(FIND("TmAi",$BE$1:$AAQ$1)),IF(IFERROR(ISODD(SUBSTITUTE($BE20:$AAQ20,"A","")),FALSE),IF(ISODD(SUBSTITUTE($BE20:$AAQ20,"A","")),1,0),0)))</f>
        <v>0</v>
      </c>
      <c r="AA20" t="str">
        <f t="shared" si="84"/>
        <v>3B</v>
      </c>
      <c r="AB20" t="str">
        <f t="shared" si="85"/>
        <v>4B</v>
      </c>
      <c r="AP20" t="s">
        <v>2022</v>
      </c>
      <c r="AS20" t="s">
        <v>396</v>
      </c>
      <c r="JZ20" s="27" t="str">
        <f t="shared" ref="JZ20:JZ29" si="86">CONCATENATE("XT",U20)</f>
        <v>XT18</v>
      </c>
      <c r="KC20" t="str">
        <f t="shared" ref="KC20:KC29" si="87">CONCATENATE(T20,"-AI",REPLACE($X20,1,3,""),"-",AA20)</f>
        <v>N2-AI2-3B</v>
      </c>
      <c r="KD20" t="str">
        <f t="shared" ref="KD20:KD29" si="88">CONCATENATE(T20,"-AI",REPLACE($X20,1,3,""),"-",AB20)</f>
        <v>N2-AI2-4B</v>
      </c>
      <c r="KI20">
        <f t="array" ref="KI20">IF(COUNTIFS($U$2:$U20,$U20)=1,1,INDEX(KI:KI,_xlfn.XMATCH(U20,U$1:U19,0,-1))+COUNT(KI19:KM19))</f>
        <v>4</v>
      </c>
      <c r="KJ20">
        <f t="shared" ref="KJ20:KJ29" si="89">KI20+1</f>
        <v>5</v>
      </c>
      <c r="KK20">
        <f t="shared" ref="KK20:KK29" si="90">KJ20+1</f>
        <v>6</v>
      </c>
      <c r="KN20">
        <v>1</v>
      </c>
      <c r="KO20">
        <v>2</v>
      </c>
      <c r="KS20" s="16"/>
      <c r="MA20" t="str">
        <f t="shared" ref="MA20:MA51" si="91">CONCATENATE("DI",REPLACE($AC20,1,3,""),"-",$AG20)</f>
        <v>DI-</v>
      </c>
    </row>
    <row r="21" spans="1:778" x14ac:dyDescent="0.25">
      <c r="A21" t="s">
        <v>2083</v>
      </c>
      <c r="B21" t="s">
        <v>2082</v>
      </c>
      <c r="C21" t="s">
        <v>498</v>
      </c>
      <c r="P21" t="s">
        <v>482</v>
      </c>
      <c r="T21" s="14" t="s">
        <v>2019</v>
      </c>
      <c r="U21">
        <v>18</v>
      </c>
      <c r="V21" s="15" t="s">
        <v>2086</v>
      </c>
      <c r="X21" t="str">
        <f>IF(COUNTIF(X$2:X20,X20)&gt;7,REPLACE(X20,LEN(X20),1,VALUE(RIGHT(X20,1))+1),X20)</f>
        <v>A3.2</v>
      </c>
      <c r="Y21" s="43">
        <f t="array" ref="Y21">IF(COUNTIFS($X$2:$X21,$X21)=1,"1",VALUE(SUBSTITUTE(INDEX(Y:Y,_xlfn.XMATCH($X21,$X$1:$X20,0,-1)),"A",""))+INDEX(Z:Z,_xlfn.XMATCH($X21,$X$1:$X20,0,-1))+1)</f>
        <v>3</v>
      </c>
      <c r="Z21" s="43">
        <f t="array" ref="Z21">SUM(IF(ISNUMBER(FIND("TmAi",$BE$1:$AAQ$1)),IF(IFERROR(ISODD(SUBSTITUTE($BE21:$AAQ21,"A","")),FALSE),IF(ISODD(SUBSTITUTE($BE21:$AAQ21,"A","")),1,0),0)))</f>
        <v>0</v>
      </c>
      <c r="AA21" t="str">
        <f t="shared" si="84"/>
        <v>5B</v>
      </c>
      <c r="AB21" t="str">
        <f t="shared" si="85"/>
        <v>6B</v>
      </c>
      <c r="AP21" t="s">
        <v>2022</v>
      </c>
      <c r="AS21" t="s">
        <v>396</v>
      </c>
      <c r="JZ21" s="27" t="str">
        <f t="shared" si="86"/>
        <v>XT18</v>
      </c>
      <c r="KC21" t="str">
        <f t="shared" si="87"/>
        <v>N2-AI2-5B</v>
      </c>
      <c r="KD21" t="str">
        <f t="shared" si="88"/>
        <v>N2-AI2-6B</v>
      </c>
      <c r="KI21">
        <f t="array" ref="KI21">IF(COUNTIFS($U$2:$U21,$U21)=1,1,INDEX(KI:KI,_xlfn.XMATCH(U21,U$1:U20,0,-1))+COUNT(KI20:KM20))</f>
        <v>7</v>
      </c>
      <c r="KJ21">
        <f t="shared" si="89"/>
        <v>8</v>
      </c>
      <c r="KK21">
        <f t="shared" si="90"/>
        <v>9</v>
      </c>
      <c r="KN21">
        <v>1</v>
      </c>
      <c r="KO21">
        <v>2</v>
      </c>
      <c r="KS21" s="16"/>
      <c r="MA21" t="str">
        <f t="shared" si="91"/>
        <v>DI-</v>
      </c>
    </row>
    <row r="22" spans="1:778" x14ac:dyDescent="0.25">
      <c r="A22" t="s">
        <v>2085</v>
      </c>
      <c r="B22" t="s">
        <v>2084</v>
      </c>
      <c r="C22" t="s">
        <v>498</v>
      </c>
      <c r="P22" t="s">
        <v>482</v>
      </c>
      <c r="T22" s="14" t="s">
        <v>2019</v>
      </c>
      <c r="U22">
        <v>18</v>
      </c>
      <c r="V22" s="15" t="s">
        <v>2087</v>
      </c>
      <c r="X22" t="str">
        <f>IF(COUNTIF(X$2:X21,X21)&gt;7,REPLACE(X21,LEN(X21),1,VALUE(RIGHT(X21,1))+1),X21)</f>
        <v>A3.2</v>
      </c>
      <c r="Y22" s="43">
        <f t="array" ref="Y22">IF(COUNTIFS($X$2:$X22,$X22)=1,"1",VALUE(SUBSTITUTE(INDEX(Y:Y,_xlfn.XMATCH($X22,$X$1:$X21,0,-1)),"A",""))+INDEX(Z:Z,_xlfn.XMATCH($X22,$X$1:$X21,0,-1))+1)</f>
        <v>4</v>
      </c>
      <c r="Z22" s="43">
        <f t="array" ref="Z22">SUM(IF(ISNUMBER(FIND("TmAi",$BE$1:$AAQ$1)),IF(IFERROR(ISODD(SUBSTITUTE($BE22:$AAQ22,"A","")),FALSE),IF(ISODD(SUBSTITUTE($BE22:$AAQ22,"A","")),1,0),0)))</f>
        <v>0</v>
      </c>
      <c r="AA22" t="str">
        <f t="shared" si="84"/>
        <v>7B</v>
      </c>
      <c r="AB22" t="str">
        <f t="shared" si="85"/>
        <v>8B</v>
      </c>
      <c r="AP22" t="s">
        <v>2022</v>
      </c>
      <c r="AS22" t="s">
        <v>396</v>
      </c>
      <c r="JZ22" s="27" t="str">
        <f t="shared" si="86"/>
        <v>XT18</v>
      </c>
      <c r="KC22" t="str">
        <f t="shared" si="87"/>
        <v>N2-AI2-7B</v>
      </c>
      <c r="KD22" t="str">
        <f t="shared" si="88"/>
        <v>N2-AI2-8B</v>
      </c>
      <c r="KI22">
        <f t="array" ref="KI22">IF(COUNTIFS($U$2:$U22,$U22)=1,1,INDEX(KI:KI,_xlfn.XMATCH(U22,U$1:U21,0,-1))+COUNT(KI21:KM21))</f>
        <v>10</v>
      </c>
      <c r="KJ22">
        <f t="shared" si="89"/>
        <v>11</v>
      </c>
      <c r="KK22">
        <f t="shared" si="90"/>
        <v>12</v>
      </c>
      <c r="KN22">
        <v>1</v>
      </c>
      <c r="KO22">
        <v>2</v>
      </c>
      <c r="KS22" s="16"/>
      <c r="MA22" t="str">
        <f t="shared" si="91"/>
        <v>DI-</v>
      </c>
    </row>
    <row r="23" spans="1:778" x14ac:dyDescent="0.25">
      <c r="A23" t="s">
        <v>2092</v>
      </c>
      <c r="B23" t="s">
        <v>2090</v>
      </c>
      <c r="C23" t="s">
        <v>498</v>
      </c>
      <c r="P23" t="s">
        <v>482</v>
      </c>
      <c r="T23" s="14" t="s">
        <v>2019</v>
      </c>
      <c r="U23">
        <v>18</v>
      </c>
      <c r="V23" s="15" t="s">
        <v>2088</v>
      </c>
      <c r="X23" t="str">
        <f>IF(COUNTIF(X$2:X22,X22)&gt;7,REPLACE(X22,LEN(X22),1,VALUE(RIGHT(X22,1))+1),X22)</f>
        <v>A3.2</v>
      </c>
      <c r="Y23" s="43">
        <f t="array" ref="Y23">IF(COUNTIFS($X$2:$X23,$X23)=1,"1",VALUE(SUBSTITUTE(INDEX(Y:Y,_xlfn.XMATCH($X23,$X$1:$X22,0,-1)),"A",""))+INDEX(Z:Z,_xlfn.XMATCH($X23,$X$1:$X22,0,-1))+1)</f>
        <v>5</v>
      </c>
      <c r="Z23" s="43">
        <f t="array" ref="Z23">SUM(IF(ISNUMBER(FIND("TmAi",$BE$1:$AAQ$1)),IF(IFERROR(ISODD(SUBSTITUTE($BE23:$AAQ23,"A","")),FALSE),IF(ISODD(SUBSTITUTE($BE23:$AAQ23,"A","")),1,0),0)))</f>
        <v>0</v>
      </c>
      <c r="AA23" t="str">
        <f t="shared" si="84"/>
        <v>9B</v>
      </c>
      <c r="AB23" t="str">
        <f t="shared" si="85"/>
        <v>10B</v>
      </c>
      <c r="AP23" t="s">
        <v>2022</v>
      </c>
      <c r="AS23" t="s">
        <v>396</v>
      </c>
      <c r="JZ23" s="27" t="str">
        <f t="shared" si="86"/>
        <v>XT18</v>
      </c>
      <c r="KC23" t="str">
        <f t="shared" si="87"/>
        <v>N2-AI2-9B</v>
      </c>
      <c r="KD23" t="str">
        <f t="shared" si="88"/>
        <v>N2-AI2-10B</v>
      </c>
      <c r="KI23">
        <f t="array" ref="KI23">IF(COUNTIFS($U$2:$U23,$U23)=1,1,INDEX(KI:KI,_xlfn.XMATCH(U23,U$1:U22,0,-1))+COUNT(KI22:KM22))</f>
        <v>13</v>
      </c>
      <c r="KJ23">
        <f t="shared" si="89"/>
        <v>14</v>
      </c>
      <c r="KK23">
        <f t="shared" si="90"/>
        <v>15</v>
      </c>
      <c r="KN23">
        <v>1</v>
      </c>
      <c r="KO23">
        <v>2</v>
      </c>
      <c r="KS23" s="16"/>
      <c r="MA23" t="str">
        <f t="shared" si="91"/>
        <v>DI-</v>
      </c>
    </row>
    <row r="24" spans="1:778" x14ac:dyDescent="0.25">
      <c r="A24" t="s">
        <v>2093</v>
      </c>
      <c r="B24" t="s">
        <v>2091</v>
      </c>
      <c r="C24" t="s">
        <v>498</v>
      </c>
      <c r="P24" t="s">
        <v>482</v>
      </c>
      <c r="T24" s="14" t="s">
        <v>2019</v>
      </c>
      <c r="U24">
        <v>18</v>
      </c>
      <c r="V24" s="15" t="s">
        <v>2089</v>
      </c>
      <c r="X24" t="str">
        <f>IF(COUNTIF(X$2:X23,X23)&gt;7,REPLACE(X23,LEN(X23),1,VALUE(RIGHT(X23,1))+1),X23)</f>
        <v>A3.2</v>
      </c>
      <c r="Y24" s="43">
        <f t="array" ref="Y24">IF(COUNTIFS($X$2:$X24,$X24)=1,"1",VALUE(SUBSTITUTE(INDEX(Y:Y,_xlfn.XMATCH($X24,$X$1:$X23,0,-1)),"A",""))+INDEX(Z:Z,_xlfn.XMATCH($X24,$X$1:$X23,0,-1))+1)</f>
        <v>6</v>
      </c>
      <c r="Z24" s="43">
        <f t="array" ref="Z24">SUM(IF(ISNUMBER(FIND("TmAi",$BE$1:$AAQ$1)),IF(IFERROR(ISODD(SUBSTITUTE($BE24:$AAQ24,"A","")),FALSE),IF(ISODD(SUBSTITUTE($BE24:$AAQ24,"A","")),1,0),0)))</f>
        <v>0</v>
      </c>
      <c r="AA24" t="str">
        <f t="shared" si="84"/>
        <v>11B</v>
      </c>
      <c r="AB24" t="str">
        <f t="shared" si="85"/>
        <v>12B</v>
      </c>
      <c r="AP24" t="s">
        <v>2022</v>
      </c>
      <c r="AS24" t="s">
        <v>396</v>
      </c>
      <c r="JZ24" s="27" t="str">
        <f t="shared" si="86"/>
        <v>XT18</v>
      </c>
      <c r="KC24" t="str">
        <f t="shared" si="87"/>
        <v>N2-AI2-11B</v>
      </c>
      <c r="KD24" t="str">
        <f t="shared" si="88"/>
        <v>N2-AI2-12B</v>
      </c>
      <c r="KI24">
        <f t="array" ref="KI24">IF(COUNTIFS($U$2:$U24,$U24)=1,1,INDEX(KI:KI,_xlfn.XMATCH(U24,U$1:U23,0,-1))+COUNT(KI23:KM23))</f>
        <v>16</v>
      </c>
      <c r="KJ24">
        <f t="shared" si="89"/>
        <v>17</v>
      </c>
      <c r="KK24">
        <f t="shared" si="90"/>
        <v>18</v>
      </c>
      <c r="KN24">
        <v>1</v>
      </c>
      <c r="KO24">
        <v>2</v>
      </c>
      <c r="KS24" s="16"/>
      <c r="MA24" t="str">
        <f t="shared" si="91"/>
        <v>DI-</v>
      </c>
    </row>
    <row r="25" spans="1:778" x14ac:dyDescent="0.25">
      <c r="A25" t="s">
        <v>2102</v>
      </c>
      <c r="B25" t="s">
        <v>2094</v>
      </c>
      <c r="C25" t="s">
        <v>498</v>
      </c>
      <c r="P25" t="s">
        <v>482</v>
      </c>
      <c r="T25" s="14" t="s">
        <v>2019</v>
      </c>
      <c r="U25">
        <v>18</v>
      </c>
      <c r="V25" s="15" t="s">
        <v>2098</v>
      </c>
      <c r="X25" t="str">
        <f>IF(COUNTIF(X$2:X24,X24)&gt;7,REPLACE(X24,LEN(X24),1,VALUE(RIGHT(X24,1))+1),X24)</f>
        <v>A3.2</v>
      </c>
      <c r="Y25" s="43">
        <f t="array" ref="Y25">IF(COUNTIFS($X$2:$X25,$X25)=1,"1",VALUE(SUBSTITUTE(INDEX(Y:Y,_xlfn.XMATCH($X25,$X$1:$X24,0,-1)),"A",""))+INDEX(Z:Z,_xlfn.XMATCH($X25,$X$1:$X24,0,-1))+1)</f>
        <v>7</v>
      </c>
      <c r="Z25" s="43">
        <f t="array" ref="Z25">SUM(IF(ISNUMBER(FIND("TmAi",$BE$1:$AAQ$1)),IF(IFERROR(ISODD(SUBSTITUTE($BE25:$AAQ25,"A","")),FALSE),IF(ISODD(SUBSTITUTE($BE25:$AAQ25,"A","")),1,0),0)))</f>
        <v>0</v>
      </c>
      <c r="AA25" t="str">
        <f t="shared" si="84"/>
        <v>13B</v>
      </c>
      <c r="AB25" t="str">
        <f t="shared" si="85"/>
        <v>14B</v>
      </c>
      <c r="AP25" t="s">
        <v>2022</v>
      </c>
      <c r="AS25" t="s">
        <v>396</v>
      </c>
      <c r="JZ25" s="27" t="str">
        <f t="shared" si="86"/>
        <v>XT18</v>
      </c>
      <c r="KC25" t="str">
        <f t="shared" si="87"/>
        <v>N2-AI2-13B</v>
      </c>
      <c r="KD25" t="str">
        <f t="shared" si="88"/>
        <v>N2-AI2-14B</v>
      </c>
      <c r="KI25">
        <f t="array" ref="KI25">IF(COUNTIFS($U$2:$U25,$U25)=1,1,INDEX(KI:KI,_xlfn.XMATCH(U25,U$1:U24,0,-1))+COUNT(KI24:KM24))</f>
        <v>19</v>
      </c>
      <c r="KJ25">
        <f t="shared" si="89"/>
        <v>20</v>
      </c>
      <c r="KK25">
        <f t="shared" si="90"/>
        <v>21</v>
      </c>
      <c r="KN25">
        <v>1</v>
      </c>
      <c r="KO25">
        <v>2</v>
      </c>
      <c r="KS25" s="16"/>
      <c r="MA25" t="str">
        <f t="shared" si="91"/>
        <v>DI-</v>
      </c>
    </row>
    <row r="26" spans="1:778" x14ac:dyDescent="0.25">
      <c r="A26" t="s">
        <v>2103</v>
      </c>
      <c r="B26" t="s">
        <v>2095</v>
      </c>
      <c r="C26" t="s">
        <v>498</v>
      </c>
      <c r="P26" t="s">
        <v>482</v>
      </c>
      <c r="T26" s="14" t="s">
        <v>2019</v>
      </c>
      <c r="U26">
        <v>18</v>
      </c>
      <c r="V26" s="15" t="s">
        <v>2099</v>
      </c>
      <c r="X26" t="str">
        <f>IF(COUNTIF(X$2:X25,X25)&gt;7,REPLACE(X25,LEN(X25),1,VALUE(RIGHT(X25,1))+1),X25)</f>
        <v>A3.2</v>
      </c>
      <c r="Y26" s="43">
        <f t="array" ref="Y26">IF(COUNTIFS($X$2:$X26,$X26)=1,"1",VALUE(SUBSTITUTE(INDEX(Y:Y,_xlfn.XMATCH($X26,$X$1:$X25,0,-1)),"A",""))+INDEX(Z:Z,_xlfn.XMATCH($X26,$X$1:$X25,0,-1))+1)</f>
        <v>8</v>
      </c>
      <c r="Z26" s="43">
        <f t="array" ref="Z26">SUM(IF(ISNUMBER(FIND("TmAi",$BE$1:$AAQ$1)),IF(IFERROR(ISODD(SUBSTITUTE($BE26:$AAQ26,"A","")),FALSE),IF(ISODD(SUBSTITUTE($BE26:$AAQ26,"A","")),1,0),0)))</f>
        <v>0</v>
      </c>
      <c r="AA26" t="str">
        <f t="shared" si="84"/>
        <v>15B</v>
      </c>
      <c r="AB26" t="str">
        <f t="shared" si="85"/>
        <v>16B</v>
      </c>
      <c r="AP26" t="s">
        <v>2022</v>
      </c>
      <c r="AS26" t="s">
        <v>396</v>
      </c>
      <c r="JZ26" s="27" t="str">
        <f t="shared" si="86"/>
        <v>XT18</v>
      </c>
      <c r="KC26" t="str">
        <f t="shared" si="87"/>
        <v>N2-AI2-15B</v>
      </c>
      <c r="KD26" t="str">
        <f t="shared" si="88"/>
        <v>N2-AI2-16B</v>
      </c>
      <c r="KI26">
        <f t="array" ref="KI26">IF(COUNTIFS($U$2:$U26,$U26)=1,1,INDEX(KI:KI,_xlfn.XMATCH(U26,U$1:U25,0,-1))+COUNT(KI25:KM25))</f>
        <v>22</v>
      </c>
      <c r="KJ26">
        <f t="shared" si="89"/>
        <v>23</v>
      </c>
      <c r="KK26">
        <f t="shared" si="90"/>
        <v>24</v>
      </c>
      <c r="KN26">
        <v>1</v>
      </c>
      <c r="KO26">
        <v>2</v>
      </c>
      <c r="KS26" s="16"/>
      <c r="MA26" t="str">
        <f t="shared" si="91"/>
        <v>DI-</v>
      </c>
    </row>
    <row r="27" spans="1:778" x14ac:dyDescent="0.25">
      <c r="A27" t="s">
        <v>2104</v>
      </c>
      <c r="B27" t="s">
        <v>2096</v>
      </c>
      <c r="C27" t="s">
        <v>498</v>
      </c>
      <c r="P27" t="s">
        <v>482</v>
      </c>
      <c r="T27" s="14" t="s">
        <v>2019</v>
      </c>
      <c r="U27">
        <v>18</v>
      </c>
      <c r="V27" s="15" t="s">
        <v>2100</v>
      </c>
      <c r="X27" t="str">
        <f>IF(COUNTIF(X$2:X26,X26)&gt;7,REPLACE(X26,LEN(X26),1,VALUE(RIGHT(X26,1))+1),X26)</f>
        <v>A3.3</v>
      </c>
      <c r="Y27" s="43" t="str">
        <f t="array" ref="Y27">IF(COUNTIFS($X$2:$X27,$X27)=1,"1",VALUE(SUBSTITUTE(INDEX(Y:Y,_xlfn.XMATCH($X27,$X$1:$X26,0,-1)),"A",""))+INDEX(Z:Z,_xlfn.XMATCH($X27,$X$1:$X26,0,-1))+1)</f>
        <v>1</v>
      </c>
      <c r="Z27" s="43">
        <f t="array" ref="Z27">SUM(IF(ISNUMBER(FIND("TmAi",$BE$1:$AAQ$1)),IF(IFERROR(ISODD(SUBSTITUTE($BE27:$AAQ27,"A","")),FALSE),IF(ISODD(SUBSTITUTE($BE27:$AAQ27,"A","")),1,0),0)))</f>
        <v>0</v>
      </c>
      <c r="AA27" t="str">
        <f t="shared" si="84"/>
        <v>1B</v>
      </c>
      <c r="AB27" t="str">
        <f t="shared" si="85"/>
        <v>2B</v>
      </c>
      <c r="AP27" t="s">
        <v>2022</v>
      </c>
      <c r="AS27" t="s">
        <v>396</v>
      </c>
      <c r="JZ27" s="27" t="str">
        <f t="shared" si="86"/>
        <v>XT18</v>
      </c>
      <c r="KC27" t="str">
        <f t="shared" si="87"/>
        <v>N2-AI3-1B</v>
      </c>
      <c r="KD27" t="str">
        <f t="shared" si="88"/>
        <v>N2-AI3-2B</v>
      </c>
      <c r="KI27">
        <f t="array" ref="KI27">IF(COUNTIFS($U$2:$U27,$U27)=1,1,INDEX(KI:KI,_xlfn.XMATCH(U27,U$1:U26,0,-1))+COUNT(KI26:KM26))</f>
        <v>25</v>
      </c>
      <c r="KJ27">
        <f t="shared" si="89"/>
        <v>26</v>
      </c>
      <c r="KK27">
        <f t="shared" si="90"/>
        <v>27</v>
      </c>
      <c r="KN27">
        <v>1</v>
      </c>
      <c r="KO27">
        <v>2</v>
      </c>
      <c r="KS27" s="16"/>
      <c r="MA27" t="str">
        <f t="shared" si="91"/>
        <v>DI-</v>
      </c>
    </row>
    <row r="28" spans="1:778" x14ac:dyDescent="0.25">
      <c r="A28" t="s">
        <v>2105</v>
      </c>
      <c r="B28" t="s">
        <v>2097</v>
      </c>
      <c r="C28" t="s">
        <v>498</v>
      </c>
      <c r="P28" t="s">
        <v>482</v>
      </c>
      <c r="T28" s="14" t="s">
        <v>2019</v>
      </c>
      <c r="U28">
        <v>18</v>
      </c>
      <c r="V28" s="15" t="s">
        <v>2101</v>
      </c>
      <c r="X28" t="str">
        <f>IF(COUNTIF(X$2:X27,X27)&gt;7,REPLACE(X27,LEN(X27),1,VALUE(RIGHT(X27,1))+1),X27)</f>
        <v>A3.3</v>
      </c>
      <c r="Y28" s="43">
        <f t="array" ref="Y28">IF(COUNTIFS($X$2:$X28,$X28)=1,"1",VALUE(SUBSTITUTE(INDEX(Y:Y,_xlfn.XMATCH($X28,$X$1:$X27,0,-1)),"A",""))+INDEX(Z:Z,_xlfn.XMATCH($X28,$X$1:$X27,0,-1))+1)</f>
        <v>2</v>
      </c>
      <c r="Z28" s="43">
        <f t="array" ref="Z28">SUM(IF(ISNUMBER(FIND("TmAi",$BE$1:$AAQ$1)),IF(IFERROR(ISODD(SUBSTITUTE($BE28:$AAQ28,"A","")),FALSE),IF(ISODD(SUBSTITUTE($BE28:$AAQ28,"A","")),1,0),0)))</f>
        <v>0</v>
      </c>
      <c r="AA28" t="str">
        <f t="shared" si="84"/>
        <v>3B</v>
      </c>
      <c r="AB28" t="str">
        <f t="shared" si="85"/>
        <v>4B</v>
      </c>
      <c r="AP28" t="s">
        <v>2022</v>
      </c>
      <c r="AS28" t="s">
        <v>396</v>
      </c>
      <c r="JZ28" s="27" t="str">
        <f t="shared" si="86"/>
        <v>XT18</v>
      </c>
      <c r="KC28" t="str">
        <f t="shared" si="87"/>
        <v>N2-AI3-3B</v>
      </c>
      <c r="KD28" t="str">
        <f t="shared" si="88"/>
        <v>N2-AI3-4B</v>
      </c>
      <c r="KI28">
        <f t="array" ref="KI28">IF(COUNTIFS($U$2:$U28,$U28)=1,1,INDEX(KI:KI,_xlfn.XMATCH(U28,U$1:U27,0,-1))+COUNT(KI27:KM27))</f>
        <v>28</v>
      </c>
      <c r="KJ28">
        <f t="shared" si="89"/>
        <v>29</v>
      </c>
      <c r="KK28">
        <f t="shared" si="90"/>
        <v>30</v>
      </c>
      <c r="KN28">
        <v>1</v>
      </c>
      <c r="KO28">
        <v>2</v>
      </c>
      <c r="KS28" s="16"/>
      <c r="MA28" t="str">
        <f t="shared" si="91"/>
        <v>DI-</v>
      </c>
    </row>
    <row r="29" spans="1:778" x14ac:dyDescent="0.25">
      <c r="A29" t="s">
        <v>2110</v>
      </c>
      <c r="B29" t="s">
        <v>2109</v>
      </c>
      <c r="C29" t="s">
        <v>492</v>
      </c>
      <c r="P29" t="s">
        <v>482</v>
      </c>
      <c r="T29" s="14" t="s">
        <v>2019</v>
      </c>
      <c r="U29">
        <v>18</v>
      </c>
      <c r="V29" s="15" t="s">
        <v>2106</v>
      </c>
      <c r="X29" t="str">
        <f>IF(COUNTIF(X$2:X28,X28)&gt;7,REPLACE(X28,LEN(X28),1,VALUE(RIGHT(X28,1))+1),X28)</f>
        <v>A3.3</v>
      </c>
      <c r="Y29" s="43">
        <f t="array" ref="Y29">IF(COUNTIFS($X$2:$X29,$X29)=1,"1",VALUE(SUBSTITUTE(INDEX(Y:Y,_xlfn.XMATCH($X29,$X$1:$X28,0,-1)),"A",""))+INDEX(Z:Z,_xlfn.XMATCH($X29,$X$1:$X28,0,-1))+1)</f>
        <v>3</v>
      </c>
      <c r="Z29" s="43">
        <f t="array" ref="Z29">SUM(IF(ISNUMBER(FIND("TmAi",$BE$1:$AAQ$1)),IF(IFERROR(ISODD(SUBSTITUTE($BE29:$AAQ29,"A","")),FALSE),IF(ISODD(SUBSTITUTE($BE29:$AAQ29,"A","")),1,0),0)))</f>
        <v>0</v>
      </c>
      <c r="AA29" t="str">
        <f t="shared" si="84"/>
        <v>5B</v>
      </c>
      <c r="AB29" t="str">
        <f t="shared" si="85"/>
        <v>6B</v>
      </c>
      <c r="AP29" t="s">
        <v>2022</v>
      </c>
      <c r="AS29" t="s">
        <v>396</v>
      </c>
      <c r="JZ29" s="27" t="str">
        <f t="shared" si="86"/>
        <v>XT18</v>
      </c>
      <c r="KC29" t="str">
        <f t="shared" si="87"/>
        <v>N2-AI3-5B</v>
      </c>
      <c r="KD29" t="str">
        <f t="shared" si="88"/>
        <v>N2-AI3-6B</v>
      </c>
      <c r="KI29">
        <f t="array" ref="KI29">IF(COUNTIFS($U$2:$U29,$U29)=1,1,INDEX(KI:KI,_xlfn.XMATCH(U29,U$1:U28,0,-1))+COUNT(KI28:KM28))</f>
        <v>31</v>
      </c>
      <c r="KJ29">
        <f t="shared" si="89"/>
        <v>32</v>
      </c>
      <c r="KK29">
        <f t="shared" si="90"/>
        <v>33</v>
      </c>
      <c r="KN29">
        <v>1</v>
      </c>
      <c r="KO29">
        <v>2</v>
      </c>
      <c r="KS29" s="16"/>
      <c r="MA29" t="str">
        <f t="shared" si="91"/>
        <v>DI-</v>
      </c>
    </row>
    <row r="30" spans="1:778" x14ac:dyDescent="0.25">
      <c r="A30" t="s">
        <v>2112</v>
      </c>
      <c r="B30" t="s">
        <v>2111</v>
      </c>
      <c r="C30" t="s">
        <v>492</v>
      </c>
      <c r="P30" t="s">
        <v>482</v>
      </c>
      <c r="T30" s="14" t="s">
        <v>2019</v>
      </c>
      <c r="U30">
        <v>18</v>
      </c>
      <c r="V30" s="15" t="s">
        <v>2107</v>
      </c>
      <c r="X30" t="str">
        <f>IF(COUNTIF(X$2:X29,X29)&gt;7,REPLACE(X29,LEN(X29),1,VALUE(RIGHT(X29,1))+1),X29)</f>
        <v>A3.3</v>
      </c>
      <c r="Y30" s="43">
        <f t="array" ref="Y30">IF(COUNTIFS($X$2:$X30,$X30)=1,"1",VALUE(SUBSTITUTE(INDEX(Y:Y,_xlfn.XMATCH($X30,$X$1:$X29,0,-1)),"A",""))+INDEX(Z:Z,_xlfn.XMATCH($X30,$X$1:$X29,0,-1))+1)</f>
        <v>4</v>
      </c>
      <c r="Z30" s="43">
        <f t="array" ref="Z30">SUM(IF(ISNUMBER(FIND("TmAi",$BE$1:$AAQ$1)),IF(IFERROR(ISODD(SUBSTITUTE($BE30:$AAQ30,"A","")),FALSE),IF(ISODD(SUBSTITUTE($BE30:$AAQ30,"A","")),1,0),0)))</f>
        <v>0</v>
      </c>
      <c r="AA30" t="str">
        <f t="shared" si="84"/>
        <v>7B</v>
      </c>
      <c r="AB30" t="str">
        <f t="shared" si="85"/>
        <v>8B</v>
      </c>
      <c r="AP30" t="s">
        <v>2022</v>
      </c>
      <c r="AS30" t="s">
        <v>396</v>
      </c>
      <c r="JZ30" s="27" t="str">
        <f>CONCATENATE("XT",U30)</f>
        <v>XT18</v>
      </c>
      <c r="KC30" t="str">
        <f>CONCATENATE(T30,"-AI",REPLACE($X30,1,3,""),"-",AA30)</f>
        <v>N2-AI3-7B</v>
      </c>
      <c r="KD30" t="str">
        <f>CONCATENATE(T30,"-AI",REPLACE($X30,1,3,""),"-",AB30)</f>
        <v>N2-AI3-8B</v>
      </c>
      <c r="KI30">
        <f t="array" ref="KI30">IF(COUNTIFS($U$2:$U30,$U30)=1,1,INDEX(KI:KI,_xlfn.XMATCH(U30,U$1:U29,0,-1))+COUNT(KI29:KM29))</f>
        <v>34</v>
      </c>
      <c r="KJ30">
        <f>KI30+1</f>
        <v>35</v>
      </c>
      <c r="KK30">
        <f>KJ30+1</f>
        <v>36</v>
      </c>
      <c r="KN30">
        <v>1</v>
      </c>
      <c r="KO30">
        <v>2</v>
      </c>
      <c r="KS30" s="16"/>
      <c r="MA30" t="str">
        <f t="shared" si="91"/>
        <v>DI-</v>
      </c>
    </row>
    <row r="31" spans="1:778" ht="15.75" thickBot="1" x14ac:dyDescent="0.3">
      <c r="A31" t="s">
        <v>2114</v>
      </c>
      <c r="B31" t="s">
        <v>2113</v>
      </c>
      <c r="C31" t="s">
        <v>492</v>
      </c>
      <c r="P31" t="s">
        <v>482</v>
      </c>
      <c r="T31" s="14" t="s">
        <v>2019</v>
      </c>
      <c r="U31">
        <v>18</v>
      </c>
      <c r="V31" s="15" t="s">
        <v>2108</v>
      </c>
      <c r="X31" t="str">
        <f>IF(COUNTIF(X$2:X30,X30)&gt;7,REPLACE(X30,LEN(X30),1,VALUE(RIGHT(X30,1))+1),X30)</f>
        <v>A3.3</v>
      </c>
      <c r="Y31" s="43">
        <f t="array" ref="Y31">IF(COUNTIFS($X$2:$X31,$X31)=1,"1",VALUE(SUBSTITUTE(INDEX(Y:Y,_xlfn.XMATCH($X31,$X$1:$X30,0,-1)),"A",""))+INDEX(Z:Z,_xlfn.XMATCH($X31,$X$1:$X30,0,-1))+1)</f>
        <v>5</v>
      </c>
      <c r="Z31" s="43">
        <f t="array" ref="Z31">SUM(IF(ISNUMBER(FIND("TmAi",$BE$1:$AAQ$1)),IF(IFERROR(ISODD(SUBSTITUTE($BE31:$AAQ31,"A","")),FALSE),IF(ISODD(SUBSTITUTE($BE31:$AAQ31,"A","")),1,0),0)))</f>
        <v>0</v>
      </c>
      <c r="AA31" t="str">
        <f t="shared" si="84"/>
        <v>9B</v>
      </c>
      <c r="AB31" t="str">
        <f t="shared" si="85"/>
        <v>10B</v>
      </c>
      <c r="AP31" t="s">
        <v>2022</v>
      </c>
      <c r="AS31" t="s">
        <v>396</v>
      </c>
      <c r="JZ31" s="27" t="str">
        <f>CONCATENATE("XT",$U31)</f>
        <v>XT18</v>
      </c>
      <c r="KC31" t="str">
        <f>CONCATENATE($T31,"-AI",REPLACE($X31,1,3,""),"-",$AA31)</f>
        <v>N2-AI3-9B</v>
      </c>
      <c r="KD31" t="str">
        <f>CONCATENATE($T31,"-AI",REPLACE($X31,1,3,""),"-",$AB31)</f>
        <v>N2-AI3-10B</v>
      </c>
      <c r="KI31">
        <f t="array" ref="KI31">IF(COUNTIFS($U$2:$U31,$U31)=1,1,INDEX(KI:KI,_xlfn.XMATCH(U31,U$1:U30,0,-1))+COUNT(KI30:KM30))</f>
        <v>37</v>
      </c>
      <c r="KJ31">
        <f>KI31+1</f>
        <v>38</v>
      </c>
      <c r="KK31">
        <f>KJ31+1</f>
        <v>39</v>
      </c>
      <c r="KN31">
        <v>1</v>
      </c>
      <c r="KO31">
        <v>2</v>
      </c>
      <c r="KS31" s="16"/>
      <c r="MA31" t="str">
        <f t="shared" si="91"/>
        <v>DI-</v>
      </c>
    </row>
    <row r="32" spans="1:778" ht="15.75" thickBot="1" x14ac:dyDescent="0.3">
      <c r="A32" t="s">
        <v>2115</v>
      </c>
      <c r="B32" t="s">
        <v>2116</v>
      </c>
      <c r="P32" t="s">
        <v>2117</v>
      </c>
      <c r="T32" s="14" t="s">
        <v>2019</v>
      </c>
      <c r="U32">
        <v>19</v>
      </c>
      <c r="V32" s="15" t="s">
        <v>2118</v>
      </c>
      <c r="AH32" t="s">
        <v>268</v>
      </c>
      <c r="AI32" s="66" t="str">
        <f t="array" ref="AI32">IF(COUNTIFS(AH$2:AH32,AH32)=1,"1",VALUE(SUBSTITUTE(INDEX(AI:AI,_xlfn.XMATCH(AH32,AH$1:AH31,0,-1)),"A",""))+INDEX(AJ:AJ,_xlfn.XMATCH(AH32,AH$1:AH31,0,-1))+1)</f>
        <v>1</v>
      </c>
      <c r="AJ32" s="59">
        <f t="array" ref="AJ32">SUM(IF(ISNUMBER(FIND("TmDo",$BE$1:$AAQ$1)),IF(IFERROR(ISNUMBER(VALUE(SUBSTITUTE($BE32:$AAQ32,"B",""))),FALSE),IF(ISNUMBER(VALUE(SUBSTITUTE($BE32:$AAQ32,"B",""))),1,0),0)))</f>
        <v>9</v>
      </c>
      <c r="AK32" t="str">
        <f>CONCATENATE($AI32,"A")</f>
        <v>1A</v>
      </c>
      <c r="AL32" t="str">
        <f>CONCATENATE($AI32,"B")</f>
        <v>1B</v>
      </c>
      <c r="AM32" t="s">
        <v>1996</v>
      </c>
      <c r="AP32" t="s">
        <v>2022</v>
      </c>
      <c r="AQ32" t="s">
        <v>2119</v>
      </c>
      <c r="AU32" t="s">
        <v>140</v>
      </c>
      <c r="JZ32" s="27"/>
      <c r="KS32" s="16"/>
      <c r="MA32" t="str">
        <f t="shared" si="91"/>
        <v>DI-</v>
      </c>
      <c r="WR32" s="25" t="str">
        <f>CONCATENATE("XT",$U32)</f>
        <v>XT19</v>
      </c>
      <c r="WS32" s="12">
        <v>1</v>
      </c>
      <c r="WT32" s="12">
        <f>WS32+1</f>
        <v>2</v>
      </c>
      <c r="WU32" s="12">
        <f t="shared" ref="WU32:XL32" si="92">WT32+1</f>
        <v>3</v>
      </c>
      <c r="WV32" s="12">
        <f t="shared" si="92"/>
        <v>4</v>
      </c>
      <c r="WW32" s="12">
        <f t="shared" si="92"/>
        <v>5</v>
      </c>
      <c r="WX32" s="12">
        <f t="shared" si="92"/>
        <v>6</v>
      </c>
      <c r="WY32" s="12">
        <f t="shared" si="92"/>
        <v>7</v>
      </c>
      <c r="WZ32" s="12">
        <f t="shared" si="92"/>
        <v>8</v>
      </c>
      <c r="XA32" s="12">
        <f t="shared" si="92"/>
        <v>9</v>
      </c>
      <c r="XB32" s="12">
        <f t="shared" si="92"/>
        <v>10</v>
      </c>
      <c r="XC32" s="12">
        <f t="shared" si="92"/>
        <v>11</v>
      </c>
      <c r="XD32" s="12">
        <f t="shared" si="92"/>
        <v>12</v>
      </c>
      <c r="XE32" s="12">
        <f t="shared" si="92"/>
        <v>13</v>
      </c>
      <c r="XF32" s="12">
        <f t="shared" si="92"/>
        <v>14</v>
      </c>
      <c r="XG32" s="12">
        <f t="shared" si="92"/>
        <v>15</v>
      </c>
      <c r="XH32" s="12">
        <f t="shared" si="92"/>
        <v>16</v>
      </c>
      <c r="XI32" s="12">
        <f t="shared" si="92"/>
        <v>17</v>
      </c>
      <c r="XJ32" s="12">
        <f t="shared" si="92"/>
        <v>18</v>
      </c>
      <c r="XK32" s="12">
        <f t="shared" si="92"/>
        <v>19</v>
      </c>
      <c r="XL32" s="12">
        <f t="shared" si="92"/>
        <v>20</v>
      </c>
      <c r="XM32" s="12" t="str">
        <f>CONCATENATE(REPLACE($AK32,LEN($AK32),1,"")+1,"A")</f>
        <v>2A</v>
      </c>
      <c r="XN32" s="12" t="str">
        <f>CONCATENATE(REPLACE($AL32,LEN($AL32),1,"")+1,"B")</f>
        <v>2B</v>
      </c>
      <c r="XO32" s="12" t="str">
        <f>CONCATENATE(REPLACE(XM32,LEN(XM32),1,"")+1,"A")</f>
        <v>3A</v>
      </c>
      <c r="XP32" s="12" t="str">
        <f>CONCATENATE(REPLACE(XN32,LEN(XN32),1,"")+1,"B")</f>
        <v>3B</v>
      </c>
      <c r="XQ32" s="12" t="str">
        <f>CONCATENATE(REPLACE(XO32,LEN(XO32),1,"")+1,"A")</f>
        <v>4A</v>
      </c>
      <c r="XR32" s="12" t="str">
        <f>CONCATENATE(REPLACE(XP32,LEN(XP32),1,"")+1,"B")</f>
        <v>4B</v>
      </c>
      <c r="XS32" s="12" t="str">
        <f>CONCATENATE(REPLACE(XQ32,LEN(XQ32),1,"")+1,"A")</f>
        <v>5A</v>
      </c>
      <c r="XT32" s="12" t="str">
        <f>CONCATENATE(REPLACE(XR32,LEN(XR32),1,"")+1,"B")</f>
        <v>5B</v>
      </c>
      <c r="XU32" s="12" t="str">
        <f>CONCATENATE(REPLACE(XS32,LEN(XS32),1,"")+1,"A")</f>
        <v>6A</v>
      </c>
      <c r="XV32" s="12" t="str">
        <f>CONCATENATE(REPLACE(XT32,LEN(XT32),1,"")+1,"B")</f>
        <v>6B</v>
      </c>
      <c r="XW32" s="12" t="str">
        <f>CONCATENATE(REPLACE(XU32,LEN(XU32),1,"")+1,"A")</f>
        <v>7A</v>
      </c>
      <c r="XX32" s="12" t="str">
        <f>CONCATENATE(REPLACE(XV32,LEN(XV32),1,"")+1,"B")</f>
        <v>7B</v>
      </c>
      <c r="XY32" s="12" t="str">
        <f>CONCATENATE(REPLACE(XW32,LEN(XW32),1,"")+1,"A")</f>
        <v>8A</v>
      </c>
      <c r="XZ32" s="12" t="str">
        <f>CONCATENATE(REPLACE(XX32,LEN(XX32),1,"")+1,"B")</f>
        <v>8B</v>
      </c>
      <c r="YA32" s="12" t="str">
        <f>CONCATENATE(REPLACE(XY32,LEN(XY32),1,"")+1,"A")</f>
        <v>9A</v>
      </c>
      <c r="YB32" s="12" t="str">
        <f>CONCATENATE(REPLACE(XZ32,LEN(XZ32),1,"")+1,"B")</f>
        <v>9B</v>
      </c>
      <c r="YC32" s="12" t="str">
        <f>CONCATENATE(REPLACE(YA32,LEN(YA32),1,"")+1,"A")</f>
        <v>10A</v>
      </c>
      <c r="YD32" s="12" t="str">
        <f>CONCATENATE(REPLACE(YB32,LEN(YB32),1,"")+1,"B")</f>
        <v>10B</v>
      </c>
      <c r="YE32" s="12" t="str">
        <f>CONCATENATE("DO",REPLACE($AH32,1,3,""),"-",$AK32)</f>
        <v>DO3-1A</v>
      </c>
      <c r="YF32" s="12" t="str">
        <f>CONCATENATE("DO",REPLACE($AH32,1,3,""),"-",$AL32)</f>
        <v>DO3-1B</v>
      </c>
      <c r="YG32" s="12" t="str">
        <f>CONCATENATE("DO",REPLACE($AH32,1,3,""),"-",XM32)</f>
        <v>DO3-2A</v>
      </c>
      <c r="YH32" s="12" t="str">
        <f>CONCATENATE("DO",REPLACE($AH32,1,3,""),"-",XN32)</f>
        <v>DO3-2B</v>
      </c>
      <c r="YI32" s="12" t="str">
        <f t="shared" ref="YI32:YX32" si="93">CONCATENATE("DO",REPLACE($AH32,1,3,""),"-",XO32)</f>
        <v>DO3-3A</v>
      </c>
      <c r="YJ32" s="12" t="str">
        <f t="shared" si="93"/>
        <v>DO3-3B</v>
      </c>
      <c r="YK32" s="12" t="str">
        <f t="shared" si="93"/>
        <v>DO3-4A</v>
      </c>
      <c r="YL32" s="12" t="str">
        <f t="shared" si="93"/>
        <v>DO3-4B</v>
      </c>
      <c r="YM32" s="12" t="str">
        <f t="shared" si="93"/>
        <v>DO3-5A</v>
      </c>
      <c r="YN32" s="12" t="str">
        <f t="shared" si="93"/>
        <v>DO3-5B</v>
      </c>
      <c r="YO32" s="12" t="str">
        <f t="shared" si="93"/>
        <v>DO3-6A</v>
      </c>
      <c r="YP32" s="12" t="str">
        <f t="shared" si="93"/>
        <v>DO3-6B</v>
      </c>
      <c r="YQ32" s="12" t="str">
        <f t="shared" si="93"/>
        <v>DO3-7A</v>
      </c>
      <c r="YR32" s="12" t="str">
        <f t="shared" si="93"/>
        <v>DO3-7B</v>
      </c>
      <c r="YS32" s="12" t="str">
        <f t="shared" si="93"/>
        <v>DO3-8A</v>
      </c>
      <c r="YT32" s="12" t="str">
        <f t="shared" si="93"/>
        <v>DO3-8B</v>
      </c>
      <c r="YU32" s="12" t="str">
        <f t="shared" si="93"/>
        <v>DO3-9A</v>
      </c>
      <c r="YV32" s="12" t="str">
        <f t="shared" si="93"/>
        <v>DO3-9B</v>
      </c>
      <c r="YW32" s="12" t="str">
        <f t="shared" si="93"/>
        <v>DO3-10A</v>
      </c>
      <c r="YX32" s="12" t="str">
        <f t="shared" si="93"/>
        <v>DO3-10B</v>
      </c>
      <c r="YY32" s="12" t="str">
        <f>CONCATENATE("K",$U32,"-01")</f>
        <v>K19-01</v>
      </c>
      <c r="YZ32" s="12" t="str">
        <f>CONCATENATE("K",$U32,"-02")</f>
        <v>K19-02</v>
      </c>
      <c r="ZA32" s="12" t="str">
        <f>CONCATENATE("K",$U32,"-03")</f>
        <v>K19-03</v>
      </c>
      <c r="ZB32" s="12" t="str">
        <f>CONCATENATE("K",$U32,"-04")</f>
        <v>K19-04</v>
      </c>
      <c r="ZC32" s="12" t="str">
        <f>CONCATENATE("K",$U32,"-05")</f>
        <v>K19-05</v>
      </c>
      <c r="ZD32" s="12" t="str">
        <f>CONCATENATE("K",$U32,"-06")</f>
        <v>K19-06</v>
      </c>
      <c r="ZE32" s="12" t="str">
        <f>CONCATENATE("K",$U32,"-07")</f>
        <v>K19-07</v>
      </c>
      <c r="ZF32" s="12" t="str">
        <f>CONCATENATE("K",$U32,"-08")</f>
        <v>K19-08</v>
      </c>
      <c r="ZG32" s="12" t="str">
        <f>CONCATENATE("K",$U32,"-09")</f>
        <v>K19-09</v>
      </c>
      <c r="ZH32" s="12" t="str">
        <f>CONCATENATE("K",$U32,"-10")</f>
        <v>K19-10</v>
      </c>
      <c r="ZI32" s="63" t="s">
        <v>2155</v>
      </c>
      <c r="ZJ32" s="63" t="s">
        <v>2156</v>
      </c>
      <c r="ZK32" s="63" t="s">
        <v>2157</v>
      </c>
      <c r="ZL32" s="63" t="s">
        <v>2158</v>
      </c>
      <c r="ZM32" s="63" t="s">
        <v>2159</v>
      </c>
      <c r="ZN32" s="63" t="s">
        <v>2160</v>
      </c>
      <c r="ZO32" s="63" t="s">
        <v>2161</v>
      </c>
      <c r="ZP32" s="63" t="s">
        <v>2162</v>
      </c>
      <c r="ZQ32" s="63" t="s">
        <v>2163</v>
      </c>
      <c r="ZR32" s="63" t="s">
        <v>2164</v>
      </c>
      <c r="ZS32" s="63" t="s">
        <v>2165</v>
      </c>
      <c r="ZT32" s="63" t="s">
        <v>2166</v>
      </c>
      <c r="ZU32" s="63" t="s">
        <v>2167</v>
      </c>
      <c r="ZV32" s="63" t="s">
        <v>2168</v>
      </c>
      <c r="ZW32" s="63" t="s">
        <v>2169</v>
      </c>
      <c r="ZX32" s="63" t="s">
        <v>2170</v>
      </c>
      <c r="ZY32" s="63" t="s">
        <v>2171</v>
      </c>
      <c r="ZZ32" s="63" t="s">
        <v>2172</v>
      </c>
      <c r="AAA32" s="63" t="s">
        <v>2173</v>
      </c>
      <c r="AAB32" s="63" t="s">
        <v>2174</v>
      </c>
      <c r="AAC32" s="12" t="s">
        <v>2183</v>
      </c>
      <c r="AAD32" s="12" t="s">
        <v>2184</v>
      </c>
      <c r="AAE32" s="12" t="s">
        <v>2185</v>
      </c>
      <c r="AAF32" s="12" t="s">
        <v>2186</v>
      </c>
      <c r="AAG32" s="12" t="s">
        <v>2187</v>
      </c>
      <c r="AAH32" s="12" t="s">
        <v>2188</v>
      </c>
      <c r="AAI32" s="12" t="s">
        <v>2189</v>
      </c>
      <c r="AAJ32" s="12" t="s">
        <v>2190</v>
      </c>
      <c r="AAK32" s="12" t="s">
        <v>2191</v>
      </c>
      <c r="AAL32" s="12" t="s">
        <v>2192</v>
      </c>
      <c r="AAM32" s="12" t="s">
        <v>1996</v>
      </c>
      <c r="AAN32" s="12">
        <v>1</v>
      </c>
      <c r="AAO32" s="12">
        <f>AAN32+1</f>
        <v>2</v>
      </c>
      <c r="AAP32" s="12">
        <f t="shared" ref="AAP32:ABG32" si="94">AAO32+1</f>
        <v>3</v>
      </c>
      <c r="AAQ32" s="12">
        <f t="shared" si="94"/>
        <v>4</v>
      </c>
      <c r="AAR32" s="12">
        <f t="shared" si="94"/>
        <v>5</v>
      </c>
      <c r="AAS32" s="12">
        <f t="shared" si="94"/>
        <v>6</v>
      </c>
      <c r="AAT32" s="12">
        <f t="shared" si="94"/>
        <v>7</v>
      </c>
      <c r="AAU32" s="12">
        <f t="shared" si="94"/>
        <v>8</v>
      </c>
      <c r="AAV32" s="12">
        <f t="shared" si="94"/>
        <v>9</v>
      </c>
      <c r="AAW32" s="12">
        <f t="shared" si="94"/>
        <v>10</v>
      </c>
      <c r="AAX32" s="12">
        <f t="shared" si="94"/>
        <v>11</v>
      </c>
      <c r="AAY32" s="12">
        <f t="shared" si="94"/>
        <v>12</v>
      </c>
      <c r="AAZ32" s="12">
        <f t="shared" si="94"/>
        <v>13</v>
      </c>
      <c r="ABA32" s="12">
        <f t="shared" si="94"/>
        <v>14</v>
      </c>
      <c r="ABB32" s="12">
        <f t="shared" si="94"/>
        <v>15</v>
      </c>
      <c r="ABC32" s="12">
        <f t="shared" si="94"/>
        <v>16</v>
      </c>
      <c r="ABD32" s="12">
        <f t="shared" si="94"/>
        <v>17</v>
      </c>
      <c r="ABE32" s="12">
        <f t="shared" si="94"/>
        <v>18</v>
      </c>
      <c r="ABF32" s="12">
        <f t="shared" si="94"/>
        <v>19</v>
      </c>
      <c r="ABG32" s="13">
        <f t="shared" si="94"/>
        <v>20</v>
      </c>
      <c r="ACU32" s="39" t="s">
        <v>142</v>
      </c>
      <c r="ACV32" s="23" t="s">
        <v>143</v>
      </c>
      <c r="ACW32" s="23">
        <v>11</v>
      </c>
      <c r="ACX32" s="24">
        <v>14</v>
      </c>
    </row>
    <row r="33" spans="1:807" ht="15.75" thickBot="1" x14ac:dyDescent="0.3">
      <c r="A33" t="s">
        <v>2199</v>
      </c>
      <c r="B33" t="s">
        <v>2200</v>
      </c>
      <c r="P33" t="s">
        <v>2201</v>
      </c>
      <c r="T33" s="14" t="s">
        <v>2019</v>
      </c>
      <c r="U33">
        <v>19</v>
      </c>
      <c r="V33" s="15" t="s">
        <v>2202</v>
      </c>
      <c r="AC33" t="s">
        <v>263</v>
      </c>
      <c r="AD33" s="43" t="str">
        <f t="array" ref="AD33">IF(COUNTIFS(AC$2:AC33,AC33)=1,"1",VALUE(SUBSTITUTE(INDEX(AD:AD,_xlfn.XMATCH(AC33,AC$1:AC32,0,-1)),"A",""))+INDEX(AE:AE,_xlfn.XMATCH(AC33,AC$1:AC32,0,-1))+1)</f>
        <v>1</v>
      </c>
      <c r="AE33" s="43">
        <f t="array" ref="AE33">SUM(IF(ISNUMBER(FIND("TmDi",$BE$1:$ADI$1)),IF(IFERROR(ISNUMBER(VALUE(SUBSTITUTE($BE33:$ADI33,"B",""))),FALSE),IF(ISNUMBER(VALUE(SUBSTITUTE($BE33:$ADI33,"B",""))),1,0),0)))</f>
        <v>3</v>
      </c>
      <c r="AF33" t="str">
        <f>CONCATENATE("C",$AD33)</f>
        <v>C1</v>
      </c>
      <c r="AG33" t="str">
        <f>CONCATENATE("B",$AD33)</f>
        <v>B1</v>
      </c>
      <c r="AP33" t="s">
        <v>2022</v>
      </c>
      <c r="AQ33" t="s">
        <v>2119</v>
      </c>
      <c r="AT33" t="s">
        <v>139</v>
      </c>
      <c r="JZ33" s="27"/>
      <c r="KS33" s="16"/>
      <c r="MA33" t="str">
        <f t="shared" si="91"/>
        <v>DI4-B1</v>
      </c>
      <c r="ABH33" s="39" t="s">
        <v>2203</v>
      </c>
      <c r="ABI33" s="23" t="s">
        <v>2205</v>
      </c>
      <c r="ABJ33" s="23" t="s">
        <v>2204</v>
      </c>
      <c r="ABK33" s="23" t="s">
        <v>2206</v>
      </c>
      <c r="ABL33" s="23" t="str">
        <f>CONCATENATE("XT",$U33)</f>
        <v>XT19</v>
      </c>
      <c r="ABM33" s="23">
        <v>21</v>
      </c>
      <c r="ABN33" s="23">
        <f t="shared" ref="ABN33:ABT33" si="95">ABM33+1</f>
        <v>22</v>
      </c>
      <c r="ABO33" s="23">
        <f t="shared" si="95"/>
        <v>23</v>
      </c>
      <c r="ABP33" s="23">
        <f t="shared" si="95"/>
        <v>24</v>
      </c>
      <c r="ABQ33" s="23">
        <f t="shared" si="95"/>
        <v>25</v>
      </c>
      <c r="ABR33" s="23">
        <f t="shared" si="95"/>
        <v>26</v>
      </c>
      <c r="ABS33" s="23">
        <f t="shared" si="95"/>
        <v>27</v>
      </c>
      <c r="ABT33" s="23">
        <f t="shared" si="95"/>
        <v>28</v>
      </c>
      <c r="ABU33" s="23" t="str">
        <f>CONCATENATE("C",REPLACE($AF33,1,1,"")+1)</f>
        <v>C2</v>
      </c>
      <c r="ABV33" s="23" t="str">
        <f>CONCATENATE("B",REPLACE($AG33,1,1,"")+1)</f>
        <v>B2</v>
      </c>
      <c r="ABW33" s="23" t="str">
        <f>CONCATENATE("C",REPLACE(ABU33,1,1,"")+1)</f>
        <v>C3</v>
      </c>
      <c r="ABX33" s="23" t="str">
        <f>CONCATENATE("B",REPLACE(ABV33,1,1,"")+1)</f>
        <v>B3</v>
      </c>
      <c r="ABY33" s="23" t="str">
        <f>CONCATENATE("C",REPLACE(ABW33,1,1,"")+1)</f>
        <v>C4</v>
      </c>
      <c r="ABZ33" s="23" t="str">
        <f>CONCATENATE("B",REPLACE(ABX33,1,1,"")+1)</f>
        <v>B4</v>
      </c>
      <c r="ACA33" s="23" t="str">
        <f>CONCATENATE("DI",REPLACE($AC33,1,3,""),"-",$AF33)</f>
        <v>DI4-C1</v>
      </c>
      <c r="ACB33" s="23" t="str">
        <f>CONCATENATE("DI",REPLACE($AC33,1,3,""),"-",$AG33)</f>
        <v>DI4-B1</v>
      </c>
      <c r="ACC33" s="23" t="str">
        <f t="shared" ref="ACC33:ACH33" si="96">CONCATENATE("DI",REPLACE($AC33,1,3,""),"-",ABU33)</f>
        <v>DI4-C2</v>
      </c>
      <c r="ACD33" s="23" t="str">
        <f t="shared" si="96"/>
        <v>DI4-B2</v>
      </c>
      <c r="ACE33" s="23" t="str">
        <f t="shared" si="96"/>
        <v>DI4-C3</v>
      </c>
      <c r="ACF33" s="23" t="str">
        <f t="shared" si="96"/>
        <v>DI4-B3</v>
      </c>
      <c r="ACG33" s="23" t="str">
        <f t="shared" si="96"/>
        <v>DI4-C4</v>
      </c>
      <c r="ACH33" s="23" t="str">
        <f t="shared" si="96"/>
        <v>DI4-B4</v>
      </c>
      <c r="ACI33" s="64" t="s">
        <v>2207</v>
      </c>
      <c r="ACJ33" s="64" t="s">
        <v>2208</v>
      </c>
      <c r="ACK33" s="64" t="s">
        <v>2209</v>
      </c>
      <c r="ACL33" s="64" t="s">
        <v>2210</v>
      </c>
      <c r="ACM33" s="64" t="s">
        <v>2212</v>
      </c>
      <c r="ACN33" s="64" t="s">
        <v>2213</v>
      </c>
      <c r="ACO33" s="64" t="s">
        <v>2214</v>
      </c>
      <c r="ACP33" s="64" t="s">
        <v>2215</v>
      </c>
      <c r="ACQ33" s="23" t="str">
        <f>CONCATENATE("K",$U33,"-11")</f>
        <v>K19-11</v>
      </c>
      <c r="ACR33" s="23" t="str">
        <f>CONCATENATE("K",$U33,"-12")</f>
        <v>K19-12</v>
      </c>
      <c r="ACS33" s="23" t="str">
        <f>CONCATENATE("K",$U33,"-13")</f>
        <v>K19-13</v>
      </c>
      <c r="ACT33" s="23" t="str">
        <f>CONCATENATE("K",$U33,"-14")</f>
        <v>K19-14</v>
      </c>
      <c r="ACU33" s="23" t="s">
        <v>142</v>
      </c>
      <c r="ACV33" s="23" t="s">
        <v>143</v>
      </c>
      <c r="ACW33" s="23">
        <v>11</v>
      </c>
      <c r="ACX33" s="23">
        <v>14</v>
      </c>
      <c r="ACY33" s="23" t="s">
        <v>414</v>
      </c>
      <c r="ACZ33" s="23" t="s">
        <v>413</v>
      </c>
      <c r="ADA33" s="23" t="s">
        <v>1996</v>
      </c>
      <c r="ADB33" s="23">
        <v>21</v>
      </c>
      <c r="ADC33" s="23">
        <v>22</v>
      </c>
      <c r="ADD33" s="23">
        <v>23</v>
      </c>
      <c r="ADE33" s="23">
        <v>24</v>
      </c>
      <c r="ADF33" s="23">
        <v>25</v>
      </c>
      <c r="ADG33" s="23">
        <v>26</v>
      </c>
      <c r="ADH33" s="23">
        <v>27</v>
      </c>
      <c r="ADI33" s="24">
        <v>28</v>
      </c>
    </row>
    <row r="34" spans="1:807" ht="30.75" thickBot="1" x14ac:dyDescent="0.3">
      <c r="A34" t="s">
        <v>2217</v>
      </c>
      <c r="B34" t="s">
        <v>2216</v>
      </c>
      <c r="P34" t="s">
        <v>1939</v>
      </c>
      <c r="T34" s="14" t="s">
        <v>2019</v>
      </c>
      <c r="U34">
        <v>19</v>
      </c>
      <c r="V34" t="s">
        <v>2234</v>
      </c>
      <c r="AP34" t="s">
        <v>2022</v>
      </c>
      <c r="AQ34" t="s">
        <v>2119</v>
      </c>
      <c r="JZ34" s="27"/>
      <c r="KS34" s="16"/>
      <c r="MA34" t="str">
        <f t="shared" si="91"/>
        <v>DI-</v>
      </c>
      <c r="TX34" s="60" t="s">
        <v>1947</v>
      </c>
      <c r="TY34" s="23" t="s">
        <v>1948</v>
      </c>
      <c r="TZ34" s="23" t="s">
        <v>1949</v>
      </c>
      <c r="UA34" s="23" t="s">
        <v>1950</v>
      </c>
      <c r="UB34" s="23" t="s">
        <v>1951</v>
      </c>
      <c r="UC34" s="23" t="s">
        <v>2218</v>
      </c>
      <c r="UD34" s="23" t="s">
        <v>2219</v>
      </c>
      <c r="UE34" s="23" t="s">
        <v>2220</v>
      </c>
      <c r="UF34" s="23" t="str">
        <f>CONCATENATE("XT",$U34)</f>
        <v>XT19</v>
      </c>
      <c r="UG34" s="23">
        <v>29</v>
      </c>
      <c r="UH34" s="23">
        <f>UG34+1</f>
        <v>30</v>
      </c>
      <c r="UI34" s="23">
        <f>UH34+1</f>
        <v>31</v>
      </c>
      <c r="UJ34" s="23" t="s">
        <v>2221</v>
      </c>
      <c r="UK34" s="23" t="s">
        <v>2222</v>
      </c>
      <c r="UL34" s="23" t="s">
        <v>2223</v>
      </c>
      <c r="UM34" s="24" t="s">
        <v>2224</v>
      </c>
    </row>
    <row r="35" spans="1:807" ht="15.75" thickBot="1" x14ac:dyDescent="0.3">
      <c r="A35" t="s">
        <v>2228</v>
      </c>
      <c r="B35" t="s">
        <v>2225</v>
      </c>
      <c r="P35" t="s">
        <v>2117</v>
      </c>
      <c r="T35" s="14" t="s">
        <v>2019</v>
      </c>
      <c r="U35">
        <v>20</v>
      </c>
      <c r="V35" s="15" t="s">
        <v>2231</v>
      </c>
      <c r="AH35" t="s">
        <v>268</v>
      </c>
      <c r="AI35" s="66">
        <f t="array" ref="AI35">IF(COUNTIFS(AH$2:AH35,AH35)=1,"1",VALUE(SUBSTITUTE(INDEX(AI:AI,_xlfn.XMATCH(AH35,AH$1:AH34,0,-1)),"A",""))+INDEX(AJ:AJ,_xlfn.XMATCH(AH35,AH$1:AH34,0,-1))+1)</f>
        <v>11</v>
      </c>
      <c r="AJ35" s="59">
        <f t="array" ref="AJ35">SUM(IF(ISNUMBER(FIND("TmDo",$BE$1:$AAQ$1)),IF(IFERROR(ISNUMBER(VALUE(SUBSTITUTE($BE35:$AAQ35,"B",""))),FALSE),IF(ISNUMBER(VALUE(SUBSTITUTE($BE35:$AAQ35,"B",""))),1,0),0)))</f>
        <v>9</v>
      </c>
      <c r="AK35" t="str">
        <f>CONCATENATE($AI35,"A")</f>
        <v>11A</v>
      </c>
      <c r="AL35" t="str">
        <f>CONCATENATE($AI35,"B")</f>
        <v>11B</v>
      </c>
      <c r="AM35" t="s">
        <v>1996</v>
      </c>
      <c r="AP35" t="s">
        <v>2022</v>
      </c>
      <c r="AQ35" t="s">
        <v>2237</v>
      </c>
      <c r="AU35" t="s">
        <v>140</v>
      </c>
      <c r="JZ35" s="27"/>
      <c r="KS35" s="16"/>
      <c r="MA35" t="str">
        <f t="shared" si="91"/>
        <v>DI-</v>
      </c>
      <c r="WR35" s="25" t="str">
        <f>CONCATENATE("XT",$U35)</f>
        <v>XT20</v>
      </c>
      <c r="WS35" s="12">
        <v>1</v>
      </c>
      <c r="WT35" s="12">
        <f>WS35+1</f>
        <v>2</v>
      </c>
      <c r="WU35" s="12">
        <f t="shared" ref="WU35:XL35" si="97">WT35+1</f>
        <v>3</v>
      </c>
      <c r="WV35" s="12">
        <f t="shared" si="97"/>
        <v>4</v>
      </c>
      <c r="WW35" s="12">
        <f t="shared" si="97"/>
        <v>5</v>
      </c>
      <c r="WX35" s="12">
        <f t="shared" si="97"/>
        <v>6</v>
      </c>
      <c r="WY35" s="12">
        <f t="shared" si="97"/>
        <v>7</v>
      </c>
      <c r="WZ35" s="12">
        <f t="shared" si="97"/>
        <v>8</v>
      </c>
      <c r="XA35" s="12">
        <f t="shared" si="97"/>
        <v>9</v>
      </c>
      <c r="XB35" s="12">
        <f t="shared" si="97"/>
        <v>10</v>
      </c>
      <c r="XC35" s="12">
        <f t="shared" si="97"/>
        <v>11</v>
      </c>
      <c r="XD35" s="12">
        <f t="shared" si="97"/>
        <v>12</v>
      </c>
      <c r="XE35" s="12">
        <f t="shared" si="97"/>
        <v>13</v>
      </c>
      <c r="XF35" s="12">
        <f t="shared" si="97"/>
        <v>14</v>
      </c>
      <c r="XG35" s="12">
        <f t="shared" si="97"/>
        <v>15</v>
      </c>
      <c r="XH35" s="12">
        <f t="shared" si="97"/>
        <v>16</v>
      </c>
      <c r="XI35" s="12">
        <f t="shared" si="97"/>
        <v>17</v>
      </c>
      <c r="XJ35" s="12">
        <f t="shared" si="97"/>
        <v>18</v>
      </c>
      <c r="XK35" s="12">
        <f t="shared" si="97"/>
        <v>19</v>
      </c>
      <c r="XL35" s="12">
        <f t="shared" si="97"/>
        <v>20</v>
      </c>
      <c r="XM35" s="12" t="str">
        <f>CONCATENATE(REPLACE($AK35,LEN($AK35),1,"")+1,"A")</f>
        <v>12A</v>
      </c>
      <c r="XN35" s="12" t="str">
        <f>CONCATENATE(REPLACE($AL35,LEN($AL35),1,"")+1,"B")</f>
        <v>12B</v>
      </c>
      <c r="XO35" s="12" t="str">
        <f>CONCATENATE(REPLACE(XM35,LEN(XM35),1,"")+1,"A")</f>
        <v>13A</v>
      </c>
      <c r="XP35" s="12" t="str">
        <f>CONCATENATE(REPLACE(XN35,LEN(XN35),1,"")+1,"B")</f>
        <v>13B</v>
      </c>
      <c r="XQ35" s="12" t="str">
        <f>CONCATENATE(REPLACE(XO35,LEN(XO35),1,"")+1,"A")</f>
        <v>14A</v>
      </c>
      <c r="XR35" s="12" t="str">
        <f>CONCATENATE(REPLACE(XP35,LEN(XP35),1,"")+1,"B")</f>
        <v>14B</v>
      </c>
      <c r="XS35" s="12" t="str">
        <f>CONCATENATE(REPLACE(XQ35,LEN(XQ35),1,"")+1,"A")</f>
        <v>15A</v>
      </c>
      <c r="XT35" s="12" t="str">
        <f>CONCATENATE(REPLACE(XR35,LEN(XR35),1,"")+1,"B")</f>
        <v>15B</v>
      </c>
      <c r="XU35" s="12" t="str">
        <f>CONCATENATE(REPLACE(XS35,LEN(XS35),1,"")+1,"A")</f>
        <v>16A</v>
      </c>
      <c r="XV35" s="12" t="str">
        <f>CONCATENATE(REPLACE(XT35,LEN(XT35),1,"")+1,"B")</f>
        <v>16B</v>
      </c>
      <c r="XW35" s="12" t="str">
        <f>CONCATENATE(REPLACE(XU35,LEN(XU35),1,"")+1,"A")</f>
        <v>17A</v>
      </c>
      <c r="XX35" s="12" t="str">
        <f>CONCATENATE(REPLACE(XV35,LEN(XV35),1,"")+1,"B")</f>
        <v>17B</v>
      </c>
      <c r="XY35" s="12" t="str">
        <f>CONCATENATE(REPLACE(XW35,LEN(XW35),1,"")+1,"A")</f>
        <v>18A</v>
      </c>
      <c r="XZ35" s="12" t="str">
        <f>CONCATENATE(REPLACE(XX35,LEN(XX35),1,"")+1,"B")</f>
        <v>18B</v>
      </c>
      <c r="YA35" s="12" t="str">
        <f>CONCATENATE(REPLACE(XY35,LEN(XY35),1,"")+1,"A")</f>
        <v>19A</v>
      </c>
      <c r="YB35" s="12" t="str">
        <f>CONCATENATE(REPLACE(XZ35,LEN(XZ35),1,"")+1,"B")</f>
        <v>19B</v>
      </c>
      <c r="YC35" s="12" t="str">
        <f>CONCATENATE(REPLACE(YA35,LEN(YA35),1,"")+1,"A")</f>
        <v>20A</v>
      </c>
      <c r="YD35" s="12" t="str">
        <f>CONCATENATE(REPLACE(YB35,LEN(YB35),1,"")+1,"B")</f>
        <v>20B</v>
      </c>
      <c r="YE35" s="12" t="str">
        <f>CONCATENATE("DO",REPLACE($AH35,1,3,""),"-",$AK35)</f>
        <v>DO3-11A</v>
      </c>
      <c r="YF35" s="12" t="str">
        <f>CONCATENATE("DO",REPLACE($AH35,1,3,""),"-",$AL35)</f>
        <v>DO3-11B</v>
      </c>
      <c r="YG35" s="12" t="str">
        <f t="shared" ref="YG35:YX35" si="98">CONCATENATE("DO",REPLACE($AH35,1,3,""),"-",XM35)</f>
        <v>DO3-12A</v>
      </c>
      <c r="YH35" s="12" t="str">
        <f t="shared" si="98"/>
        <v>DO3-12B</v>
      </c>
      <c r="YI35" s="12" t="str">
        <f t="shared" si="98"/>
        <v>DO3-13A</v>
      </c>
      <c r="YJ35" s="12" t="str">
        <f t="shared" si="98"/>
        <v>DO3-13B</v>
      </c>
      <c r="YK35" s="12" t="str">
        <f t="shared" si="98"/>
        <v>DO3-14A</v>
      </c>
      <c r="YL35" s="12" t="str">
        <f t="shared" si="98"/>
        <v>DO3-14B</v>
      </c>
      <c r="YM35" s="12" t="str">
        <f t="shared" si="98"/>
        <v>DO3-15A</v>
      </c>
      <c r="YN35" s="12" t="str">
        <f t="shared" si="98"/>
        <v>DO3-15B</v>
      </c>
      <c r="YO35" s="12" t="str">
        <f t="shared" si="98"/>
        <v>DO3-16A</v>
      </c>
      <c r="YP35" s="12" t="str">
        <f t="shared" si="98"/>
        <v>DO3-16B</v>
      </c>
      <c r="YQ35" s="12" t="str">
        <f t="shared" si="98"/>
        <v>DO3-17A</v>
      </c>
      <c r="YR35" s="12" t="str">
        <f t="shared" si="98"/>
        <v>DO3-17B</v>
      </c>
      <c r="YS35" s="12" t="str">
        <f t="shared" si="98"/>
        <v>DO3-18A</v>
      </c>
      <c r="YT35" s="12" t="str">
        <f t="shared" si="98"/>
        <v>DO3-18B</v>
      </c>
      <c r="YU35" s="12" t="str">
        <f t="shared" si="98"/>
        <v>DO3-19A</v>
      </c>
      <c r="YV35" s="12" t="str">
        <f t="shared" si="98"/>
        <v>DO3-19B</v>
      </c>
      <c r="YW35" s="12" t="str">
        <f t="shared" si="98"/>
        <v>DO3-20A</v>
      </c>
      <c r="YX35" s="12" t="str">
        <f t="shared" si="98"/>
        <v>DO3-20B</v>
      </c>
      <c r="YY35" s="12" t="str">
        <f>CONCATENATE("K",$U35,"-01")</f>
        <v>K20-01</v>
      </c>
      <c r="YZ35" s="12" t="str">
        <f>CONCATENATE("K",$U35,"-02")</f>
        <v>K20-02</v>
      </c>
      <c r="ZA35" s="12" t="str">
        <f>CONCATENATE("K",$U35,"-03")</f>
        <v>K20-03</v>
      </c>
      <c r="ZB35" s="12" t="str">
        <f>CONCATENATE("K",$U35,"-04")</f>
        <v>K20-04</v>
      </c>
      <c r="ZC35" s="12" t="str">
        <f>CONCATENATE("K",$U35,"-05")</f>
        <v>K20-05</v>
      </c>
      <c r="ZD35" s="12" t="str">
        <f>CONCATENATE("K",$U35,"-06")</f>
        <v>K20-06</v>
      </c>
      <c r="ZE35" s="12" t="str">
        <f>CONCATENATE("K",$U35,"-07")</f>
        <v>K20-07</v>
      </c>
      <c r="ZF35" s="12" t="str">
        <f>CONCATENATE("K",$U35,"-08")</f>
        <v>K20-08</v>
      </c>
      <c r="ZG35" s="12" t="str">
        <f>CONCATENATE("K",$U35,"-09")</f>
        <v>K20-09</v>
      </c>
      <c r="ZH35" s="12" t="str">
        <f>CONCATENATE("K",$U35,"-10")</f>
        <v>K20-10</v>
      </c>
      <c r="ZI35" s="63" t="s">
        <v>2155</v>
      </c>
      <c r="ZJ35" s="63" t="s">
        <v>2156</v>
      </c>
      <c r="ZK35" s="63" t="s">
        <v>2157</v>
      </c>
      <c r="ZL35" s="63" t="s">
        <v>2158</v>
      </c>
      <c r="ZM35" s="63" t="s">
        <v>2159</v>
      </c>
      <c r="ZN35" s="63" t="s">
        <v>2160</v>
      </c>
      <c r="ZO35" s="63" t="s">
        <v>2161</v>
      </c>
      <c r="ZP35" s="63" t="s">
        <v>2162</v>
      </c>
      <c r="ZQ35" s="63" t="s">
        <v>2163</v>
      </c>
      <c r="ZR35" s="63" t="s">
        <v>2164</v>
      </c>
      <c r="ZS35" s="63" t="s">
        <v>2165</v>
      </c>
      <c r="ZT35" s="63" t="s">
        <v>2166</v>
      </c>
      <c r="ZU35" s="63" t="s">
        <v>2167</v>
      </c>
      <c r="ZV35" s="63" t="s">
        <v>2168</v>
      </c>
      <c r="ZW35" s="63" t="s">
        <v>2169</v>
      </c>
      <c r="ZX35" s="63" t="s">
        <v>2170</v>
      </c>
      <c r="ZY35" s="63" t="s">
        <v>2171</v>
      </c>
      <c r="ZZ35" s="63" t="s">
        <v>2172</v>
      </c>
      <c r="AAA35" s="63" t="s">
        <v>2173</v>
      </c>
      <c r="AAB35" s="63" t="s">
        <v>2174</v>
      </c>
      <c r="AAC35" s="12" t="s">
        <v>2243</v>
      </c>
      <c r="AAD35" s="12" t="s">
        <v>2244</v>
      </c>
      <c r="AAE35" s="12" t="s">
        <v>2245</v>
      </c>
      <c r="AAF35" s="12" t="s">
        <v>2246</v>
      </c>
      <c r="AAG35" s="12" t="s">
        <v>2240</v>
      </c>
      <c r="AAH35" s="12" t="s">
        <v>2241</v>
      </c>
      <c r="AAI35" s="12" t="s">
        <v>2189</v>
      </c>
      <c r="AAJ35" s="12" t="s">
        <v>2190</v>
      </c>
      <c r="AAK35" s="12" t="s">
        <v>2247</v>
      </c>
      <c r="AAL35" s="12" t="s">
        <v>2242</v>
      </c>
      <c r="AAM35" s="12" t="s">
        <v>1996</v>
      </c>
      <c r="AAN35" s="12">
        <v>1</v>
      </c>
      <c r="AAO35" s="12">
        <f>AAN35+1</f>
        <v>2</v>
      </c>
      <c r="AAP35" s="12">
        <f t="shared" ref="AAP35:ABG35" si="99">AAO35+1</f>
        <v>3</v>
      </c>
      <c r="AAQ35" s="12">
        <f t="shared" si="99"/>
        <v>4</v>
      </c>
      <c r="AAR35" s="12">
        <f t="shared" si="99"/>
        <v>5</v>
      </c>
      <c r="AAS35" s="12">
        <f t="shared" si="99"/>
        <v>6</v>
      </c>
      <c r="AAT35" s="12">
        <f t="shared" si="99"/>
        <v>7</v>
      </c>
      <c r="AAU35" s="12">
        <f t="shared" si="99"/>
        <v>8</v>
      </c>
      <c r="AAV35" s="12">
        <f t="shared" si="99"/>
        <v>9</v>
      </c>
      <c r="AAW35" s="12">
        <f t="shared" si="99"/>
        <v>10</v>
      </c>
      <c r="AAX35" s="12">
        <f t="shared" si="99"/>
        <v>11</v>
      </c>
      <c r="AAY35" s="12">
        <f t="shared" si="99"/>
        <v>12</v>
      </c>
      <c r="AAZ35" s="12">
        <f t="shared" si="99"/>
        <v>13</v>
      </c>
      <c r="ABA35" s="12">
        <f t="shared" si="99"/>
        <v>14</v>
      </c>
      <c r="ABB35" s="12">
        <f t="shared" si="99"/>
        <v>15</v>
      </c>
      <c r="ABC35" s="12">
        <f t="shared" si="99"/>
        <v>16</v>
      </c>
      <c r="ABD35" s="12">
        <f t="shared" si="99"/>
        <v>17</v>
      </c>
      <c r="ABE35" s="12">
        <f t="shared" si="99"/>
        <v>18</v>
      </c>
      <c r="ABF35" s="12">
        <f t="shared" si="99"/>
        <v>19</v>
      </c>
      <c r="ABG35" s="13">
        <f t="shared" si="99"/>
        <v>20</v>
      </c>
      <c r="ACU35" s="39" t="s">
        <v>142</v>
      </c>
      <c r="ACV35" s="23" t="s">
        <v>143</v>
      </c>
      <c r="ACW35" s="23">
        <v>11</v>
      </c>
      <c r="ACX35" s="24">
        <v>14</v>
      </c>
    </row>
    <row r="36" spans="1:807" ht="15.75" thickBot="1" x14ac:dyDescent="0.3">
      <c r="A36" t="s">
        <v>2229</v>
      </c>
      <c r="B36" t="s">
        <v>2226</v>
      </c>
      <c r="P36" t="s">
        <v>2201</v>
      </c>
      <c r="T36" s="14" t="s">
        <v>2019</v>
      </c>
      <c r="U36">
        <v>20</v>
      </c>
      <c r="V36" s="15" t="s">
        <v>2232</v>
      </c>
      <c r="AC36" t="s">
        <v>263</v>
      </c>
      <c r="AD36" s="43">
        <f t="array" ref="AD36">IF(COUNTIFS(AC$2:AC36,AC36)=1,"1",VALUE(SUBSTITUTE(INDEX(AD:AD,_xlfn.XMATCH(AC36,AC$1:AC35,0,-1)),"A",""))+INDEX(AE:AE,_xlfn.XMATCH(AC36,AC$1:AC35,0,-1))+1)</f>
        <v>5</v>
      </c>
      <c r="AE36" s="43">
        <f t="array" ref="AE36">SUM(IF(ISNUMBER(FIND("TmDi",$BE$1:$ADI$1)),IF(IFERROR(ISNUMBER(VALUE(SUBSTITUTE($BE36:$ADI36,"B",""))),FALSE),IF(ISNUMBER(VALUE(SUBSTITUTE($BE36:$ADI36,"B",""))),1,0),0)))</f>
        <v>3</v>
      </c>
      <c r="AF36" t="str">
        <f>CONCATENATE("C",$AD36)</f>
        <v>C5</v>
      </c>
      <c r="AG36" t="str">
        <f>CONCATENATE("B",$AD36)</f>
        <v>B5</v>
      </c>
      <c r="AP36" t="s">
        <v>2022</v>
      </c>
      <c r="AQ36" t="s">
        <v>2237</v>
      </c>
      <c r="AT36" t="s">
        <v>139</v>
      </c>
      <c r="JZ36" s="27"/>
      <c r="KS36" s="16"/>
      <c r="MA36" t="str">
        <f t="shared" si="91"/>
        <v>DI4-B5</v>
      </c>
      <c r="ABH36" s="39" t="s">
        <v>2235</v>
      </c>
      <c r="ABI36" s="23" t="s">
        <v>2236</v>
      </c>
      <c r="ABJ36" s="23" t="s">
        <v>2238</v>
      </c>
      <c r="ABK36" s="23" t="s">
        <v>2239</v>
      </c>
      <c r="ABL36" s="23" t="str">
        <f>CONCATENATE("XT",$U36)</f>
        <v>XT20</v>
      </c>
      <c r="ABM36" s="23">
        <v>21</v>
      </c>
      <c r="ABN36" s="23">
        <f t="shared" ref="ABN36:ABT36" si="100">ABM36+1</f>
        <v>22</v>
      </c>
      <c r="ABO36" s="23">
        <f t="shared" si="100"/>
        <v>23</v>
      </c>
      <c r="ABP36" s="23">
        <f t="shared" si="100"/>
        <v>24</v>
      </c>
      <c r="ABQ36" s="23">
        <f t="shared" si="100"/>
        <v>25</v>
      </c>
      <c r="ABR36" s="23">
        <f t="shared" si="100"/>
        <v>26</v>
      </c>
      <c r="ABS36" s="23">
        <f t="shared" si="100"/>
        <v>27</v>
      </c>
      <c r="ABT36" s="23">
        <f t="shared" si="100"/>
        <v>28</v>
      </c>
      <c r="ABU36" s="23" t="str">
        <f>CONCATENATE("C",REPLACE($AF36,1,1,"")+1)</f>
        <v>C6</v>
      </c>
      <c r="ABV36" s="23" t="str">
        <f>CONCATENATE("B",REPLACE($AG36,1,1,"")+1)</f>
        <v>B6</v>
      </c>
      <c r="ABW36" s="23" t="str">
        <f>CONCATENATE("C",REPLACE(ABU36,1,1,"")+1)</f>
        <v>C7</v>
      </c>
      <c r="ABX36" s="23" t="str">
        <f>CONCATENATE("B",REPLACE(ABV36,1,1,"")+1)</f>
        <v>B7</v>
      </c>
      <c r="ABY36" s="23" t="str">
        <f>CONCATENATE("C",REPLACE(ABW36,1,1,"")+1)</f>
        <v>C8</v>
      </c>
      <c r="ABZ36" s="23" t="str">
        <f>CONCATENATE("B",REPLACE(ABX36,1,1,"")+1)</f>
        <v>B8</v>
      </c>
      <c r="ACA36" s="23" t="str">
        <f>CONCATENATE("DI",REPLACE($AC36,1,3,""),"-",$AF36)</f>
        <v>DI4-C5</v>
      </c>
      <c r="ACB36" s="23" t="str">
        <f>CONCATENATE("DI",REPLACE($AC36,1,3,""),"-",$AG36)</f>
        <v>DI4-B5</v>
      </c>
      <c r="ACC36" s="23" t="str">
        <f t="shared" ref="ACC36:ACH36" si="101">CONCATENATE("DI",REPLACE($AC36,1,3,""),"-",ABU36)</f>
        <v>DI4-C6</v>
      </c>
      <c r="ACD36" s="23" t="str">
        <f t="shared" si="101"/>
        <v>DI4-B6</v>
      </c>
      <c r="ACE36" s="23" t="str">
        <f t="shared" si="101"/>
        <v>DI4-C7</v>
      </c>
      <c r="ACF36" s="23" t="str">
        <f t="shared" si="101"/>
        <v>DI4-B7</v>
      </c>
      <c r="ACG36" s="23" t="str">
        <f t="shared" si="101"/>
        <v>DI4-C8</v>
      </c>
      <c r="ACH36" s="23" t="str">
        <f t="shared" si="101"/>
        <v>DI4-B8</v>
      </c>
      <c r="ACI36" s="64" t="s">
        <v>2207</v>
      </c>
      <c r="ACJ36" s="64" t="s">
        <v>2208</v>
      </c>
      <c r="ACK36" s="64" t="s">
        <v>2209</v>
      </c>
      <c r="ACL36" s="64" t="s">
        <v>2210</v>
      </c>
      <c r="ACM36" s="64" t="s">
        <v>2212</v>
      </c>
      <c r="ACN36" s="64" t="s">
        <v>2213</v>
      </c>
      <c r="ACO36" s="64" t="s">
        <v>2214</v>
      </c>
      <c r="ACP36" s="64" t="s">
        <v>2215</v>
      </c>
      <c r="ACQ36" s="23" t="str">
        <f>CONCATENATE("K",$U36,"-11")</f>
        <v>K20-11</v>
      </c>
      <c r="ACR36" s="23" t="str">
        <f>CONCATENATE("K",$U36,"-12")</f>
        <v>K20-12</v>
      </c>
      <c r="ACS36" s="23" t="str">
        <f>CONCATENATE("K",$U36,"-13")</f>
        <v>K20-13</v>
      </c>
      <c r="ACT36" s="23" t="str">
        <f>CONCATENATE("K",$U36,"-14")</f>
        <v>K20-14</v>
      </c>
      <c r="ACU36" s="23" t="s">
        <v>142</v>
      </c>
      <c r="ACV36" s="23" t="s">
        <v>143</v>
      </c>
      <c r="ACW36" s="23">
        <v>11</v>
      </c>
      <c r="ACX36" s="23">
        <v>14</v>
      </c>
      <c r="ACY36" s="23" t="s">
        <v>414</v>
      </c>
      <c r="ACZ36" s="23" t="s">
        <v>413</v>
      </c>
      <c r="ADA36" s="23" t="s">
        <v>1996</v>
      </c>
      <c r="ADB36" s="23">
        <v>21</v>
      </c>
      <c r="ADC36" s="23">
        <v>22</v>
      </c>
      <c r="ADD36" s="23">
        <v>23</v>
      </c>
      <c r="ADE36" s="23">
        <v>24</v>
      </c>
      <c r="ADF36" s="23">
        <v>25</v>
      </c>
      <c r="ADG36" s="23">
        <v>26</v>
      </c>
      <c r="ADH36" s="23">
        <v>27</v>
      </c>
      <c r="ADI36" s="24">
        <v>28</v>
      </c>
    </row>
    <row r="37" spans="1:807" ht="30.75" thickBot="1" x14ac:dyDescent="0.3">
      <c r="A37" t="s">
        <v>2230</v>
      </c>
      <c r="B37" t="s">
        <v>2227</v>
      </c>
      <c r="P37" t="s">
        <v>1939</v>
      </c>
      <c r="T37" s="14" t="s">
        <v>2019</v>
      </c>
      <c r="U37">
        <v>20</v>
      </c>
      <c r="V37" t="s">
        <v>2233</v>
      </c>
      <c r="AP37" t="s">
        <v>2022</v>
      </c>
      <c r="AQ37" t="s">
        <v>2119</v>
      </c>
      <c r="JZ37" s="27"/>
      <c r="KS37" s="16"/>
      <c r="MA37" t="str">
        <f t="shared" si="91"/>
        <v>DI-</v>
      </c>
      <c r="TX37" s="60" t="s">
        <v>1958</v>
      </c>
      <c r="TY37" s="23" t="s">
        <v>1948</v>
      </c>
      <c r="TZ37" s="23" t="s">
        <v>1949</v>
      </c>
      <c r="UA37" s="23" t="s">
        <v>1950</v>
      </c>
      <c r="UB37" s="23" t="s">
        <v>1951</v>
      </c>
      <c r="UC37" s="23" t="s">
        <v>2218</v>
      </c>
      <c r="UD37" s="23" t="s">
        <v>2219</v>
      </c>
      <c r="UE37" s="23" t="s">
        <v>2220</v>
      </c>
      <c r="UF37" s="23" t="str">
        <f>CONCATENATE("XT",$U37)</f>
        <v>XT20</v>
      </c>
      <c r="UG37" s="23">
        <v>29</v>
      </c>
      <c r="UH37" s="23">
        <f>UG37+1</f>
        <v>30</v>
      </c>
      <c r="UI37" s="23">
        <f>UH37+1</f>
        <v>31</v>
      </c>
      <c r="UJ37" s="23" t="s">
        <v>2221</v>
      </c>
      <c r="UK37" s="23" t="s">
        <v>2222</v>
      </c>
      <c r="UL37" s="23" t="s">
        <v>2223</v>
      </c>
      <c r="UM37" s="24" t="s">
        <v>2224</v>
      </c>
    </row>
    <row r="38" spans="1:807" x14ac:dyDescent="0.25">
      <c r="A38" t="s">
        <v>2249</v>
      </c>
      <c r="B38" t="s">
        <v>2248</v>
      </c>
      <c r="C38" t="s">
        <v>498</v>
      </c>
      <c r="P38" t="s">
        <v>482</v>
      </c>
      <c r="T38" s="14" t="s">
        <v>2019</v>
      </c>
      <c r="U38">
        <v>18</v>
      </c>
      <c r="V38" s="15" t="s">
        <v>2250</v>
      </c>
      <c r="X38" t="s">
        <v>509</v>
      </c>
      <c r="Y38" s="43" t="str">
        <f t="array" ref="Y38">IF(COUNTIFS($X$2:$X38,$X38)=1,"1",VALUE(SUBSTITUTE(INDEX(Y:Y,_xlfn.XMATCH($X38,$X$1:$X37,0,-1)),"A",""))+INDEX(Z:Z,_xlfn.XMATCH($X38,$X$1:$X37,0,-1))+1)</f>
        <v>1</v>
      </c>
      <c r="Z38" s="43">
        <f t="array" ref="Z38">SUM(IF(ISNUMBER(FIND("TmAi",$BE$1:$AAQ$1)),IF(IFERROR(ISODD(SUBSTITUTE($BE38:$AAQ38,"A","")),FALSE),IF(ISODD(SUBSTITUTE($BE38:$AAQ38,"A","")),1,0),0)))</f>
        <v>0</v>
      </c>
      <c r="AA38" t="str">
        <f>CONCATENATE($Y38*2-1,"B")</f>
        <v>1B</v>
      </c>
      <c r="AB38" t="str">
        <f>CONCATENATE($Y38*2,"B")</f>
        <v>2B</v>
      </c>
      <c r="AP38" t="s">
        <v>2022</v>
      </c>
      <c r="AS38" t="s">
        <v>396</v>
      </c>
      <c r="JZ38" s="27" t="str">
        <f>CONCATENATE("XT",U38)</f>
        <v>XT18</v>
      </c>
      <c r="KC38" t="str">
        <f t="shared" ref="KC38:KC40" si="102">CONCATENATE($T38,"-AI",REPLACE($X38,1,3,""),"-",$AA38)</f>
        <v>N2-AI4-1B</v>
      </c>
      <c r="KD38" t="str">
        <f t="shared" ref="KD38:KD40" si="103">CONCATENATE($T38,"-AI",REPLACE($X38,1,3,""),"-",$AB38)</f>
        <v>N2-AI4-2B</v>
      </c>
      <c r="KI38">
        <f t="array" ref="KI38">IF(COUNTIFS($U$2:$U38,$U38)=1,1,INDEX(KI:KI,_xlfn.XMATCH(U38,U$1:U37,0,-1))+COUNT(KI31:KM31))</f>
        <v>40</v>
      </c>
      <c r="KJ38">
        <f t="shared" ref="KJ38:KK40" si="104">KI38+1</f>
        <v>41</v>
      </c>
      <c r="KK38">
        <f t="shared" si="104"/>
        <v>42</v>
      </c>
      <c r="KN38">
        <v>1</v>
      </c>
      <c r="KO38">
        <v>2</v>
      </c>
      <c r="KS38" s="16"/>
      <c r="MA38" t="str">
        <f t="shared" si="91"/>
        <v>DI-</v>
      </c>
    </row>
    <row r="39" spans="1:807" x14ac:dyDescent="0.25">
      <c r="A39" t="s">
        <v>2252</v>
      </c>
      <c r="B39" t="s">
        <v>2251</v>
      </c>
      <c r="C39" t="s">
        <v>498</v>
      </c>
      <c r="P39" t="s">
        <v>482</v>
      </c>
      <c r="T39" s="14" t="s">
        <v>2019</v>
      </c>
      <c r="U39">
        <v>18</v>
      </c>
      <c r="V39" s="15" t="s">
        <v>2253</v>
      </c>
      <c r="X39" t="str">
        <f>IF(COUNTIF(X$2:X38,X38)&gt;7,REPLACE(X38,LEN(X38),1,VALUE(RIGHT(X38,1))+1),X38)</f>
        <v>A3.4</v>
      </c>
      <c r="Y39" s="43">
        <f t="array" ref="Y39">IF(COUNTIFS($X$2:$X39,$X39)=1,"1",VALUE(SUBSTITUTE(INDEX(Y:Y,_xlfn.XMATCH($X39,$X$1:$X38,0,-1)),"A",""))+INDEX(Z:Z,_xlfn.XMATCH($X39,$X$1:$X38,0,-1))+1)</f>
        <v>2</v>
      </c>
      <c r="Z39" s="43">
        <f t="array" ref="Z39">SUM(IF(ISNUMBER(FIND("TmAi",$BE$1:$AAQ$1)),IF(IFERROR(ISODD(SUBSTITUTE($BE39:$AAQ39,"A","")),FALSE),IF(ISODD(SUBSTITUTE($BE39:$AAQ39,"A","")),1,0),0)))</f>
        <v>0</v>
      </c>
      <c r="AA39" t="str">
        <f>CONCATENATE($Y39*2-1,"B")</f>
        <v>3B</v>
      </c>
      <c r="AB39" t="str">
        <f>CONCATENATE($Y39*2,"B")</f>
        <v>4B</v>
      </c>
      <c r="AP39" t="s">
        <v>2022</v>
      </c>
      <c r="AS39" t="s">
        <v>396</v>
      </c>
      <c r="JZ39" s="27" t="str">
        <f>CONCATENATE("XT",U39)</f>
        <v>XT18</v>
      </c>
      <c r="KC39" t="str">
        <f t="shared" si="102"/>
        <v>N2-AI4-3B</v>
      </c>
      <c r="KD39" t="str">
        <f t="shared" si="103"/>
        <v>N2-AI4-4B</v>
      </c>
      <c r="KI39">
        <f t="array" ref="KI39">IF(COUNTIFS($U$2:$U39,$U39)=1,1,INDEX(KI:KI,_xlfn.XMATCH(U39,U$1:U38,0,-1))+COUNT(KI38:KM38))</f>
        <v>43</v>
      </c>
      <c r="KJ39">
        <f t="shared" si="104"/>
        <v>44</v>
      </c>
      <c r="KK39">
        <f t="shared" si="104"/>
        <v>45</v>
      </c>
      <c r="KN39">
        <v>1</v>
      </c>
      <c r="KO39">
        <v>2</v>
      </c>
      <c r="KS39" s="16"/>
      <c r="MA39" t="str">
        <f t="shared" si="91"/>
        <v>DI-</v>
      </c>
    </row>
    <row r="40" spans="1:807" ht="15.75" thickBot="1" x14ac:dyDescent="0.3">
      <c r="A40" t="s">
        <v>2255</v>
      </c>
      <c r="B40" t="s">
        <v>2254</v>
      </c>
      <c r="C40" t="s">
        <v>531</v>
      </c>
      <c r="P40" t="s">
        <v>503</v>
      </c>
      <c r="T40" s="14" t="s">
        <v>2019</v>
      </c>
      <c r="U40">
        <v>18</v>
      </c>
      <c r="V40" t="s">
        <v>2256</v>
      </c>
      <c r="X40" t="str">
        <f>IF(COUNTIF(X$2:X39,X39)&gt;7,REPLACE(X39,LEN(X39),1,VALUE(RIGHT(X39,1))+1),X39)</f>
        <v>A3.4</v>
      </c>
      <c r="Y40" s="43">
        <f t="array" ref="Y40">IF(COUNTIFS($X$2:$X40,$X40)=1,"1",VALUE(SUBSTITUTE(INDEX(Y:Y,_xlfn.XMATCH($X40,$X$1:$X39,0,-1)),"A",""))+INDEX(Z:Z,_xlfn.XMATCH($X40,$X$1:$X39,0,-1))+1)</f>
        <v>3</v>
      </c>
      <c r="Z40" s="46">
        <f t="array" ref="Z40">SUM(IF(ISNUMBER(FIND("TmAi",$BE$1:$AAQ$1)),IF(IFERROR(ISODD(SUBSTITUTE($BE40:$AAQ40,"A","")),FALSE),IF(ISODD(SUBSTITUTE($BE40:$AAQ40,"A","")),1,0),0)))</f>
        <v>0</v>
      </c>
      <c r="AA40" t="str">
        <f>CONCATENATE($Y40*2-1,"A")</f>
        <v>5A</v>
      </c>
      <c r="AB40" t="str">
        <f>CONCATENATE($Y40*2-1,"B")</f>
        <v>5B</v>
      </c>
      <c r="AP40" t="s">
        <v>2022</v>
      </c>
      <c r="AS40" t="s">
        <v>396</v>
      </c>
      <c r="JZ40" s="28" t="str">
        <f>CONCATENATE("XT",U40)</f>
        <v>XT18</v>
      </c>
      <c r="KA40" s="19"/>
      <c r="KB40" s="19"/>
      <c r="KC40" s="19" t="str">
        <f t="shared" si="102"/>
        <v>N2-AI4-5A</v>
      </c>
      <c r="KD40" s="19" t="str">
        <f t="shared" si="103"/>
        <v>N2-AI4-5B</v>
      </c>
      <c r="KE40" s="19"/>
      <c r="KF40" s="19"/>
      <c r="KG40" s="19" t="s">
        <v>488</v>
      </c>
      <c r="KH40" s="19" t="s">
        <v>487</v>
      </c>
      <c r="KI40" s="19">
        <f t="array" ref="KI40">IF(COUNTIFS($U$2:$U40,$U40)=1,1,INDEX(KI:KI,_xlfn.XMATCH(U40,U$1:U39,0,-1))+COUNT(KI27:KM27))</f>
        <v>46</v>
      </c>
      <c r="KJ40" s="19">
        <f t="shared" si="104"/>
        <v>47</v>
      </c>
      <c r="KK40" s="19">
        <f t="shared" si="104"/>
        <v>48</v>
      </c>
      <c r="KL40" s="19">
        <f>KK40+1</f>
        <v>49</v>
      </c>
      <c r="KM40" s="19">
        <f>KL40+1</f>
        <v>50</v>
      </c>
      <c r="KN40" s="19" t="s">
        <v>547</v>
      </c>
      <c r="KO40" s="19" t="s">
        <v>548</v>
      </c>
      <c r="KP40" s="19" t="s">
        <v>547</v>
      </c>
      <c r="KQ40" s="19" t="s">
        <v>548</v>
      </c>
      <c r="KR40" s="19" t="s">
        <v>551</v>
      </c>
      <c r="KS40" s="20" t="s">
        <v>552</v>
      </c>
      <c r="MA40" t="str">
        <f t="shared" si="91"/>
        <v>DI-</v>
      </c>
    </row>
    <row r="41" spans="1:807" ht="15.75" thickBot="1" x14ac:dyDescent="0.3">
      <c r="A41" t="s">
        <v>2258</v>
      </c>
      <c r="B41" t="s">
        <v>2257</v>
      </c>
      <c r="C41" t="s">
        <v>2259</v>
      </c>
      <c r="P41" t="s">
        <v>2260</v>
      </c>
      <c r="T41" s="14" t="s">
        <v>2019</v>
      </c>
      <c r="U41">
        <v>18</v>
      </c>
      <c r="V41" t="s">
        <v>2261</v>
      </c>
      <c r="X41" t="str">
        <f>IF(COUNTIF(X$2:X40,X40)&gt;7,REPLACE(X40,LEN(X40),1,VALUE(RIGHT(X40,1))+1),X40)</f>
        <v>A3.4</v>
      </c>
      <c r="Y41" s="43">
        <f t="array" ref="Y41">IF(COUNTIFS($X$2:$X41,$X41)=1,"1",VALUE(SUBSTITUTE(INDEX(Y:Y,_xlfn.XMATCH($X41,$X$1:$X40,0,-1)),"A",""))+INDEX(Z:Z,_xlfn.XMATCH($X41,$X$1:$X40,0,-1))+1)</f>
        <v>4</v>
      </c>
      <c r="Z41" s="46">
        <f t="array" ref="Z41">SUM(IF(ISNUMBER(FIND("TmAi",$BE$1:$AAQ$1)),IF(IFERROR(ISODD(SUBSTITUTE($BE41:$AAQ41,"A","")),FALSE),IF(ISODD(SUBSTITUTE($BE41:$AAQ41,"A","")),1,0),0)))</f>
        <v>0</v>
      </c>
      <c r="AA41" t="str">
        <f>CONCATENATE($Y41*2-1,"A")</f>
        <v>7A</v>
      </c>
      <c r="AB41" t="str">
        <f>CONCATENATE($Y41*2-1,"B")</f>
        <v>7B</v>
      </c>
      <c r="AM41" t="s">
        <v>2263</v>
      </c>
      <c r="AP41" t="s">
        <v>2022</v>
      </c>
      <c r="AQ41" t="s">
        <v>2262</v>
      </c>
      <c r="AS41" t="s">
        <v>396</v>
      </c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MA41" t="str">
        <f t="shared" si="91"/>
        <v>DI-</v>
      </c>
      <c r="ADJ41" s="25" t="str">
        <f>CONCATENATE("XT",$U41)</f>
        <v>XT18</v>
      </c>
      <c r="ADK41" s="12">
        <f>KM40+1</f>
        <v>51</v>
      </c>
      <c r="ADL41" s="12">
        <f>ADK41+1</f>
        <v>52</v>
      </c>
      <c r="ADM41" s="12">
        <f>ADL41+1</f>
        <v>53</v>
      </c>
      <c r="ADN41" s="12">
        <f>ADM41+1</f>
        <v>54</v>
      </c>
      <c r="ADO41" s="12" t="str">
        <f>REPLACE($AA41,1,1,LEFT($AA41,1)+1)</f>
        <v>8A</v>
      </c>
      <c r="ADP41" s="12" t="str">
        <f>REPLACE($AB41,1,1,LEFT($AB41,1)+1)</f>
        <v>8B</v>
      </c>
      <c r="ADQ41" s="12" t="str">
        <f>CONCATENATE($T41,"-AI",REPLACE($X41,1,3,""),"-",$AB41)</f>
        <v>N2-AI4-7B</v>
      </c>
      <c r="ADR41" s="12" t="str">
        <f>CONCATENATE($T41,"-AI",REPLACE($X41,1,3,""),"-",ADP41)</f>
        <v>N2-AI4-8B</v>
      </c>
      <c r="ADS41" s="12" t="str">
        <f>CONCATENATE($T41,"-AI",REPLACE($X41,1,3,""),"-",$AA41)</f>
        <v>N2-AI4-7A</v>
      </c>
      <c r="ADT41" s="12">
        <v>8</v>
      </c>
      <c r="ADU41" s="12">
        <v>9</v>
      </c>
      <c r="ADV41" s="12">
        <v>10</v>
      </c>
      <c r="ADW41" s="12" t="str">
        <f>"+канал 1"</f>
        <v>+канал 1</v>
      </c>
      <c r="ADX41" s="12" t="str">
        <f>"-общий"</f>
        <v>-общий</v>
      </c>
      <c r="ADY41" s="12" t="str">
        <f>"+канал 2"</f>
        <v>+канал 2</v>
      </c>
      <c r="ADZ41" s="12" t="s">
        <v>2267</v>
      </c>
      <c r="AEA41" s="13" t="s">
        <v>2268</v>
      </c>
    </row>
    <row r="42" spans="1:807" ht="15.75" thickBot="1" x14ac:dyDescent="0.3">
      <c r="A42" t="s">
        <v>2270</v>
      </c>
      <c r="B42" s="57" t="s">
        <v>2269</v>
      </c>
      <c r="P42" t="s">
        <v>1378</v>
      </c>
      <c r="T42" s="14" t="s">
        <v>2019</v>
      </c>
      <c r="U42">
        <v>21</v>
      </c>
      <c r="V42" t="s">
        <v>2271</v>
      </c>
      <c r="AC42" t="s">
        <v>263</v>
      </c>
      <c r="AD42" s="43">
        <v>17</v>
      </c>
      <c r="AE42" s="43">
        <f t="array" ref="AE42">SUM(IF(ISNUMBER(FIND("TmDi",$BE$1:$AAQ$1)),IF(IFERROR(ISNUMBER(VALUE(SUBSTITUTE($BE42:$AAQ42,"B",""))),FALSE),IF(ISNUMBER(VALUE(SUBSTITUTE($BE42:$AAQ42,"B",""))),1,0),0)))</f>
        <v>0</v>
      </c>
      <c r="AF42" t="str">
        <f t="shared" ref="AF42:AF51" si="105">CONCATENATE("C",$AD42)</f>
        <v>C17</v>
      </c>
      <c r="AG42" t="str">
        <f t="shared" ref="AG42:AG51" si="106">CONCATENATE("B",$AD42)</f>
        <v>B17</v>
      </c>
      <c r="AP42" t="s">
        <v>2022</v>
      </c>
      <c r="AQ42" t="s">
        <v>2272</v>
      </c>
      <c r="AT42" t="s">
        <v>854</v>
      </c>
      <c r="LU42" s="25" t="s">
        <v>2000</v>
      </c>
      <c r="LV42" s="12">
        <v>5</v>
      </c>
      <c r="LW42" s="12">
        <v>11</v>
      </c>
      <c r="LX42" s="12"/>
      <c r="LY42" s="12" t="str">
        <f>CONCATENATE("XT",U42)</f>
        <v>XT21</v>
      </c>
      <c r="LZ42" s="12" t="str">
        <f>CONCATENATE("DI",REPLACE($AC42,1,3,""),"-",$AG42)</f>
        <v>DI4-B17</v>
      </c>
      <c r="MA42" s="12" t="str">
        <f t="shared" si="91"/>
        <v>DI4-B17</v>
      </c>
      <c r="MB42" s="12" t="s">
        <v>2002</v>
      </c>
      <c r="MC42" s="12" t="s">
        <v>2001</v>
      </c>
      <c r="MD42" s="12">
        <v>11</v>
      </c>
      <c r="ME42" s="12">
        <v>14</v>
      </c>
      <c r="MF42" s="12" t="s">
        <v>142</v>
      </c>
      <c r="MG42" s="12" t="s">
        <v>143</v>
      </c>
      <c r="MH42" s="12" t="s">
        <v>488</v>
      </c>
      <c r="MI42" s="12" t="s">
        <v>487</v>
      </c>
      <c r="MJ42" s="12" t="s">
        <v>414</v>
      </c>
      <c r="MK42" s="12" t="s">
        <v>413</v>
      </c>
      <c r="ML42" s="12">
        <v>1</v>
      </c>
      <c r="MM42" s="12">
        <f>ML42+1</f>
        <v>2</v>
      </c>
      <c r="MN42" s="12"/>
      <c r="MO42" s="12"/>
      <c r="MP42" s="12"/>
      <c r="MQ42" s="12"/>
      <c r="MR42" s="12">
        <v>3</v>
      </c>
      <c r="MS42" s="12">
        <v>7</v>
      </c>
      <c r="MT42" s="13"/>
    </row>
    <row r="43" spans="1:807" ht="15.75" thickBot="1" x14ac:dyDescent="0.3">
      <c r="A43" t="s">
        <v>2300</v>
      </c>
      <c r="B43" t="s">
        <v>2326</v>
      </c>
      <c r="P43" t="s">
        <v>2286</v>
      </c>
      <c r="T43" s="14" t="s">
        <v>2285</v>
      </c>
      <c r="U43">
        <v>22</v>
      </c>
      <c r="V43" s="15"/>
      <c r="W43" t="s">
        <v>2302</v>
      </c>
      <c r="X43" t="s">
        <v>2006</v>
      </c>
      <c r="Y43" s="43" t="str">
        <f t="array" ref="Y43">IF(COUNTIFS($X43:$X$51,$X43)=1,"1",VALUE(SUBSTITUTE(INDEX(Y:Y,_xlfn.XMATCH($X43,$X$1:$X42,0,-1)),"A",""))+INDEX(Z:Z,_xlfn.XMATCH($X43,$X$1:$X42,0,-1))+1)</f>
        <v>1</v>
      </c>
      <c r="Z43" s="43">
        <f t="array" ref="Z43">SUM(IF(ISNUMBER(FIND("TmAi",$BE$1:$AAQ$1)),IF(IFERROR(ISODD(SUBSTITUTE($BE43:$AAQ43,"A","")),FALSE),IF(ISODD(SUBSTITUTE($BE43:$AAQ43,"A","")),1,0),0)))</f>
        <v>10</v>
      </c>
      <c r="AA43" t="str">
        <f>CONCATENATE($Y43*2-1,"A")</f>
        <v>1A</v>
      </c>
      <c r="AB43" t="str">
        <f>CONCATENATE($Y43*2-1,"B")</f>
        <v>1B</v>
      </c>
      <c r="AP43" t="s">
        <v>2022</v>
      </c>
      <c r="AS43" t="s">
        <v>396</v>
      </c>
      <c r="JZ43" s="27"/>
      <c r="KS43" s="16"/>
      <c r="MA43" t="str">
        <f t="shared" si="91"/>
        <v>DI-</v>
      </c>
      <c r="QE43" s="25" t="str">
        <f>REPLACE(X43,FIND(".",X43)+1,3,MID(X43,FIND(".",X43)+1,3)+1)</f>
        <v>A3.6</v>
      </c>
      <c r="QF43" s="12" t="str">
        <f>CONCATENATE(VALUE(SUBSTITUTE($AB43,"B",""))+2,"B")</f>
        <v>3B</v>
      </c>
      <c r="QG43" s="12" t="str">
        <f>CONCATENATE(VALUE(SUBSTITUTE($AA43,"A",""))+2,"A")</f>
        <v>3A</v>
      </c>
      <c r="QH43" s="12" t="str">
        <f>CONCATENATE(VALUE(SUBSTITUTE(QF43,"B",""))+2,"B")</f>
        <v>5B</v>
      </c>
      <c r="QI43" s="12" t="str">
        <f>CONCATENATE(VALUE(SUBSTITUTE(QG43,"A",""))+2,"A")</f>
        <v>5A</v>
      </c>
      <c r="QJ43" s="12" t="str">
        <f>CONCATENATE(VALUE(SUBSTITUTE(QH43,"B",""))+2,"B")</f>
        <v>7B</v>
      </c>
      <c r="QK43" s="12" t="str">
        <f>CONCATENATE(VALUE(SUBSTITUTE(QI43,"A",""))+2,"A")</f>
        <v>7A</v>
      </c>
      <c r="QL43" s="12" t="str">
        <f>CONCATENATE(VALUE(SUBSTITUTE(QJ43,"B",""))+2,"B")</f>
        <v>9B</v>
      </c>
      <c r="QM43" s="12" t="str">
        <f>CONCATENATE(VALUE(SUBSTITUTE(QK43,"A",""))+2,"A")</f>
        <v>9A</v>
      </c>
      <c r="QN43" s="12" t="str">
        <f>CONCATENATE(VALUE(SUBSTITUTE(QL43,"B",""))+2,"B")</f>
        <v>11B</v>
      </c>
      <c r="QO43" s="12" t="str">
        <f>CONCATENATE(VALUE(SUBSTITUTE(QM43,"A",""))+2,"A")</f>
        <v>11A</v>
      </c>
      <c r="QP43" s="12" t="s">
        <v>135</v>
      </c>
      <c r="QQ43" s="12" t="s">
        <v>136</v>
      </c>
      <c r="QR43" s="12" t="str">
        <f>CONCATENATE(VALUE(SUBSTITUTE(QP43,"B",""))+2,"B")</f>
        <v>3B</v>
      </c>
      <c r="QS43" s="12" t="str">
        <f>CONCATENATE(VALUE(SUBSTITUTE(QQ43,"A",""))+2,"A")</f>
        <v>3A</v>
      </c>
      <c r="QT43" s="12" t="str">
        <f>CONCATENATE(VALUE(SUBSTITUTE(QR43,"B",""))+2,"B")</f>
        <v>5B</v>
      </c>
      <c r="QU43" s="12" t="str">
        <f>CONCATENATE(VALUE(SUBSTITUTE(QS43,"A",""))+2,"A")</f>
        <v>5A</v>
      </c>
      <c r="QV43" s="12" t="str">
        <f>CONCATENATE(VALUE(SUBSTITUTE(QT43,"B",""))+2,"B")</f>
        <v>7B</v>
      </c>
      <c r="QW43" s="12" t="str">
        <f>CONCATENATE(VALUE(SUBSTITUTE(QU43,"A",""))+2,"A")</f>
        <v>7A</v>
      </c>
      <c r="QX43" s="12" t="str">
        <f>CONCATENATE(VALUE(SUBSTITUTE(QV43,"B",""))+2,"B")</f>
        <v>9B</v>
      </c>
      <c r="QY43" s="12" t="str">
        <f>CONCATENATE(VALUE(SUBSTITUTE(QW43,"A",""))+2,"A")</f>
        <v>9A</v>
      </c>
      <c r="QZ43" s="12"/>
      <c r="RA43" s="12"/>
      <c r="RB43" s="12" t="str">
        <f>CONCATENATE($T43,"-AI",REPLACE($X43,1,3,""),"-",AB43)</f>
        <v>E3-AI5-1B</v>
      </c>
      <c r="RC43" s="12" t="str">
        <f>CONCATENATE($T43,"-AI",REPLACE($X43,1,3,""),"-",AA43)</f>
        <v>E3-AI5-1A</v>
      </c>
      <c r="RD43" s="12" t="str">
        <f t="shared" ref="RD43:RM44" si="107">CONCATENATE($T43,"-AI",REPLACE($X43,1,3,""),"-",QF43)</f>
        <v>E3-AI5-3B</v>
      </c>
      <c r="RE43" s="12" t="str">
        <f t="shared" si="107"/>
        <v>E3-AI5-3A</v>
      </c>
      <c r="RF43" s="12" t="str">
        <f t="shared" si="107"/>
        <v>E3-AI5-5B</v>
      </c>
      <c r="RG43" s="12" t="str">
        <f t="shared" si="107"/>
        <v>E3-AI5-5A</v>
      </c>
      <c r="RH43" s="12" t="str">
        <f t="shared" si="107"/>
        <v>E3-AI5-7B</v>
      </c>
      <c r="RI43" s="12" t="str">
        <f t="shared" si="107"/>
        <v>E3-AI5-7A</v>
      </c>
      <c r="RJ43" s="12" t="str">
        <f t="shared" si="107"/>
        <v>E3-AI5-9B</v>
      </c>
      <c r="RK43" s="12" t="str">
        <f t="shared" si="107"/>
        <v>E3-AI5-9A</v>
      </c>
      <c r="RL43" s="12" t="str">
        <f t="shared" si="107"/>
        <v>E3-AI5-11B</v>
      </c>
      <c r="RM43" s="12" t="str">
        <f t="shared" si="107"/>
        <v>E3-AI5-11A</v>
      </c>
      <c r="RN43" s="12" t="str">
        <f t="shared" ref="RN43:RW44" si="108">CONCATENATE($T43,"-AI",REPLACE($QE43,1,3,""),"-",QP43)</f>
        <v>E3-AI6-1B</v>
      </c>
      <c r="RO43" s="12" t="str">
        <f t="shared" si="108"/>
        <v>E3-AI6-1A</v>
      </c>
      <c r="RP43" s="12" t="str">
        <f t="shared" si="108"/>
        <v>E3-AI6-3B</v>
      </c>
      <c r="RQ43" s="12" t="str">
        <f t="shared" si="108"/>
        <v>E3-AI6-3A</v>
      </c>
      <c r="RR43" s="12" t="str">
        <f t="shared" si="108"/>
        <v>E3-AI6-5B</v>
      </c>
      <c r="RS43" s="12" t="str">
        <f t="shared" si="108"/>
        <v>E3-AI6-5A</v>
      </c>
      <c r="RT43" s="12" t="str">
        <f t="shared" si="108"/>
        <v>E3-AI6-7B</v>
      </c>
      <c r="RU43" s="12" t="str">
        <f t="shared" si="108"/>
        <v>E3-AI6-7A</v>
      </c>
      <c r="RV43" s="12" t="str">
        <f t="shared" si="108"/>
        <v>E3-AI6-9B</v>
      </c>
      <c r="RW43" s="12" t="str">
        <f t="shared" si="108"/>
        <v>E3-AI6-9A</v>
      </c>
      <c r="RX43" s="12"/>
      <c r="RY43" s="12"/>
      <c r="RZ43" s="12" t="str">
        <f>CONCATENATE("XT",$U43)</f>
        <v>XT22</v>
      </c>
      <c r="SA43" s="12">
        <v>1</v>
      </c>
      <c r="SB43" s="12">
        <f t="shared" ref="SB43:SW43" si="109">SA43+1</f>
        <v>2</v>
      </c>
      <c r="SC43" s="12">
        <f t="shared" si="109"/>
        <v>3</v>
      </c>
      <c r="SD43" s="12">
        <f t="shared" si="109"/>
        <v>4</v>
      </c>
      <c r="SE43" s="12">
        <f t="shared" si="109"/>
        <v>5</v>
      </c>
      <c r="SF43" s="12">
        <f t="shared" si="109"/>
        <v>6</v>
      </c>
      <c r="SG43" s="12">
        <f t="shared" si="109"/>
        <v>7</v>
      </c>
      <c r="SH43" s="12">
        <f t="shared" si="109"/>
        <v>8</v>
      </c>
      <c r="SI43" s="12">
        <f t="shared" si="109"/>
        <v>9</v>
      </c>
      <c r="SJ43" s="12">
        <f t="shared" si="109"/>
        <v>10</v>
      </c>
      <c r="SK43" s="12">
        <f t="shared" si="109"/>
        <v>11</v>
      </c>
      <c r="SL43" s="12">
        <f t="shared" si="109"/>
        <v>12</v>
      </c>
      <c r="SM43" s="12">
        <f t="shared" si="109"/>
        <v>13</v>
      </c>
      <c r="SN43" s="12">
        <f t="shared" si="109"/>
        <v>14</v>
      </c>
      <c r="SO43" s="12">
        <f t="shared" si="109"/>
        <v>15</v>
      </c>
      <c r="SP43" s="12">
        <f t="shared" si="109"/>
        <v>16</v>
      </c>
      <c r="SQ43" s="12">
        <f t="shared" si="109"/>
        <v>17</v>
      </c>
      <c r="SR43" s="12">
        <f t="shared" si="109"/>
        <v>18</v>
      </c>
      <c r="SS43" s="12">
        <f t="shared" si="109"/>
        <v>19</v>
      </c>
      <c r="ST43" s="12">
        <f t="shared" si="109"/>
        <v>20</v>
      </c>
      <c r="SU43" s="12">
        <f t="shared" si="109"/>
        <v>21</v>
      </c>
      <c r="SV43" s="12">
        <f t="shared" si="109"/>
        <v>22</v>
      </c>
      <c r="SW43" s="12">
        <f t="shared" si="109"/>
        <v>23</v>
      </c>
      <c r="SX43" s="12"/>
      <c r="SY43" s="12"/>
      <c r="SZ43" s="12" t="s">
        <v>2304</v>
      </c>
      <c r="TA43" s="12" t="s">
        <v>2305</v>
      </c>
      <c r="TB43" s="12" t="s">
        <v>2306</v>
      </c>
      <c r="TC43" s="12" t="s">
        <v>2307</v>
      </c>
      <c r="TD43" s="12" t="s">
        <v>2308</v>
      </c>
      <c r="TE43" s="12" t="s">
        <v>2309</v>
      </c>
      <c r="TF43" s="12" t="s">
        <v>2310</v>
      </c>
      <c r="TG43" s="12" t="s">
        <v>2311</v>
      </c>
      <c r="TH43" s="12" t="s">
        <v>2312</v>
      </c>
      <c r="TI43" s="12" t="s">
        <v>2313</v>
      </c>
      <c r="TJ43" s="12" t="s">
        <v>2314</v>
      </c>
      <c r="TK43" s="12"/>
      <c r="TL43" s="12" t="s">
        <v>2287</v>
      </c>
      <c r="TM43" s="12" t="s">
        <v>2288</v>
      </c>
      <c r="TN43" s="12" t="s">
        <v>2289</v>
      </c>
      <c r="TO43" s="12" t="s">
        <v>2290</v>
      </c>
      <c r="TP43" s="12" t="s">
        <v>2291</v>
      </c>
      <c r="TQ43" s="12" t="s">
        <v>2292</v>
      </c>
      <c r="TR43" s="12" t="s">
        <v>2293</v>
      </c>
      <c r="TS43" s="12" t="s">
        <v>2294</v>
      </c>
      <c r="TT43" s="12" t="s">
        <v>2295</v>
      </c>
      <c r="TU43" s="12" t="s">
        <v>2296</v>
      </c>
      <c r="TV43" s="12" t="s">
        <v>2297</v>
      </c>
      <c r="TW43" s="13"/>
    </row>
    <row r="44" spans="1:807" x14ac:dyDescent="0.25">
      <c r="A44" t="s">
        <v>2301</v>
      </c>
      <c r="B44" t="s">
        <v>2327</v>
      </c>
      <c r="P44" t="s">
        <v>2286</v>
      </c>
      <c r="T44" s="14" t="s">
        <v>2285</v>
      </c>
      <c r="U44">
        <v>23</v>
      </c>
      <c r="V44" s="15"/>
      <c r="W44" t="s">
        <v>2303</v>
      </c>
      <c r="X44" t="s">
        <v>2007</v>
      </c>
      <c r="Y44" s="43" t="str">
        <f t="array" ref="Y44">IF(COUNTIFS($X44:$X$51,$X44)=1,"1",VALUE(SUBSTITUTE(INDEX(Y:Y,_xlfn.XMATCH($X44,$X$1:$X43,0,-1)),"A",""))+INDEX(Z:Z,_xlfn.XMATCH($X44,$X$1:$X43,0,-1))+1)</f>
        <v>1</v>
      </c>
      <c r="Z44" s="43">
        <f t="array" ref="Z44">SUM(IF(ISNUMBER(FIND("TmAi",$BE$1:$AAQ$1)),IF(IFERROR(ISODD(SUBSTITUTE($BE44:$AAQ44,"A","")),FALSE),IF(ISODD(SUBSTITUTE($BE44:$AAQ44,"A","")),1,0),0)))</f>
        <v>10</v>
      </c>
      <c r="AA44" t="str">
        <f>CONCATENATE($Y44*2-1,"A")</f>
        <v>1A</v>
      </c>
      <c r="AB44" t="str">
        <f>CONCATENATE($Y44*2-1,"B")</f>
        <v>1B</v>
      </c>
      <c r="AP44" t="s">
        <v>2022</v>
      </c>
      <c r="AS44" t="s">
        <v>396</v>
      </c>
      <c r="JZ44" s="27"/>
      <c r="KS44" s="16"/>
      <c r="MA44" t="str">
        <f t="shared" si="91"/>
        <v>DI-</v>
      </c>
      <c r="QE44" s="25" t="str">
        <f>REPLACE(X44,FIND(".",X44)+1,3,MID(X44,FIND(".",X44)+1,3)+1)</f>
        <v>A3.8</v>
      </c>
      <c r="QF44" s="12" t="str">
        <f>CONCATENATE(VALUE(SUBSTITUTE($AB44,"B",""))+2,"B")</f>
        <v>3B</v>
      </c>
      <c r="QG44" s="12" t="str">
        <f>CONCATENATE(VALUE(SUBSTITUTE($AA44,"A",""))+2,"A")</f>
        <v>3A</v>
      </c>
      <c r="QH44" s="12" t="str">
        <f>CONCATENATE(VALUE(SUBSTITUTE(QF44,"B",""))+2,"B")</f>
        <v>5B</v>
      </c>
      <c r="QI44" s="12" t="str">
        <f>CONCATENATE(VALUE(SUBSTITUTE(QG44,"A",""))+2,"A")</f>
        <v>5A</v>
      </c>
      <c r="QJ44" s="12" t="str">
        <f>CONCATENATE(VALUE(SUBSTITUTE(QH44,"B",""))+2,"B")</f>
        <v>7B</v>
      </c>
      <c r="QK44" s="12" t="str">
        <f>CONCATENATE(VALUE(SUBSTITUTE(QI44,"A",""))+2,"A")</f>
        <v>7A</v>
      </c>
      <c r="QL44" s="12" t="str">
        <f>CONCATENATE(VALUE(SUBSTITUTE(QJ44,"B",""))+2,"B")</f>
        <v>9B</v>
      </c>
      <c r="QM44" s="12" t="str">
        <f>CONCATENATE(VALUE(SUBSTITUTE(QK44,"A",""))+2,"A")</f>
        <v>9A</v>
      </c>
      <c r="QN44" s="12" t="str">
        <f>CONCATENATE(VALUE(SUBSTITUTE(QL44,"B",""))+2,"B")</f>
        <v>11B</v>
      </c>
      <c r="QO44" s="12" t="str">
        <f>CONCATENATE(VALUE(SUBSTITUTE(QM44,"A",""))+2,"A")</f>
        <v>11A</v>
      </c>
      <c r="QP44" s="12" t="s">
        <v>135</v>
      </c>
      <c r="QQ44" s="12" t="s">
        <v>136</v>
      </c>
      <c r="QR44" s="12" t="str">
        <f>CONCATENATE(VALUE(SUBSTITUTE(QP44,"B",""))+2,"B")</f>
        <v>3B</v>
      </c>
      <c r="QS44" s="12" t="str">
        <f>CONCATENATE(VALUE(SUBSTITUTE(QQ44,"A",""))+2,"A")</f>
        <v>3A</v>
      </c>
      <c r="QT44" s="12" t="str">
        <f>CONCATENATE(VALUE(SUBSTITUTE(QR44,"B",""))+2,"B")</f>
        <v>5B</v>
      </c>
      <c r="QU44" s="12" t="str">
        <f>CONCATENATE(VALUE(SUBSTITUTE(QS44,"A",""))+2,"A")</f>
        <v>5A</v>
      </c>
      <c r="QV44" s="12" t="str">
        <f>CONCATENATE(VALUE(SUBSTITUTE(QT44,"B",""))+2,"B")</f>
        <v>7B</v>
      </c>
      <c r="QW44" s="12" t="str">
        <f>CONCATENATE(VALUE(SUBSTITUTE(QU44,"A",""))+2,"A")</f>
        <v>7A</v>
      </c>
      <c r="QX44" s="12" t="str">
        <f>CONCATENATE(VALUE(SUBSTITUTE(QV44,"B",""))+2,"B")</f>
        <v>9B</v>
      </c>
      <c r="QY44" s="12" t="str">
        <f>CONCATENATE(VALUE(SUBSTITUTE(QW44,"A",""))+2,"A")</f>
        <v>9A</v>
      </c>
      <c r="QZ44" s="12"/>
      <c r="RA44" s="12"/>
      <c r="RB44" s="12" t="str">
        <f>CONCATENATE($T44,"-AI",REPLACE($X44,1,3,""),"-",AB44)</f>
        <v>E3-AI7-1B</v>
      </c>
      <c r="RC44" s="12" t="str">
        <f>CONCATENATE($T44,"-AI",REPLACE($X44,1,3,""),"-",AA44)</f>
        <v>E3-AI7-1A</v>
      </c>
      <c r="RD44" s="12" t="str">
        <f t="shared" si="107"/>
        <v>E3-AI7-3B</v>
      </c>
      <c r="RE44" s="12" t="str">
        <f t="shared" si="107"/>
        <v>E3-AI7-3A</v>
      </c>
      <c r="RF44" s="12" t="str">
        <f t="shared" si="107"/>
        <v>E3-AI7-5B</v>
      </c>
      <c r="RG44" s="12" t="str">
        <f t="shared" si="107"/>
        <v>E3-AI7-5A</v>
      </c>
      <c r="RH44" s="12" t="str">
        <f t="shared" si="107"/>
        <v>E3-AI7-7B</v>
      </c>
      <c r="RI44" s="12" t="str">
        <f t="shared" si="107"/>
        <v>E3-AI7-7A</v>
      </c>
      <c r="RJ44" s="12" t="str">
        <f t="shared" si="107"/>
        <v>E3-AI7-9B</v>
      </c>
      <c r="RK44" s="12" t="str">
        <f t="shared" si="107"/>
        <v>E3-AI7-9A</v>
      </c>
      <c r="RL44" s="12" t="str">
        <f t="shared" si="107"/>
        <v>E3-AI7-11B</v>
      </c>
      <c r="RM44" s="12" t="str">
        <f t="shared" si="107"/>
        <v>E3-AI7-11A</v>
      </c>
      <c r="RN44" s="12" t="str">
        <f t="shared" si="108"/>
        <v>E3-AI8-1B</v>
      </c>
      <c r="RO44" s="12" t="str">
        <f t="shared" si="108"/>
        <v>E3-AI8-1A</v>
      </c>
      <c r="RP44" s="12" t="str">
        <f t="shared" si="108"/>
        <v>E3-AI8-3B</v>
      </c>
      <c r="RQ44" s="12" t="str">
        <f t="shared" si="108"/>
        <v>E3-AI8-3A</v>
      </c>
      <c r="RR44" s="12" t="str">
        <f t="shared" si="108"/>
        <v>E3-AI8-5B</v>
      </c>
      <c r="RS44" s="12" t="str">
        <f t="shared" si="108"/>
        <v>E3-AI8-5A</v>
      </c>
      <c r="RT44" s="12" t="str">
        <f t="shared" si="108"/>
        <v>E3-AI8-7B</v>
      </c>
      <c r="RU44" s="12" t="str">
        <f t="shared" si="108"/>
        <v>E3-AI8-7A</v>
      </c>
      <c r="RV44" s="12" t="str">
        <f t="shared" si="108"/>
        <v>E3-AI8-9B</v>
      </c>
      <c r="RW44" s="12" t="str">
        <f t="shared" si="108"/>
        <v>E3-AI8-9A</v>
      </c>
      <c r="RX44" s="12"/>
      <c r="RY44" s="12"/>
      <c r="RZ44" s="12" t="str">
        <f>CONCATENATE("XT",$U44)</f>
        <v>XT23</v>
      </c>
      <c r="SA44" s="12">
        <v>1</v>
      </c>
      <c r="SB44" s="12">
        <f t="shared" ref="SB44:SW44" si="110">SA44+1</f>
        <v>2</v>
      </c>
      <c r="SC44" s="12">
        <f t="shared" si="110"/>
        <v>3</v>
      </c>
      <c r="SD44" s="12">
        <f t="shared" si="110"/>
        <v>4</v>
      </c>
      <c r="SE44" s="12">
        <f t="shared" si="110"/>
        <v>5</v>
      </c>
      <c r="SF44" s="12">
        <f t="shared" si="110"/>
        <v>6</v>
      </c>
      <c r="SG44" s="12">
        <f t="shared" si="110"/>
        <v>7</v>
      </c>
      <c r="SH44" s="12">
        <f t="shared" si="110"/>
        <v>8</v>
      </c>
      <c r="SI44" s="12">
        <f t="shared" si="110"/>
        <v>9</v>
      </c>
      <c r="SJ44" s="12">
        <f t="shared" si="110"/>
        <v>10</v>
      </c>
      <c r="SK44" s="12">
        <f t="shared" si="110"/>
        <v>11</v>
      </c>
      <c r="SL44" s="12">
        <f t="shared" si="110"/>
        <v>12</v>
      </c>
      <c r="SM44" s="12">
        <f t="shared" si="110"/>
        <v>13</v>
      </c>
      <c r="SN44" s="12">
        <f t="shared" si="110"/>
        <v>14</v>
      </c>
      <c r="SO44" s="12">
        <f t="shared" si="110"/>
        <v>15</v>
      </c>
      <c r="SP44" s="12">
        <f t="shared" si="110"/>
        <v>16</v>
      </c>
      <c r="SQ44" s="12">
        <f t="shared" si="110"/>
        <v>17</v>
      </c>
      <c r="SR44" s="12">
        <f t="shared" si="110"/>
        <v>18</v>
      </c>
      <c r="SS44" s="12">
        <f t="shared" si="110"/>
        <v>19</v>
      </c>
      <c r="ST44" s="12">
        <f t="shared" si="110"/>
        <v>20</v>
      </c>
      <c r="SU44" s="12">
        <f t="shared" si="110"/>
        <v>21</v>
      </c>
      <c r="SV44" s="12">
        <f t="shared" si="110"/>
        <v>22</v>
      </c>
      <c r="SW44" s="12">
        <f t="shared" si="110"/>
        <v>23</v>
      </c>
      <c r="SX44" s="12"/>
      <c r="SY44" s="12"/>
      <c r="SZ44" s="12" t="s">
        <v>2315</v>
      </c>
      <c r="TA44" s="12" t="s">
        <v>2316</v>
      </c>
      <c r="TB44" s="12" t="s">
        <v>2317</v>
      </c>
      <c r="TC44" s="12" t="s">
        <v>2318</v>
      </c>
      <c r="TD44" s="12" t="s">
        <v>2319</v>
      </c>
      <c r="TE44" s="12" t="s">
        <v>2320</v>
      </c>
      <c r="TF44" s="12" t="s">
        <v>2321</v>
      </c>
      <c r="TG44" s="12" t="s">
        <v>2322</v>
      </c>
      <c r="TH44" s="12" t="s">
        <v>2323</v>
      </c>
      <c r="TI44" s="12" t="s">
        <v>2324</v>
      </c>
      <c r="TJ44" s="12" t="s">
        <v>2325</v>
      </c>
      <c r="TK44" s="12"/>
      <c r="TL44" s="12" t="s">
        <v>2287</v>
      </c>
      <c r="TM44" s="12" t="s">
        <v>2288</v>
      </c>
      <c r="TN44" s="12" t="s">
        <v>2289</v>
      </c>
      <c r="TO44" s="12" t="s">
        <v>2290</v>
      </c>
      <c r="TP44" s="12" t="s">
        <v>2291</v>
      </c>
      <c r="TQ44" s="12" t="s">
        <v>2292</v>
      </c>
      <c r="TR44" s="12" t="s">
        <v>2293</v>
      </c>
      <c r="TS44" s="12" t="s">
        <v>2294</v>
      </c>
      <c r="TT44" s="12" t="s">
        <v>2295</v>
      </c>
      <c r="TU44" s="12" t="s">
        <v>2296</v>
      </c>
      <c r="TV44" s="12" t="s">
        <v>2297</v>
      </c>
      <c r="TW44" s="13"/>
    </row>
    <row r="45" spans="1:807" x14ac:dyDescent="0.25">
      <c r="A45" t="s">
        <v>2273</v>
      </c>
      <c r="B45" t="s">
        <v>2280</v>
      </c>
      <c r="P45" t="s">
        <v>1873</v>
      </c>
      <c r="T45" s="14" t="s">
        <v>2019</v>
      </c>
      <c r="U45">
        <v>21</v>
      </c>
      <c r="AC45" t="str">
        <f>IF(AD42+AE42&gt;31,REPLACE(AC42,LEN(AC42),1,VALUE(RIGHT(AC42,1))+1),AC42)</f>
        <v>A5.4</v>
      </c>
      <c r="AD45" s="46">
        <f t="array" ref="AD45">IF(COUNTIFS(AC$2:AC45,AC45)=1,"1",VALUE(SUBSTITUTE(INDEX(AD:AD,_xlfn.XMATCH(AC45,AC$1:AC42,0,-1)),"A",""))+INDEX(AE:AE,_xlfn.XMATCH(AC45,AC$1:AC42,0,-1))+1)</f>
        <v>18</v>
      </c>
      <c r="AE45" s="46">
        <f t="array" ref="AE45">SUM(IF(ISNUMBER(FIND("TmDi",$BE$1:$AAQ$1)),IF(IFERROR(ISNUMBER(VALUE(SUBSTITUTE($BE45:$AAQ45,"B",""))),FALSE),IF(ISNUMBER(VALUE(SUBSTITUTE($BE45:$AAQ45,"B",""))),1,0),0)))</f>
        <v>0</v>
      </c>
      <c r="AF45" t="str">
        <f t="shared" si="105"/>
        <v>C18</v>
      </c>
      <c r="AG45" t="str">
        <f t="shared" si="106"/>
        <v>B18</v>
      </c>
      <c r="AP45" t="s">
        <v>2022</v>
      </c>
      <c r="AT45" t="s">
        <v>854</v>
      </c>
      <c r="AU45" t="s">
        <v>1399</v>
      </c>
      <c r="LU45" s="27"/>
      <c r="LZ45" t="str">
        <f>CONCATENATE("DI",REPLACE($AC45,1,3,""),"-",$AF45)</f>
        <v>DI4-C18</v>
      </c>
      <c r="MA45" t="str">
        <f t="shared" si="91"/>
        <v>DI4-B18</v>
      </c>
      <c r="MB45" t="s">
        <v>1884</v>
      </c>
      <c r="MC45" t="s">
        <v>1883</v>
      </c>
      <c r="MD45">
        <v>11</v>
      </c>
      <c r="ME45">
        <v>14</v>
      </c>
      <c r="MF45" t="s">
        <v>142</v>
      </c>
      <c r="MG45" t="s">
        <v>143</v>
      </c>
      <c r="MH45" t="s">
        <v>488</v>
      </c>
      <c r="MI45" t="s">
        <v>487</v>
      </c>
      <c r="MJ45" t="s">
        <v>414</v>
      </c>
      <c r="MK45" t="s">
        <v>413</v>
      </c>
      <c r="MR45">
        <v>1</v>
      </c>
      <c r="MS45">
        <v>2</v>
      </c>
      <c r="MT45" s="16"/>
    </row>
    <row r="46" spans="1:807" x14ac:dyDescent="0.25">
      <c r="A46" t="s">
        <v>2274</v>
      </c>
      <c r="B46" t="s">
        <v>2281</v>
      </c>
      <c r="P46" t="s">
        <v>1873</v>
      </c>
      <c r="T46" s="14" t="s">
        <v>2019</v>
      </c>
      <c r="U46">
        <v>21</v>
      </c>
      <c r="AC46" t="str">
        <f t="shared" ref="AC46:AC51" si="111">IF(AD45+AE45&gt;31,REPLACE(AC45,LEN(AC45),1,VALUE(RIGHT(AC45,1))+1),AC45)</f>
        <v>A5.4</v>
      </c>
      <c r="AD46" s="46">
        <f t="array" ref="AD46">IF(COUNTIFS(AC$2:AC46,AC46)=1,"1",VALUE(SUBSTITUTE(INDEX(AD:AD,_xlfn.XMATCH(AC46,AC$1:AC45,0,-1)),"A",""))+INDEX(AE:AE,_xlfn.XMATCH(AC46,AC$1:AC45,0,-1))+1)</f>
        <v>19</v>
      </c>
      <c r="AE46" s="46">
        <f t="array" ref="AE46">SUM(IF(ISNUMBER(FIND("TmDi",$BE$1:$AAQ$1)),IF(IFERROR(ISNUMBER(VALUE(SUBSTITUTE($BE46:$AAQ46,"B",""))),FALSE),IF(ISNUMBER(VALUE(SUBSTITUTE($BE46:$AAQ46,"B",""))),1,0),0)))</f>
        <v>0</v>
      </c>
      <c r="AF46" t="str">
        <f t="shared" si="105"/>
        <v>C19</v>
      </c>
      <c r="AG46" t="str">
        <f t="shared" si="106"/>
        <v>B19</v>
      </c>
      <c r="AP46" t="s">
        <v>2022</v>
      </c>
      <c r="AT46" t="s">
        <v>854</v>
      </c>
      <c r="AU46" t="s">
        <v>1399</v>
      </c>
      <c r="LU46" s="27"/>
      <c r="LZ46" t="str">
        <f t="shared" ref="LZ46:LZ51" si="112">CONCATENATE("DI",REPLACE($AC46,1,3,""),"-",$AF46)</f>
        <v>DI4-C19</v>
      </c>
      <c r="MA46" t="str">
        <f t="shared" si="91"/>
        <v>DI4-B19</v>
      </c>
      <c r="MB46" t="s">
        <v>1887</v>
      </c>
      <c r="MC46" t="s">
        <v>1888</v>
      </c>
      <c r="MD46">
        <f t="shared" ref="MD46:MD51" si="113">MD45</f>
        <v>11</v>
      </c>
      <c r="ME46">
        <f t="shared" ref="ME46:MK51" si="114">ME45</f>
        <v>14</v>
      </c>
      <c r="MF46" t="str">
        <f t="shared" si="114"/>
        <v>A1</v>
      </c>
      <c r="MG46" t="str">
        <f t="shared" si="114"/>
        <v>A2</v>
      </c>
      <c r="MH46" t="str">
        <f t="shared" si="114"/>
        <v>0v3</v>
      </c>
      <c r="MI46" t="str">
        <f t="shared" si="114"/>
        <v>24v3</v>
      </c>
      <c r="MJ46" t="str">
        <f t="shared" si="114"/>
        <v>0v6</v>
      </c>
      <c r="MK46" t="str">
        <f t="shared" si="114"/>
        <v>24v6</v>
      </c>
      <c r="MR46">
        <f>MR45</f>
        <v>1</v>
      </c>
      <c r="MS46">
        <f>MS45</f>
        <v>2</v>
      </c>
      <c r="MT46" s="16"/>
    </row>
    <row r="47" spans="1:807" x14ac:dyDescent="0.25">
      <c r="A47" t="s">
        <v>2275</v>
      </c>
      <c r="B47" t="s">
        <v>2282</v>
      </c>
      <c r="P47" t="s">
        <v>1873</v>
      </c>
      <c r="T47" s="14" t="s">
        <v>2019</v>
      </c>
      <c r="U47">
        <v>21</v>
      </c>
      <c r="AC47" t="str">
        <f t="shared" si="111"/>
        <v>A5.4</v>
      </c>
      <c r="AD47" s="46">
        <f t="array" ref="AD47">IF(COUNTIFS(AC$2:AC47,AC47)=1,"1",VALUE(SUBSTITUTE(INDEX(AD:AD,_xlfn.XMATCH(AC47,AC$1:AC46,0,-1)),"A",""))+INDEX(AE:AE,_xlfn.XMATCH(AC47,AC$1:AC46,0,-1))+1)</f>
        <v>20</v>
      </c>
      <c r="AE47" s="46">
        <f t="array" ref="AE47">SUM(IF(ISNUMBER(FIND("TmDi",$BE$1:$AAQ$1)),IF(IFERROR(ISNUMBER(VALUE(SUBSTITUTE($BE47:$AAQ47,"B",""))),FALSE),IF(ISNUMBER(VALUE(SUBSTITUTE($BE47:$AAQ47,"B",""))),1,0),0)))</f>
        <v>0</v>
      </c>
      <c r="AF47" t="str">
        <f t="shared" si="105"/>
        <v>C20</v>
      </c>
      <c r="AG47" t="str">
        <f t="shared" si="106"/>
        <v>B20</v>
      </c>
      <c r="AP47" t="s">
        <v>2022</v>
      </c>
      <c r="AT47" t="s">
        <v>854</v>
      </c>
      <c r="AU47" t="s">
        <v>1399</v>
      </c>
      <c r="LU47" s="27"/>
      <c r="LZ47" t="str">
        <f t="shared" si="112"/>
        <v>DI4-C20</v>
      </c>
      <c r="MA47" t="str">
        <f t="shared" si="91"/>
        <v>DI4-B20</v>
      </c>
      <c r="MB47" t="s">
        <v>1891</v>
      </c>
      <c r="MC47" t="s">
        <v>1892</v>
      </c>
      <c r="MD47">
        <f t="shared" si="113"/>
        <v>11</v>
      </c>
      <c r="ME47">
        <f t="shared" si="114"/>
        <v>14</v>
      </c>
      <c r="MF47" t="str">
        <f t="shared" si="114"/>
        <v>A1</v>
      </c>
      <c r="MG47" t="str">
        <f t="shared" si="114"/>
        <v>A2</v>
      </c>
      <c r="MH47" t="str">
        <f t="shared" si="114"/>
        <v>0v3</v>
      </c>
      <c r="MI47" t="str">
        <f t="shared" si="114"/>
        <v>24v3</v>
      </c>
      <c r="MJ47" t="str">
        <f t="shared" si="114"/>
        <v>0v6</v>
      </c>
      <c r="MK47" t="str">
        <f t="shared" si="114"/>
        <v>24v6</v>
      </c>
      <c r="MR47">
        <f t="shared" ref="MR47:MS51" si="115">MR46</f>
        <v>1</v>
      </c>
      <c r="MS47">
        <f t="shared" si="115"/>
        <v>2</v>
      </c>
      <c r="MT47" s="16"/>
    </row>
    <row r="48" spans="1:807" x14ac:dyDescent="0.25">
      <c r="A48" t="s">
        <v>2276</v>
      </c>
      <c r="B48" t="s">
        <v>2336</v>
      </c>
      <c r="P48" t="s">
        <v>1873</v>
      </c>
      <c r="T48" s="14" t="s">
        <v>2019</v>
      </c>
      <c r="U48">
        <v>21</v>
      </c>
      <c r="AC48" t="str">
        <f t="shared" si="111"/>
        <v>A5.4</v>
      </c>
      <c r="AD48" s="46">
        <f t="array" ref="AD48">IF(COUNTIFS(AC$2:AC48,AC48)=1,"1",VALUE(SUBSTITUTE(INDEX(AD:AD,_xlfn.XMATCH(AC48,AC$1:AC47,0,-1)),"A",""))+INDEX(AE:AE,_xlfn.XMATCH(AC48,AC$1:AC47,0,-1))+1)</f>
        <v>21</v>
      </c>
      <c r="AE48" s="46">
        <f t="array" ref="AE48">SUM(IF(ISNUMBER(FIND("TmDi",$BE$1:$AAQ$1)),IF(IFERROR(ISNUMBER(VALUE(SUBSTITUTE($BE48:$AAQ48,"B",""))),FALSE),IF(ISNUMBER(VALUE(SUBSTITUTE($BE48:$AAQ48,"B",""))),1,0),0)))</f>
        <v>0</v>
      </c>
      <c r="AF48" t="str">
        <f t="shared" si="105"/>
        <v>C21</v>
      </c>
      <c r="AG48" t="str">
        <f t="shared" si="106"/>
        <v>B21</v>
      </c>
      <c r="AP48" t="s">
        <v>2022</v>
      </c>
      <c r="AT48" t="s">
        <v>854</v>
      </c>
      <c r="AU48" t="s">
        <v>1399</v>
      </c>
      <c r="LU48" s="27"/>
      <c r="LZ48" t="str">
        <f t="shared" si="112"/>
        <v>DI4-C21</v>
      </c>
      <c r="MA48" t="str">
        <f t="shared" si="91"/>
        <v>DI4-B21</v>
      </c>
      <c r="MB48" t="s">
        <v>1893</v>
      </c>
      <c r="MC48" t="s">
        <v>1894</v>
      </c>
      <c r="MD48">
        <f t="shared" si="113"/>
        <v>11</v>
      </c>
      <c r="ME48">
        <f t="shared" si="114"/>
        <v>14</v>
      </c>
      <c r="MF48" t="str">
        <f t="shared" si="114"/>
        <v>A1</v>
      </c>
      <c r="MG48" t="str">
        <f t="shared" si="114"/>
        <v>A2</v>
      </c>
      <c r="MH48" t="str">
        <f t="shared" si="114"/>
        <v>0v3</v>
      </c>
      <c r="MI48" t="str">
        <f t="shared" si="114"/>
        <v>24v3</v>
      </c>
      <c r="MJ48" t="str">
        <f t="shared" si="114"/>
        <v>0v6</v>
      </c>
      <c r="MK48" t="str">
        <f t="shared" si="114"/>
        <v>24v6</v>
      </c>
      <c r="MR48">
        <f t="shared" si="115"/>
        <v>1</v>
      </c>
      <c r="MS48">
        <f t="shared" si="115"/>
        <v>2</v>
      </c>
      <c r="MT48" s="16"/>
    </row>
    <row r="49" spans="1:358" x14ac:dyDescent="0.25">
      <c r="A49" t="s">
        <v>2277</v>
      </c>
      <c r="B49" t="s">
        <v>2337</v>
      </c>
      <c r="P49" t="s">
        <v>1873</v>
      </c>
      <c r="T49" s="14" t="s">
        <v>2019</v>
      </c>
      <c r="U49">
        <v>21</v>
      </c>
      <c r="AC49" t="str">
        <f t="shared" si="111"/>
        <v>A5.4</v>
      </c>
      <c r="AD49" s="46">
        <f t="array" ref="AD49">IF(COUNTIFS(AC$2:AC49,AC49)=1,"1",VALUE(SUBSTITUTE(INDEX(AD:AD,_xlfn.XMATCH(AC49,AC$1:AC48,0,-1)),"A",""))+INDEX(AE:AE,_xlfn.XMATCH(AC49,AC$1:AC48,0,-1))+1)</f>
        <v>22</v>
      </c>
      <c r="AE49" s="46">
        <f t="array" ref="AE49">SUM(IF(ISNUMBER(FIND("TmDi",$BE$1:$AAQ$1)),IF(IFERROR(ISNUMBER(VALUE(SUBSTITUTE($BE49:$AAQ49,"B",""))),FALSE),IF(ISNUMBER(VALUE(SUBSTITUTE($BE49:$AAQ49,"B",""))),1,0),0)))</f>
        <v>0</v>
      </c>
      <c r="AF49" t="str">
        <f t="shared" si="105"/>
        <v>C22</v>
      </c>
      <c r="AG49" t="str">
        <f t="shared" si="106"/>
        <v>B22</v>
      </c>
      <c r="AP49" t="s">
        <v>2022</v>
      </c>
      <c r="AT49" t="s">
        <v>854</v>
      </c>
      <c r="AU49" t="s">
        <v>1399</v>
      </c>
      <c r="LU49" s="27"/>
      <c r="LZ49" t="str">
        <f t="shared" si="112"/>
        <v>DI4-C22</v>
      </c>
      <c r="MA49" t="str">
        <f t="shared" si="91"/>
        <v>DI4-B22</v>
      </c>
      <c r="MB49" t="s">
        <v>1895</v>
      </c>
      <c r="MC49" t="s">
        <v>1896</v>
      </c>
      <c r="MD49">
        <f t="shared" si="113"/>
        <v>11</v>
      </c>
      <c r="ME49">
        <f t="shared" si="114"/>
        <v>14</v>
      </c>
      <c r="MF49" t="str">
        <f t="shared" si="114"/>
        <v>A1</v>
      </c>
      <c r="MG49" t="str">
        <f t="shared" si="114"/>
        <v>A2</v>
      </c>
      <c r="MH49" t="str">
        <f t="shared" si="114"/>
        <v>0v3</v>
      </c>
      <c r="MI49" t="str">
        <f t="shared" si="114"/>
        <v>24v3</v>
      </c>
      <c r="MJ49" t="str">
        <f t="shared" si="114"/>
        <v>0v6</v>
      </c>
      <c r="MK49" t="str">
        <f t="shared" si="114"/>
        <v>24v6</v>
      </c>
      <c r="MR49">
        <f t="shared" si="115"/>
        <v>1</v>
      </c>
      <c r="MS49">
        <f t="shared" si="115"/>
        <v>2</v>
      </c>
      <c r="MT49" s="16"/>
    </row>
    <row r="50" spans="1:358" x14ac:dyDescent="0.25">
      <c r="A50" t="s">
        <v>2278</v>
      </c>
      <c r="B50" t="s">
        <v>2283</v>
      </c>
      <c r="P50" t="s">
        <v>1873</v>
      </c>
      <c r="T50" s="14" t="s">
        <v>2019</v>
      </c>
      <c r="U50">
        <v>21</v>
      </c>
      <c r="AC50" t="str">
        <f t="shared" si="111"/>
        <v>A5.4</v>
      </c>
      <c r="AD50" s="46">
        <f t="array" ref="AD50">IF(COUNTIFS(AC$2:AC50,AC50)=1,"1",VALUE(SUBSTITUTE(INDEX(AD:AD,_xlfn.XMATCH(AC50,AC$1:AC49,0,-1)),"A",""))+INDEX(AE:AE,_xlfn.XMATCH(AC50,AC$1:AC49,0,-1))+1)</f>
        <v>23</v>
      </c>
      <c r="AE50" s="46">
        <f t="array" ref="AE50">SUM(IF(ISNUMBER(FIND("TmDi",$BE$1:$AAQ$1)),IF(IFERROR(ISNUMBER(VALUE(SUBSTITUTE($BE50:$AAQ50,"B",""))),FALSE),IF(ISNUMBER(VALUE(SUBSTITUTE($BE50:$AAQ50,"B",""))),1,0),0)))</f>
        <v>0</v>
      </c>
      <c r="AF50" t="str">
        <f t="shared" si="105"/>
        <v>C23</v>
      </c>
      <c r="AG50" t="str">
        <f t="shared" si="106"/>
        <v>B23</v>
      </c>
      <c r="AP50" t="s">
        <v>2022</v>
      </c>
      <c r="AT50" t="s">
        <v>854</v>
      </c>
      <c r="AU50" t="s">
        <v>1399</v>
      </c>
      <c r="LU50" s="27"/>
      <c r="LZ50" t="str">
        <f t="shared" si="112"/>
        <v>DI4-C23</v>
      </c>
      <c r="MA50" t="str">
        <f t="shared" si="91"/>
        <v>DI4-B23</v>
      </c>
      <c r="MB50" t="s">
        <v>1897</v>
      </c>
      <c r="MC50" t="s">
        <v>1898</v>
      </c>
      <c r="MD50">
        <f t="shared" si="113"/>
        <v>11</v>
      </c>
      <c r="ME50">
        <f t="shared" si="114"/>
        <v>14</v>
      </c>
      <c r="MF50" t="str">
        <f t="shared" si="114"/>
        <v>A1</v>
      </c>
      <c r="MG50" t="str">
        <f t="shared" si="114"/>
        <v>A2</v>
      </c>
      <c r="MH50" t="str">
        <f t="shared" si="114"/>
        <v>0v3</v>
      </c>
      <c r="MI50" t="str">
        <f t="shared" si="114"/>
        <v>24v3</v>
      </c>
      <c r="MJ50" t="str">
        <f t="shared" si="114"/>
        <v>0v6</v>
      </c>
      <c r="MK50" t="str">
        <f t="shared" si="114"/>
        <v>24v6</v>
      </c>
      <c r="MR50">
        <f t="shared" si="115"/>
        <v>1</v>
      </c>
      <c r="MS50">
        <f t="shared" si="115"/>
        <v>2</v>
      </c>
      <c r="MT50" s="16"/>
    </row>
    <row r="51" spans="1:358" s="19" customFormat="1" ht="15.75" thickBot="1" x14ac:dyDescent="0.3">
      <c r="A51" s="19" t="s">
        <v>2279</v>
      </c>
      <c r="B51" s="19" t="s">
        <v>2284</v>
      </c>
      <c r="P51" s="19" t="s">
        <v>1873</v>
      </c>
      <c r="T51" s="17" t="s">
        <v>2019</v>
      </c>
      <c r="U51" s="19">
        <v>21</v>
      </c>
      <c r="AC51" s="19" t="str">
        <f t="shared" si="111"/>
        <v>A5.4</v>
      </c>
      <c r="AD51" s="62">
        <f t="array" ref="AD51">IF(COUNTIFS(AC$2:AC51,AC51)=1,"1",VALUE(SUBSTITUTE(INDEX(AD:AD,_xlfn.XMATCH(AC51,AC$1:AC50,0,-1)),"A",""))+INDEX(AE:AE,_xlfn.XMATCH(AC51,AC$1:AC50,0,-1))+1)</f>
        <v>24</v>
      </c>
      <c r="AE51" s="62">
        <f t="array" ref="AE51">SUM(IF(ISNUMBER(FIND("TmDi",$BE$1:$AAQ$1)),IF(IFERROR(ISNUMBER(VALUE(SUBSTITUTE($BE51:$AAQ51,"B",""))),FALSE),IF(ISNUMBER(VALUE(SUBSTITUTE($BE51:$AAQ51,"B",""))),1,0),0)))</f>
        <v>0</v>
      </c>
      <c r="AF51" s="19" t="str">
        <f t="shared" si="105"/>
        <v>C24</v>
      </c>
      <c r="AG51" s="19" t="str">
        <f t="shared" si="106"/>
        <v>B24</v>
      </c>
      <c r="AI51" s="67"/>
      <c r="AJ51" s="67"/>
      <c r="AP51" s="19" t="s">
        <v>2022</v>
      </c>
      <c r="AT51" s="19" t="s">
        <v>854</v>
      </c>
      <c r="AU51" s="19" t="s">
        <v>1399</v>
      </c>
      <c r="LU51" s="28"/>
      <c r="LZ51" s="19" t="str">
        <f t="shared" si="112"/>
        <v>DI4-C24</v>
      </c>
      <c r="MA51" s="19" t="str">
        <f t="shared" si="91"/>
        <v>DI4-B24</v>
      </c>
      <c r="MB51" s="19" t="s">
        <v>1899</v>
      </c>
      <c r="MC51" s="19" t="s">
        <v>1900</v>
      </c>
      <c r="MD51" s="19">
        <f t="shared" si="113"/>
        <v>11</v>
      </c>
      <c r="ME51" s="19">
        <f t="shared" si="114"/>
        <v>14</v>
      </c>
      <c r="MF51" s="19" t="str">
        <f t="shared" si="114"/>
        <v>A1</v>
      </c>
      <c r="MG51" s="19" t="str">
        <f t="shared" si="114"/>
        <v>A2</v>
      </c>
      <c r="MH51" s="19" t="str">
        <f t="shared" si="114"/>
        <v>0v3</v>
      </c>
      <c r="MI51" s="19" t="str">
        <f t="shared" si="114"/>
        <v>24v3</v>
      </c>
      <c r="MJ51" s="19" t="str">
        <f t="shared" si="114"/>
        <v>0v6</v>
      </c>
      <c r="MK51" s="19" t="str">
        <f t="shared" si="114"/>
        <v>24v6</v>
      </c>
      <c r="MR51" s="19">
        <f t="shared" si="115"/>
        <v>1</v>
      </c>
      <c r="MS51" s="19">
        <f t="shared" si="115"/>
        <v>2</v>
      </c>
      <c r="MT51" s="20"/>
    </row>
  </sheetData>
  <autoFilter ref="P1:P51" xr:uid="{00000000-0009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AB4E1534-DE5C-4BBF-94CF-C7BE24794A5F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3C6BA2D4-71A9-4CF6-83E4-9B12BCE545AB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031ED295-A517-4C72-BD4B-F6F33FB04EB8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F98098E4-535A-499E-9C96-FEA37169DF0E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83157832-71B6-41CD-BA20-BF2E307B0FCA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5E4389A0-3E42-428A-8A31-0BC743D0B1AA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2BB3C8B1-547B-4D88-9E80-B6471C5EB79B}">
        <filterColumn colId="0">
          <filters>
            <filter val="se0004"/>
          </filters>
        </filterColumn>
      </autoFilter>
    </customSheetView>
  </customSheetViews>
  <phoneticPr fontId="4" type="noConversion"/>
  <conditionalFormatting sqref="A1">
    <cfRule type="duplicateValues" dxfId="27" priority="147"/>
  </conditionalFormatting>
  <conditionalFormatting sqref="A19:A39 A1 A42:A1048576">
    <cfRule type="duplicateValues" dxfId="26" priority="43"/>
  </conditionalFormatting>
  <conditionalFormatting sqref="B32:B37 B45:B1048576 B1:B18">
    <cfRule type="duplicateValues" dxfId="25" priority="153"/>
  </conditionalFormatting>
  <conditionalFormatting sqref="V1:W1048576">
    <cfRule type="duplicateValues" dxfId="24" priority="163"/>
  </conditionalFormatting>
  <conditionalFormatting sqref="V9:W10 V1:V8 V11:V1048576">
    <cfRule type="duplicateValues" dxfId="23" priority="158"/>
  </conditionalFormatting>
  <conditionalFormatting sqref="Y1:Y1048576">
    <cfRule type="cellIs" dxfId="22" priority="8" operator="greaterThan">
      <formula>8</formula>
    </cfRule>
    <cfRule type="cellIs" dxfId="21" priority="40" operator="equal">
      <formula>"Y:Y+Z:Z&gt;8"</formula>
    </cfRule>
  </conditionalFormatting>
  <conditionalFormatting sqref="AD1:AD18">
    <cfRule type="cellIs" dxfId="20" priority="15" operator="equal">
      <formula>"Y:Y+Z:Z&gt;8"</formula>
    </cfRule>
  </conditionalFormatting>
  <conditionalFormatting sqref="AD33">
    <cfRule type="cellIs" dxfId="19" priority="12" operator="equal">
      <formula>"Y:Y+Z:Z&gt;8"</formula>
    </cfRule>
  </conditionalFormatting>
  <conditionalFormatting sqref="AD36">
    <cfRule type="cellIs" dxfId="18" priority="11" operator="equal">
      <formula>"Y:Y+Z:Z&gt;8"</formula>
    </cfRule>
  </conditionalFormatting>
  <conditionalFormatting sqref="AD42">
    <cfRule type="cellIs" dxfId="17" priority="10" operator="equal">
      <formula>"Y:Y+Z:Z&gt;8"</formula>
    </cfRule>
  </conditionalFormatting>
  <conditionalFormatting sqref="AI1">
    <cfRule type="cellIs" dxfId="16" priority="35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2008</v>
      </c>
      <c r="C27" t="s">
        <v>2330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2012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2009</v>
      </c>
      <c r="C29" t="s">
        <v>2016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2013</v>
      </c>
      <c r="C30" t="s">
        <v>2016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2010</v>
      </c>
      <c r="C31" t="s">
        <v>2016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2014</v>
      </c>
      <c r="C32" t="s">
        <v>2016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2011</v>
      </c>
      <c r="C33" t="s">
        <v>2016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2015</v>
      </c>
      <c r="C34" t="s">
        <v>2016</v>
      </c>
      <c r="D34" t="s">
        <v>974</v>
      </c>
      <c r="E34" t="s">
        <v>1779</v>
      </c>
    </row>
    <row r="35" spans="1:5" x14ac:dyDescent="0.25">
      <c r="A35" t="s">
        <v>2331</v>
      </c>
      <c r="B35" t="s">
        <v>2328</v>
      </c>
      <c r="C35" t="s">
        <v>969</v>
      </c>
      <c r="D35" t="s">
        <v>974</v>
      </c>
    </row>
    <row r="36" spans="1:5" x14ac:dyDescent="0.25">
      <c r="A36" t="s">
        <v>2331</v>
      </c>
      <c r="B36" t="s">
        <v>2329</v>
      </c>
      <c r="C36" t="s">
        <v>969</v>
      </c>
      <c r="D36" t="s">
        <v>974</v>
      </c>
    </row>
    <row r="37" spans="1:5" x14ac:dyDescent="0.25">
      <c r="A37" t="s">
        <v>974</v>
      </c>
      <c r="B37" t="s">
        <v>2332</v>
      </c>
      <c r="C37" t="s">
        <v>969</v>
      </c>
      <c r="D37" t="s">
        <v>2334</v>
      </c>
    </row>
    <row r="38" spans="1:5" x14ac:dyDescent="0.25">
      <c r="A38" t="s">
        <v>974</v>
      </c>
      <c r="B38" t="s">
        <v>2333</v>
      </c>
      <c r="C38" t="s">
        <v>969</v>
      </c>
      <c r="D38" t="s">
        <v>2335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2025-12-04T09:24:07Z</dcterms:modified>
</cp:coreProperties>
</file>